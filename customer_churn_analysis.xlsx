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264" firstSheet="3" activeTab="7"/>
  </bookViews>
  <sheets>
    <sheet name="Churn Distribution" sheetId="2" r:id="rId1"/>
    <sheet name="Churn By Contract" sheetId="3" r:id="rId2"/>
    <sheet name="Revenue By Customer Segment" sheetId="4" r:id="rId3"/>
    <sheet name="Churn By Payment Method" sheetId="5" r:id="rId4"/>
    <sheet name="Churn By Gender" sheetId="6" r:id="rId5"/>
    <sheet name="Churn By Tenure Group" sheetId="11" r:id="rId6"/>
    <sheet name="DASHBOARD" sheetId="12" r:id="rId7"/>
    <sheet name="churn_analysis" sheetId="1" r:id="rId8"/>
  </sheets>
  <definedNames>
    <definedName name="Slicer_Contract">#N/A</definedName>
    <definedName name="Slicer_gender">#N/A</definedName>
    <definedName name="Slicer_PaymentMethod">#N/A</definedName>
    <definedName name="Slicer_tenure">#N/A</definedName>
    <definedName name="Slicer_TenureGroup">#N/A</definedName>
  </definedNames>
  <calcPr calcId="152511"/>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3" i="1" l="1"/>
  <c r="M8" i="1"/>
  <c r="L2" i="1"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3" i="1"/>
  <c r="J2"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3" i="1"/>
  <c r="I2" i="1"/>
</calcChain>
</file>

<file path=xl/sharedStrings.xml><?xml version="1.0" encoding="utf-8"?>
<sst xmlns="http://schemas.openxmlformats.org/spreadsheetml/2006/main" count="35224" uniqueCount="7067">
  <si>
    <t>customerID</t>
  </si>
  <si>
    <t>gender</t>
  </si>
  <si>
    <t>Contract</t>
  </si>
  <si>
    <t>PaymentMethod</t>
  </si>
  <si>
    <t>MonthlyCharges</t>
  </si>
  <si>
    <t>tenure</t>
  </si>
  <si>
    <t>CLV</t>
  </si>
  <si>
    <t>Churn</t>
  </si>
  <si>
    <t>7590-VHVEG</t>
  </si>
  <si>
    <t>Female</t>
  </si>
  <si>
    <t>Month-to-month</t>
  </si>
  <si>
    <t>Electronic check</t>
  </si>
  <si>
    <t>No</t>
  </si>
  <si>
    <t>5575-GNVDE</t>
  </si>
  <si>
    <t>Male</t>
  </si>
  <si>
    <t>One year</t>
  </si>
  <si>
    <t>Mailed check</t>
  </si>
  <si>
    <t>3668-QPYBK</t>
  </si>
  <si>
    <t>Yes</t>
  </si>
  <si>
    <t>7795-CFOCW</t>
  </si>
  <si>
    <t>Bank transfer (automatic)</t>
  </si>
  <si>
    <t>9237-HQITU</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</si>
  <si>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</si>
  <si>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</si>
  <si>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</si>
  <si>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</si>
  <si>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</si>
  <si>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</si>
  <si>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</si>
  <si>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</si>
  <si>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</si>
  <si>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</si>
  <si>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</si>
  <si>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</si>
  <si>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</si>
  <si>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</si>
  <si>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</si>
  <si>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</si>
  <si>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</si>
  <si>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</si>
  <si>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</si>
  <si>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</si>
  <si>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</si>
  <si>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</si>
  <si>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</si>
  <si>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</si>
  <si>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</si>
  <si>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</si>
  <si>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</si>
  <si>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</si>
  <si>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</si>
  <si>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</si>
  <si>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</si>
  <si>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</si>
  <si>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</si>
  <si>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</si>
  <si>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</si>
  <si>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</si>
  <si>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</si>
  <si>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</si>
  <si>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</si>
  <si>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</si>
  <si>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</si>
  <si>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</si>
  <si>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</si>
  <si>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</si>
  <si>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</si>
  <si>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</si>
  <si>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</si>
  <si>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</si>
  <si>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</si>
  <si>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</si>
  <si>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</si>
  <si>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</si>
  <si>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</si>
  <si>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</si>
  <si>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</si>
  <si>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</si>
  <si>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</si>
  <si>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</si>
  <si>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</si>
  <si>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</si>
  <si>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</si>
  <si>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</si>
  <si>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</si>
  <si>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</si>
  <si>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</si>
  <si>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</si>
  <si>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</si>
  <si>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</si>
  <si>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</si>
  <si>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</si>
  <si>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</si>
  <si>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</si>
  <si>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</si>
  <si>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</si>
  <si>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</si>
  <si>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</si>
  <si>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</si>
  <si>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</si>
  <si>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</si>
  <si>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</si>
  <si>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</si>
  <si>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</si>
  <si>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</si>
  <si>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</si>
  <si>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</si>
  <si>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</si>
  <si>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</si>
  <si>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</si>
  <si>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</si>
  <si>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</si>
  <si>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</si>
  <si>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</si>
  <si>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</si>
  <si>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</si>
  <si>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</si>
  <si>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</si>
  <si>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</si>
  <si>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</si>
  <si>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</si>
  <si>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</si>
  <si>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</si>
  <si>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</si>
  <si>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</si>
  <si>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</si>
  <si>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</si>
  <si>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</si>
  <si>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</si>
  <si>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</si>
  <si>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</si>
  <si>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</si>
  <si>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</si>
  <si>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</si>
  <si>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</si>
  <si>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</si>
  <si>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</si>
  <si>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</si>
  <si>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</si>
  <si>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</si>
  <si>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</si>
  <si>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</si>
  <si>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</si>
  <si>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</si>
  <si>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</si>
  <si>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</si>
  <si>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</si>
  <si>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</si>
  <si>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</si>
  <si>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</si>
  <si>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</si>
  <si>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</si>
  <si>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</si>
  <si>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</si>
  <si>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</si>
  <si>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</si>
  <si>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</si>
  <si>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</si>
  <si>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</si>
  <si>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</si>
  <si>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</si>
  <si>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</si>
  <si>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</si>
  <si>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</si>
  <si>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</si>
  <si>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</si>
  <si>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</si>
  <si>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</si>
  <si>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</si>
  <si>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</si>
  <si>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</si>
  <si>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</si>
  <si>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</si>
  <si>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</si>
  <si>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</si>
  <si>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</si>
  <si>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</si>
  <si>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</si>
  <si>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</si>
  <si>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</si>
  <si>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</si>
  <si>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</si>
  <si>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</si>
  <si>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</si>
  <si>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</si>
  <si>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</si>
  <si>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</si>
  <si>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</si>
  <si>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</si>
  <si>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</si>
  <si>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</si>
  <si>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</si>
  <si>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</si>
  <si>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</si>
  <si>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</si>
  <si>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</si>
  <si>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</si>
  <si>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</si>
  <si>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</si>
  <si>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</si>
  <si>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</si>
  <si>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</si>
  <si>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</si>
  <si>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</si>
  <si>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</si>
  <si>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</si>
  <si>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</si>
  <si>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</si>
  <si>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</si>
  <si>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</si>
  <si>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</si>
  <si>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</si>
  <si>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</si>
  <si>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</si>
  <si>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</si>
  <si>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</si>
  <si>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</si>
  <si>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</si>
  <si>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</si>
  <si>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</si>
  <si>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</si>
  <si>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</si>
  <si>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</si>
  <si>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</si>
  <si>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</si>
  <si>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</si>
  <si>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</si>
  <si>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</si>
  <si>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</si>
  <si>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</si>
  <si>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</si>
  <si>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</si>
  <si>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</si>
  <si>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</si>
  <si>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</si>
  <si>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</si>
  <si>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</si>
  <si>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</si>
  <si>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</si>
  <si>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</si>
  <si>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</si>
  <si>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</si>
  <si>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</si>
  <si>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</si>
  <si>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</si>
  <si>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</si>
  <si>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</si>
  <si>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</si>
  <si>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</si>
  <si>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</si>
  <si>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</si>
  <si>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</si>
  <si>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</si>
  <si>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</si>
  <si>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</si>
  <si>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</si>
  <si>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</si>
  <si>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</si>
  <si>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</si>
  <si>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</si>
  <si>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</si>
  <si>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</si>
  <si>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</si>
  <si>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</si>
  <si>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</si>
  <si>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</si>
  <si>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</si>
  <si>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</si>
  <si>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</si>
  <si>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</si>
  <si>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</si>
  <si>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</si>
  <si>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</si>
  <si>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</si>
  <si>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</si>
  <si>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</si>
  <si>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</si>
  <si>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</si>
  <si>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</si>
  <si>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</si>
  <si>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</si>
  <si>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</si>
  <si>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</si>
  <si>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</si>
  <si>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</si>
  <si>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</si>
  <si>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</si>
  <si>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</si>
  <si>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</si>
  <si>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</si>
  <si>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</si>
  <si>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</si>
  <si>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</si>
  <si>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</si>
  <si>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</si>
  <si>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</si>
  <si>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</si>
  <si>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</si>
  <si>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</si>
  <si>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</si>
  <si>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</si>
  <si>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</si>
  <si>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</si>
  <si>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</si>
  <si>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</si>
  <si>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</si>
  <si>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</si>
  <si>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</si>
  <si>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</si>
  <si>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</si>
  <si>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</si>
  <si>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</si>
  <si>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</si>
  <si>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</si>
  <si>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</si>
  <si>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</si>
  <si>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</si>
  <si>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</si>
  <si>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</si>
  <si>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</si>
  <si>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</si>
  <si>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</si>
  <si>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</si>
  <si>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</si>
  <si>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</si>
  <si>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</si>
  <si>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</si>
  <si>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</si>
  <si>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</si>
  <si>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</si>
  <si>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</si>
  <si>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</si>
  <si>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</si>
  <si>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</si>
  <si>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</si>
  <si>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</si>
  <si>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</si>
  <si>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</si>
  <si>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</si>
  <si>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</si>
  <si>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</si>
  <si>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</si>
  <si>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</si>
  <si>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</si>
  <si>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</si>
  <si>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</si>
  <si>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</si>
  <si>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</si>
  <si>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</si>
  <si>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</si>
  <si>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</si>
  <si>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</si>
  <si>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</si>
  <si>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</si>
  <si>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</si>
  <si>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</si>
  <si>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</si>
  <si>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</si>
  <si>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</si>
  <si>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</si>
  <si>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</si>
  <si>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</si>
  <si>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</si>
  <si>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</si>
  <si>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</si>
  <si>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</si>
  <si>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</si>
  <si>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</si>
  <si>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</si>
  <si>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</si>
  <si>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</si>
  <si>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</si>
  <si>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</si>
  <si>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</si>
  <si>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</si>
  <si>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</si>
  <si>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</si>
  <si>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</si>
  <si>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</si>
  <si>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</si>
  <si>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</si>
  <si>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</si>
  <si>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</si>
  <si>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</si>
  <si>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</si>
  <si>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</si>
  <si>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</si>
  <si>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</si>
  <si>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</si>
  <si>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</si>
  <si>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</si>
  <si>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</si>
  <si>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</si>
  <si>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</si>
  <si>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</si>
  <si>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</si>
  <si>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</si>
  <si>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</si>
  <si>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</si>
  <si>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</si>
  <si>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</si>
  <si>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</si>
  <si>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</si>
  <si>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</si>
  <si>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</si>
  <si>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</si>
  <si>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</si>
  <si>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</si>
  <si>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</si>
  <si>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</si>
  <si>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</si>
  <si>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</si>
  <si>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</si>
  <si>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</si>
  <si>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</si>
  <si>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</si>
  <si>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</si>
  <si>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</si>
  <si>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</si>
  <si>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</si>
  <si>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</si>
  <si>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</si>
  <si>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</si>
  <si>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</si>
  <si>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</si>
  <si>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</si>
  <si>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</si>
  <si>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</si>
  <si>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</si>
  <si>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</si>
  <si>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</si>
  <si>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</si>
  <si>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</si>
  <si>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</si>
  <si>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</si>
  <si>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</si>
  <si>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</si>
  <si>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</si>
  <si>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</si>
  <si>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</si>
  <si>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</si>
  <si>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</si>
  <si>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</si>
  <si>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</si>
  <si>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</si>
  <si>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</si>
  <si>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</si>
  <si>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</si>
  <si>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</si>
  <si>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</si>
  <si>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</si>
  <si>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</si>
  <si>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</si>
  <si>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</si>
  <si>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</si>
  <si>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</si>
  <si>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</si>
  <si>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</si>
  <si>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</si>
  <si>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</si>
  <si>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</si>
  <si>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</si>
  <si>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</si>
  <si>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</si>
  <si>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</si>
  <si>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</si>
  <si>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</si>
  <si>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</si>
  <si>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</si>
  <si>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</si>
  <si>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</si>
  <si>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</si>
  <si>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</si>
  <si>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</si>
  <si>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</si>
  <si>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</si>
  <si>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</si>
  <si>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</si>
  <si>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</si>
  <si>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</si>
  <si>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</si>
  <si>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</si>
  <si>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</si>
  <si>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</si>
  <si>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</si>
  <si>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</si>
  <si>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</si>
  <si>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</si>
  <si>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</si>
  <si>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</si>
  <si>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</si>
  <si>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</si>
  <si>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</si>
  <si>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</si>
  <si>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</si>
  <si>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</si>
  <si>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</si>
  <si>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</si>
  <si>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</si>
  <si>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</si>
  <si>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</si>
  <si>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</si>
  <si>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</si>
  <si>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</si>
  <si>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</si>
  <si>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</si>
  <si>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</si>
  <si>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</si>
  <si>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</si>
  <si>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</si>
  <si>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</si>
  <si>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</si>
  <si>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</si>
  <si>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</si>
  <si>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</si>
  <si>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</si>
  <si>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</si>
  <si>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</si>
  <si>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</si>
  <si>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</si>
  <si>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</si>
  <si>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</si>
  <si>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</si>
  <si>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</si>
  <si>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</si>
  <si>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</si>
  <si>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</si>
  <si>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</si>
  <si>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</si>
  <si>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</si>
  <si>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</si>
  <si>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</si>
  <si>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</si>
  <si>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</si>
  <si>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</si>
  <si>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</si>
  <si>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</si>
  <si>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</si>
  <si>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</si>
  <si>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</si>
  <si>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</si>
  <si>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</si>
  <si>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</si>
  <si>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</si>
  <si>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</si>
  <si>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</si>
  <si>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</si>
  <si>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</si>
  <si>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</si>
  <si>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</si>
  <si>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</si>
  <si>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</si>
  <si>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</si>
  <si>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</si>
  <si>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</si>
  <si>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</si>
  <si>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</si>
  <si>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</si>
  <si>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</si>
  <si>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</si>
  <si>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</si>
  <si>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</si>
  <si>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</si>
  <si>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</si>
  <si>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</si>
  <si>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</si>
  <si>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</si>
  <si>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</si>
  <si>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</si>
  <si>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</si>
  <si>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</si>
  <si>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</si>
  <si>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</si>
  <si>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</si>
  <si>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</si>
  <si>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</si>
  <si>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</si>
  <si>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</si>
  <si>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</si>
  <si>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</si>
  <si>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</si>
  <si>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</si>
  <si>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</si>
  <si>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</si>
  <si>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</si>
  <si>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</si>
  <si>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</si>
  <si>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</si>
  <si>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</si>
  <si>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</si>
  <si>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</si>
  <si>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</si>
  <si>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</si>
  <si>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</si>
  <si>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</si>
  <si>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</si>
  <si>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</si>
  <si>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</si>
  <si>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</si>
  <si>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</si>
  <si>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</si>
  <si>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</si>
  <si>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</si>
  <si>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</si>
  <si>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</si>
  <si>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</si>
  <si>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</si>
  <si>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</si>
  <si>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</si>
  <si>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</si>
  <si>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</si>
  <si>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</si>
  <si>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</si>
  <si>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</si>
  <si>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</si>
  <si>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</si>
  <si>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</si>
  <si>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</si>
  <si>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</si>
  <si>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</si>
  <si>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</si>
  <si>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</si>
  <si>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</si>
  <si>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</si>
  <si>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</si>
  <si>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</si>
  <si>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</si>
  <si>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</si>
  <si>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</si>
  <si>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</si>
  <si>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</si>
  <si>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</si>
  <si>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</si>
  <si>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</si>
  <si>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</si>
  <si>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</si>
  <si>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</si>
  <si>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</si>
  <si>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</si>
  <si>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</si>
  <si>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</si>
  <si>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</si>
  <si>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</si>
  <si>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</si>
  <si>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</si>
  <si>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</si>
  <si>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</si>
  <si>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</si>
  <si>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</si>
  <si>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</si>
  <si>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</si>
  <si>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</si>
  <si>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</si>
  <si>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</si>
  <si>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</si>
  <si>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</si>
  <si>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</si>
  <si>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</si>
  <si>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</si>
  <si>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</si>
  <si>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</si>
  <si>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</si>
  <si>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</si>
  <si>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</si>
  <si>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</si>
  <si>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</si>
  <si>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</si>
  <si>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</si>
  <si>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</si>
  <si>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</si>
  <si>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</si>
  <si>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</si>
  <si>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</si>
  <si>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</si>
  <si>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</si>
  <si>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</si>
  <si>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</si>
  <si>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</si>
  <si>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</si>
  <si>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</si>
  <si>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</si>
  <si>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</si>
  <si>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</si>
  <si>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</si>
  <si>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</si>
  <si>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</si>
  <si>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</si>
  <si>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</si>
  <si>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</si>
  <si>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</si>
  <si>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</si>
  <si>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</si>
  <si>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</si>
  <si>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</si>
  <si>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</si>
  <si>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</si>
  <si>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</si>
  <si>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</si>
  <si>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</si>
  <si>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</si>
  <si>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</si>
  <si>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</si>
  <si>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</si>
  <si>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</si>
  <si>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</si>
  <si>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</si>
  <si>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</si>
  <si>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</si>
  <si>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</si>
  <si>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</si>
  <si>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</si>
  <si>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</si>
  <si>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</si>
  <si>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</si>
  <si>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</si>
  <si>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</si>
  <si>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</si>
  <si>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</si>
  <si>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</si>
  <si>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</si>
  <si>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</si>
  <si>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</si>
  <si>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</si>
  <si>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</si>
  <si>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</si>
  <si>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</si>
  <si>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</si>
  <si>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</si>
  <si>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</si>
  <si>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</si>
  <si>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</si>
  <si>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</si>
  <si>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</si>
  <si>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</si>
  <si>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</si>
  <si>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</si>
  <si>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</si>
  <si>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</si>
  <si>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</si>
  <si>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</si>
  <si>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</si>
  <si>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</si>
  <si>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</si>
  <si>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</si>
  <si>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</si>
  <si>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</si>
  <si>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</si>
  <si>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</si>
  <si>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</si>
  <si>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</si>
  <si>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</si>
  <si>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</si>
  <si>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</si>
  <si>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</si>
  <si>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</si>
  <si>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</si>
  <si>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</si>
  <si>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</si>
  <si>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</si>
  <si>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</si>
  <si>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</si>
  <si>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</si>
  <si>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</si>
  <si>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</si>
  <si>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</si>
  <si>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</si>
  <si>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</si>
  <si>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</si>
  <si>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</si>
  <si>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</si>
  <si>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</si>
  <si>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</si>
  <si>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</si>
  <si>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</si>
  <si>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</si>
  <si>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</si>
  <si>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</si>
  <si>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</si>
  <si>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</si>
  <si>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</si>
  <si>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</si>
  <si>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</si>
  <si>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</si>
  <si>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</si>
  <si>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</si>
  <si>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</si>
  <si>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</si>
  <si>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</si>
  <si>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</si>
  <si>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</si>
  <si>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</si>
  <si>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</si>
  <si>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</si>
  <si>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</si>
  <si>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</si>
  <si>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</si>
  <si>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</si>
  <si>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</si>
  <si>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</si>
  <si>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</si>
  <si>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</si>
  <si>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</si>
  <si>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</si>
  <si>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</si>
  <si>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</si>
  <si>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</si>
  <si>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</si>
  <si>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</si>
  <si>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</si>
  <si>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</si>
  <si>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</si>
  <si>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</si>
  <si>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</si>
  <si>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</si>
  <si>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</si>
  <si>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</si>
  <si>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</si>
  <si>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</si>
  <si>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</si>
  <si>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</si>
  <si>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</si>
  <si>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</si>
  <si>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</si>
  <si>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</si>
  <si>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</si>
  <si>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</si>
  <si>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</si>
  <si>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</si>
  <si>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</si>
  <si>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</si>
  <si>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</si>
  <si>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</si>
  <si>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</si>
  <si>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</si>
  <si>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</si>
  <si>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</si>
  <si>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</si>
  <si>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</si>
  <si>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</si>
  <si>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</si>
  <si>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</si>
  <si>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</si>
  <si>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</si>
  <si>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</si>
  <si>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</si>
  <si>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</si>
  <si>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</si>
  <si>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</si>
  <si>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</si>
  <si>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</si>
  <si>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</si>
  <si>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</si>
  <si>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</si>
  <si>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</si>
  <si>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</si>
  <si>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</si>
  <si>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</si>
  <si>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</si>
  <si>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</si>
  <si>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</si>
  <si>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</si>
  <si>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</si>
  <si>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</si>
  <si>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</si>
  <si>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</si>
  <si>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</si>
  <si>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</si>
  <si>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</si>
  <si>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</si>
  <si>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</si>
  <si>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</si>
  <si>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</si>
  <si>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</si>
  <si>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</si>
  <si>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</si>
  <si>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</si>
  <si>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</si>
  <si>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</si>
  <si>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</si>
  <si>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</si>
  <si>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</si>
  <si>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</si>
  <si>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</si>
  <si>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</si>
  <si>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</si>
  <si>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</si>
  <si>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</si>
  <si>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</si>
  <si>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</si>
  <si>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</si>
  <si>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</si>
  <si>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</si>
  <si>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</si>
  <si>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</si>
  <si>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</si>
  <si>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</si>
  <si>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</si>
  <si>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</si>
  <si>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</si>
  <si>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</si>
  <si>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</si>
  <si>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</si>
  <si>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</si>
  <si>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</si>
  <si>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</si>
  <si>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</si>
  <si>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</si>
  <si>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</si>
  <si>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</si>
  <si>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</si>
  <si>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</si>
  <si>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</si>
  <si>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</si>
  <si>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</si>
  <si>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</si>
  <si>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</si>
  <si>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</si>
  <si>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</si>
  <si>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</si>
  <si>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</si>
  <si>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</si>
  <si>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</si>
  <si>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</si>
  <si>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</si>
  <si>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</si>
  <si>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</si>
  <si>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</si>
  <si>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</si>
  <si>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</si>
  <si>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</si>
  <si>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</si>
  <si>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</si>
  <si>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</si>
  <si>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</si>
  <si>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</si>
  <si>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</si>
  <si>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</si>
  <si>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</si>
  <si>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</si>
  <si>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</si>
  <si>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</si>
  <si>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</si>
  <si>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</si>
  <si>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</si>
  <si>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</si>
  <si>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</si>
  <si>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</si>
  <si>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</si>
  <si>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</si>
  <si>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</si>
  <si>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</si>
  <si>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</si>
  <si>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</si>
  <si>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</si>
  <si>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</si>
  <si>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</si>
  <si>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</si>
  <si>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</si>
  <si>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</si>
  <si>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</si>
  <si>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</si>
  <si>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</si>
  <si>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</si>
  <si>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</si>
  <si>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</si>
  <si>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</si>
  <si>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</si>
  <si>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</si>
  <si>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</si>
  <si>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</si>
  <si>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</si>
  <si>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</si>
  <si>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</si>
  <si>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</si>
  <si>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</si>
  <si>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</si>
  <si>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</si>
  <si>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</si>
  <si>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</si>
  <si>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</si>
  <si>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</si>
  <si>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</si>
  <si>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</si>
  <si>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</si>
  <si>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</si>
  <si>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</si>
  <si>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</si>
  <si>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</si>
  <si>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</si>
  <si>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</si>
  <si>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</si>
  <si>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</si>
  <si>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</si>
  <si>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</si>
  <si>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</si>
  <si>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</si>
  <si>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</si>
  <si>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</si>
  <si>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</si>
  <si>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</si>
  <si>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</si>
  <si>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</si>
  <si>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</si>
  <si>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</si>
  <si>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</si>
  <si>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</si>
  <si>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</si>
  <si>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</si>
  <si>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</si>
  <si>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</si>
  <si>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</si>
  <si>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</si>
  <si>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</si>
  <si>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</si>
  <si>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</si>
  <si>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</si>
  <si>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</si>
  <si>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</si>
  <si>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</si>
  <si>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</si>
  <si>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</si>
  <si>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</si>
  <si>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</si>
  <si>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</si>
  <si>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</si>
  <si>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</si>
  <si>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</si>
  <si>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</si>
  <si>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</si>
  <si>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</si>
  <si>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</si>
  <si>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</si>
  <si>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</si>
  <si>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</si>
  <si>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</si>
  <si>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</si>
  <si>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</si>
  <si>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</si>
  <si>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</si>
  <si>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</si>
  <si>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</si>
  <si>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</si>
  <si>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</si>
  <si>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</si>
  <si>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</si>
  <si>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</si>
  <si>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</si>
  <si>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</si>
  <si>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</si>
  <si>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</si>
  <si>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</si>
  <si>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</si>
  <si>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</si>
  <si>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</si>
  <si>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</si>
  <si>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</si>
  <si>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</si>
  <si>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</si>
  <si>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</si>
  <si>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</si>
  <si>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</si>
  <si>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</si>
  <si>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</si>
  <si>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</si>
  <si>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</si>
  <si>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</si>
  <si>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</si>
  <si>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</si>
  <si>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</si>
  <si>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</si>
  <si>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</si>
  <si>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</si>
  <si>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</si>
  <si>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</si>
  <si>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</si>
  <si>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</si>
  <si>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</si>
  <si>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</si>
  <si>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</si>
  <si>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</si>
  <si>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</si>
  <si>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</si>
  <si>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</si>
  <si>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</si>
  <si>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</si>
  <si>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</si>
  <si>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</si>
  <si>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</si>
  <si>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</si>
  <si>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</si>
  <si>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</si>
  <si>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</si>
  <si>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</si>
  <si>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</si>
  <si>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</si>
  <si>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</si>
  <si>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</si>
  <si>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</si>
  <si>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</si>
  <si>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</si>
  <si>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</si>
  <si>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</si>
  <si>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</si>
  <si>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</si>
  <si>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</si>
  <si>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</si>
  <si>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</si>
  <si>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</si>
  <si>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</si>
  <si>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</si>
  <si>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</si>
  <si>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</si>
  <si>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</si>
  <si>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</si>
  <si>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</si>
  <si>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</si>
  <si>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</si>
  <si>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</si>
  <si>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</si>
  <si>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</si>
  <si>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</si>
  <si>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</si>
  <si>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</si>
  <si>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</si>
  <si>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</si>
  <si>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</si>
  <si>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</si>
  <si>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</si>
  <si>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</si>
  <si>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</si>
  <si>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</si>
  <si>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</si>
  <si>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</si>
  <si>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</si>
  <si>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</si>
  <si>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</si>
  <si>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</si>
  <si>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</si>
  <si>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</si>
  <si>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</si>
  <si>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</si>
  <si>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</si>
  <si>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</si>
  <si>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</si>
  <si>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</si>
  <si>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</si>
  <si>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</si>
  <si>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</si>
  <si>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</si>
  <si>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</si>
  <si>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</si>
  <si>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</si>
  <si>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</si>
  <si>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</si>
  <si>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</si>
  <si>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</si>
  <si>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</si>
  <si>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</si>
  <si>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</si>
  <si>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</si>
  <si>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</si>
  <si>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</si>
  <si>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</si>
  <si>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</si>
  <si>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</si>
  <si>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</si>
  <si>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</si>
  <si>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</si>
  <si>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</si>
  <si>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</si>
  <si>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</si>
  <si>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</si>
  <si>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</si>
  <si>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</si>
  <si>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</si>
  <si>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</si>
  <si>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</si>
  <si>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</si>
  <si>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</si>
  <si>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</si>
  <si>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</si>
  <si>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</si>
  <si>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</si>
  <si>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</si>
  <si>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</si>
  <si>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</si>
  <si>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</si>
  <si>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</si>
  <si>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</si>
  <si>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</si>
  <si>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</si>
  <si>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</si>
  <si>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</si>
  <si>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</si>
  <si>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</si>
  <si>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</si>
  <si>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</si>
  <si>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</si>
  <si>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</si>
  <si>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</si>
  <si>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</si>
  <si>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</si>
  <si>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</si>
  <si>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</si>
  <si>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</si>
  <si>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</si>
  <si>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</si>
  <si>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</si>
  <si>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</si>
  <si>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</si>
  <si>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</si>
  <si>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</si>
  <si>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</si>
  <si>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</si>
  <si>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</si>
  <si>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</si>
  <si>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</si>
  <si>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</si>
  <si>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</si>
  <si>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</si>
  <si>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</si>
  <si>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</si>
  <si>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</si>
  <si>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</si>
  <si>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</si>
  <si>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</si>
  <si>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</si>
  <si>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</si>
  <si>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</si>
  <si>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</si>
  <si>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</si>
  <si>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</si>
  <si>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</si>
  <si>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</si>
  <si>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</si>
  <si>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</si>
  <si>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</si>
  <si>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</si>
  <si>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</si>
  <si>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</si>
  <si>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</si>
  <si>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</si>
  <si>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</si>
  <si>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</si>
  <si>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</si>
  <si>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</si>
  <si>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</si>
  <si>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</si>
  <si>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</si>
  <si>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</si>
  <si>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</si>
  <si>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</si>
  <si>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</si>
  <si>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</si>
  <si>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</si>
  <si>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</si>
  <si>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</si>
  <si>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</si>
  <si>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</si>
  <si>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</si>
  <si>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</si>
  <si>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</si>
  <si>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</si>
  <si>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</si>
  <si>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</si>
  <si>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</si>
  <si>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</si>
  <si>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</si>
  <si>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</si>
  <si>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</si>
  <si>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</si>
  <si>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</si>
  <si>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</si>
  <si>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</si>
  <si>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</si>
  <si>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</si>
  <si>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</si>
  <si>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</si>
  <si>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</si>
  <si>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</si>
  <si>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</si>
  <si>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</si>
  <si>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</si>
  <si>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</si>
  <si>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</si>
  <si>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</si>
  <si>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</si>
  <si>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</si>
  <si>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</si>
  <si>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</si>
  <si>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</si>
  <si>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</si>
  <si>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</si>
  <si>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</si>
  <si>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</si>
  <si>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</si>
  <si>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</si>
  <si>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</si>
  <si>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</si>
  <si>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</si>
  <si>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</si>
  <si>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</si>
  <si>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</si>
  <si>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</si>
  <si>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</si>
  <si>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</si>
  <si>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</si>
  <si>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</si>
  <si>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</si>
  <si>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</si>
  <si>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</si>
  <si>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</si>
  <si>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</si>
  <si>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</si>
  <si>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</si>
  <si>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</si>
  <si>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</si>
  <si>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</si>
  <si>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</si>
  <si>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</si>
  <si>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</si>
  <si>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</si>
  <si>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</si>
  <si>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</si>
  <si>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</si>
  <si>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</si>
  <si>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</si>
  <si>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</si>
  <si>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</si>
  <si>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</si>
  <si>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</si>
  <si>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</si>
  <si>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</si>
  <si>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</si>
  <si>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</si>
  <si>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</si>
  <si>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</si>
  <si>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</si>
  <si>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</si>
  <si>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</si>
  <si>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</si>
  <si>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</si>
  <si>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</si>
  <si>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</si>
  <si>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</si>
  <si>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</si>
  <si>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</si>
  <si>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</si>
  <si>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</si>
  <si>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</si>
  <si>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</si>
  <si>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</si>
  <si>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</si>
  <si>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</si>
  <si>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</si>
  <si>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</si>
  <si>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</si>
  <si>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</si>
  <si>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</si>
  <si>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</si>
  <si>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</si>
  <si>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</si>
  <si>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</si>
  <si>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</si>
  <si>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</si>
  <si>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</si>
  <si>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</si>
  <si>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</si>
  <si>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</si>
  <si>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</si>
  <si>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</si>
  <si>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</si>
  <si>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</si>
  <si>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</si>
  <si>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</si>
  <si>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</si>
  <si>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</si>
  <si>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</si>
  <si>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</si>
  <si>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</si>
  <si>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</si>
  <si>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</si>
  <si>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</si>
  <si>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</si>
  <si>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</si>
  <si>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</si>
  <si>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</si>
  <si>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</si>
  <si>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</si>
  <si>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</si>
  <si>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</si>
  <si>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</si>
  <si>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</si>
  <si>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</si>
  <si>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</si>
  <si>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</si>
  <si>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</si>
  <si>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</si>
  <si>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</si>
  <si>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</si>
  <si>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</si>
  <si>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</si>
  <si>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</si>
  <si>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</si>
  <si>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</si>
  <si>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</si>
  <si>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</si>
  <si>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</si>
  <si>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</si>
  <si>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</si>
  <si>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</si>
  <si>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</si>
  <si>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</si>
  <si>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</si>
  <si>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</si>
  <si>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</si>
  <si>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</si>
  <si>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</si>
  <si>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</si>
  <si>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</si>
  <si>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</si>
  <si>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</si>
  <si>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</si>
  <si>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</si>
  <si>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</si>
  <si>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</si>
  <si>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</si>
  <si>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</si>
  <si>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</si>
  <si>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</si>
  <si>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</si>
  <si>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</si>
  <si>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</si>
  <si>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</si>
  <si>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</si>
  <si>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</si>
  <si>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</si>
  <si>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</si>
  <si>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</si>
  <si>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</si>
  <si>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</si>
  <si>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</si>
  <si>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</si>
  <si>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</si>
  <si>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</si>
  <si>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</si>
  <si>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</si>
  <si>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</si>
  <si>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</si>
  <si>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</si>
  <si>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</si>
  <si>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</si>
  <si>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</si>
  <si>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</si>
  <si>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</si>
  <si>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</si>
  <si>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</si>
  <si>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</si>
  <si>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</si>
  <si>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</si>
  <si>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</si>
  <si>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</si>
  <si>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</si>
  <si>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</si>
  <si>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</si>
  <si>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</si>
  <si>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</si>
  <si>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</si>
  <si>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</si>
  <si>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</si>
  <si>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</si>
  <si>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</si>
  <si>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</si>
  <si>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</si>
  <si>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</si>
  <si>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</si>
  <si>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</si>
  <si>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</si>
  <si>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</si>
  <si>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</si>
  <si>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</si>
  <si>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</si>
  <si>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</si>
  <si>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</si>
  <si>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</si>
  <si>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</si>
  <si>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</si>
  <si>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</si>
  <si>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</si>
  <si>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</si>
  <si>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</si>
  <si>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</si>
  <si>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</si>
  <si>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</si>
  <si>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</si>
  <si>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</si>
  <si>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</si>
  <si>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</si>
  <si>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</si>
  <si>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</si>
  <si>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</si>
  <si>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</si>
  <si>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</si>
  <si>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</si>
  <si>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</si>
  <si>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</si>
  <si>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</si>
  <si>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</si>
  <si>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</si>
  <si>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</si>
  <si>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</si>
  <si>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</si>
  <si>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</si>
  <si>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</si>
  <si>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</si>
  <si>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</si>
  <si>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</si>
  <si>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</si>
  <si>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</si>
  <si>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</si>
  <si>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</si>
  <si>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</si>
  <si>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</si>
  <si>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</si>
  <si>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</si>
  <si>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</si>
  <si>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</si>
  <si>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</si>
  <si>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</si>
  <si>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</si>
  <si>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</si>
  <si>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</si>
  <si>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</si>
  <si>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</si>
  <si>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</si>
  <si>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</si>
  <si>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</si>
  <si>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</si>
  <si>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</si>
  <si>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</si>
  <si>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</si>
  <si>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</si>
  <si>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</si>
  <si>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</si>
  <si>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</si>
  <si>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</si>
  <si>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</si>
  <si>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</si>
  <si>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</si>
  <si>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</si>
  <si>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</si>
  <si>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</si>
  <si>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</si>
  <si>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</si>
  <si>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</si>
  <si>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</si>
  <si>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</si>
  <si>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</si>
  <si>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</si>
  <si>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</si>
  <si>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</si>
  <si>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</si>
  <si>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</si>
  <si>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</si>
  <si>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</si>
  <si>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</si>
  <si>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</si>
  <si>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</si>
  <si>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</si>
  <si>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</si>
  <si>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</si>
  <si>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</si>
  <si>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</si>
  <si>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</si>
  <si>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</si>
  <si>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</si>
  <si>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</si>
  <si>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</si>
  <si>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</si>
  <si>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</si>
  <si>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</si>
  <si>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</si>
  <si>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</si>
  <si>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</si>
  <si>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</si>
  <si>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</si>
  <si>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</si>
  <si>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</si>
  <si>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</si>
  <si>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</si>
  <si>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</si>
  <si>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</si>
  <si>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</si>
  <si>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</si>
  <si>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</si>
  <si>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</si>
  <si>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</si>
  <si>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</si>
  <si>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</si>
  <si>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</si>
  <si>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</si>
  <si>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</si>
  <si>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</si>
  <si>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</si>
  <si>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</si>
  <si>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</si>
  <si>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</si>
  <si>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</si>
  <si>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</si>
  <si>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</si>
  <si>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</si>
  <si>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</si>
  <si>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</si>
  <si>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</si>
  <si>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</si>
  <si>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</si>
  <si>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</si>
  <si>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</si>
  <si>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</si>
  <si>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</si>
  <si>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</si>
  <si>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</si>
  <si>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</si>
  <si>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</si>
  <si>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</si>
  <si>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</si>
  <si>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</si>
  <si>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</si>
  <si>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</si>
  <si>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</si>
  <si>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</si>
  <si>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</si>
  <si>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</si>
  <si>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</si>
  <si>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</si>
  <si>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</si>
  <si>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</si>
  <si>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</si>
  <si>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</si>
  <si>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</si>
  <si>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</si>
  <si>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</si>
  <si>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</si>
  <si>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</si>
  <si>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</si>
  <si>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</si>
  <si>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</si>
  <si>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</si>
  <si>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</si>
  <si>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</si>
  <si>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</si>
  <si>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</si>
  <si>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</si>
  <si>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</si>
  <si>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</si>
  <si>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</si>
  <si>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</si>
  <si>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</si>
  <si>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</si>
  <si>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</si>
  <si>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</si>
  <si>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</si>
  <si>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</si>
  <si>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</si>
  <si>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</si>
  <si>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</si>
  <si>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</si>
  <si>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</si>
  <si>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</si>
  <si>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</si>
  <si>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</si>
  <si>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</si>
  <si>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</si>
  <si>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</si>
  <si>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</si>
  <si>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</si>
  <si>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</si>
  <si>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</si>
  <si>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</si>
  <si>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</si>
  <si>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</si>
  <si>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</si>
  <si>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</si>
  <si>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</si>
  <si>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</si>
  <si>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</si>
  <si>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</si>
  <si>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</si>
  <si>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</si>
  <si>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</si>
  <si>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</si>
  <si>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</si>
  <si>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</si>
  <si>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</si>
  <si>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</si>
  <si>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</si>
  <si>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</si>
  <si>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</si>
  <si>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</si>
  <si>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</si>
  <si>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</si>
  <si>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</si>
  <si>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</si>
  <si>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</si>
  <si>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</si>
  <si>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</si>
  <si>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</si>
  <si>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</si>
  <si>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</si>
  <si>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</si>
  <si>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</si>
  <si>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</si>
  <si>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</si>
  <si>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</si>
  <si>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</si>
  <si>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</si>
  <si>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</si>
  <si>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</si>
  <si>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</si>
  <si>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</si>
  <si>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</si>
  <si>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</si>
  <si>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</si>
  <si>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</si>
  <si>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</si>
  <si>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</si>
  <si>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</si>
  <si>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</si>
  <si>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</si>
  <si>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</si>
  <si>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</si>
  <si>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</si>
  <si>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</si>
  <si>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</si>
  <si>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</si>
  <si>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</si>
  <si>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</si>
  <si>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</si>
  <si>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</si>
  <si>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</si>
  <si>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</si>
  <si>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</si>
  <si>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</si>
  <si>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</si>
  <si>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</si>
  <si>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</si>
  <si>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</si>
  <si>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</si>
  <si>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</si>
  <si>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</si>
  <si>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</si>
  <si>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</si>
  <si>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</si>
  <si>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</si>
  <si>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</si>
  <si>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</si>
  <si>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</si>
  <si>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</si>
  <si>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</si>
  <si>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</si>
  <si>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</si>
  <si>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</si>
  <si>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</si>
  <si>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</si>
  <si>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</si>
  <si>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</si>
  <si>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</si>
  <si>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</si>
  <si>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</si>
  <si>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</si>
  <si>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</si>
  <si>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</si>
  <si>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</si>
  <si>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</si>
  <si>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</si>
  <si>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</si>
  <si>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</si>
  <si>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</si>
  <si>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</si>
  <si>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</si>
  <si>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</si>
  <si>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</si>
  <si>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</si>
  <si>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</si>
  <si>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</si>
  <si>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</si>
  <si>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</si>
  <si>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</si>
  <si>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</si>
  <si>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</si>
  <si>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</si>
  <si>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</si>
  <si>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</si>
  <si>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</si>
  <si>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</si>
  <si>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</si>
  <si>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</si>
  <si>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</si>
  <si>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</si>
  <si>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</si>
  <si>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</si>
  <si>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</si>
  <si>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</si>
  <si>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</si>
  <si>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</si>
  <si>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</si>
  <si>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</si>
  <si>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</si>
  <si>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</si>
  <si>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</si>
  <si>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</si>
  <si>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</si>
  <si>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</si>
  <si>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</si>
  <si>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</si>
  <si>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</si>
  <si>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</si>
  <si>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</si>
  <si>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</si>
  <si>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</si>
  <si>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</si>
  <si>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</si>
  <si>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</si>
  <si>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</si>
  <si>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</si>
  <si>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</si>
  <si>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</si>
  <si>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</si>
  <si>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</si>
  <si>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</si>
  <si>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</si>
  <si>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</si>
  <si>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</si>
  <si>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</si>
  <si>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</si>
  <si>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</si>
  <si>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</si>
  <si>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</si>
  <si>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</si>
  <si>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</si>
  <si>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</si>
  <si>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</si>
  <si>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</si>
  <si>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</si>
  <si>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</si>
  <si>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</si>
  <si>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</si>
  <si>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</si>
  <si>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</si>
  <si>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</si>
  <si>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</si>
  <si>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</si>
  <si>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</si>
  <si>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</si>
  <si>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</si>
  <si>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</si>
  <si>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</si>
  <si>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</si>
  <si>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</si>
  <si>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</si>
  <si>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</si>
  <si>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</si>
  <si>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</si>
  <si>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</si>
  <si>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</si>
  <si>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</si>
  <si>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</si>
  <si>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</si>
  <si>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</si>
  <si>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</si>
  <si>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</si>
  <si>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</si>
  <si>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</si>
  <si>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</si>
  <si>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</si>
  <si>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</si>
  <si>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</si>
  <si>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</si>
  <si>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</si>
  <si>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</si>
  <si>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</si>
  <si>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</si>
  <si>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</si>
  <si>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</si>
  <si>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</si>
  <si>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</si>
  <si>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</si>
  <si>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</si>
  <si>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</si>
  <si>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</si>
  <si>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</si>
  <si>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</si>
  <si>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</si>
  <si>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</si>
  <si>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</si>
  <si>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</si>
  <si>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</si>
  <si>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</si>
  <si>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</si>
  <si>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</si>
  <si>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</si>
  <si>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</si>
  <si>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</si>
  <si>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</si>
  <si>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</si>
  <si>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</si>
  <si>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</si>
  <si>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</si>
  <si>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</si>
  <si>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</si>
  <si>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</si>
  <si>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</si>
  <si>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</si>
  <si>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</si>
  <si>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</si>
  <si>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</si>
  <si>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</si>
  <si>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</si>
  <si>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</si>
  <si>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</si>
  <si>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</si>
  <si>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</si>
  <si>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</si>
  <si>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</si>
  <si>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</si>
  <si>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</si>
  <si>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</si>
  <si>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</si>
  <si>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</si>
  <si>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</si>
  <si>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</si>
  <si>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</si>
  <si>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</si>
  <si>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</si>
  <si>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</si>
  <si>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</si>
  <si>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</si>
  <si>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</si>
  <si>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</si>
  <si>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</si>
  <si>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</si>
  <si>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</si>
  <si>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</si>
  <si>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</si>
  <si>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</si>
  <si>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</si>
  <si>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</si>
  <si>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</si>
  <si>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</si>
  <si>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</si>
  <si>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</si>
  <si>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</si>
  <si>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</si>
  <si>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</si>
  <si>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</si>
  <si>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</si>
  <si>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</si>
  <si>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</si>
  <si>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</si>
  <si>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</si>
  <si>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</si>
  <si>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</si>
  <si>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</si>
  <si>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</si>
  <si>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</si>
  <si>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</si>
  <si>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</si>
  <si>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</si>
  <si>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</si>
  <si>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</si>
  <si>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</si>
  <si>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</si>
  <si>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</si>
  <si>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</si>
  <si>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</si>
  <si>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</si>
  <si>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</si>
  <si>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</si>
  <si>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</si>
  <si>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</si>
  <si>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</si>
  <si>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</si>
  <si>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</si>
  <si>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</si>
  <si>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</si>
  <si>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</si>
  <si>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</si>
  <si>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</si>
  <si>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</si>
  <si>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</si>
  <si>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</si>
  <si>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</si>
  <si>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</si>
  <si>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</si>
  <si>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</si>
  <si>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</si>
  <si>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</si>
  <si>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</si>
  <si>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</si>
  <si>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</si>
  <si>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</si>
  <si>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</si>
  <si>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</si>
  <si>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</si>
  <si>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</si>
  <si>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</si>
  <si>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</si>
  <si>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</si>
  <si>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</si>
  <si>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</si>
  <si>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</si>
  <si>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</si>
  <si>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</si>
  <si>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</si>
  <si>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</si>
  <si>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</si>
  <si>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</si>
  <si>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</si>
  <si>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</si>
  <si>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</si>
  <si>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</si>
  <si>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</si>
  <si>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</si>
  <si>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</si>
  <si>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</si>
  <si>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</si>
  <si>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</si>
  <si>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</si>
  <si>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</si>
  <si>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</si>
  <si>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</si>
  <si>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</si>
  <si>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</si>
  <si>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</si>
  <si>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</si>
  <si>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</si>
  <si>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</si>
  <si>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</si>
  <si>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</si>
  <si>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</si>
  <si>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</si>
  <si>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</si>
  <si>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</si>
  <si>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</si>
  <si>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</si>
  <si>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</si>
  <si>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</si>
  <si>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</si>
  <si>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</si>
  <si>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</si>
  <si>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</si>
  <si>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</si>
  <si>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</si>
  <si>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</si>
  <si>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</si>
  <si>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</si>
  <si>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</si>
  <si>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</si>
  <si>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</si>
  <si>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</si>
  <si>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</si>
  <si>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</si>
  <si>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</si>
  <si>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</si>
  <si>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</si>
  <si>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</si>
  <si>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</si>
  <si>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</si>
  <si>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</si>
  <si>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</si>
  <si>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</si>
  <si>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</si>
  <si>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</si>
  <si>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</si>
  <si>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</si>
  <si>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</si>
  <si>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</si>
  <si>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</si>
  <si>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</si>
  <si>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</si>
  <si>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</si>
  <si>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</si>
  <si>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</si>
  <si>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</si>
  <si>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</si>
  <si>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</si>
  <si>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</si>
  <si>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</si>
  <si>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</si>
  <si>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</si>
  <si>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</si>
  <si>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</si>
  <si>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</si>
  <si>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</si>
  <si>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</si>
  <si>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</si>
  <si>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</si>
  <si>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</si>
  <si>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</si>
  <si>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</si>
  <si>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</si>
  <si>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</si>
  <si>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</si>
  <si>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</si>
  <si>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</si>
  <si>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</si>
  <si>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</si>
  <si>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</si>
  <si>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</si>
  <si>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</si>
  <si>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</si>
  <si>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</si>
  <si>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</si>
  <si>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</si>
  <si>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</si>
  <si>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</si>
  <si>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</si>
  <si>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</si>
  <si>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</si>
  <si>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</si>
  <si>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</si>
  <si>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</si>
  <si>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</si>
  <si>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</si>
  <si>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</si>
  <si>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</si>
  <si>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</si>
  <si>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</si>
  <si>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</si>
  <si>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</si>
  <si>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</si>
  <si>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</si>
  <si>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</si>
  <si>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</si>
  <si>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</si>
  <si>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</si>
  <si>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</si>
  <si>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</si>
  <si>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</si>
  <si>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</si>
  <si>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</si>
  <si>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</si>
  <si>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</si>
  <si>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</si>
  <si>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</si>
  <si>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</si>
  <si>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</si>
  <si>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</si>
  <si>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</si>
  <si>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</si>
  <si>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</si>
  <si>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</si>
  <si>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</si>
  <si>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</si>
  <si>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</si>
  <si>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</si>
  <si>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</si>
  <si>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</si>
  <si>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</si>
  <si>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</si>
  <si>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</si>
  <si>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</si>
  <si>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</si>
  <si>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</si>
  <si>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</si>
  <si>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</si>
  <si>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</si>
  <si>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</si>
  <si>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</si>
  <si>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</si>
  <si>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</si>
  <si>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</si>
  <si>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</si>
  <si>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</si>
  <si>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</si>
  <si>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</si>
  <si>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</si>
  <si>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</si>
  <si>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</si>
  <si>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</si>
  <si>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</si>
  <si>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</si>
  <si>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</si>
  <si>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</si>
  <si>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</si>
  <si>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</si>
  <si>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</si>
  <si>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</si>
  <si>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</si>
  <si>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</si>
  <si>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</si>
  <si>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</si>
  <si>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</si>
  <si>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</si>
  <si>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</si>
  <si>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</si>
  <si>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</si>
  <si>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</si>
  <si>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</si>
  <si>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</si>
  <si>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</si>
  <si>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</si>
  <si>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</si>
  <si>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</si>
  <si>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</si>
  <si>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</si>
  <si>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</si>
  <si>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</si>
  <si>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</si>
  <si>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</si>
  <si>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</si>
  <si>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</si>
  <si>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</si>
  <si>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</si>
  <si>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</si>
  <si>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</si>
  <si>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</si>
  <si>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</si>
  <si>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</si>
  <si>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</si>
  <si>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</si>
  <si>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</si>
  <si>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</si>
  <si>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</si>
  <si>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</si>
  <si>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</si>
  <si>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</si>
  <si>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</si>
  <si>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</si>
  <si>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</si>
  <si>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</si>
  <si>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</si>
  <si>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</si>
  <si>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</si>
  <si>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</si>
  <si>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</si>
  <si>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</si>
  <si>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</si>
  <si>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</si>
  <si>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</si>
  <si>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</si>
  <si>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</si>
  <si>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</si>
  <si>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</si>
  <si>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</si>
  <si>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</si>
  <si>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</si>
  <si>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</si>
  <si>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</si>
  <si>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</si>
  <si>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</si>
  <si>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</si>
  <si>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</si>
  <si>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</si>
  <si>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</si>
  <si>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</si>
  <si>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</si>
  <si>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</si>
  <si>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</si>
  <si>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</si>
  <si>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</si>
  <si>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</si>
  <si>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</si>
  <si>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</si>
  <si>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</si>
  <si>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</si>
  <si>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</si>
  <si>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</si>
  <si>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</si>
  <si>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</si>
  <si>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</si>
  <si>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</si>
  <si>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</si>
  <si>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</si>
  <si>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</si>
  <si>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</si>
  <si>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</si>
  <si>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</si>
  <si>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</si>
  <si>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</si>
  <si>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</si>
  <si>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</si>
  <si>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</si>
  <si>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</si>
  <si>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</si>
  <si>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</si>
  <si>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</si>
  <si>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</si>
  <si>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</si>
  <si>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</si>
  <si>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</si>
  <si>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</si>
  <si>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</si>
  <si>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</si>
  <si>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</si>
  <si>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</si>
  <si>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</si>
  <si>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</si>
  <si>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</si>
  <si>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</si>
  <si>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</si>
  <si>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</si>
  <si>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</si>
  <si>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</si>
  <si>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</si>
  <si>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</si>
  <si>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</si>
  <si>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</si>
  <si>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</si>
  <si>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</si>
  <si>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</si>
  <si>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</si>
  <si>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</si>
  <si>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</si>
  <si>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</si>
  <si>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</si>
  <si>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</si>
  <si>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</si>
  <si>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</si>
  <si>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</si>
  <si>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</si>
  <si>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</si>
  <si>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</si>
  <si>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</si>
  <si>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</si>
  <si>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</si>
  <si>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</si>
  <si>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</si>
  <si>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</si>
  <si>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</si>
  <si>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</si>
  <si>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</si>
  <si>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</si>
  <si>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</si>
  <si>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</si>
  <si>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</si>
  <si>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</si>
  <si>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</si>
  <si>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</si>
  <si>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</si>
  <si>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</si>
  <si>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</si>
  <si>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</si>
  <si>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</si>
  <si>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</si>
  <si>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</si>
  <si>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</si>
  <si>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</si>
  <si>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</si>
  <si>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</si>
  <si>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</si>
  <si>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</si>
  <si>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</si>
  <si>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</si>
  <si>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</si>
  <si>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</si>
  <si>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</si>
  <si>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</si>
  <si>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</si>
  <si>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</si>
  <si>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</si>
  <si>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</si>
  <si>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</si>
  <si>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</si>
  <si>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</si>
  <si>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</si>
  <si>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</si>
  <si>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</si>
  <si>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</si>
  <si>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</si>
  <si>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</si>
  <si>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</si>
  <si>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</si>
  <si>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</si>
  <si>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</si>
  <si>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</si>
  <si>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</si>
  <si>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</si>
  <si>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</si>
  <si>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</si>
  <si>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</si>
  <si>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</si>
  <si>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</si>
  <si>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</si>
  <si>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</si>
  <si>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</si>
  <si>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</si>
  <si>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</si>
  <si>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</si>
  <si>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</si>
  <si>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</si>
  <si>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</si>
  <si>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</si>
  <si>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</si>
  <si>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</si>
  <si>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</si>
  <si>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</si>
  <si>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</si>
  <si>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</si>
  <si>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</si>
  <si>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</si>
  <si>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</si>
  <si>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</si>
  <si>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</si>
  <si>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</si>
  <si>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</si>
  <si>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</si>
  <si>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</si>
  <si>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</si>
  <si>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</si>
  <si>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</si>
  <si>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</si>
  <si>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</si>
  <si>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</si>
  <si>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</si>
  <si>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</si>
  <si>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</si>
  <si>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</si>
  <si>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</si>
  <si>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</si>
  <si>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</si>
  <si>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</si>
  <si>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</si>
  <si>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</si>
  <si>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</si>
  <si>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</si>
  <si>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</si>
  <si>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</si>
  <si>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</si>
  <si>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</si>
  <si>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</si>
  <si>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</si>
  <si>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</si>
  <si>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</si>
  <si>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</si>
  <si>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</si>
  <si>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</si>
  <si>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</si>
  <si>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</si>
  <si>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</si>
  <si>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</si>
  <si>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</si>
  <si>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</si>
  <si>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</si>
  <si>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</si>
  <si>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</si>
  <si>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</si>
  <si>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</si>
  <si>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</si>
  <si>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</si>
  <si>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</si>
  <si>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</si>
  <si>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</si>
  <si>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</si>
  <si>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</si>
  <si>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</si>
  <si>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</si>
  <si>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</si>
  <si>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</si>
  <si>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</si>
  <si>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</si>
  <si>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</si>
  <si>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</si>
  <si>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</si>
  <si>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</si>
  <si>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</si>
  <si>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</si>
  <si>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</si>
  <si>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</si>
  <si>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</si>
  <si>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</si>
  <si>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</si>
  <si>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</si>
  <si>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</si>
  <si>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</si>
  <si>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</si>
  <si>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</si>
  <si>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</si>
  <si>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</si>
  <si>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</si>
  <si>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</si>
  <si>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</si>
  <si>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</si>
  <si>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</si>
  <si>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</si>
  <si>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</si>
  <si>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</si>
  <si>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</si>
  <si>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</si>
  <si>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</si>
  <si>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</si>
  <si>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</si>
  <si>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</si>
  <si>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</si>
  <si>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</si>
  <si>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</si>
  <si>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</si>
  <si>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</si>
  <si>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</si>
  <si>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</si>
  <si>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</si>
  <si>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</si>
  <si>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</si>
  <si>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</si>
  <si>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</si>
  <si>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</si>
  <si>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</si>
  <si>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</si>
  <si>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</si>
  <si>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</si>
  <si>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</si>
  <si>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</si>
  <si>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</si>
  <si>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</si>
  <si>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</si>
  <si>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</si>
  <si>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</si>
  <si>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</si>
  <si>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</si>
  <si>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</si>
  <si>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</si>
  <si>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</si>
  <si>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</si>
  <si>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</si>
  <si>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</si>
  <si>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</si>
  <si>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</si>
  <si>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</si>
  <si>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</si>
  <si>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</si>
  <si>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</si>
  <si>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</si>
  <si>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</si>
  <si>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</si>
  <si>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</si>
  <si>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</si>
  <si>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</si>
  <si>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</si>
  <si>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</si>
  <si>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</si>
  <si>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</si>
  <si>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</si>
  <si>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</si>
  <si>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</si>
  <si>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</si>
  <si>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</si>
  <si>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</si>
  <si>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</si>
  <si>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</si>
  <si>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</si>
  <si>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</si>
  <si>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</si>
  <si>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</si>
  <si>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</si>
  <si>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</si>
  <si>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</si>
  <si>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</si>
  <si>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</si>
  <si>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</si>
  <si>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</si>
  <si>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</si>
  <si>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</si>
  <si>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</si>
  <si>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</si>
  <si>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</si>
  <si>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</si>
  <si>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</si>
  <si>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</si>
  <si>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</si>
  <si>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</si>
  <si>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</si>
  <si>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</si>
  <si>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</si>
  <si>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</si>
  <si>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</si>
  <si>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</si>
  <si>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</si>
  <si>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</si>
  <si>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</si>
  <si>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</si>
  <si>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</si>
  <si>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</si>
  <si>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</si>
  <si>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</si>
  <si>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</si>
  <si>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</si>
  <si>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</si>
  <si>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</si>
  <si>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</si>
  <si>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</si>
  <si>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</si>
  <si>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</si>
  <si>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</si>
  <si>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</si>
  <si>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</si>
  <si>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</si>
  <si>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</si>
  <si>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</si>
  <si>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</si>
  <si>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</si>
  <si>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</si>
  <si>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</si>
  <si>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</si>
  <si>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</si>
  <si>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</si>
  <si>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</si>
  <si>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</si>
  <si>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</si>
  <si>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</si>
  <si>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</si>
  <si>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</si>
  <si>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</si>
  <si>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</si>
  <si>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</si>
  <si>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</si>
  <si>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</si>
  <si>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</si>
  <si>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</si>
  <si>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</si>
  <si>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</si>
  <si>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</si>
  <si>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</si>
  <si>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</si>
  <si>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</si>
  <si>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</si>
  <si>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</si>
  <si>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</si>
  <si>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</si>
  <si>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</si>
  <si>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</si>
  <si>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</si>
  <si>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</si>
  <si>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</si>
  <si>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</si>
  <si>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</si>
  <si>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</si>
  <si>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</si>
  <si>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</si>
  <si>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</si>
  <si>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</si>
  <si>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</si>
  <si>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</si>
  <si>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</si>
  <si>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</si>
  <si>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</si>
  <si>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</si>
  <si>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</si>
  <si>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</si>
  <si>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</si>
  <si>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</si>
  <si>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</si>
  <si>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</si>
  <si>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</si>
  <si>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</si>
  <si>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</si>
  <si>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</si>
  <si>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</si>
  <si>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</si>
  <si>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</si>
  <si>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</si>
  <si>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</si>
  <si>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</si>
  <si>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</si>
  <si>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</si>
  <si>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</si>
  <si>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</si>
  <si>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</si>
  <si>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</si>
  <si>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</si>
  <si>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</si>
  <si>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</si>
  <si>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</si>
  <si>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</si>
  <si>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</si>
  <si>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</si>
  <si>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</si>
  <si>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</si>
  <si>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</si>
  <si>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</si>
  <si>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</si>
  <si>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</si>
  <si>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</si>
  <si>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</si>
  <si>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</si>
  <si>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</si>
  <si>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</si>
  <si>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</si>
  <si>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</si>
  <si>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</si>
  <si>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</si>
  <si>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</si>
  <si>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</si>
  <si>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</si>
  <si>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</si>
  <si>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</si>
  <si>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</si>
  <si>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</si>
  <si>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</si>
  <si>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</si>
  <si>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</si>
  <si>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</si>
  <si>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</si>
  <si>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</si>
  <si>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</si>
  <si>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</si>
  <si>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</si>
  <si>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</si>
  <si>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</si>
  <si>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</si>
  <si>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</si>
  <si>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</si>
  <si>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</si>
  <si>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</si>
  <si>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</si>
  <si>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</si>
  <si>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</si>
  <si>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</si>
  <si>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</si>
  <si>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</si>
  <si>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</si>
  <si>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</si>
  <si>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</si>
  <si>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</si>
  <si>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</si>
  <si>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</si>
  <si>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</si>
  <si>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</si>
  <si>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</si>
  <si>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</si>
  <si>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</si>
  <si>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</si>
  <si>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</si>
  <si>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</si>
  <si>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</si>
  <si>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</si>
  <si>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</si>
  <si>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</si>
  <si>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</si>
  <si>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</si>
  <si>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</si>
  <si>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</si>
  <si>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</si>
  <si>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</si>
  <si>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</si>
  <si>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</si>
  <si>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</si>
  <si>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</si>
  <si>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</si>
  <si>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</si>
  <si>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</si>
  <si>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</si>
  <si>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</si>
  <si>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</si>
  <si>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</si>
  <si>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</si>
  <si>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</si>
  <si>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</si>
  <si>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</si>
  <si>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</si>
  <si>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</si>
  <si>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</si>
  <si>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</si>
  <si>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</si>
  <si>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</si>
  <si>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</si>
  <si>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</si>
  <si>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</si>
  <si>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</si>
  <si>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</si>
  <si>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</si>
  <si>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</si>
  <si>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</si>
  <si>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</si>
  <si>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</si>
  <si>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</si>
  <si>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</si>
  <si>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</si>
  <si>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</si>
  <si>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</si>
  <si>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</si>
  <si>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</si>
  <si>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</si>
  <si>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</si>
  <si>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</si>
  <si>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</si>
  <si>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</si>
  <si>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</si>
  <si>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</si>
  <si>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</si>
  <si>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</si>
  <si>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</si>
  <si>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</si>
  <si>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</si>
  <si>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</si>
  <si>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</si>
  <si>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</si>
  <si>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</si>
  <si>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</si>
  <si>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</si>
  <si>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</si>
  <si>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</si>
  <si>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</si>
  <si>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</si>
  <si>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</si>
  <si>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</si>
  <si>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</si>
  <si>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</si>
  <si>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</si>
  <si>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</si>
  <si>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</si>
  <si>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</si>
  <si>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</si>
  <si>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</si>
  <si>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</si>
  <si>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</si>
  <si>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</si>
  <si>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</si>
  <si>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</si>
  <si>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</si>
  <si>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</si>
  <si>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</si>
  <si>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</si>
  <si>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</si>
  <si>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</si>
  <si>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</si>
  <si>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</si>
  <si>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</si>
  <si>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</si>
  <si>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</si>
  <si>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</si>
  <si>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</si>
  <si>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</si>
  <si>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</si>
  <si>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</si>
  <si>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</si>
  <si>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</si>
  <si>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</si>
  <si>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</si>
  <si>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</si>
  <si>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</si>
  <si>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</si>
  <si>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</si>
  <si>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</si>
  <si>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</si>
  <si>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</si>
  <si>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</si>
  <si>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</si>
  <si>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</si>
  <si>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</si>
  <si>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</si>
  <si>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</si>
  <si>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</si>
  <si>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</si>
  <si>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</si>
  <si>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</si>
  <si>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</si>
  <si>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</si>
  <si>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</si>
  <si>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</si>
  <si>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</si>
  <si>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</si>
  <si>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</si>
  <si>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</si>
  <si>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</si>
  <si>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</si>
  <si>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</si>
  <si>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</si>
  <si>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</si>
  <si>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</si>
  <si>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</si>
  <si>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</si>
  <si>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</si>
  <si>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</si>
  <si>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</si>
  <si>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</si>
  <si>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</si>
  <si>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</si>
  <si>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</si>
  <si>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</si>
  <si>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</si>
  <si>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</si>
  <si>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</si>
  <si>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</si>
  <si>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</si>
  <si>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</si>
  <si>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</si>
  <si>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</si>
  <si>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</si>
  <si>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</si>
  <si>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</si>
  <si>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</si>
  <si>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</si>
  <si>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</si>
  <si>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</si>
  <si>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</si>
  <si>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</si>
  <si>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</si>
  <si>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</si>
  <si>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</si>
  <si>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</si>
  <si>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</si>
  <si>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</si>
  <si>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</si>
  <si>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</si>
  <si>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</si>
  <si>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</si>
  <si>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</si>
  <si>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</si>
  <si>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</si>
  <si>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</si>
  <si>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</si>
  <si>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</si>
  <si>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</si>
  <si>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</si>
  <si>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</si>
  <si>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</si>
  <si>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</si>
  <si>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</si>
  <si>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</si>
  <si>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</si>
  <si>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</si>
  <si>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</si>
  <si>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</si>
  <si>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</si>
  <si>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</si>
  <si>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</si>
  <si>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</si>
  <si>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</si>
  <si>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</si>
  <si>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</si>
  <si>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</si>
  <si>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</si>
  <si>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</si>
  <si>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</si>
  <si>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</si>
  <si>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</si>
  <si>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</si>
  <si>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</si>
  <si>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</si>
  <si>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</si>
  <si>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</si>
  <si>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</si>
  <si>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</si>
  <si>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</si>
  <si>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</si>
  <si>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</si>
  <si>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</si>
  <si>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</si>
  <si>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</si>
  <si>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</si>
  <si>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</si>
  <si>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</si>
  <si>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</si>
  <si>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</si>
  <si>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</si>
  <si>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</si>
  <si>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</si>
  <si>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</si>
  <si>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</si>
  <si>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</si>
  <si>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</si>
  <si>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</si>
  <si>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</si>
  <si>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</si>
  <si>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</si>
  <si>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</si>
  <si>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</si>
  <si>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</si>
  <si>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</si>
  <si>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</si>
  <si>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</si>
  <si>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</si>
  <si>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</si>
  <si>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</si>
  <si>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</si>
  <si>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</si>
  <si>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</si>
  <si>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</si>
  <si>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</si>
  <si>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</si>
  <si>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</si>
  <si>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</si>
  <si>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</si>
  <si>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</si>
  <si>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</si>
  <si>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</si>
  <si>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</si>
  <si>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</si>
  <si>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</si>
  <si>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</si>
  <si>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</si>
  <si>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</si>
  <si>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</si>
  <si>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</si>
  <si>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</si>
  <si>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</si>
  <si>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</si>
  <si>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</si>
  <si>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</si>
  <si>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</si>
  <si>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</si>
  <si>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</si>
  <si>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</si>
  <si>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</si>
  <si>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</si>
  <si>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</si>
  <si>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</si>
  <si>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</si>
  <si>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</si>
  <si>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</si>
  <si>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</si>
  <si>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</si>
  <si>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</si>
  <si>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</si>
  <si>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</si>
  <si>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</si>
  <si>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</si>
  <si>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</si>
  <si>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</si>
  <si>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</si>
  <si>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</si>
  <si>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</si>
  <si>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</si>
  <si>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</si>
  <si>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</si>
  <si>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</si>
  <si>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</si>
  <si>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</si>
  <si>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</si>
  <si>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</si>
  <si>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</si>
  <si>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</si>
  <si>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</si>
  <si>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</si>
  <si>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</si>
  <si>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</si>
  <si>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</si>
  <si>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</si>
  <si>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</si>
  <si>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</si>
  <si>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</si>
  <si>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</si>
  <si>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</si>
  <si>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</si>
  <si>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</si>
  <si>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</si>
  <si>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</si>
  <si>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</si>
  <si>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</si>
  <si>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</si>
  <si>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</si>
  <si>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</si>
  <si>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</si>
  <si>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</si>
  <si>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</si>
  <si>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</si>
  <si>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</si>
  <si>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</si>
  <si>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</si>
  <si>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</si>
  <si>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</si>
  <si>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</si>
  <si>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</si>
  <si>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</si>
  <si>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</si>
  <si>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</si>
  <si>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</si>
  <si>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</si>
  <si>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</si>
  <si>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</si>
  <si>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</si>
  <si>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</si>
  <si>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</si>
  <si>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</si>
  <si>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</si>
  <si>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</si>
  <si>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</si>
  <si>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</si>
  <si>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</si>
  <si>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</si>
  <si>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</si>
  <si>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</si>
  <si>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</si>
  <si>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</si>
  <si>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</si>
  <si>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</si>
  <si>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</si>
  <si>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</si>
  <si>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</si>
  <si>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</si>
  <si>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</si>
  <si>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</si>
  <si>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</si>
  <si>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</si>
  <si>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</si>
  <si>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</si>
  <si>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</si>
  <si>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</si>
  <si>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</si>
  <si>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</si>
  <si>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</si>
  <si>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</si>
  <si>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</si>
  <si>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</si>
  <si>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</si>
  <si>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</si>
  <si>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</si>
  <si>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</si>
  <si>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</si>
  <si>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</si>
  <si>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</si>
  <si>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</si>
  <si>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</si>
  <si>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</si>
  <si>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</si>
  <si>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</si>
  <si>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</si>
  <si>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</si>
  <si>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</si>
  <si>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</si>
  <si>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</si>
  <si>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</si>
  <si>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</si>
  <si>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</si>
  <si>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</si>
  <si>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</si>
  <si>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</si>
  <si>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</si>
  <si>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</si>
  <si>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</si>
  <si>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</si>
  <si>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</si>
  <si>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</si>
  <si>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</si>
  <si>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</si>
  <si>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</si>
  <si>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</si>
  <si>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</si>
  <si>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</si>
  <si>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</si>
  <si>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</si>
  <si>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</si>
  <si>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</si>
  <si>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</si>
  <si>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</si>
  <si>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</si>
  <si>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</si>
  <si>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</si>
  <si>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</si>
  <si>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</si>
  <si>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</si>
  <si>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</si>
  <si>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</si>
  <si>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</si>
  <si>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</si>
  <si>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</si>
  <si>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</si>
  <si>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</si>
  <si>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</si>
  <si>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</si>
  <si>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</si>
  <si>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</si>
  <si>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</si>
  <si>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</si>
  <si>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</si>
  <si>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</si>
  <si>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</si>
  <si>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</si>
  <si>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</si>
  <si>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</si>
  <si>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</si>
  <si>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</si>
  <si>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</si>
  <si>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</si>
  <si>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</si>
  <si>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</si>
  <si>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</si>
  <si>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</si>
  <si>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</si>
  <si>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</si>
  <si>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</si>
  <si>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</si>
  <si>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</si>
  <si>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</si>
  <si>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</si>
  <si>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</si>
  <si>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</si>
  <si>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</si>
  <si>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</si>
  <si>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</si>
  <si>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</si>
  <si>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</si>
  <si>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</si>
  <si>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</si>
  <si>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</si>
  <si>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</si>
  <si>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</si>
  <si>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</si>
  <si>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</si>
  <si>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</si>
  <si>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</si>
  <si>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</si>
  <si>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</si>
  <si>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</si>
  <si>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</si>
  <si>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</si>
  <si>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</si>
  <si>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</si>
  <si>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</si>
  <si>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</si>
  <si>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</si>
  <si>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</si>
  <si>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</si>
  <si>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</si>
  <si>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</si>
  <si>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</si>
  <si>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</si>
  <si>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</si>
  <si>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</si>
  <si>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</si>
  <si>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</si>
  <si>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</si>
  <si>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</si>
  <si>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</si>
  <si>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</si>
  <si>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</si>
  <si>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</si>
  <si>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</si>
  <si>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</si>
  <si>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</si>
  <si>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</si>
  <si>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</si>
  <si>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</si>
  <si>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</si>
  <si>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</si>
  <si>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</si>
  <si>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</si>
  <si>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</si>
  <si>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</si>
  <si>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</si>
  <si>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</si>
  <si>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</si>
  <si>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</si>
  <si>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</si>
  <si>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</si>
  <si>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</si>
  <si>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</si>
  <si>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</si>
  <si>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</si>
  <si>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</si>
  <si>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</si>
  <si>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</si>
  <si>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</si>
  <si>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</si>
  <si>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</si>
  <si>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</si>
  <si>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</si>
  <si>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</si>
  <si>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</si>
  <si>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</si>
  <si>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</si>
  <si>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</si>
  <si>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</si>
  <si>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</si>
  <si>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</si>
  <si>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</si>
  <si>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</si>
  <si>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</si>
  <si>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</si>
  <si>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</si>
  <si>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</si>
  <si>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</si>
  <si>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</si>
  <si>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</si>
  <si>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</si>
  <si>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</si>
  <si>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</si>
  <si>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</si>
  <si>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</si>
  <si>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</si>
  <si>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</si>
  <si>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</si>
  <si>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</si>
  <si>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</si>
  <si>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</si>
  <si>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</si>
  <si>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</si>
  <si>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</si>
  <si>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</si>
  <si>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</si>
  <si>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</si>
  <si>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</si>
  <si>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</si>
  <si>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</si>
  <si>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</si>
  <si>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</si>
  <si>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</si>
  <si>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</si>
  <si>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</si>
  <si>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</si>
  <si>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</si>
  <si>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</si>
  <si>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</si>
  <si>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</si>
  <si>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</si>
  <si>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</si>
  <si>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</si>
  <si>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</si>
  <si>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</si>
  <si>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</si>
  <si>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</si>
  <si>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</si>
  <si>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</si>
  <si>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</si>
  <si>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</si>
  <si>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</si>
  <si>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</si>
  <si>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</si>
  <si>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</si>
  <si>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</si>
  <si>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</si>
  <si>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</si>
  <si>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</si>
  <si>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</si>
  <si>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</si>
  <si>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</si>
  <si>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</si>
  <si>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</si>
  <si>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</si>
  <si>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</si>
  <si>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</si>
  <si>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</si>
  <si>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</si>
  <si>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</si>
  <si>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</si>
  <si>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</si>
  <si>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</si>
  <si>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</si>
  <si>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</si>
  <si>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</si>
  <si>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</si>
  <si>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</si>
  <si>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</si>
  <si>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</si>
  <si>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</si>
  <si>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</si>
  <si>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</si>
  <si>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</si>
  <si>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</si>
  <si>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</si>
  <si>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</si>
  <si>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</si>
  <si>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</si>
  <si>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</si>
  <si>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</si>
  <si>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</si>
  <si>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</si>
  <si>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</si>
  <si>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</si>
  <si>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</si>
  <si>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</si>
  <si>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</si>
  <si>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</si>
  <si>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</si>
  <si>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</si>
  <si>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</si>
  <si>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</si>
  <si>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</si>
  <si>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</si>
  <si>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</si>
  <si>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</si>
  <si>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</si>
  <si>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</si>
  <si>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</si>
  <si>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</si>
  <si>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</si>
  <si>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</si>
  <si>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</si>
  <si>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</si>
  <si>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</si>
  <si>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</si>
  <si>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</si>
  <si>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</si>
  <si>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</si>
  <si>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</si>
  <si>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</si>
  <si>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</si>
  <si>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</si>
  <si>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</si>
  <si>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</si>
  <si>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</si>
  <si>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</si>
  <si>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</si>
  <si>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</si>
  <si>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</si>
  <si>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</si>
  <si>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</si>
  <si>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</si>
  <si>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</si>
  <si>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</si>
  <si>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</si>
  <si>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</si>
  <si>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</si>
  <si>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</si>
  <si>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</si>
  <si>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</si>
  <si>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</si>
  <si>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</si>
  <si>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</si>
  <si>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</si>
  <si>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</si>
  <si>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</si>
  <si>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</si>
  <si>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</si>
  <si>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</si>
  <si>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</si>
  <si>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</si>
  <si>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</si>
  <si>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</si>
  <si>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</si>
  <si>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</si>
  <si>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</si>
  <si>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</si>
  <si>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</si>
  <si>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</si>
  <si>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</si>
  <si>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</si>
  <si>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</si>
  <si>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</si>
  <si>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</si>
  <si>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</si>
  <si>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</si>
  <si>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</si>
  <si>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</si>
  <si>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</si>
  <si>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</si>
  <si>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</si>
  <si>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</si>
  <si>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</si>
  <si>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</si>
  <si>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</si>
  <si>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</si>
  <si>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</si>
  <si>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</si>
  <si>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</si>
  <si>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</si>
  <si>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</si>
  <si>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</si>
  <si>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</si>
  <si>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</si>
  <si>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</si>
  <si>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</si>
  <si>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</si>
  <si>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</si>
  <si>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</si>
  <si>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</si>
  <si>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</si>
  <si>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</si>
  <si>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</si>
  <si>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</si>
  <si>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</si>
  <si>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</si>
  <si>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</si>
  <si>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</si>
  <si>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</si>
  <si>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</si>
  <si>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</si>
  <si>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</si>
  <si>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</si>
  <si>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</si>
  <si>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</si>
  <si>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</si>
  <si>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</si>
  <si>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</si>
  <si>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</si>
  <si>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</si>
  <si>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</si>
  <si>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</si>
  <si>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</si>
  <si>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</si>
  <si>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</si>
  <si>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</si>
  <si>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</si>
  <si>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</si>
  <si>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</si>
  <si>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</si>
  <si>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</si>
  <si>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</si>
  <si>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</si>
  <si>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</si>
  <si>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</si>
  <si>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</si>
  <si>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</si>
  <si>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</si>
  <si>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</si>
  <si>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</si>
  <si>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</si>
  <si>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</si>
  <si>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</si>
  <si>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</si>
  <si>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</si>
  <si>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</si>
  <si>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</si>
  <si>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</si>
  <si>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</si>
  <si>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</si>
  <si>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</si>
  <si>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</si>
  <si>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</si>
  <si>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</si>
  <si>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</si>
  <si>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</si>
  <si>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</si>
  <si>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</si>
  <si>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</si>
  <si>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</si>
  <si>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</si>
  <si>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</si>
  <si>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</si>
  <si>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</si>
  <si>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</si>
  <si>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</si>
  <si>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</si>
  <si>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</si>
  <si>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</si>
  <si>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</si>
  <si>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</si>
  <si>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</si>
  <si>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</si>
  <si>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</si>
  <si>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</si>
  <si>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</si>
  <si>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</si>
  <si>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</si>
  <si>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</si>
  <si>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</si>
  <si>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</si>
  <si>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</si>
  <si>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</si>
  <si>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</si>
  <si>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</si>
  <si>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</si>
  <si>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</si>
  <si>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</si>
  <si>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</si>
  <si>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</si>
  <si>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</si>
  <si>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</si>
  <si>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</si>
  <si>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</si>
  <si>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</si>
  <si>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</si>
  <si>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</si>
  <si>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</si>
  <si>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</si>
  <si>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</si>
  <si>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</si>
  <si>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</si>
  <si>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</si>
  <si>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</si>
  <si>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</si>
  <si>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</si>
  <si>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</si>
  <si>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</si>
  <si>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</si>
  <si>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</si>
  <si>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</si>
  <si>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</si>
  <si>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</si>
  <si>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</si>
  <si>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</si>
  <si>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</si>
  <si>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</si>
  <si>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</si>
  <si>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</si>
  <si>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</si>
  <si>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</si>
  <si>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</si>
  <si>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</si>
  <si>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</si>
  <si>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</si>
  <si>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</si>
  <si>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</si>
  <si>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</si>
  <si>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</si>
  <si>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</si>
  <si>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</si>
  <si>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</si>
  <si>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</si>
  <si>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</si>
  <si>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</si>
  <si>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</si>
  <si>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</si>
  <si>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</si>
  <si>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</si>
  <si>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</si>
  <si>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</si>
  <si>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</si>
  <si>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</si>
  <si>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</si>
  <si>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</si>
  <si>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</si>
  <si>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</si>
  <si>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</si>
  <si>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</si>
  <si>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</si>
  <si>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</si>
  <si>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</si>
  <si>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</si>
  <si>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</si>
  <si>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</si>
  <si>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</si>
  <si>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</si>
  <si>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</si>
  <si>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</si>
  <si>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</si>
  <si>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</si>
  <si>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</si>
  <si>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</si>
  <si>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</si>
  <si>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</si>
  <si>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</si>
  <si>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</si>
  <si>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</si>
  <si>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</si>
  <si>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</si>
  <si>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</si>
  <si>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</si>
  <si>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</si>
  <si>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</si>
  <si>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</si>
  <si>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</si>
  <si>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</si>
  <si>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</si>
  <si>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</si>
  <si>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</si>
  <si>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</si>
  <si>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</si>
  <si>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</si>
  <si>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</si>
  <si>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</si>
  <si>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</si>
  <si>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</si>
  <si>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</si>
  <si>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</si>
  <si>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</si>
  <si>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</si>
  <si>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</si>
  <si>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</si>
  <si>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</si>
  <si>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</si>
  <si>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</si>
  <si>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</si>
  <si>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</si>
  <si>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</si>
  <si>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</si>
  <si>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</si>
  <si>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</si>
  <si>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</si>
  <si>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</si>
  <si>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</si>
  <si>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</si>
  <si>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</si>
  <si>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</si>
  <si>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</si>
  <si>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</si>
  <si>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</si>
  <si>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</si>
  <si>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</si>
  <si>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</si>
  <si>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</si>
  <si>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</si>
  <si>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</si>
  <si>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</si>
  <si>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</si>
  <si>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</si>
  <si>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</si>
  <si>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</si>
  <si>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</si>
  <si>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</si>
  <si>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</si>
  <si>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</si>
  <si>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</si>
  <si>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</si>
  <si>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</si>
  <si>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</si>
  <si>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</si>
  <si>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</si>
  <si>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</si>
  <si>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</si>
  <si>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</si>
  <si>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</si>
  <si>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</si>
  <si>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</si>
  <si>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</si>
  <si>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</si>
  <si>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</si>
  <si>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</si>
  <si>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</si>
  <si>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</si>
  <si>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</si>
  <si>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</si>
  <si>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</si>
  <si>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</si>
  <si>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</si>
  <si>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</si>
  <si>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</si>
  <si>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</si>
  <si>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</si>
  <si>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</si>
  <si>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</si>
  <si>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</si>
  <si>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</si>
  <si>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</si>
  <si>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</si>
  <si>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</si>
  <si>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</si>
  <si>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</si>
  <si>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</si>
  <si>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</si>
  <si>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</si>
  <si>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</si>
  <si>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</si>
  <si>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</si>
  <si>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</si>
  <si>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</si>
  <si>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</si>
  <si>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</si>
  <si>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</si>
  <si>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</si>
  <si>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</si>
  <si>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</si>
  <si>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</si>
  <si>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</si>
  <si>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</si>
  <si>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</si>
  <si>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</si>
  <si>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</si>
  <si>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</si>
  <si>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</si>
  <si>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</si>
  <si>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</si>
  <si>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</si>
  <si>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</si>
  <si>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</si>
  <si>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</si>
  <si>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</si>
  <si>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</si>
  <si>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</si>
  <si>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</si>
  <si>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</si>
  <si>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</si>
  <si>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</si>
  <si>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</si>
  <si>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</si>
  <si>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</si>
  <si>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</si>
  <si>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</si>
  <si>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</si>
  <si>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</si>
  <si>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</si>
  <si>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</si>
  <si>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</si>
  <si>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</si>
  <si>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</si>
  <si>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</si>
  <si>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</si>
  <si>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</si>
  <si>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</si>
  <si>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</si>
  <si>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</si>
  <si>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</si>
  <si>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</si>
  <si>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</si>
  <si>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</si>
  <si>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</si>
  <si>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</si>
  <si>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</si>
  <si>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</si>
  <si>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</si>
  <si>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</si>
  <si>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</si>
  <si>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</si>
  <si>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</si>
  <si>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</si>
  <si>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</si>
  <si>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</si>
  <si>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</si>
  <si>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</si>
  <si>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</si>
  <si>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</si>
  <si>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</si>
  <si>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</si>
  <si>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</si>
  <si>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</si>
  <si>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</si>
  <si>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</si>
  <si>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</si>
  <si>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</si>
  <si>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</si>
  <si>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</si>
  <si>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</si>
  <si>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</si>
  <si>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</si>
  <si>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</si>
  <si>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</si>
  <si>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</si>
  <si>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</si>
  <si>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</si>
  <si>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</si>
  <si>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</si>
  <si>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</si>
  <si>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</si>
  <si>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</si>
  <si>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</si>
  <si>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</si>
  <si>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</si>
  <si>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</si>
  <si>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</si>
  <si>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</si>
  <si>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</si>
  <si>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</si>
  <si>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</si>
  <si>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</si>
  <si>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</si>
  <si>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</si>
  <si>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</si>
  <si>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</si>
  <si>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</si>
  <si>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</si>
  <si>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</si>
  <si>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</si>
  <si>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</si>
  <si>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</si>
  <si>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</si>
  <si>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</si>
  <si>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</si>
  <si>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</si>
  <si>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</si>
  <si>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</si>
  <si>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</si>
  <si>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</si>
  <si>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</si>
  <si>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</si>
  <si>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</si>
  <si>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</si>
  <si>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</si>
  <si>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</si>
  <si>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</si>
  <si>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</si>
  <si>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</si>
  <si>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</si>
  <si>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</si>
  <si>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</si>
  <si>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</si>
  <si>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</si>
  <si>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</si>
  <si>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</si>
  <si>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</si>
  <si>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</si>
  <si>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</si>
  <si>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</si>
  <si>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</si>
  <si>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</si>
  <si>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</si>
  <si>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</si>
  <si>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</si>
  <si>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</si>
  <si>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</si>
  <si>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</si>
  <si>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</si>
  <si>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</si>
  <si>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</si>
  <si>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</si>
  <si>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</si>
  <si>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</si>
  <si>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</si>
  <si>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</si>
  <si>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</si>
  <si>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</si>
  <si>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</si>
  <si>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</si>
  <si>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</si>
  <si>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</si>
  <si>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</si>
  <si>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</si>
  <si>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</si>
  <si>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</si>
  <si>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</si>
  <si>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</si>
  <si>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</si>
  <si>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</si>
  <si>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</si>
  <si>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</si>
  <si>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</si>
  <si>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</si>
  <si>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</si>
  <si>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</si>
  <si>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</si>
  <si>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</si>
  <si>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</si>
  <si>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</si>
  <si>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</si>
  <si>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</si>
  <si>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</si>
  <si>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</si>
  <si>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</si>
  <si>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</si>
  <si>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</si>
  <si>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</si>
  <si>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</si>
  <si>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</si>
  <si>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</si>
  <si>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</si>
  <si>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</si>
  <si>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</si>
  <si>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</si>
  <si>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</si>
  <si>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</si>
  <si>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</si>
  <si>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</si>
  <si>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</si>
  <si>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</si>
  <si>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</si>
  <si>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</si>
  <si>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</si>
  <si>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</si>
  <si>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</si>
  <si>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</si>
  <si>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</si>
  <si>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</si>
  <si>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</si>
  <si>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</si>
  <si>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</si>
  <si>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</si>
  <si>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</si>
  <si>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</si>
  <si>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</si>
  <si>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</si>
  <si>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</si>
  <si>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</si>
  <si>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</si>
  <si>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</si>
  <si>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</si>
  <si>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</si>
  <si>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</si>
  <si>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</si>
  <si>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</si>
  <si>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</si>
  <si>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</si>
  <si>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</si>
  <si>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</si>
  <si>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</si>
  <si>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</si>
  <si>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</si>
  <si>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</si>
  <si>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</si>
  <si>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</si>
  <si>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</si>
  <si>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</si>
  <si>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</si>
  <si>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</si>
  <si>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</si>
  <si>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</si>
  <si>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</si>
  <si>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</si>
  <si>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</si>
  <si>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</si>
  <si>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</si>
  <si>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</si>
  <si>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</si>
  <si>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</si>
  <si>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</si>
  <si>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</si>
  <si>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</si>
  <si>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</si>
  <si>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</si>
  <si>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</si>
  <si>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</si>
  <si>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</si>
  <si>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</si>
  <si>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</si>
  <si>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</si>
  <si>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</si>
  <si>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</si>
  <si>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</si>
  <si>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</si>
  <si>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</si>
  <si>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</si>
  <si>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</si>
  <si>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</si>
  <si>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</si>
  <si>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</si>
  <si>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</si>
  <si>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</si>
  <si>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</si>
  <si>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</si>
  <si>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</si>
  <si>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</si>
  <si>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</si>
  <si>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</si>
  <si>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</si>
  <si>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</si>
  <si>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</si>
  <si>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</si>
  <si>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</si>
  <si>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</si>
  <si>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</si>
  <si>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</si>
  <si>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</si>
  <si>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</si>
  <si>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</si>
  <si>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</si>
  <si>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</si>
  <si>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</si>
  <si>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</si>
  <si>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</si>
  <si>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</si>
  <si>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</si>
  <si>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</si>
  <si>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</si>
  <si>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</si>
  <si>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</si>
  <si>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</si>
  <si>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</si>
  <si>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</si>
  <si>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</si>
  <si>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</si>
  <si>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</si>
  <si>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</si>
  <si>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</si>
  <si>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</si>
  <si>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</si>
  <si>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</si>
  <si>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</si>
  <si>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</si>
  <si>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</si>
  <si>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</si>
  <si>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</si>
  <si>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</si>
  <si>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</si>
  <si>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</si>
  <si>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</si>
  <si>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</si>
  <si>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</si>
  <si>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</si>
  <si>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</si>
  <si>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</si>
  <si>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</si>
  <si>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</si>
  <si>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</si>
  <si>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</si>
  <si>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</si>
  <si>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</si>
  <si>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</si>
  <si>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</si>
  <si>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</si>
  <si>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</si>
  <si>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</si>
  <si>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</si>
  <si>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</si>
  <si>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</si>
  <si>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</si>
  <si>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</si>
  <si>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</si>
  <si>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</si>
  <si>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</si>
  <si>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</si>
  <si>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</si>
  <si>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</si>
  <si>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</si>
  <si>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</si>
  <si>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</si>
  <si>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</si>
  <si>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</si>
  <si>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</si>
  <si>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</si>
  <si>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</si>
  <si>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</si>
  <si>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</si>
  <si>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</si>
  <si>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</si>
  <si>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</si>
  <si>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</si>
  <si>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</si>
  <si>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</si>
  <si>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</si>
  <si>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</si>
  <si>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</si>
  <si>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</si>
  <si>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</si>
  <si>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</si>
  <si>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</si>
  <si>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</si>
  <si>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</si>
  <si>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</si>
  <si>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</si>
  <si>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</si>
  <si>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</si>
  <si>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</si>
  <si>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</si>
  <si>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</si>
  <si>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</si>
  <si>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</si>
  <si>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</si>
  <si>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</si>
  <si>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</si>
  <si>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</si>
  <si>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</si>
  <si>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</si>
  <si>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</si>
  <si>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</si>
  <si>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</si>
  <si>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</si>
  <si>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</si>
  <si>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</si>
  <si>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</si>
  <si>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</si>
  <si>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</si>
  <si>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</si>
  <si>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</si>
  <si>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</si>
  <si>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</si>
  <si>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</si>
  <si>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</si>
  <si>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</si>
  <si>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</si>
  <si>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</si>
  <si>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</si>
  <si>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</si>
  <si>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</si>
  <si>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</si>
  <si>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</si>
  <si>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</si>
  <si>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</si>
  <si>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</si>
  <si>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</si>
  <si>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</si>
  <si>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</si>
  <si>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</si>
  <si>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</si>
  <si>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</si>
  <si>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</si>
  <si>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</si>
  <si>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</si>
  <si>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</si>
  <si>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</si>
  <si>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</si>
  <si>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</si>
  <si>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</si>
  <si>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</si>
  <si>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</si>
  <si>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</si>
  <si>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</si>
  <si>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</si>
  <si>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</si>
  <si>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</si>
  <si>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</si>
  <si>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</si>
  <si>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</si>
  <si>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</si>
  <si>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</si>
  <si>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</si>
  <si>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</si>
  <si>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</si>
  <si>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</si>
  <si>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</si>
  <si>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</si>
  <si>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</si>
  <si>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</si>
  <si>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</si>
  <si>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</si>
  <si>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</si>
  <si>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</si>
  <si>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</si>
  <si>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</si>
  <si>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</si>
  <si>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</si>
  <si>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</si>
  <si>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</si>
  <si>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</si>
  <si>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</si>
  <si>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</si>
  <si>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</si>
  <si>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</si>
  <si>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</si>
  <si>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</si>
  <si>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</si>
  <si>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</si>
  <si>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</si>
  <si>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</si>
  <si>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</si>
  <si>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</si>
  <si>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</si>
  <si>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</si>
  <si>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</si>
  <si>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</si>
  <si>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</si>
  <si>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</si>
  <si>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</si>
  <si>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</si>
  <si>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</si>
  <si>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</si>
  <si>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</si>
  <si>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</si>
  <si>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</si>
  <si>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</si>
  <si>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</si>
  <si>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</si>
  <si>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</si>
  <si>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</si>
  <si>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</si>
  <si>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</si>
  <si>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</si>
  <si>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</si>
  <si>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</si>
  <si>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</si>
  <si>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</si>
  <si>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</si>
  <si>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</si>
  <si>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</si>
  <si>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</si>
  <si>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</si>
  <si>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</si>
  <si>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</si>
  <si>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</si>
  <si>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</si>
  <si>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</si>
  <si>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</si>
  <si>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</si>
  <si>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</si>
  <si>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</si>
  <si>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</si>
  <si>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</si>
  <si>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</si>
  <si>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</si>
  <si>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</si>
  <si>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</si>
  <si>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</si>
  <si>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</si>
  <si>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</si>
  <si>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</si>
  <si>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</si>
  <si>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</si>
  <si>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</si>
  <si>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</si>
  <si>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</si>
  <si>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</si>
  <si>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</si>
  <si>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</si>
  <si>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</si>
  <si>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</si>
  <si>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</si>
  <si>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</si>
  <si>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</si>
  <si>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</si>
  <si>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</si>
  <si>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</si>
  <si>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</si>
  <si>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</si>
  <si>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</si>
  <si>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</si>
  <si>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</si>
  <si>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</si>
  <si>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</si>
  <si>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</si>
  <si>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</si>
  <si>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</si>
  <si>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</si>
  <si>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</si>
  <si>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</si>
  <si>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</si>
  <si>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</si>
  <si>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</si>
  <si>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</si>
  <si>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</si>
  <si>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</si>
  <si>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</si>
  <si>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</si>
  <si>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</si>
  <si>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</si>
  <si>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</si>
  <si>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</si>
  <si>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</si>
  <si>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</si>
  <si>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</si>
  <si>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</si>
  <si>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</si>
  <si>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</si>
  <si>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</si>
  <si>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</si>
  <si>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</si>
  <si>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</si>
  <si>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</si>
  <si>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</si>
  <si>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</si>
  <si>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</si>
  <si>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</si>
  <si>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</si>
  <si>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</si>
  <si>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</si>
  <si>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</si>
  <si>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</si>
  <si>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</si>
  <si>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</si>
  <si>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</si>
  <si>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</si>
  <si>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</si>
  <si>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</si>
  <si>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</si>
  <si>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</si>
  <si>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</si>
  <si>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</si>
  <si>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</si>
  <si>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</si>
  <si>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</si>
  <si>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</si>
  <si>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</si>
  <si>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</si>
  <si>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</si>
  <si>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</si>
  <si>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</si>
  <si>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</si>
  <si>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</si>
  <si>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</si>
  <si>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</si>
  <si>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</si>
  <si>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</si>
  <si>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</si>
  <si>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</si>
  <si>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</si>
  <si>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</si>
  <si>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</si>
  <si>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</si>
  <si>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</si>
  <si>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</si>
  <si>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</si>
  <si>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</si>
  <si>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</si>
  <si>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</si>
  <si>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</si>
  <si>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</si>
  <si>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</si>
  <si>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</si>
  <si>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</si>
  <si>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</si>
  <si>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</si>
  <si>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</si>
  <si>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</si>
  <si>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</si>
  <si>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</si>
  <si>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</si>
  <si>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</si>
  <si>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</si>
  <si>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</si>
  <si>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</si>
  <si>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</si>
  <si>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</si>
  <si>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</si>
  <si>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</si>
  <si>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</si>
  <si>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</si>
  <si>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</si>
  <si>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</si>
  <si>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</si>
  <si>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</si>
  <si>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</si>
  <si>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</si>
  <si>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</si>
  <si>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</si>
  <si>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</si>
  <si>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</si>
  <si>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</si>
  <si>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</si>
  <si>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</si>
  <si>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</si>
  <si>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</si>
  <si>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</si>
  <si>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</si>
  <si>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</si>
  <si>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</si>
  <si>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</si>
  <si>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</si>
  <si>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</si>
  <si>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</si>
  <si>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</si>
  <si>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</si>
  <si>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</si>
  <si>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</si>
  <si>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</si>
  <si>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</si>
  <si>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</si>
  <si>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</si>
  <si>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</si>
  <si>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</si>
  <si>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</si>
  <si>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</si>
  <si>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</si>
  <si>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</si>
  <si>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</si>
  <si>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</si>
  <si>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</si>
  <si>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</si>
  <si>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</si>
  <si>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</si>
  <si>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</si>
  <si>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</si>
  <si>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</si>
  <si>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</si>
  <si>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</si>
  <si>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</si>
  <si>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</si>
  <si>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</si>
  <si>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</si>
  <si>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</si>
  <si>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</si>
  <si>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</si>
  <si>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</si>
  <si>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</si>
  <si>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</si>
  <si>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</si>
  <si>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</si>
  <si>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</si>
  <si>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</si>
  <si>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</si>
  <si>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</si>
  <si>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</si>
  <si>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</si>
  <si>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</si>
  <si>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</si>
  <si>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</si>
  <si>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</si>
  <si>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</si>
  <si>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</si>
  <si>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</si>
  <si>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</si>
  <si>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</si>
  <si>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</si>
  <si>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</si>
  <si>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</si>
  <si>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</si>
  <si>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</si>
  <si>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</si>
  <si>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</si>
  <si>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</si>
  <si>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</si>
  <si>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</si>
  <si>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</si>
  <si>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</si>
  <si>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</si>
  <si>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</si>
  <si>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</si>
  <si>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</si>
  <si>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</si>
  <si>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</si>
  <si>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</si>
  <si>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</si>
  <si>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</si>
  <si>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</si>
  <si>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</si>
  <si>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</si>
  <si>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</si>
  <si>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</si>
  <si>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</si>
  <si>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</si>
  <si>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</si>
  <si>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</si>
  <si>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</si>
  <si>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</si>
  <si>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</si>
  <si>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</si>
  <si>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</si>
  <si>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</si>
  <si>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</si>
  <si>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</si>
  <si>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</si>
  <si>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</si>
  <si>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</si>
  <si>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</si>
  <si>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</si>
  <si>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</si>
  <si>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</si>
  <si>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</si>
  <si>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</si>
  <si>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</si>
  <si>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</si>
  <si>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</si>
  <si>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</si>
  <si>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</si>
  <si>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</si>
  <si>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</si>
  <si>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</si>
  <si>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</si>
  <si>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</si>
  <si>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</si>
  <si>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</si>
  <si>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</si>
  <si>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</si>
  <si>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</si>
  <si>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</si>
  <si>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</si>
  <si>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</si>
  <si>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</si>
  <si>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</si>
  <si>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</si>
  <si>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</si>
  <si>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</si>
  <si>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</si>
  <si>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</si>
  <si>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</si>
  <si>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</si>
  <si>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</si>
  <si>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</si>
  <si>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</si>
  <si>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</si>
  <si>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</si>
  <si>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</si>
  <si>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</si>
  <si>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</si>
  <si>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</si>
  <si>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</si>
  <si>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</si>
  <si>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</si>
  <si>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</si>
  <si>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</si>
  <si>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</si>
  <si>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</si>
  <si>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</si>
  <si>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</si>
  <si>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</si>
  <si>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</si>
  <si>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</si>
  <si>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</si>
  <si>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</si>
  <si>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</si>
  <si>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</si>
  <si>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</si>
  <si>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</si>
  <si>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</si>
  <si>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</si>
  <si>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</si>
  <si>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</si>
  <si>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</si>
  <si>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</si>
  <si>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</si>
  <si>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</si>
  <si>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</si>
  <si>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</si>
  <si>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</si>
  <si>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</si>
  <si>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</si>
  <si>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</si>
  <si>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</si>
  <si>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</si>
  <si>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</si>
  <si>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</si>
  <si>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</si>
  <si>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</si>
  <si>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</si>
  <si>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</si>
  <si>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</si>
  <si>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</si>
  <si>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</si>
  <si>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</si>
  <si>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</si>
  <si>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</si>
  <si>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</si>
  <si>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</si>
  <si>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</si>
  <si>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</si>
  <si>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</si>
  <si>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</si>
  <si>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</si>
  <si>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</si>
  <si>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</si>
  <si>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</si>
  <si>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</si>
  <si>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</si>
  <si>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</si>
  <si>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</si>
  <si>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</si>
  <si>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</si>
  <si>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</si>
  <si>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</si>
  <si>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</si>
  <si>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</si>
  <si>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</si>
  <si>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</si>
  <si>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</si>
  <si>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</si>
  <si>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</si>
  <si>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</si>
  <si>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</si>
  <si>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</si>
  <si>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</si>
  <si>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</si>
  <si>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</si>
  <si>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</si>
  <si>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</si>
  <si>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</si>
  <si>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</si>
  <si>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</si>
  <si>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</si>
  <si>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</si>
  <si>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</si>
  <si>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</si>
  <si>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</si>
  <si>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</si>
  <si>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</si>
  <si>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</si>
  <si>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</si>
  <si>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</si>
  <si>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</si>
  <si>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</si>
  <si>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</si>
  <si>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</si>
  <si>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</si>
  <si>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</si>
  <si>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</si>
  <si>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</si>
  <si>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</si>
  <si>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</si>
  <si>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</si>
  <si>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</si>
  <si>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</si>
  <si>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</si>
  <si>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</si>
  <si>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</si>
  <si>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</si>
  <si>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</si>
  <si>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</si>
  <si>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</si>
  <si>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</si>
  <si>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</si>
  <si>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</si>
  <si>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</si>
  <si>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</si>
  <si>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</si>
  <si>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</si>
  <si>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</si>
  <si>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</si>
  <si>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</si>
  <si>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</si>
  <si>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</si>
  <si>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</si>
  <si>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</si>
  <si>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</si>
  <si>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</si>
  <si>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</si>
  <si>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</si>
  <si>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</si>
  <si>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</si>
  <si>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</si>
  <si>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</si>
  <si>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</si>
  <si>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</si>
  <si>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</si>
  <si>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</si>
  <si>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</si>
  <si>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</si>
  <si>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</si>
  <si>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</si>
  <si>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</si>
  <si>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</si>
  <si>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</si>
  <si>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</si>
  <si>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</si>
  <si>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</si>
  <si>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</si>
  <si>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</si>
  <si>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</si>
  <si>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</si>
  <si>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</si>
  <si>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</si>
  <si>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</si>
  <si>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</si>
  <si>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</si>
  <si>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</si>
  <si>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</si>
  <si>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</si>
  <si>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</si>
  <si>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</si>
  <si>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</si>
  <si>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</si>
  <si>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</si>
  <si>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</si>
  <si>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</si>
  <si>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</si>
  <si>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</si>
  <si>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</si>
  <si>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</si>
  <si>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</si>
  <si>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</si>
  <si>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</si>
  <si>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</si>
  <si>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</si>
  <si>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</si>
  <si>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</si>
  <si>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</si>
  <si>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</si>
  <si>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</si>
  <si>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</si>
  <si>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</si>
  <si>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</si>
  <si>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</si>
  <si>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</si>
  <si>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</si>
  <si>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</si>
  <si>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</si>
  <si>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</si>
  <si>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</si>
  <si>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</si>
  <si>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</si>
  <si>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</si>
  <si>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</si>
  <si>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</si>
  <si>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</si>
  <si>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</si>
  <si>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</si>
  <si>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</si>
  <si>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</si>
  <si>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</si>
  <si>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</si>
  <si>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</si>
  <si>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</si>
  <si>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</si>
  <si>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</si>
  <si>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</si>
  <si>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</si>
  <si>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</si>
  <si>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</si>
  <si>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</si>
  <si>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</si>
  <si>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</si>
  <si>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</si>
  <si>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</si>
  <si>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</si>
  <si>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</si>
  <si>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</si>
  <si>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</si>
  <si>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</si>
  <si>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</si>
  <si>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</si>
  <si>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</si>
  <si>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</si>
  <si>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</si>
  <si>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</si>
  <si>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</si>
  <si>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</si>
  <si>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</si>
  <si>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</si>
  <si>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</si>
  <si>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</si>
  <si>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</si>
  <si>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</si>
  <si>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</si>
  <si>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</si>
  <si>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</si>
  <si>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</si>
  <si>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</si>
  <si>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</si>
  <si>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</si>
  <si>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</si>
  <si>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</si>
  <si>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</si>
  <si>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</si>
  <si>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</si>
  <si>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</si>
  <si>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</si>
  <si>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</si>
  <si>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</si>
  <si>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</si>
  <si>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</si>
  <si>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</si>
  <si>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</si>
  <si>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</si>
  <si>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</si>
  <si>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</si>
  <si>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</si>
  <si>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</si>
  <si>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</si>
  <si>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</si>
  <si>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</si>
  <si>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</si>
  <si>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</si>
  <si>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</si>
  <si>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</si>
  <si>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</si>
  <si>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</si>
  <si>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</si>
  <si>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</si>
  <si>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</si>
  <si>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</si>
  <si>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</si>
  <si>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</si>
  <si>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</si>
  <si>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</si>
  <si>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</si>
  <si>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</si>
  <si>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</si>
  <si>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</si>
  <si>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</si>
  <si>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</si>
  <si>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</si>
  <si>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</si>
  <si>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</si>
  <si>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</si>
  <si>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</si>
  <si>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</si>
  <si>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</si>
  <si>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</si>
  <si>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</si>
  <si>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</si>
  <si>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</si>
  <si>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</si>
  <si>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</si>
  <si>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</si>
  <si>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</si>
  <si>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</si>
  <si>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</si>
  <si>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</si>
  <si>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</si>
  <si>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</si>
  <si>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</si>
  <si>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</si>
  <si>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</si>
  <si>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</si>
  <si>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</si>
  <si>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</si>
  <si>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</si>
  <si>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</si>
  <si>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</si>
  <si>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</si>
  <si>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</si>
  <si>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</si>
  <si>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</si>
  <si>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</si>
  <si>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</si>
  <si>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</si>
  <si>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</si>
  <si>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</si>
  <si>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</si>
  <si>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</si>
  <si>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</si>
  <si>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</si>
  <si>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</si>
  <si>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</si>
  <si>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</si>
  <si>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</si>
  <si>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</si>
  <si>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</si>
  <si>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</si>
  <si>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</si>
  <si>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</si>
  <si>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</si>
  <si>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</si>
  <si>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</si>
  <si>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</si>
  <si>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</si>
  <si>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</si>
  <si>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</si>
  <si>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</si>
  <si>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</si>
  <si>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</si>
  <si>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</si>
  <si>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</si>
  <si>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</si>
  <si>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</si>
  <si>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</si>
  <si>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</si>
  <si>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</si>
  <si>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</si>
  <si>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</si>
  <si>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</si>
  <si>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</si>
  <si>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</si>
  <si>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</si>
  <si>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</si>
  <si>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</si>
  <si>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</si>
  <si>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</si>
  <si>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</si>
  <si>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</si>
  <si>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</si>
  <si>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</si>
  <si>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</si>
  <si>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</si>
  <si>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</si>
  <si>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</si>
  <si>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</si>
  <si>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</si>
  <si>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</si>
  <si>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</si>
  <si>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</si>
  <si>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</si>
  <si>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</si>
  <si>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</si>
  <si>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</si>
  <si>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</si>
  <si>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</si>
  <si>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</si>
  <si>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</si>
  <si>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</si>
  <si>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</si>
  <si>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</si>
  <si>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</si>
  <si>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</si>
  <si>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</si>
  <si>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</si>
  <si>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</si>
  <si>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</si>
  <si>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</si>
  <si>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</si>
  <si>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</si>
  <si>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</si>
  <si>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</si>
  <si>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</si>
  <si>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</si>
  <si>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</si>
  <si>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</si>
  <si>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</si>
  <si>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</si>
  <si>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</si>
  <si>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</si>
  <si>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</si>
  <si>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</si>
  <si>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</si>
  <si>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</si>
  <si>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</si>
  <si>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</si>
  <si>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</si>
  <si>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</si>
  <si>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</si>
  <si>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</si>
  <si>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</si>
  <si>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</si>
  <si>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</si>
  <si>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</si>
  <si>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</si>
  <si>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</si>
  <si>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</si>
  <si>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</si>
  <si>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</si>
  <si>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</si>
  <si>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</si>
  <si>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</si>
  <si>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</si>
  <si>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</si>
  <si>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</si>
  <si>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</si>
  <si>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</si>
  <si>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</si>
  <si>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</si>
  <si>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</si>
  <si>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</si>
  <si>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</si>
  <si>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</si>
  <si>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</si>
  <si>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</si>
  <si>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</si>
  <si>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</si>
  <si>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</si>
  <si>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</si>
  <si>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</si>
  <si>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</si>
  <si>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</si>
  <si>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</si>
  <si>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</si>
  <si>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</si>
  <si>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</si>
  <si>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</si>
  <si>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</si>
  <si>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</si>
  <si>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</si>
  <si>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</si>
  <si>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</si>
  <si>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</si>
  <si>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</si>
  <si>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</si>
  <si>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</si>
  <si>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</si>
  <si>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</si>
  <si>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</si>
  <si>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</si>
  <si>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</si>
  <si>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</si>
  <si>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</si>
  <si>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</si>
  <si>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</si>
  <si>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</si>
  <si>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</si>
  <si>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</si>
  <si>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</si>
  <si>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</si>
  <si>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</si>
  <si>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</si>
  <si>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</si>
  <si>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</si>
  <si>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</si>
  <si>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</si>
  <si>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</si>
  <si>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</si>
  <si>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</si>
  <si>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</si>
  <si>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</si>
  <si>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</si>
  <si>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</si>
  <si>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</si>
  <si>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</si>
  <si>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</si>
  <si>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</si>
  <si>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</si>
  <si>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</si>
  <si>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</si>
  <si>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</si>
  <si>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</si>
  <si>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</si>
  <si>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</si>
  <si>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</si>
  <si>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</si>
  <si>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</si>
  <si>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</si>
  <si>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</si>
  <si>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</si>
  <si>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</si>
  <si>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</si>
  <si>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</si>
  <si>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</si>
  <si>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</si>
  <si>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</si>
  <si>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</si>
  <si>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</si>
  <si>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</si>
  <si>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</si>
  <si>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</si>
  <si>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</si>
  <si>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</si>
  <si>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</si>
  <si>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</si>
  <si>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</si>
  <si>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</si>
  <si>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</si>
  <si>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</si>
  <si>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</si>
  <si>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</si>
  <si>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</si>
  <si>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</si>
  <si>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</si>
  <si>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</si>
  <si>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</si>
  <si>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</si>
  <si>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</si>
  <si>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</si>
  <si>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</si>
  <si>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</si>
  <si>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</si>
  <si>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</si>
  <si>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</si>
  <si>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</si>
  <si>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</si>
  <si>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</si>
  <si>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</si>
  <si>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</si>
  <si>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</si>
  <si>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</si>
  <si>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</si>
  <si>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</si>
  <si>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</si>
  <si>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</si>
  <si>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</si>
  <si>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</si>
  <si>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</si>
  <si>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</si>
  <si>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</si>
  <si>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</si>
  <si>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</si>
  <si>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</si>
  <si>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</si>
  <si>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</si>
  <si>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</si>
  <si>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</si>
  <si>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</si>
  <si>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</si>
  <si>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</si>
  <si>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</si>
  <si>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</si>
  <si>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</si>
  <si>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</si>
  <si>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</si>
  <si>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</si>
  <si>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</si>
  <si>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</si>
  <si>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</si>
  <si>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</si>
  <si>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</si>
  <si>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</si>
  <si>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</si>
  <si>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</si>
  <si>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</si>
  <si>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</si>
  <si>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</si>
  <si>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</si>
  <si>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</si>
  <si>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</si>
  <si>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</si>
  <si>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</si>
  <si>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</si>
  <si>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</si>
  <si>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</si>
  <si>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</si>
  <si>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</si>
  <si>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</si>
  <si>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</si>
  <si>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</si>
  <si>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</si>
  <si>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</si>
  <si>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</si>
  <si>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</si>
  <si>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</si>
  <si>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</si>
  <si>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</si>
  <si>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</si>
  <si>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</si>
  <si>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</si>
  <si>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</si>
  <si>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</si>
  <si>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</si>
  <si>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</si>
  <si>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</si>
  <si>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</si>
  <si>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</si>
  <si>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</si>
  <si>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</si>
  <si>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</si>
  <si>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</si>
  <si>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</si>
  <si>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</si>
  <si>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</si>
  <si>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</si>
  <si>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</si>
  <si>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</si>
  <si>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</si>
  <si>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</si>
  <si>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</si>
  <si>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</si>
  <si>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</si>
  <si>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</si>
  <si>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</si>
  <si>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</si>
  <si>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</si>
  <si>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</si>
  <si>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</si>
  <si>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</si>
  <si>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</si>
  <si>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</si>
  <si>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</si>
  <si>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</si>
  <si>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</si>
  <si>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</si>
  <si>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</si>
  <si>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</si>
  <si>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</si>
  <si>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</si>
  <si>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</si>
  <si>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</si>
  <si>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</si>
  <si>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</si>
  <si>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</si>
  <si>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</si>
  <si>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</si>
  <si>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</si>
  <si>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</si>
  <si>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</si>
  <si>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</si>
  <si>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</si>
  <si>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</si>
  <si>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</si>
  <si>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</si>
  <si>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</si>
  <si>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</si>
  <si>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</si>
  <si>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</si>
  <si>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</si>
  <si>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</si>
  <si>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</si>
  <si>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</si>
  <si>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</si>
  <si>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</si>
  <si>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</si>
  <si>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</si>
  <si>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</si>
  <si>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</si>
  <si>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</si>
  <si>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</si>
  <si>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</si>
  <si>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</si>
  <si>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</si>
  <si>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</si>
  <si>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</si>
  <si>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</si>
  <si>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</si>
  <si>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</si>
  <si>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</si>
  <si>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</si>
  <si>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</si>
  <si>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</si>
  <si>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</si>
  <si>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</si>
  <si>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</si>
  <si>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</si>
  <si>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</si>
  <si>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</si>
  <si>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</si>
  <si>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</si>
  <si>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</si>
  <si>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</si>
  <si>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</si>
  <si>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</si>
  <si>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</si>
  <si>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</si>
  <si>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</si>
  <si>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</si>
  <si>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</si>
  <si>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</si>
  <si>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</si>
  <si>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</si>
  <si>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</si>
  <si>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</si>
  <si>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</si>
  <si>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</si>
  <si>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</si>
  <si>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</si>
  <si>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</si>
  <si>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</si>
  <si>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</si>
  <si>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</si>
  <si>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</si>
  <si>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</si>
  <si>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</si>
  <si>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</si>
  <si>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</si>
  <si>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</si>
  <si>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</si>
  <si>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</si>
  <si>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</si>
  <si>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</si>
  <si>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</si>
  <si>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</si>
  <si>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</si>
  <si>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</si>
  <si>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</si>
  <si>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</si>
  <si>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</si>
  <si>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</si>
  <si>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</si>
  <si>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</si>
  <si>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</si>
  <si>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</si>
  <si>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</si>
  <si>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</si>
  <si>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</si>
  <si>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</si>
  <si>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</si>
  <si>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</si>
  <si>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</si>
  <si>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</si>
  <si>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</si>
  <si>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</si>
  <si>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</si>
  <si>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</si>
  <si>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</si>
  <si>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</si>
  <si>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</si>
  <si>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</si>
  <si>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</si>
  <si>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</si>
  <si>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</si>
  <si>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</si>
  <si>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</si>
  <si>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</si>
  <si>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</si>
  <si>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</si>
  <si>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</si>
  <si>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</si>
  <si>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</si>
  <si>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</si>
  <si>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</si>
  <si>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</si>
  <si>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</si>
  <si>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</si>
  <si>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</si>
  <si>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</si>
  <si>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</si>
  <si>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</si>
  <si>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</si>
  <si>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</si>
  <si>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</si>
  <si>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</si>
  <si>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</si>
  <si>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</si>
  <si>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</si>
  <si>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</si>
  <si>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</si>
  <si>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</si>
  <si>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</si>
  <si>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</si>
  <si>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</si>
  <si>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</si>
  <si>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</si>
  <si>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</si>
  <si>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</si>
  <si>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</si>
  <si>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</si>
  <si>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</si>
  <si>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</si>
  <si>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</si>
  <si>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</si>
  <si>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</si>
  <si>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</si>
  <si>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</si>
  <si>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</si>
  <si>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</si>
  <si>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</si>
  <si>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</si>
  <si>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</si>
  <si>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</si>
  <si>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</si>
  <si>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</si>
  <si>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</si>
  <si>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</si>
  <si>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</si>
  <si>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</si>
  <si>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</si>
  <si>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</si>
  <si>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</si>
  <si>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</si>
  <si>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</si>
  <si>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</si>
  <si>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</si>
  <si>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</si>
  <si>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</si>
  <si>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</si>
  <si>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</si>
  <si>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</si>
  <si>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</si>
  <si>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</si>
  <si>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</si>
  <si>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</si>
  <si>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</si>
  <si>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</si>
  <si>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</si>
  <si>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</si>
  <si>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</si>
  <si>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</si>
  <si>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</si>
  <si>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</si>
  <si>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</si>
  <si>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</si>
  <si>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</si>
  <si>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</si>
  <si>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</si>
  <si>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</si>
  <si>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</si>
  <si>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</si>
  <si>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</si>
  <si>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</si>
  <si>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</si>
  <si>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</si>
  <si>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</si>
  <si>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</si>
  <si>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</si>
  <si>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</si>
  <si>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</si>
  <si>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</si>
  <si>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</si>
  <si>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</si>
  <si>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</si>
  <si>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</si>
  <si>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</si>
  <si>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</si>
  <si>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</si>
  <si>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</si>
  <si>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</si>
  <si>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</si>
  <si>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</si>
  <si>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</si>
  <si>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</si>
  <si>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</si>
  <si>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</si>
  <si>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</si>
  <si>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</si>
  <si>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</si>
  <si>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</si>
  <si>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</si>
  <si>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</si>
  <si>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</si>
  <si>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</si>
  <si>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</si>
  <si>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</si>
  <si>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</si>
  <si>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</si>
  <si>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</si>
  <si>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</si>
  <si>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</si>
  <si>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</si>
  <si>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</si>
  <si>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</si>
  <si>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</si>
  <si>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</si>
  <si>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</si>
  <si>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</si>
  <si>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</si>
  <si>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</si>
  <si>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</si>
  <si>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</si>
  <si>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</si>
  <si>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</si>
  <si>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</si>
  <si>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</si>
  <si>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</si>
  <si>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</si>
  <si>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</si>
  <si>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</si>
  <si>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</si>
  <si>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</si>
  <si>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</si>
  <si>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</si>
  <si>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</si>
  <si>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</si>
  <si>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</si>
  <si>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</si>
  <si>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</si>
  <si>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</si>
  <si>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</si>
  <si>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</si>
  <si>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</si>
  <si>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</si>
  <si>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</si>
  <si>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</si>
  <si>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</si>
  <si>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</si>
  <si>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</si>
  <si>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</si>
  <si>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</si>
  <si>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</si>
  <si>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</si>
  <si>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</si>
  <si>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</si>
  <si>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</si>
  <si>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</si>
  <si>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</si>
  <si>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</si>
  <si>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</si>
  <si>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</si>
  <si>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</si>
  <si>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</si>
  <si>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</si>
  <si>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</si>
  <si>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</si>
  <si>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</si>
  <si>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</si>
  <si>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</si>
  <si>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</si>
  <si>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</si>
  <si>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</si>
  <si>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</si>
  <si>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</si>
  <si>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</si>
  <si>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</si>
  <si>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</si>
  <si>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</si>
  <si>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</si>
  <si>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</si>
  <si>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</si>
  <si>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</si>
  <si>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</si>
  <si>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</si>
  <si>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</si>
  <si>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</si>
  <si>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</si>
  <si>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</si>
  <si>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</si>
  <si>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</si>
  <si>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</si>
  <si>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</si>
  <si>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</si>
  <si>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</si>
  <si>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</si>
  <si>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</si>
  <si>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</si>
  <si>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</si>
  <si>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</si>
  <si>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</si>
  <si>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</si>
  <si>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</si>
  <si>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</si>
  <si>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</si>
  <si>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</si>
  <si>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</si>
  <si>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</si>
  <si>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</si>
  <si>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</si>
  <si>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</si>
  <si>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</si>
  <si>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</si>
  <si>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</si>
  <si>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</si>
  <si>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</si>
  <si>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</si>
  <si>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</si>
  <si>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</si>
  <si>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</si>
  <si>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</si>
  <si>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</si>
  <si>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</si>
  <si>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</si>
  <si>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</si>
  <si>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</si>
  <si>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</si>
  <si>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</si>
  <si>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</si>
  <si>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</si>
  <si>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</si>
  <si>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</si>
  <si>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</si>
  <si>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</si>
  <si>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</si>
  <si>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</si>
  <si>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</si>
  <si>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</si>
  <si>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</si>
  <si>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</si>
  <si>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</si>
  <si>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</si>
  <si>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</si>
  <si>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</si>
  <si>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</si>
  <si>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</si>
  <si>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</si>
  <si>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</si>
  <si>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</si>
  <si>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</si>
  <si>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</si>
  <si>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</si>
  <si>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</si>
  <si>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</si>
  <si>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</si>
  <si>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</si>
  <si>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</si>
  <si>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</si>
  <si>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</si>
  <si>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</si>
  <si>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</si>
  <si>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</si>
  <si>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</si>
  <si>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</si>
  <si>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</si>
  <si>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</si>
  <si>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</si>
  <si>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</si>
  <si>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</si>
  <si>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</si>
  <si>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</si>
  <si>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</si>
  <si>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</si>
  <si>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</si>
  <si>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</si>
  <si>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</si>
  <si>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</si>
  <si>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</si>
  <si>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</si>
  <si>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</si>
  <si>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</si>
  <si>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</si>
  <si>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</si>
  <si>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</si>
  <si>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</si>
  <si>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</si>
  <si>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</si>
  <si>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</si>
  <si>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</si>
  <si>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</si>
  <si>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</si>
  <si>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</si>
  <si>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</si>
  <si>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</si>
  <si>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</si>
  <si>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</si>
  <si>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</si>
  <si>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</si>
  <si>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</si>
  <si>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</si>
  <si>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</si>
  <si>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</si>
  <si>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</si>
  <si>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</si>
  <si>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</si>
  <si>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</si>
  <si>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</si>
  <si>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</si>
  <si>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</si>
  <si>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</si>
  <si>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</si>
  <si>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</si>
  <si>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</si>
  <si>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</si>
  <si>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</si>
  <si>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</si>
  <si>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</si>
  <si>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</si>
  <si>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</si>
  <si>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</si>
  <si>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</si>
  <si>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</si>
  <si>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</si>
  <si>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</si>
  <si>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</si>
  <si>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</si>
  <si>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</si>
  <si>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</si>
  <si>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</si>
  <si>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</si>
  <si>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</si>
  <si>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</si>
  <si>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</si>
  <si>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</si>
  <si>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</si>
  <si>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</si>
  <si>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</si>
  <si>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</si>
  <si>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</si>
  <si>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</si>
  <si>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</si>
  <si>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</si>
  <si>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</si>
  <si>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</si>
  <si>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</si>
  <si>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</si>
  <si>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</si>
  <si>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</si>
  <si>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</si>
  <si>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</si>
  <si>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</si>
  <si>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</si>
  <si>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</si>
  <si>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</si>
  <si>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</si>
  <si>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</si>
  <si>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</si>
  <si>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</si>
  <si>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</si>
  <si>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</si>
  <si>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</si>
  <si>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</si>
  <si>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</si>
  <si>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</si>
  <si>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</si>
  <si>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</si>
  <si>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</si>
  <si>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</si>
  <si>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</si>
  <si>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</si>
  <si>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</si>
  <si>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</si>
  <si>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</si>
  <si>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</si>
  <si>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</si>
  <si>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</si>
  <si>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</si>
  <si>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</si>
  <si>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</si>
  <si>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</si>
  <si>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</si>
  <si>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</si>
  <si>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</si>
  <si>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</si>
  <si>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</si>
  <si>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</si>
  <si>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</si>
  <si>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</si>
  <si>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</si>
  <si>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</si>
  <si>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</si>
  <si>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</si>
  <si>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</si>
  <si>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</si>
  <si>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</si>
  <si>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</si>
  <si>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</si>
  <si>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</si>
  <si>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</si>
  <si>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</si>
  <si>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</si>
  <si>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</si>
  <si>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</si>
  <si>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</si>
  <si>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</si>
  <si>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</si>
  <si>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</si>
  <si>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</si>
  <si>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</si>
  <si>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</si>
  <si>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</si>
  <si>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</si>
  <si>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</si>
  <si>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</si>
  <si>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</si>
  <si>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</si>
  <si>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</si>
  <si>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</si>
  <si>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</si>
  <si>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</si>
  <si>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</si>
  <si>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</si>
  <si>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</si>
  <si>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</si>
  <si>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</si>
  <si>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</si>
  <si>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</si>
  <si>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</si>
  <si>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</si>
  <si>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</si>
  <si>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</si>
  <si>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</si>
  <si>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</si>
  <si>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</si>
  <si>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</si>
  <si>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</si>
  <si>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</si>
  <si>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</si>
  <si>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</si>
  <si>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</si>
  <si>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</si>
  <si>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</si>
  <si>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</si>
  <si>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</si>
  <si>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</si>
  <si>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</si>
  <si>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</si>
  <si>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</si>
  <si>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</si>
  <si>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</si>
  <si>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</si>
  <si>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</si>
  <si>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</si>
  <si>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</si>
  <si>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</si>
  <si>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</si>
  <si>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</si>
  <si>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</si>
  <si>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</si>
  <si>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</si>
  <si>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</si>
  <si>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</si>
  <si>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</si>
  <si>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</si>
  <si>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</si>
  <si>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</si>
  <si>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</si>
  <si>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</si>
  <si>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</si>
  <si>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</si>
  <si>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</si>
  <si>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</si>
  <si>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</si>
  <si>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</si>
  <si>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</si>
  <si>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</si>
  <si>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</si>
  <si>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</si>
  <si>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</si>
  <si>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</si>
  <si>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</si>
  <si>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</si>
  <si>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</si>
  <si>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</si>
  <si>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</si>
  <si>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</si>
  <si>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</si>
  <si>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</si>
  <si>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</si>
  <si>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</si>
  <si>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</si>
  <si>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</si>
  <si>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</si>
  <si>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</si>
  <si>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</si>
  <si>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</si>
  <si>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</si>
  <si>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</si>
  <si>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</si>
  <si>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</si>
  <si>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</si>
  <si>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</si>
  <si>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</si>
  <si>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</si>
  <si>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</si>
  <si>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</si>
  <si>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</si>
  <si>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</si>
  <si>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</si>
  <si>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</si>
  <si>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</si>
  <si>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</si>
  <si>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</si>
  <si>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</si>
  <si>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</si>
  <si>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</si>
  <si>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</si>
  <si>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</si>
  <si>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</si>
  <si>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</si>
  <si>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</si>
  <si>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</si>
  <si>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</si>
  <si>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</si>
  <si>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</si>
  <si>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</si>
  <si>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</si>
  <si>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</si>
  <si>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</si>
  <si>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</si>
  <si>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</si>
  <si>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</si>
  <si>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</si>
  <si>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</si>
  <si>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</si>
  <si>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</si>
  <si>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</si>
  <si>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</si>
  <si>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</si>
  <si>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</si>
  <si>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</si>
  <si>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</si>
  <si>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</si>
  <si>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</si>
  <si>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</si>
  <si>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</si>
  <si>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</si>
  <si>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</si>
  <si>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</si>
  <si>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</si>
  <si>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</si>
  <si>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</si>
  <si>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</si>
  <si>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</si>
  <si>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</si>
  <si>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</si>
  <si>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</si>
  <si>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</si>
  <si>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</si>
  <si>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</si>
  <si>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</si>
  <si>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</si>
  <si>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</si>
  <si>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</si>
  <si>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</si>
  <si>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</si>
  <si>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</si>
  <si>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</si>
  <si>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</si>
  <si>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</si>
  <si>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</si>
  <si>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</si>
  <si>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</si>
  <si>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</si>
  <si>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</si>
  <si>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</si>
  <si>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</si>
  <si>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</si>
  <si>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</si>
  <si>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</si>
  <si>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</si>
  <si>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</si>
  <si>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</si>
  <si>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</si>
  <si>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</si>
  <si>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</si>
  <si>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</si>
  <si>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</si>
  <si>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</si>
  <si>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</si>
  <si>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</si>
  <si>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</si>
  <si>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</si>
  <si>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</si>
  <si>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</si>
  <si>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</si>
  <si>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</si>
  <si>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</si>
  <si>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</si>
  <si>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</si>
  <si>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</si>
  <si>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</si>
  <si>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</si>
  <si>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</si>
  <si>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</si>
  <si>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</si>
  <si>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</si>
  <si>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</si>
  <si>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</si>
  <si>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</si>
  <si>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</si>
  <si>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</si>
  <si>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</si>
  <si>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</si>
  <si>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</si>
  <si>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</si>
  <si>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</si>
  <si>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</si>
  <si>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</si>
  <si>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</si>
  <si>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</si>
  <si>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</si>
  <si>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</si>
  <si>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</si>
  <si>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</si>
  <si>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</si>
  <si>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</si>
  <si>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</si>
  <si>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</si>
  <si>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</si>
  <si>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</si>
  <si>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</si>
  <si>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</si>
  <si>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</si>
  <si>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</si>
  <si>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</si>
  <si>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</si>
  <si>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</si>
  <si>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</si>
  <si>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</si>
  <si>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</si>
  <si>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</si>
  <si>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</si>
  <si>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</si>
  <si>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</si>
  <si>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</si>
  <si>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</si>
  <si>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</si>
  <si>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</si>
  <si>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</si>
  <si>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</si>
  <si>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</si>
  <si>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</si>
  <si>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</si>
  <si>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</si>
  <si>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</si>
  <si>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</si>
  <si>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</si>
  <si>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</si>
  <si>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</si>
  <si>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</si>
  <si>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</si>
  <si>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</si>
  <si>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</si>
  <si>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</si>
  <si>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</si>
  <si>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</si>
  <si>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</si>
  <si>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</si>
  <si>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</si>
  <si>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</si>
  <si>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</si>
  <si>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</si>
  <si>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</si>
  <si>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</si>
  <si>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</si>
  <si>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</si>
  <si>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</si>
  <si>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</si>
  <si>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</si>
  <si>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</si>
  <si>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</si>
  <si>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</si>
  <si>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</si>
  <si>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</si>
  <si>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</si>
  <si>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</si>
  <si>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</si>
  <si>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</si>
  <si>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</si>
  <si>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</si>
  <si>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</si>
  <si>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</si>
  <si>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</si>
  <si>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</si>
  <si>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</si>
  <si>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</si>
  <si>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</si>
  <si>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</si>
  <si>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</si>
  <si>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</si>
  <si>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</si>
  <si>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</si>
  <si>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</si>
  <si>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</si>
  <si>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</si>
  <si>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</si>
  <si>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</si>
  <si>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</si>
  <si>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</si>
  <si>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</si>
  <si>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</si>
  <si>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</si>
  <si>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</si>
  <si>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</si>
  <si>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</si>
  <si>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</si>
  <si>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</si>
  <si>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</si>
  <si>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</si>
  <si>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</si>
  <si>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</si>
  <si>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</si>
  <si>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</si>
  <si>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</si>
  <si>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</si>
  <si>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</si>
  <si>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</si>
  <si>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</si>
  <si>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</si>
  <si>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</si>
  <si>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</si>
  <si>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</si>
  <si>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</si>
  <si>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</si>
  <si>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</si>
  <si>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</si>
  <si>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</si>
  <si>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</si>
  <si>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</si>
  <si>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</si>
  <si>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</si>
  <si>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</si>
  <si>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</si>
  <si>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</si>
  <si>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</si>
  <si>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</si>
  <si>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</si>
  <si>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</si>
  <si>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</si>
  <si>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</si>
  <si>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</si>
  <si>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</si>
  <si>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</si>
  <si>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</si>
  <si>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</si>
  <si>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</si>
  <si>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</si>
  <si>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</si>
  <si>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</si>
  <si>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</si>
  <si>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</si>
  <si>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</si>
  <si>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</si>
  <si>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</si>
  <si>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</si>
  <si>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</si>
  <si>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</si>
  <si>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</si>
  <si>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</si>
  <si>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</si>
  <si>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</si>
  <si>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</si>
  <si>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</si>
  <si>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</si>
  <si>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</si>
  <si>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</si>
  <si>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</si>
  <si>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</si>
  <si>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</si>
  <si>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</si>
  <si>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</si>
  <si>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</si>
  <si>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</si>
  <si>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</si>
  <si>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</si>
  <si>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</si>
  <si>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</si>
  <si>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</si>
  <si>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</si>
  <si>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</si>
  <si>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</si>
  <si>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</si>
  <si>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</si>
  <si>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</si>
  <si>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</si>
  <si>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</si>
  <si>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</si>
  <si>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</si>
  <si>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</si>
  <si>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</si>
  <si>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</si>
  <si>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</si>
  <si>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</si>
  <si>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</si>
  <si>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</si>
  <si>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</si>
  <si>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</si>
  <si>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</si>
  <si>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</si>
  <si>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</si>
  <si>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</si>
  <si>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</si>
  <si>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</si>
  <si>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</si>
  <si>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</si>
  <si>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</si>
  <si>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</si>
  <si>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</si>
  <si>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</si>
  <si>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</si>
  <si>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</si>
  <si>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</si>
  <si>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</si>
  <si>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</si>
  <si>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</si>
  <si>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</si>
  <si>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</si>
  <si>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</si>
  <si>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</si>
  <si>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</si>
  <si>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</si>
  <si>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</si>
  <si>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</si>
  <si>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</si>
  <si>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</si>
  <si>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</si>
  <si>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</si>
  <si>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</si>
  <si>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</si>
  <si>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</si>
  <si>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</si>
  <si>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</si>
  <si>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</si>
  <si>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</si>
  <si>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</si>
  <si>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</si>
  <si>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</si>
  <si>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</si>
  <si>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</si>
  <si>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</si>
  <si>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</si>
  <si>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</si>
  <si>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</si>
  <si>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</si>
  <si>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</si>
  <si>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</si>
  <si>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</si>
  <si>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</si>
  <si>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</si>
  <si>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</si>
  <si>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</si>
  <si>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</si>
  <si>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</si>
  <si>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</si>
  <si>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</si>
  <si>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</si>
  <si>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</si>
  <si>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</si>
  <si>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</si>
  <si>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</si>
  <si>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</si>
  <si>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</si>
  <si>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</si>
  <si>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</si>
  <si>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</si>
  <si>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</si>
  <si>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</si>
  <si>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</si>
  <si>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</si>
  <si>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</si>
  <si>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</si>
  <si>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</si>
  <si>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</si>
  <si>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</si>
  <si>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</si>
  <si>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</si>
  <si>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</si>
  <si>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</si>
  <si>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</si>
  <si>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</si>
  <si>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</si>
  <si>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</si>
  <si>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</si>
  <si>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</si>
  <si>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</si>
  <si>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</si>
  <si>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</si>
  <si>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</si>
  <si>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</si>
  <si>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</si>
  <si>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</si>
  <si>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</si>
  <si>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</si>
  <si>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</si>
  <si>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</si>
  <si>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</si>
  <si>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</si>
  <si>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</si>
  <si>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</si>
  <si>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</si>
  <si>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</si>
  <si>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</si>
  <si>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</si>
  <si>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</si>
  <si>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</si>
  <si>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</si>
  <si>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</si>
  <si>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</si>
  <si>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</si>
  <si>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</si>
  <si>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</si>
  <si>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</si>
  <si>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</si>
  <si>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</si>
  <si>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</si>
  <si>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</si>
  <si>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</si>
  <si>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</si>
  <si>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</si>
  <si>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</si>
  <si>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</si>
  <si>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</si>
  <si>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</si>
  <si>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</si>
  <si>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</si>
  <si>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</si>
  <si>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</si>
  <si>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</si>
  <si>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</si>
  <si>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</si>
  <si>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</si>
  <si>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</si>
  <si>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</si>
  <si>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</si>
  <si>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</si>
  <si>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</si>
  <si>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</si>
  <si>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</si>
  <si>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</si>
  <si>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</si>
  <si>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</si>
  <si>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</si>
  <si>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</si>
  <si>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</si>
  <si>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</si>
  <si>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</si>
  <si>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</si>
  <si>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</si>
  <si>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</si>
  <si>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</si>
  <si>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</si>
  <si>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</si>
  <si>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</si>
  <si>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</si>
  <si>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</si>
  <si>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</si>
  <si>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</si>
  <si>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</si>
  <si>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</si>
  <si>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</si>
  <si>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</si>
  <si>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</si>
  <si>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</si>
  <si>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</si>
  <si>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</si>
  <si>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</si>
  <si>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</si>
  <si>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</si>
  <si>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</si>
  <si>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</si>
  <si>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</si>
  <si>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</si>
  <si>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</si>
  <si>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</si>
  <si>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</si>
  <si>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</si>
  <si>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</si>
  <si>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</si>
  <si>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</si>
  <si>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</si>
  <si>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</si>
  <si>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</si>
  <si>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</si>
  <si>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</si>
  <si>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</si>
  <si>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</si>
  <si>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</si>
  <si>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</si>
  <si>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</si>
  <si>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</si>
  <si>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</si>
  <si>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</si>
  <si>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</si>
  <si>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</si>
  <si>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</si>
  <si>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</si>
  <si>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</si>
  <si>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</si>
  <si>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</si>
  <si>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</si>
  <si>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</si>
  <si>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</si>
  <si>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</si>
  <si>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</si>
  <si>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</si>
  <si>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</si>
  <si>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</si>
  <si>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</si>
  <si>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</si>
  <si>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</si>
  <si>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</si>
  <si>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</si>
  <si>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</si>
  <si>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</si>
  <si>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</si>
  <si>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</si>
  <si>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</si>
  <si>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</si>
  <si>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</si>
  <si>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</si>
  <si>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</si>
  <si>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</si>
  <si>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</si>
  <si>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</si>
  <si>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</si>
  <si>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</si>
  <si>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</si>
  <si>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</si>
  <si>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</si>
  <si>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</si>
  <si>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</si>
  <si>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</si>
  <si>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</si>
  <si>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</si>
  <si>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</si>
  <si>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</si>
  <si>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</si>
  <si>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</si>
  <si>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</si>
  <si>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</si>
  <si>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</si>
  <si>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</si>
  <si>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</si>
  <si>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</si>
  <si>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</si>
  <si>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</si>
  <si>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</si>
  <si>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</si>
  <si>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</si>
  <si>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</si>
  <si>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</si>
  <si>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</si>
  <si>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</si>
  <si>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</si>
  <si>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</si>
  <si>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</si>
  <si>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</si>
  <si>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</si>
  <si>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</si>
  <si>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</si>
  <si>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</si>
  <si>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</si>
  <si>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</si>
  <si>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</si>
  <si>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</si>
  <si>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</si>
  <si>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</si>
  <si>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</si>
  <si>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</si>
  <si>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</si>
  <si>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</si>
  <si>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</si>
  <si>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</si>
  <si>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</si>
  <si>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</si>
  <si>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</si>
  <si>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</si>
  <si>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</si>
  <si>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</si>
  <si>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</si>
  <si>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</si>
  <si>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</si>
  <si>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</si>
  <si>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</si>
  <si>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</si>
  <si>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</si>
  <si>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</si>
  <si>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</si>
  <si>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</si>
  <si>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</si>
  <si>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</si>
  <si>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</si>
  <si>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</si>
  <si>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</si>
  <si>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</si>
  <si>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</si>
  <si>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</si>
  <si>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</si>
  <si>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</si>
  <si>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</si>
  <si>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</si>
  <si>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</si>
  <si>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</si>
  <si>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</si>
  <si>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</si>
  <si>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</si>
  <si>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</si>
  <si>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</si>
  <si>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</si>
  <si>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</si>
  <si>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</si>
  <si>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</si>
  <si>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</si>
  <si>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</si>
  <si>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</si>
  <si>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</si>
  <si>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</si>
  <si>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</si>
  <si>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</si>
  <si>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</si>
  <si>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</si>
  <si>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</si>
  <si>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</si>
  <si>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</si>
  <si>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</si>
  <si>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</si>
  <si>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</si>
  <si>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</si>
  <si>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</si>
  <si>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</si>
  <si>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</si>
  <si>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</si>
  <si>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</si>
  <si>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</si>
  <si>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</si>
  <si>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</si>
  <si>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</si>
  <si>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</si>
  <si>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</si>
  <si>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</si>
  <si>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</si>
  <si>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</si>
  <si>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</si>
  <si>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</si>
  <si>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</si>
  <si>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</si>
  <si>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</si>
  <si>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</si>
  <si>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</si>
  <si>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</si>
  <si>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</si>
  <si>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</si>
  <si>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</si>
  <si>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</si>
  <si>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</si>
  <si>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</si>
  <si>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</si>
  <si>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</si>
  <si>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</si>
  <si>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</si>
  <si>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</si>
  <si>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</si>
  <si>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</si>
  <si>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</si>
  <si>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</si>
  <si>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</si>
  <si>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</si>
  <si>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</si>
  <si>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</si>
  <si>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</si>
  <si>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</si>
  <si>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</si>
  <si>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</si>
  <si>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</si>
  <si>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</si>
  <si>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</si>
  <si>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</si>
  <si>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</si>
  <si>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</si>
  <si>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</si>
  <si>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</si>
  <si>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</si>
  <si>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</si>
  <si>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</si>
  <si>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</si>
  <si>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</si>
  <si>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</si>
  <si>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</si>
  <si>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</si>
  <si>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</si>
  <si>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</si>
  <si>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</si>
  <si>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</si>
  <si>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</si>
  <si>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</si>
  <si>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</si>
  <si>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</si>
  <si>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</si>
  <si>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</si>
  <si>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</si>
  <si>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</si>
  <si>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</si>
  <si>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</si>
  <si>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</si>
  <si>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</si>
  <si>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</si>
  <si>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</si>
  <si>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</si>
  <si>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</si>
  <si>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</si>
  <si>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</si>
  <si>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</si>
  <si>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</si>
  <si>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</si>
  <si>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</si>
  <si>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</si>
  <si>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</si>
  <si>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</si>
  <si>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</si>
  <si>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</si>
  <si>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</si>
  <si>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</si>
  <si>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</si>
  <si>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</si>
  <si>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</si>
  <si>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</si>
  <si>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</si>
  <si>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</si>
  <si>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</si>
  <si>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</si>
  <si>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</si>
  <si>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</si>
  <si>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</si>
  <si>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</si>
  <si>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</si>
  <si>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</si>
  <si>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</si>
  <si>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</si>
  <si>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</si>
  <si>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</si>
  <si>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</si>
  <si>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</si>
  <si>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</si>
  <si>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</si>
  <si>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</si>
  <si>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</si>
  <si>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</si>
  <si>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</si>
  <si>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</si>
  <si>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</si>
  <si>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</si>
  <si>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</si>
  <si>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</si>
  <si>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</si>
  <si>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</si>
  <si>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</si>
  <si>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</si>
  <si>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</si>
  <si>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</si>
  <si>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</si>
  <si>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</si>
  <si>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</si>
  <si>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</si>
  <si>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</si>
  <si>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</si>
  <si>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</si>
  <si>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</si>
  <si>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</si>
  <si>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</si>
  <si>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</si>
  <si>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</si>
  <si>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</si>
  <si>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</si>
  <si>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</si>
  <si>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</si>
  <si>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</si>
  <si>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</si>
  <si>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</si>
  <si>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</si>
  <si>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</si>
  <si>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</si>
  <si>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</si>
  <si>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</si>
  <si>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</si>
  <si>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</si>
  <si>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</si>
  <si>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</si>
  <si>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</si>
  <si>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</si>
  <si>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</si>
  <si>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</si>
  <si>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</si>
  <si>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</si>
  <si>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</si>
  <si>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</si>
  <si>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</si>
  <si>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</si>
  <si>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</si>
  <si>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</si>
  <si>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</si>
  <si>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</si>
  <si>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</si>
  <si>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</si>
  <si>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</si>
  <si>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</si>
  <si>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</si>
  <si>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</si>
  <si>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</si>
  <si>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</si>
  <si>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</si>
  <si>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</si>
  <si>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</si>
  <si>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</si>
  <si>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</si>
  <si>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</si>
  <si>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</si>
  <si>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</si>
  <si>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</si>
  <si>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</si>
  <si>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</si>
  <si>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</si>
  <si>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</si>
  <si>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</si>
  <si>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</si>
  <si>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</si>
  <si>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</si>
  <si>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</si>
  <si>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</si>
  <si>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</si>
  <si>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</si>
  <si>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</si>
  <si>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</si>
  <si>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</si>
  <si>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</si>
  <si>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</si>
  <si>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</si>
  <si>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</si>
  <si>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</si>
  <si>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</si>
  <si>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</si>
  <si>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</si>
  <si>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</si>
  <si>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</si>
  <si>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</si>
  <si>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</si>
  <si>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</si>
  <si>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</si>
  <si>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</si>
  <si>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</si>
  <si>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</si>
  <si>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</si>
  <si>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</si>
  <si>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</si>
  <si>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</si>
  <si>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</si>
  <si>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</si>
  <si>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</si>
  <si>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</si>
  <si>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</si>
  <si>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</si>
  <si>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</si>
  <si>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</si>
  <si>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</si>
  <si>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</si>
  <si>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</si>
  <si>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</si>
  <si>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</si>
  <si>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</si>
  <si>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</si>
  <si>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</si>
  <si>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</si>
  <si>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</si>
  <si>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</si>
  <si>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</si>
  <si>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</si>
  <si>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</si>
  <si>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</si>
  <si>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</si>
  <si>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</si>
  <si>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</si>
  <si>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</si>
  <si>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</si>
  <si>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</si>
  <si>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</si>
  <si>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</si>
  <si>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</si>
  <si>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</si>
  <si>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</si>
  <si>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</si>
  <si>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</si>
  <si>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</si>
  <si>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</si>
  <si>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</si>
  <si>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</si>
  <si>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</si>
  <si>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</si>
  <si>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</si>
  <si>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</si>
  <si>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</si>
  <si>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</si>
  <si>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</si>
  <si>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</si>
  <si>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</si>
  <si>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</si>
  <si>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</si>
  <si>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</si>
  <si>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</si>
  <si>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</si>
  <si>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</si>
  <si>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</si>
  <si>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</si>
  <si>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</si>
  <si>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</si>
  <si>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</si>
  <si>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</si>
  <si>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</si>
  <si>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</si>
  <si>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</si>
  <si>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</si>
  <si>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</si>
  <si>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</si>
  <si>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</si>
  <si>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</si>
  <si>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</si>
  <si>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</si>
  <si>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</si>
  <si>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</si>
  <si>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</si>
  <si>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</si>
  <si>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</si>
  <si>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</si>
  <si>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</si>
  <si>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</si>
  <si>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</si>
  <si>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</si>
  <si>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</si>
  <si>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</si>
  <si>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</si>
  <si>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</si>
  <si>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</si>
  <si>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</si>
  <si>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</si>
  <si>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</si>
  <si>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</si>
  <si>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</si>
  <si>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</si>
  <si>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</si>
  <si>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</si>
  <si>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</si>
  <si>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</si>
  <si>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</si>
  <si>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</si>
  <si>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</si>
  <si>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</si>
  <si>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</si>
  <si>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</si>
  <si>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</si>
  <si>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</si>
  <si>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</si>
  <si>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</si>
  <si>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</si>
  <si>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</si>
  <si>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</si>
  <si>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</si>
  <si>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</si>
  <si>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</si>
  <si>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</si>
  <si>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</si>
  <si>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</si>
  <si>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</si>
  <si>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</si>
  <si>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</si>
  <si>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</si>
  <si>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</si>
  <si>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</si>
  <si>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</si>
  <si>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</si>
  <si>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</si>
  <si>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</si>
  <si>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</si>
  <si>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</si>
  <si>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</si>
  <si>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</si>
  <si>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</si>
  <si>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</si>
  <si>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</si>
  <si>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</si>
  <si>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</si>
  <si>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</si>
  <si>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</si>
  <si>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</si>
  <si>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</si>
  <si>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</si>
  <si>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</si>
  <si>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</si>
  <si>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</si>
  <si>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</si>
  <si>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</si>
  <si>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</si>
  <si>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</si>
  <si>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</si>
  <si>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</si>
  <si>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</si>
  <si>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</si>
  <si>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</si>
  <si>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</si>
  <si>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</si>
  <si>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</si>
  <si>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</si>
  <si>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</si>
  <si>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</si>
  <si>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</si>
  <si>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</si>
  <si>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</si>
  <si>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</si>
  <si>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</si>
  <si>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</si>
  <si>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</si>
  <si>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</si>
  <si>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</si>
  <si>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</si>
  <si>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</si>
  <si>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</si>
  <si>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</si>
  <si>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</si>
  <si>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</si>
  <si>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</si>
  <si>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</si>
  <si>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</si>
  <si>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</si>
  <si>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</si>
  <si>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</si>
  <si>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</si>
  <si>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</si>
  <si>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</si>
  <si>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</si>
  <si>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</si>
  <si>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</si>
  <si>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</si>
  <si>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</si>
  <si>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</si>
  <si>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</si>
  <si>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</si>
  <si>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</si>
  <si>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</si>
  <si>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</si>
  <si>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</si>
  <si>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</si>
  <si>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</si>
  <si>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</si>
  <si>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</si>
  <si>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</si>
  <si>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</si>
  <si>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</si>
  <si>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</si>
  <si>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</si>
  <si>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</si>
  <si>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</si>
  <si>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</si>
  <si>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</si>
  <si>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</si>
  <si>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</si>
  <si>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</si>
  <si>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</si>
  <si>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</si>
  <si>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</si>
  <si>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</si>
  <si>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</si>
  <si>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</si>
  <si>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</si>
  <si>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</si>
  <si>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</si>
  <si>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</si>
  <si>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</si>
  <si>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</si>
  <si>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</si>
  <si>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</si>
  <si>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</si>
  <si>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</si>
  <si>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</si>
  <si>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</si>
  <si>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</si>
  <si>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</si>
  <si>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</si>
  <si>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</si>
  <si>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</si>
  <si>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</si>
  <si>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</si>
  <si>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</si>
  <si>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</si>
  <si>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</si>
  <si>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</si>
  <si>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</si>
  <si>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</si>
  <si>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</si>
  <si>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</si>
  <si>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</si>
  <si>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</si>
  <si>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</si>
  <si>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</si>
  <si>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</si>
  <si>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</si>
  <si>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</si>
  <si>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</si>
  <si>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</si>
  <si>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</si>
  <si>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</si>
  <si>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</si>
  <si>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</si>
  <si>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</si>
  <si>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</si>
  <si>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</si>
  <si>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</si>
  <si>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</si>
  <si>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</si>
  <si>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</si>
  <si>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</si>
  <si>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</si>
  <si>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</si>
  <si>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</si>
  <si>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</si>
  <si>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</si>
  <si>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</si>
  <si>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</si>
  <si>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</si>
  <si>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</si>
  <si>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</si>
  <si>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</si>
  <si>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</si>
  <si>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</si>
  <si>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</si>
  <si>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</si>
  <si>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</si>
  <si>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</si>
  <si>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</si>
  <si>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</si>
  <si>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</si>
  <si>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</si>
  <si>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</si>
  <si>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</si>
  <si>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</si>
  <si>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</si>
  <si>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</si>
  <si>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</si>
  <si>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</si>
  <si>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</si>
  <si>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</si>
  <si>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</si>
  <si>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</si>
  <si>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</si>
  <si>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</si>
  <si>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</si>
  <si>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</si>
  <si>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</si>
  <si>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</si>
  <si>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</si>
  <si>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</si>
  <si>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</si>
  <si>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</si>
  <si>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</si>
  <si>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</si>
  <si>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</si>
  <si>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</si>
  <si>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</si>
  <si>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</si>
  <si>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</si>
  <si>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</si>
  <si>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</si>
  <si>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</si>
  <si>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</si>
  <si>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</si>
  <si>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</si>
  <si>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</si>
  <si>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</si>
  <si>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</si>
  <si>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</si>
  <si>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</si>
  <si>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</si>
  <si>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</si>
  <si>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</si>
  <si>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</si>
  <si>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</si>
  <si>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</si>
  <si>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</si>
  <si>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</si>
  <si>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</si>
  <si>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</si>
  <si>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</si>
  <si>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</si>
  <si>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</si>
  <si>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</si>
  <si>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</si>
  <si>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</si>
  <si>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</si>
  <si>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</si>
  <si>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</si>
  <si>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</si>
  <si>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</si>
  <si>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</si>
  <si>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</si>
  <si>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</si>
  <si>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</si>
  <si>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</si>
  <si>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</si>
  <si>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</si>
  <si>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</si>
  <si>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</si>
  <si>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</si>
  <si>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</si>
  <si>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</si>
  <si>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</si>
  <si>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</si>
  <si>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</si>
  <si>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</si>
  <si>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</si>
  <si>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</si>
  <si>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</si>
  <si>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</si>
  <si>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</si>
  <si>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</si>
  <si>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</si>
  <si>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</si>
  <si>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</si>
  <si>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</si>
  <si>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</si>
  <si>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</si>
  <si>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</si>
  <si>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</si>
  <si>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</si>
  <si>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</si>
  <si>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</si>
  <si>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</si>
  <si>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</si>
  <si>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</si>
  <si>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</si>
  <si>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</si>
  <si>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</si>
  <si>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</si>
  <si>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</si>
  <si>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</si>
  <si>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</si>
  <si>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</si>
  <si>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</si>
  <si>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</si>
  <si>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</si>
  <si>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</si>
  <si>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</si>
  <si>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</si>
  <si>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Column1</t>
  </si>
  <si>
    <t>customerSegment</t>
  </si>
  <si>
    <t>ChurnRisk</t>
  </si>
  <si>
    <t>Row Labels</t>
  </si>
  <si>
    <t>Grand Total</t>
  </si>
  <si>
    <t>Count of customerID</t>
  </si>
  <si>
    <t>Column Labels</t>
  </si>
  <si>
    <t>High Value</t>
  </si>
  <si>
    <t>Low Value</t>
  </si>
  <si>
    <t>Medium Value</t>
  </si>
  <si>
    <t>Sum of CLV</t>
  </si>
  <si>
    <t>TenureGroup</t>
  </si>
  <si>
    <t>0-1 Year</t>
  </si>
  <si>
    <t>1-2 Years</t>
  </si>
  <si>
    <t>2-4 Years</t>
  </si>
  <si>
    <t>4+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</si>
</sst>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quot;M&quot;"/>
    <numFmt numFmtId="166"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165" fontId="0" fillId="0" borderId="0" xfId="0" applyNumberFormat="1"/>
    <xf numFmtId="166"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
    <dxf>
      <numFmt numFmtId="0" formatCode="General"/>
    </dxf>
    <dxf>
      <numFmt numFmtId="0" formatCode="General"/>
    </dxf>
    <dxf>
      <numFmt numFmtId="166" formatCode="&quot;₹&quot;\ #,##0"/>
    </dxf>
    <dxf>
      <numFmt numFmtId="166" formatCode="&quot;₹&quot;\ #,##0"/>
    </dxf>
    <dxf>
      <numFmt numFmtId="166" formatCode="&quot;₹&quot;\ #,##0"/>
    </dxf>
    <dxf>
      <font>
        <b/>
        <i val="0"/>
        <sz val="9"/>
        <name val="Calibri"/>
        <scheme val="minor"/>
      </font>
    </dxf>
    <dxf>
      <font>
        <b val="0"/>
        <i val="0"/>
        <sz val="8"/>
        <color theme="0"/>
        <name val="Calibri Light"/>
        <scheme val="major"/>
      </font>
      <fill>
        <patternFill>
          <bgColor rgb="FF002060"/>
        </patternFill>
      </fill>
    </dxf>
    <dxf>
      <font>
        <b val="0"/>
        <i val="0"/>
        <sz val="10"/>
        <color theme="8" tint="0.79998168889431442"/>
        <name val="Bahnschrift SemiBold"/>
        <scheme val="none"/>
      </font>
    </dxf>
    <dxf>
      <font>
        <b val="0"/>
        <i val="0"/>
        <u/>
        <sz val="8"/>
        <color rgb="FF002060"/>
        <name val="Calibri Light"/>
        <scheme val="major"/>
      </font>
    </dxf>
    <dxf>
      <font>
        <b val="0"/>
        <i val="0"/>
        <sz val="8"/>
        <color theme="8" tint="-0.24994659260841701"/>
        <name val="Calibri Light"/>
        <scheme val="major"/>
      </font>
    </dxf>
    <dxf>
      <font>
        <color rgb="FF002060"/>
      </font>
    </dxf>
    <dxf>
      <font>
        <color rgb="FF002060"/>
      </font>
    </dxf>
  </dxfs>
  <tableStyles count="6" defaultTableStyle="TableStyleMedium2" defaultPivotStyle="PivotStyleLight16">
    <tableStyle name="Slicer Style 1" pivot="0" table="0" count="1">
      <tableStyleElement type="wholeTable" dxfId="11"/>
    </tableStyle>
    <tableStyle name="Slicer Style 2" pivot="0" table="0" count="4">
      <tableStyleElement type="wholeTable" dxfId="10"/>
      <tableStyleElement type="headerRow" dxfId="9"/>
    </tableStyle>
    <tableStyle name="Slicer Style 3" pivot="0" table="0" count="10">
      <tableStyleElement type="wholeTable" dxfId="8"/>
      <tableStyleElement type="headerRow" dxfId="7"/>
    </tableStyle>
    <tableStyle name="Slicer Style 4" pivot="0" table="0" count="0"/>
    <tableStyle name="Slicer Style 5" pivot="0" table="0" count="5">
      <tableStyleElement type="wholeTable" dxfId="6"/>
      <tableStyleElement type="headerRow" dxfId="5"/>
    </tableStyle>
    <tableStyle name="Slicer Style 6" pivot="0" table="0" count="0"/>
  </tableStyles>
  <colors>
    <mruColors>
      <color rgb="FF000000"/>
    </mruColors>
  </colors>
  <extLst>
    <ext xmlns:x14="http://schemas.microsoft.com/office/spreadsheetml/2009/9/main" uri="{46F421CA-312F-682f-3DD2-61675219B42D}">
      <x14:dxfs count="13">
        <dxf>
          <font>
            <b/>
            <i val="0"/>
            <sz val="8"/>
            <name val="Calibri"/>
            <scheme val="minor"/>
          </font>
          <fill>
            <patternFill>
              <bgColor theme="2" tint="-0.89996032593768116"/>
            </patternFill>
          </fill>
        </dxf>
        <dxf>
          <font>
            <b val="0"/>
            <i val="0"/>
            <sz val="10"/>
            <color theme="0"/>
            <name val="Arial Rounded MT Bold"/>
            <scheme val="none"/>
          </font>
          <fill>
            <gradientFill degree="225">
              <stop position="0">
                <color theme="8" tint="-0.25098422193060094"/>
              </stop>
              <stop position="1">
                <color rgb="FF002060"/>
              </stop>
            </gradientFill>
          </fill>
        </dxf>
        <dxf>
          <font>
            <b val="0"/>
            <i val="0"/>
            <sz val="8"/>
            <color theme="0"/>
            <name val="Calibri"/>
            <scheme val="minor"/>
          </font>
          <fill>
            <patternFill>
              <bgColor theme="8" tint="-0.24994659260841701"/>
            </patternFill>
          </fill>
        </dxf>
        <dxf>
          <font>
            <b val="0"/>
            <i val="0"/>
            <sz val="8"/>
            <color theme="4" tint="-0.24994659260841701"/>
            <name val="Calibri Light"/>
            <scheme val="major"/>
          </font>
        </dxf>
        <dxf>
          <font>
            <b val="0"/>
            <i val="0"/>
            <sz val="8"/>
            <color theme="1"/>
            <name val="Calibri"/>
            <scheme val="minor"/>
          </font>
        </dxf>
        <dxf>
          <font>
            <b val="0"/>
            <i val="0"/>
            <sz val="8"/>
            <color theme="4" tint="-0.24994659260841701"/>
            <name val="Calibri Light"/>
            <scheme val="major"/>
          </font>
        </dxf>
        <dxf>
          <font>
            <b val="0"/>
            <i val="0"/>
            <sz val="8"/>
            <color theme="1"/>
            <name val="Calibri Light"/>
            <scheme val="major"/>
          </font>
        </dxf>
        <dxf>
          <font>
            <sz val="8"/>
            <color theme="1" tint="0.34998626667073579"/>
            <name val="Calibri"/>
            <scheme val="minor"/>
          </font>
        </dxf>
        <dxf>
          <font>
            <b val="0"/>
            <i val="0"/>
            <sz val="8"/>
            <color rgb="FF002060"/>
            <name val="Calibri"/>
            <scheme val="minor"/>
          </font>
        </dxf>
        <dxf>
          <font>
            <b val="0"/>
            <i val="0"/>
            <sz val="8"/>
            <color theme="8" tint="0.59996337778862885"/>
            <name val="Calibri Light"/>
            <scheme val="major"/>
          </font>
        </dxf>
        <dxf>
          <font>
            <b val="0"/>
            <i val="0"/>
            <sz val="8"/>
            <color theme="1" tint="0.499984740745262"/>
            <name val="Calibri"/>
            <scheme val="minor"/>
          </font>
        </dxf>
        <dxf>
          <font>
            <color theme="0" tint="-0.24994659260841701"/>
          </font>
        </dxf>
        <dxf>
          <font>
            <color theme="8" tint="0.59996337778862885"/>
          </font>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selectedItemWithData" dxfId="12"/>
            <x14:slicerStyleElement type="hoveredSelectedItemWithData" dxfId="11"/>
          </x14:slicerStyleElements>
        </x14:slicerStyle>
        <x14:slicerStyle name="Slicer Style 3">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4"/>
        <x14:slicerStyle name="Slicer Style 5">
          <x14:slicerStyleElements>
            <x14:slicerStyleElement type="unselectedItemWithData" dxfId="2"/>
            <x14:slicerStyleElement type="selectedItemWithData" dxfId="1"/>
            <x14:slicerStyleElement type="selectedItemWithNo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By Contract!PivotTable2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2802537182852144"/>
          <c:y val="0.15638670166229221"/>
          <c:w val="0.75669685039370083"/>
          <c:h val="0.65853091280256637"/>
        </c:manualLayout>
      </c:layout>
      <c:barChart>
        <c:barDir val="col"/>
        <c:grouping val="stacked"/>
        <c:varyColors val="0"/>
        <c:ser>
          <c:idx val="0"/>
          <c:order val="0"/>
          <c:tx>
            <c:strRef>
              <c:f>'Churn By Contract'!$B$3:$B$4</c:f>
              <c:strCache>
                <c:ptCount val="1"/>
                <c:pt idx="0">
                  <c:v>No</c:v>
                </c:pt>
              </c:strCache>
            </c:strRef>
          </c:tx>
          <c:spPr>
            <a:solidFill>
              <a:schemeClr val="accent1"/>
            </a:solidFill>
            <a:ln>
              <a:noFill/>
            </a:ln>
            <a:effectLst/>
          </c:spPr>
          <c:invertIfNegative val="0"/>
          <c:cat>
            <c:strRef>
              <c:f>'Churn By Contract'!$A$5:$A$8</c:f>
              <c:strCache>
                <c:ptCount val="3"/>
                <c:pt idx="0">
                  <c:v>Month-to-month</c:v>
                </c:pt>
                <c:pt idx="1">
                  <c:v>One year</c:v>
                </c:pt>
                <c:pt idx="2">
                  <c:v>Two year</c:v>
                </c:pt>
              </c:strCache>
            </c:strRef>
          </c:cat>
          <c:val>
            <c:numRef>
              <c:f>'Churn By Contract'!$B$5:$B$8</c:f>
              <c:numCache>
                <c:formatCode>General</c:formatCode>
                <c:ptCount val="3"/>
                <c:pt idx="0">
                  <c:v>2220</c:v>
                </c:pt>
                <c:pt idx="1">
                  <c:v>1306</c:v>
                </c:pt>
                <c:pt idx="2">
                  <c:v>1637</c:v>
                </c:pt>
              </c:numCache>
            </c:numRef>
          </c:val>
        </c:ser>
        <c:ser>
          <c:idx val="1"/>
          <c:order val="1"/>
          <c:tx>
            <c:strRef>
              <c:f>'Churn By Contract'!$C$3:$C$4</c:f>
              <c:strCache>
                <c:ptCount val="1"/>
                <c:pt idx="0">
                  <c:v>Yes</c:v>
                </c:pt>
              </c:strCache>
            </c:strRef>
          </c:tx>
          <c:spPr>
            <a:solidFill>
              <a:schemeClr val="accent2"/>
            </a:solidFill>
            <a:ln>
              <a:noFill/>
            </a:ln>
            <a:effectLst/>
          </c:spPr>
          <c:invertIfNegative val="0"/>
          <c:cat>
            <c:strRef>
              <c:f>'Churn By Contract'!$A$5:$A$8</c:f>
              <c:strCache>
                <c:ptCount val="3"/>
                <c:pt idx="0">
                  <c:v>Month-to-month</c:v>
                </c:pt>
                <c:pt idx="1">
                  <c:v>One year</c:v>
                </c:pt>
                <c:pt idx="2">
                  <c:v>Two year</c:v>
                </c:pt>
              </c:strCache>
            </c:strRef>
          </c:cat>
          <c:val>
            <c:numRef>
              <c:f>'Churn By Contract'!$C$5:$C$8</c:f>
              <c:numCache>
                <c:formatCode>General</c:formatCode>
                <c:ptCount val="3"/>
                <c:pt idx="0">
                  <c:v>1655</c:v>
                </c:pt>
                <c:pt idx="1">
                  <c:v>166</c:v>
                </c:pt>
                <c:pt idx="2">
                  <c:v>48</c:v>
                </c:pt>
              </c:numCache>
            </c:numRef>
          </c:val>
        </c:ser>
        <c:dLbls>
          <c:showLegendKey val="0"/>
          <c:showVal val="0"/>
          <c:showCatName val="0"/>
          <c:showSerName val="0"/>
          <c:showPercent val="0"/>
          <c:showBubbleSize val="0"/>
        </c:dLbls>
        <c:gapWidth val="219"/>
        <c:overlap val="100"/>
        <c:axId val="362044952"/>
        <c:axId val="362039072"/>
      </c:barChart>
      <c:catAx>
        <c:axId val="362044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39072"/>
        <c:crosses val="autoZero"/>
        <c:auto val="1"/>
        <c:lblAlgn val="ctr"/>
        <c:lblOffset val="100"/>
        <c:noMultiLvlLbl val="0"/>
      </c:catAx>
      <c:valAx>
        <c:axId val="36203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44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Distribution!PivotTable1</c:name>
    <c:fmtId val="19"/>
  </c:pivotSource>
  <c:chart>
    <c:title>
      <c:tx>
        <c:rich>
          <a:bodyPr rot="0" spcFirstLastPara="1" vertOverflow="ellipsis" vert="horz" wrap="square" anchor="ctr" anchorCtr="1"/>
          <a:lstStyle/>
          <a:p>
            <a:pPr algn="ctr">
              <a:defRPr sz="1680" b="0" i="0" u="none" strike="noStrike" kern="1200" spc="0" baseline="0">
                <a:solidFill>
                  <a:schemeClr val="bg1"/>
                </a:solidFill>
                <a:latin typeface="+mn-lt"/>
                <a:ea typeface="+mn-ea"/>
                <a:cs typeface="+mn-cs"/>
              </a:defRPr>
            </a:pPr>
            <a:r>
              <a:rPr lang="en-US" b="1"/>
              <a:t>Customer Churn Distribution</a:t>
            </a:r>
          </a:p>
        </c:rich>
      </c:tx>
      <c:layout>
        <c:manualLayout>
          <c:xMode val="edge"/>
          <c:yMode val="edge"/>
          <c:x val="0.18307878787878784"/>
          <c:y val="5.9425180461449893E-2"/>
        </c:manualLayout>
      </c:layout>
      <c:overlay val="0"/>
      <c:spPr>
        <a:solidFill>
          <a:srgbClr val="002060"/>
        </a:solidFill>
        <a:ln>
          <a:noFill/>
        </a:ln>
        <a:effectLst/>
      </c:spPr>
      <c:txPr>
        <a:bodyPr rot="0" spcFirstLastPara="1" vertOverflow="ellipsis" vert="horz" wrap="square" anchor="ctr" anchorCtr="1"/>
        <a:lstStyle/>
        <a:p>
          <a:pPr algn="ctr">
            <a:defRPr sz="16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cap="rnd" cmpd="sng">
            <a:solidFill>
              <a:srgbClr val="002060"/>
            </a:solidFill>
            <a:miter lim="800000"/>
          </a:ln>
          <a:effectLst/>
        </c:spPr>
        <c:marker>
          <c:symbol val="none"/>
        </c:marker>
        <c:dLbl>
          <c:idx val="0"/>
          <c:layout/>
          <c:numFmt formatCode="General" sourceLinked="0"/>
          <c:spPr>
            <a:solidFill>
              <a:schemeClr val="tx1"/>
            </a:solid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cap="rnd" cmpd="sng">
            <a:solidFill>
              <a:srgbClr val="002060"/>
            </a:solidFill>
            <a:miter lim="800000"/>
          </a:ln>
          <a:effectLst/>
        </c:spPr>
      </c:pivotFmt>
      <c:pivotFmt>
        <c:idx val="6"/>
        <c:spPr>
          <a:solidFill>
            <a:schemeClr val="accent1"/>
          </a:solidFill>
          <a:ln w="19050" cap="rnd" cmpd="sng">
            <a:solidFill>
              <a:srgbClr val="002060"/>
            </a:solidFill>
            <a:miter lim="800000"/>
          </a:ln>
          <a:effectLst/>
        </c:spPr>
      </c:pivotFmt>
    </c:pivotFmts>
    <c:plotArea>
      <c:layout>
        <c:manualLayout>
          <c:layoutTarget val="inner"/>
          <c:xMode val="edge"/>
          <c:yMode val="edge"/>
          <c:x val="0.24038915827295929"/>
          <c:y val="0.30481311684821416"/>
          <c:w val="0.53391622922134729"/>
          <c:h val="0.78337890055409742"/>
        </c:manualLayout>
      </c:layout>
      <c:doughnutChart>
        <c:varyColors val="1"/>
        <c:ser>
          <c:idx val="0"/>
          <c:order val="0"/>
          <c:tx>
            <c:strRef>
              <c:f>'Churn Distribution'!$B$3</c:f>
              <c:strCache>
                <c:ptCount val="1"/>
                <c:pt idx="0">
                  <c:v>Total</c:v>
                </c:pt>
              </c:strCache>
            </c:strRef>
          </c:tx>
          <c:spPr>
            <a:ln cap="rnd" cmpd="sng">
              <a:solidFill>
                <a:srgbClr val="002060"/>
              </a:solidFill>
              <a:miter lim="800000"/>
            </a:ln>
          </c:spPr>
          <c:explosion val="5"/>
          <c:dPt>
            <c:idx val="0"/>
            <c:bubble3D val="0"/>
            <c:spPr>
              <a:solidFill>
                <a:schemeClr val="accent1"/>
              </a:solidFill>
              <a:ln w="19050" cap="rnd" cmpd="sng">
                <a:solidFill>
                  <a:srgbClr val="002060"/>
                </a:solidFill>
                <a:miter lim="800000"/>
              </a:ln>
              <a:effectLst/>
            </c:spPr>
          </c:dPt>
          <c:dPt>
            <c:idx val="1"/>
            <c:bubble3D val="0"/>
            <c:spPr>
              <a:solidFill>
                <a:schemeClr val="accent2"/>
              </a:solidFill>
              <a:ln w="19050" cap="rnd" cmpd="sng">
                <a:solidFill>
                  <a:srgbClr val="002060"/>
                </a:solidFill>
                <a:miter lim="800000"/>
              </a:ln>
              <a:effectLst/>
            </c:spPr>
          </c:dPt>
          <c:dLbls>
            <c:numFmt formatCode="General" sourceLinked="0"/>
            <c:spPr>
              <a:solidFill>
                <a:schemeClr val="tx1"/>
              </a:solid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'Churn Distribution'!$A$4:$A$6</c:f>
              <c:strCache>
                <c:ptCount val="2"/>
                <c:pt idx="0">
                  <c:v>No</c:v>
                </c:pt>
                <c:pt idx="1">
                  <c:v>Yes</c:v>
                </c:pt>
              </c:strCache>
            </c:strRef>
          </c:cat>
          <c:val>
            <c:numRef>
              <c:f>'Churn Distribution'!$B$4:$B$6</c:f>
              <c:numCache>
                <c:formatCode>General</c:formatCode>
                <c:ptCount val="2"/>
                <c:pt idx="0">
                  <c:v>5163</c:v>
                </c:pt>
                <c:pt idx="1">
                  <c:v>1869</c:v>
                </c:pt>
              </c:numCache>
            </c:numRef>
          </c:val>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1834534784173107"/>
          <c:y val="0.49011782892501488"/>
          <c:w val="0.12807945705175131"/>
          <c:h val="0.2090872586295697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noFill/>
      <a:round/>
    </a:ln>
    <a:effectLst>
      <a:glow rad="228600">
        <a:schemeClr val="accent1">
          <a:satMod val="175000"/>
          <a:alpha val="40000"/>
        </a:schemeClr>
      </a:glow>
    </a:effectLst>
  </c:spPr>
  <c:txPr>
    <a:bodyPr/>
    <a:lstStyle/>
    <a:p>
      <a:pPr>
        <a:defRPr sz="1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By Contract!PivotTable2</c:name>
    <c:fmtId val="7"/>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IN" sz="1600"/>
              <a:t>Churn By Contract Type</a:t>
            </a:r>
          </a:p>
        </c:rich>
      </c:tx>
      <c:layout>
        <c:manualLayout>
          <c:xMode val="edge"/>
          <c:yMode val="edge"/>
          <c:x val="0.27230176767676767"/>
          <c:y val="8.1400823701341829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15217373869932924"/>
          <c:w val="0.81805555555555554"/>
          <c:h val="0.70338983668708066"/>
        </c:manualLayout>
      </c:layout>
      <c:barChart>
        <c:barDir val="col"/>
        <c:grouping val="stacked"/>
        <c:varyColors val="0"/>
        <c:ser>
          <c:idx val="0"/>
          <c:order val="0"/>
          <c:tx>
            <c:strRef>
              <c:f>'Churn By Contract'!$B$3:$B$4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Contract'!$A$5:$A$8</c:f>
              <c:strCache>
                <c:ptCount val="3"/>
                <c:pt idx="0">
                  <c:v>Month-to-month</c:v>
                </c:pt>
                <c:pt idx="1">
                  <c:v>One year</c:v>
                </c:pt>
                <c:pt idx="2">
                  <c:v>Two year</c:v>
                </c:pt>
              </c:strCache>
            </c:strRef>
          </c:cat>
          <c:val>
            <c:numRef>
              <c:f>'Churn By Contract'!$B$5:$B$8</c:f>
              <c:numCache>
                <c:formatCode>General</c:formatCode>
                <c:ptCount val="3"/>
                <c:pt idx="0">
                  <c:v>2220</c:v>
                </c:pt>
                <c:pt idx="1">
                  <c:v>1306</c:v>
                </c:pt>
                <c:pt idx="2">
                  <c:v>1637</c:v>
                </c:pt>
              </c:numCache>
            </c:numRef>
          </c:val>
        </c:ser>
        <c:ser>
          <c:idx val="1"/>
          <c:order val="1"/>
          <c:tx>
            <c:strRef>
              <c:f>'Churn By Contract'!$C$3:$C$4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Contract'!$A$5:$A$8</c:f>
              <c:strCache>
                <c:ptCount val="3"/>
                <c:pt idx="0">
                  <c:v>Month-to-month</c:v>
                </c:pt>
                <c:pt idx="1">
                  <c:v>One year</c:v>
                </c:pt>
                <c:pt idx="2">
                  <c:v>Two year</c:v>
                </c:pt>
              </c:strCache>
            </c:strRef>
          </c:cat>
          <c:val>
            <c:numRef>
              <c:f>'Churn By Contract'!$C$5:$C$8</c:f>
              <c:numCache>
                <c:formatCode>General</c:formatCode>
                <c:ptCount val="3"/>
                <c:pt idx="0">
                  <c:v>1655</c:v>
                </c:pt>
                <c:pt idx="1">
                  <c:v>166</c:v>
                </c:pt>
                <c:pt idx="2">
                  <c:v>48</c:v>
                </c:pt>
              </c:numCache>
            </c:numRef>
          </c:val>
        </c:ser>
        <c:dLbls>
          <c:dLblPos val="ctr"/>
          <c:showLegendKey val="0"/>
          <c:showVal val="1"/>
          <c:showCatName val="0"/>
          <c:showSerName val="0"/>
          <c:showPercent val="0"/>
          <c:showBubbleSize val="0"/>
        </c:dLbls>
        <c:gapWidth val="219"/>
        <c:overlap val="100"/>
        <c:axId val="362037896"/>
        <c:axId val="362042600"/>
      </c:barChart>
      <c:catAx>
        <c:axId val="362037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62042600"/>
        <c:crosses val="autoZero"/>
        <c:auto val="1"/>
        <c:lblAlgn val="ctr"/>
        <c:lblOffset val="100"/>
        <c:noMultiLvlLbl val="0"/>
      </c:catAx>
      <c:valAx>
        <c:axId val="362042600"/>
        <c:scaling>
          <c:orientation val="minMax"/>
        </c:scaling>
        <c:delete val="1"/>
        <c:axPos val="l"/>
        <c:numFmt formatCode="General" sourceLinked="1"/>
        <c:majorTickMark val="out"/>
        <c:minorTickMark val="none"/>
        <c:tickLblPos val="nextTo"/>
        <c:crossAx val="362037896"/>
        <c:crosses val="autoZero"/>
        <c:crossBetween val="between"/>
      </c:valAx>
      <c:spPr>
        <a:solidFill>
          <a:srgbClr val="002060"/>
        </a:solid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noFill/>
      <a:round/>
    </a:ln>
    <a:effectLst>
      <a:glow rad="228600">
        <a:schemeClr val="accent5">
          <a:satMod val="175000"/>
          <a:alpha val="40000"/>
        </a:schemeClr>
      </a:glow>
      <a:outerShdw blurRad="63500" sx="102000" sy="102000" algn="ctr" rotWithShape="0">
        <a:schemeClr val="accent5">
          <a:lumMod val="75000"/>
          <a:alpha val="40000"/>
        </a:schemeClr>
      </a:outerShdw>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By Payment Method!PivotTable4</c:name>
    <c:fmtId val="3"/>
  </c:pivotSource>
  <c:chart>
    <c:title>
      <c:tx>
        <c:rich>
          <a:bodyPr rot="0" spcFirstLastPara="1" vertOverflow="ellipsis" vert="horz" wrap="square" anchor="ctr" anchorCtr="1"/>
          <a:lstStyle/>
          <a:p>
            <a:pPr>
              <a:defRPr sz="1320" b="0" i="0" u="none" strike="noStrike" kern="1200" spc="0" baseline="0">
                <a:ln>
                  <a:solidFill>
                    <a:schemeClr val="bg1"/>
                  </a:solidFill>
                </a:ln>
                <a:solidFill>
                  <a:schemeClr val="bg1"/>
                </a:solidFill>
                <a:latin typeface="+mn-lt"/>
                <a:ea typeface="+mn-ea"/>
                <a:cs typeface="+mn-cs"/>
              </a:defRPr>
            </a:pPr>
            <a:r>
              <a:rPr lang="en-IN" sz="1600" b="0"/>
              <a:t>Churn By Payment Method</a:t>
            </a:r>
          </a:p>
        </c:rich>
      </c:tx>
      <c:layout/>
      <c:overlay val="0"/>
      <c:spPr>
        <a:noFill/>
        <a:ln>
          <a:noFill/>
        </a:ln>
        <a:effectLst/>
      </c:spPr>
      <c:txPr>
        <a:bodyPr rot="0" spcFirstLastPara="1" vertOverflow="ellipsis" vert="horz" wrap="square" anchor="ctr" anchorCtr="1"/>
        <a:lstStyle/>
        <a:p>
          <a:pPr>
            <a:defRPr sz="132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solidFill>
              <a:srgbClr val="002060"/>
            </a:solid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029110934534755E-2"/>
          <c:y val="0.13169875118583466"/>
          <c:w val="0.88737494448718768"/>
          <c:h val="0.80676832393708964"/>
        </c:manualLayout>
      </c:layout>
      <c:barChart>
        <c:barDir val="col"/>
        <c:grouping val="clustered"/>
        <c:varyColors val="0"/>
        <c:ser>
          <c:idx val="0"/>
          <c:order val="0"/>
          <c:tx>
            <c:strRef>
              <c:f>'Churn By Payment Method'!$B$3:$B$4</c:f>
              <c:strCache>
                <c:ptCount val="1"/>
                <c:pt idx="0">
                  <c:v>No</c:v>
                </c:pt>
              </c:strCache>
            </c:strRef>
          </c:tx>
          <c:spPr>
            <a:solidFill>
              <a:schemeClr val="accent1"/>
            </a:solidFill>
            <a:ln>
              <a:noFill/>
            </a:ln>
            <a:effectLst/>
          </c:spPr>
          <c:invertIfNegative val="0"/>
          <c:dLbls>
            <c:spPr>
              <a:solidFill>
                <a:srgbClr val="002060"/>
              </a:solid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Payment Method'!$A$5:$A$9</c:f>
              <c:strCache>
                <c:ptCount val="4"/>
                <c:pt idx="0">
                  <c:v>Bank transfer (automatic)</c:v>
                </c:pt>
                <c:pt idx="1">
                  <c:v>Credit card (automatic)</c:v>
                </c:pt>
                <c:pt idx="2">
                  <c:v>Electronic check</c:v>
                </c:pt>
                <c:pt idx="3">
                  <c:v>Mailed check</c:v>
                </c:pt>
              </c:strCache>
            </c:strRef>
          </c:cat>
          <c:val>
            <c:numRef>
              <c:f>'Churn By Payment Method'!$B$5:$B$9</c:f>
              <c:numCache>
                <c:formatCode>General</c:formatCode>
                <c:ptCount val="4"/>
                <c:pt idx="0">
                  <c:v>1284</c:v>
                </c:pt>
                <c:pt idx="1">
                  <c:v>1289</c:v>
                </c:pt>
                <c:pt idx="2">
                  <c:v>1294</c:v>
                </c:pt>
                <c:pt idx="3">
                  <c:v>1296</c:v>
                </c:pt>
              </c:numCache>
            </c:numRef>
          </c:val>
        </c:ser>
        <c:ser>
          <c:idx val="1"/>
          <c:order val="1"/>
          <c:tx>
            <c:strRef>
              <c:f>'Churn By Payment Method'!$C$3:$C$4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Payment Method'!$A$5:$A$9</c:f>
              <c:strCache>
                <c:ptCount val="4"/>
                <c:pt idx="0">
                  <c:v>Bank transfer (automatic)</c:v>
                </c:pt>
                <c:pt idx="1">
                  <c:v>Credit card (automatic)</c:v>
                </c:pt>
                <c:pt idx="2">
                  <c:v>Electronic check</c:v>
                </c:pt>
                <c:pt idx="3">
                  <c:v>Mailed check</c:v>
                </c:pt>
              </c:strCache>
            </c:strRef>
          </c:cat>
          <c:val>
            <c:numRef>
              <c:f>'Churn By Payment Method'!$C$5:$C$9</c:f>
              <c:numCache>
                <c:formatCode>General</c:formatCode>
                <c:ptCount val="4"/>
                <c:pt idx="0">
                  <c:v>258</c:v>
                </c:pt>
                <c:pt idx="1">
                  <c:v>232</c:v>
                </c:pt>
                <c:pt idx="2">
                  <c:v>1071</c:v>
                </c:pt>
                <c:pt idx="3">
                  <c:v>308</c:v>
                </c:pt>
              </c:numCache>
            </c:numRef>
          </c:val>
        </c:ser>
        <c:dLbls>
          <c:dLblPos val="outEnd"/>
          <c:showLegendKey val="0"/>
          <c:showVal val="1"/>
          <c:showCatName val="0"/>
          <c:showSerName val="0"/>
          <c:showPercent val="0"/>
          <c:showBubbleSize val="0"/>
        </c:dLbls>
        <c:gapWidth val="219"/>
        <c:overlap val="-27"/>
        <c:axId val="362039464"/>
        <c:axId val="362040640"/>
      </c:barChart>
      <c:catAx>
        <c:axId val="362039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crossAx val="362040640"/>
        <c:crosses val="autoZero"/>
        <c:auto val="1"/>
        <c:lblAlgn val="ctr"/>
        <c:lblOffset val="100"/>
        <c:noMultiLvlLbl val="0"/>
      </c:catAx>
      <c:valAx>
        <c:axId val="362040640"/>
        <c:scaling>
          <c:orientation val="minMax"/>
        </c:scaling>
        <c:delete val="1"/>
        <c:axPos val="l"/>
        <c:numFmt formatCode="General" sourceLinked="1"/>
        <c:majorTickMark val="out"/>
        <c:minorTickMark val="none"/>
        <c:tickLblPos val="nextTo"/>
        <c:crossAx val="362039464"/>
        <c:crosses val="autoZero"/>
        <c:crossBetween val="between"/>
      </c:valAx>
      <c:spPr>
        <a:solidFill>
          <a:srgbClr val="002060"/>
        </a:solid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noFill/>
      <a:round/>
    </a:ln>
    <a:effectLst>
      <a:glow rad="254000">
        <a:schemeClr val="accent5">
          <a:satMod val="175000"/>
          <a:alpha val="50000"/>
        </a:schemeClr>
      </a:glow>
      <a:outerShdw blurRad="63500" sx="102000" sy="102000" algn="ctr" rotWithShape="0">
        <a:prstClr val="black">
          <a:alpha val="40000"/>
        </a:prstClr>
      </a:outerShdw>
    </a:effectLst>
  </c:spPr>
  <c:txPr>
    <a:bodyPr/>
    <a:lstStyle/>
    <a:p>
      <a:pPr>
        <a:defRPr sz="1100">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[customer_churn_analysis.xlsx]Revenue By Customer Segment!PivotTable3</c:name>
    <c:fmtId val="11"/>
  </c:pivotSource>
  <c:chart>
    <c:title>
      <c:tx>
        <c:rich>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r>
              <a:rPr lang="en-US"/>
              <a:t>Revenue By Customer Segment</a:t>
            </a:r>
          </a:p>
        </c:rich>
      </c:tx>
      <c:layout>
        <c:manualLayout>
          <c:xMode val="edge"/>
          <c:yMode val="edge"/>
          <c:x val="0.18116111111111113"/>
          <c:y val="1.3229166666666667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1181682992699094E-3"/>
              <c:y val="4.4716955754156539E-3"/>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33824234847576"/>
                  <c:h val="0.16625764149395475"/>
                </c:manualLayout>
              </c15:layout>
            </c:ext>
          </c:extLst>
        </c:dLbl>
      </c:pivotFmt>
      <c:pivotFmt>
        <c:idx val="4"/>
        <c:spPr>
          <a:solidFill>
            <a:schemeClr val="accent1"/>
          </a:solidFill>
          <a:ln>
            <a:noFill/>
          </a:ln>
          <a:effectLst/>
        </c:spPr>
        <c:dLbl>
          <c:idx val="0"/>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9279681562906"/>
                  <c:h val="0.16625764149395475"/>
                </c:manualLayout>
              </c15:layout>
            </c:ext>
          </c:extLst>
        </c:dLbl>
      </c:pivotFmt>
      <c:pivotFmt>
        <c:idx val="5"/>
        <c:spPr>
          <a:solidFill>
            <a:schemeClr val="accent1"/>
          </a:solidFill>
          <a:ln>
            <a:noFill/>
          </a:ln>
          <a:effectLst/>
        </c:spPr>
        <c:dLbl>
          <c:idx val="0"/>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1604946725207"/>
                  <c:h val="0.16625764149395475"/>
                </c:manualLayout>
              </c15:layout>
            </c:ext>
          </c:extLst>
        </c:dLbl>
      </c:pivotFmt>
    </c:pivotFmts>
    <c:plotArea>
      <c:layout>
        <c:manualLayout>
          <c:layoutTarget val="inner"/>
          <c:xMode val="edge"/>
          <c:yMode val="edge"/>
          <c:x val="0.14763011297401354"/>
          <c:y val="0.13704514581600699"/>
          <c:w val="0.70323064663023682"/>
          <c:h val="0.83278081006919591"/>
        </c:manualLayout>
      </c:layout>
      <c:barChart>
        <c:barDir val="bar"/>
        <c:grouping val="clustered"/>
        <c:varyColors val="0"/>
        <c:ser>
          <c:idx val="0"/>
          <c:order val="0"/>
          <c:tx>
            <c:strRef>
              <c:f>'Revenue By Customer Segment'!$B$3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Lbls>
            <c:dLbl>
              <c:idx val="0"/>
              <c:layout/>
              <c:dLblPos val="outEnd"/>
              <c:showLegendKey val="0"/>
              <c:showVal val="1"/>
              <c:showCatName val="0"/>
              <c:showSerName val="0"/>
              <c:showPercent val="0"/>
              <c:showBubbleSize val="0"/>
              <c:extLst>
                <c:ext xmlns:c15="http://schemas.microsoft.com/office/drawing/2012/chart" uri="{CE6537A1-D6FC-4f65-9D91-7224C49458BB}">
                  <c15:layout>
                    <c:manualLayout>
                      <c:w val="0.1981604946725207"/>
                      <c:h val="0.16625764149395475"/>
                    </c:manualLayout>
                  </c15:layout>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0559279681562906"/>
                      <c:h val="0.16625764149395475"/>
                    </c:manualLayout>
                  </c15:layout>
                </c:ext>
              </c:extLst>
            </c:dLbl>
            <c:dLbl>
              <c:idx val="2"/>
              <c:layout>
                <c:manualLayout>
                  <c:x val="4.1181682992699094E-3"/>
                  <c:y val="4.471695575415653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833824234847576"/>
                      <c:h val="0.16625764149395475"/>
                    </c:manualLayout>
                  </c15:layout>
                </c:ext>
              </c:extLst>
            </c:dLbl>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Customer Segment'!$A$4:$A$7</c:f>
              <c:strCache>
                <c:ptCount val="3"/>
                <c:pt idx="0">
                  <c:v>High Value</c:v>
                </c:pt>
                <c:pt idx="1">
                  <c:v>Low Value</c:v>
                </c:pt>
                <c:pt idx="2">
                  <c:v>Medium Value</c:v>
                </c:pt>
              </c:strCache>
            </c:strRef>
          </c:cat>
          <c:val>
            <c:numRef>
              <c:f>'Revenue By Customer Segment'!$B$4:$B$7</c:f>
              <c:numCache>
                <c:formatCode>"₹"\ #,##0</c:formatCode>
                <c:ptCount val="3"/>
                <c:pt idx="0">
                  <c:v>7351569.6000000034</c:v>
                </c:pt>
                <c:pt idx="1">
                  <c:v>2884863.0500000007</c:v>
                </c:pt>
                <c:pt idx="2">
                  <c:v>5818658.8000000045</c:v>
                </c:pt>
              </c:numCache>
            </c:numRef>
          </c:val>
        </c:ser>
        <c:dLbls>
          <c:dLblPos val="outEnd"/>
          <c:showLegendKey val="0"/>
          <c:showVal val="1"/>
          <c:showCatName val="0"/>
          <c:showSerName val="0"/>
          <c:showPercent val="0"/>
          <c:showBubbleSize val="0"/>
        </c:dLbls>
        <c:gapWidth val="219"/>
        <c:axId val="362041816"/>
        <c:axId val="362042992"/>
      </c:barChart>
      <c:catAx>
        <c:axId val="362041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62042992"/>
        <c:crosses val="autoZero"/>
        <c:auto val="1"/>
        <c:lblAlgn val="ctr"/>
        <c:lblOffset val="100"/>
        <c:noMultiLvlLbl val="0"/>
      </c:catAx>
      <c:valAx>
        <c:axId val="362042992"/>
        <c:scaling>
          <c:orientation val="minMax"/>
        </c:scaling>
        <c:delete val="1"/>
        <c:axPos val="b"/>
        <c:numFmt formatCode="&quot;₹&quot;\ #,##0" sourceLinked="1"/>
        <c:majorTickMark val="none"/>
        <c:minorTickMark val="none"/>
        <c:tickLblPos val="nextTo"/>
        <c:crossAx val="362041816"/>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a:glow rad="228600">
        <a:schemeClr val="accent5">
          <a:lumMod val="75000"/>
          <a:alpha val="40000"/>
        </a:schemeClr>
      </a:glow>
      <a:outerShdw blurRad="63500" sx="102000" sy="102000" algn="ctr" rotWithShape="0">
        <a:schemeClr val="accent5">
          <a:lumMod val="75000"/>
          <a:alpha val="46000"/>
        </a:schemeClr>
      </a:outerShdw>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By Tenure Group!PivotTable10</c:name>
    <c:fmtId val="11"/>
  </c:pivotSource>
  <c:chart>
    <c:title>
      <c:tx>
        <c:rich>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r>
              <a:rPr lang="en-IN" sz="1600"/>
              <a:t>Churn By Tenure Group</a:t>
            </a:r>
          </a:p>
        </c:rich>
      </c:tx>
      <c:layout/>
      <c:overlay val="0"/>
      <c:spPr>
        <a:noFill/>
        <a:ln>
          <a:noFill/>
        </a:ln>
        <a:effectLst/>
      </c:spPr>
      <c:txPr>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pivotFmt>
    </c:pivotFmts>
    <c:plotArea>
      <c:layout>
        <c:manualLayout>
          <c:layoutTarget val="inner"/>
          <c:xMode val="edge"/>
          <c:yMode val="edge"/>
          <c:x val="4.3738969686207677E-2"/>
          <c:y val="0.185402146513864"/>
          <c:w val="0.8809155234493915"/>
          <c:h val="0.65853091280256637"/>
        </c:manualLayout>
      </c:layout>
      <c:barChart>
        <c:barDir val="col"/>
        <c:grouping val="stacked"/>
        <c:varyColors val="0"/>
        <c:ser>
          <c:idx val="0"/>
          <c:order val="0"/>
          <c:tx>
            <c:strRef>
              <c:f>'Churn By Tenure Group'!$B$3:$B$4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Tenure Group'!$A$5:$A$9</c:f>
              <c:strCache>
                <c:ptCount val="4"/>
                <c:pt idx="0">
                  <c:v>0-1 Year</c:v>
                </c:pt>
                <c:pt idx="1">
                  <c:v>1-2 Years</c:v>
                </c:pt>
                <c:pt idx="2">
                  <c:v>2-4 Years</c:v>
                </c:pt>
                <c:pt idx="3">
                  <c:v>4+ Years</c:v>
                </c:pt>
              </c:strCache>
            </c:strRef>
          </c:cat>
          <c:val>
            <c:numRef>
              <c:f>'Churn By Tenure Group'!$B$5:$B$9</c:f>
              <c:numCache>
                <c:formatCode>General</c:formatCode>
                <c:ptCount val="4"/>
                <c:pt idx="0">
                  <c:v>1138</c:v>
                </c:pt>
                <c:pt idx="1">
                  <c:v>730</c:v>
                </c:pt>
                <c:pt idx="2">
                  <c:v>1269</c:v>
                </c:pt>
                <c:pt idx="3">
                  <c:v>2026</c:v>
                </c:pt>
              </c:numCache>
            </c:numRef>
          </c:val>
        </c:ser>
        <c:ser>
          <c:idx val="1"/>
          <c:order val="1"/>
          <c:tx>
            <c:strRef>
              <c:f>'Churn By Tenure Group'!$C$3:$C$4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Tenure Group'!$A$5:$A$9</c:f>
              <c:strCache>
                <c:ptCount val="4"/>
                <c:pt idx="0">
                  <c:v>0-1 Year</c:v>
                </c:pt>
                <c:pt idx="1">
                  <c:v>1-2 Years</c:v>
                </c:pt>
                <c:pt idx="2">
                  <c:v>2-4 Years</c:v>
                </c:pt>
                <c:pt idx="3">
                  <c:v>4+ Years</c:v>
                </c:pt>
              </c:strCache>
            </c:strRef>
          </c:cat>
          <c:val>
            <c:numRef>
              <c:f>'Churn By Tenure Group'!$C$5:$C$9</c:f>
              <c:numCache>
                <c:formatCode>General</c:formatCode>
                <c:ptCount val="4"/>
                <c:pt idx="0">
                  <c:v>1037</c:v>
                </c:pt>
                <c:pt idx="1">
                  <c:v>294</c:v>
                </c:pt>
                <c:pt idx="2">
                  <c:v>325</c:v>
                </c:pt>
                <c:pt idx="3">
                  <c:v>213</c:v>
                </c:pt>
              </c:numCache>
            </c:numRef>
          </c:val>
        </c:ser>
        <c:dLbls>
          <c:dLblPos val="ctr"/>
          <c:showLegendKey val="0"/>
          <c:showVal val="1"/>
          <c:showCatName val="0"/>
          <c:showSerName val="0"/>
          <c:showPercent val="0"/>
          <c:showBubbleSize val="0"/>
        </c:dLbls>
        <c:gapWidth val="219"/>
        <c:overlap val="100"/>
        <c:axId val="362043776"/>
        <c:axId val="362044168"/>
      </c:barChart>
      <c:catAx>
        <c:axId val="36204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62044168"/>
        <c:crosses val="autoZero"/>
        <c:auto val="1"/>
        <c:lblAlgn val="ctr"/>
        <c:lblOffset val="100"/>
        <c:noMultiLvlLbl val="0"/>
      </c:catAx>
      <c:valAx>
        <c:axId val="362044168"/>
        <c:scaling>
          <c:orientation val="minMax"/>
        </c:scaling>
        <c:delete val="1"/>
        <c:axPos val="l"/>
        <c:numFmt formatCode="General" sourceLinked="1"/>
        <c:majorTickMark val="out"/>
        <c:minorTickMark val="none"/>
        <c:tickLblPos val="nextTo"/>
        <c:crossAx val="362043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noFill/>
      <a:round/>
    </a:ln>
    <a:effectLst>
      <a:glow rad="228600">
        <a:schemeClr val="accent5">
          <a:lumMod val="75000"/>
          <a:alpha val="40000"/>
        </a:schemeClr>
      </a:glow>
      <a:outerShdw blurRad="63500" sx="102000" sy="102000" algn="ctr" rotWithShape="0">
        <a:schemeClr val="accent5">
          <a:lumMod val="75000"/>
          <a:alpha val="40000"/>
        </a:schemeClr>
      </a:outerShdw>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By Gender!PivotTable5</c:name>
    <c:fmtId val="7"/>
  </c:pivotSource>
  <c:chart>
    <c:title>
      <c:tx>
        <c:rich>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r>
              <a:rPr lang="en-IN" sz="1600"/>
              <a:t>Churn By Gender</a:t>
            </a:r>
          </a:p>
        </c:rich>
      </c:tx>
      <c:layout>
        <c:manualLayout>
          <c:xMode val="edge"/>
          <c:yMode val="edge"/>
          <c:x val="0.27423030303030305"/>
          <c:y val="2.6458333333333334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'Churn By Gender'!$B$3:$B$4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Gender'!$A$5:$A$7</c:f>
              <c:strCache>
                <c:ptCount val="2"/>
                <c:pt idx="0">
                  <c:v>Female</c:v>
                </c:pt>
                <c:pt idx="1">
                  <c:v>Male</c:v>
                </c:pt>
              </c:strCache>
            </c:strRef>
          </c:cat>
          <c:val>
            <c:numRef>
              <c:f>'Churn By Gender'!$B$5:$B$7</c:f>
              <c:numCache>
                <c:formatCode>General</c:formatCode>
                <c:ptCount val="2"/>
                <c:pt idx="0">
                  <c:v>2544</c:v>
                </c:pt>
                <c:pt idx="1">
                  <c:v>2619</c:v>
                </c:pt>
              </c:numCache>
            </c:numRef>
          </c:val>
        </c:ser>
        <c:ser>
          <c:idx val="1"/>
          <c:order val="1"/>
          <c:tx>
            <c:strRef>
              <c:f>'Churn By Gender'!$C$3:$C$4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 By Gender'!$A$5:$A$7</c:f>
              <c:strCache>
                <c:ptCount val="2"/>
                <c:pt idx="0">
                  <c:v>Female</c:v>
                </c:pt>
                <c:pt idx="1">
                  <c:v>Male</c:v>
                </c:pt>
              </c:strCache>
            </c:strRef>
          </c:cat>
          <c:val>
            <c:numRef>
              <c:f>'Churn By Gender'!$C$5:$C$7</c:f>
              <c:numCache>
                <c:formatCode>General</c:formatCode>
                <c:ptCount val="2"/>
                <c:pt idx="0">
                  <c:v>939</c:v>
                </c:pt>
                <c:pt idx="1">
                  <c:v>930</c:v>
                </c:pt>
              </c:numCache>
            </c:numRef>
          </c:val>
        </c:ser>
        <c:dLbls>
          <c:dLblPos val="outEnd"/>
          <c:showLegendKey val="0"/>
          <c:showVal val="1"/>
          <c:showCatName val="0"/>
          <c:showSerName val="0"/>
          <c:showPercent val="0"/>
          <c:showBubbleSize val="0"/>
        </c:dLbls>
        <c:gapWidth val="219"/>
        <c:overlap val="-27"/>
        <c:axId val="362041424"/>
        <c:axId val="373074504"/>
      </c:barChart>
      <c:catAx>
        <c:axId val="3620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73074504"/>
        <c:crosses val="autoZero"/>
        <c:auto val="1"/>
        <c:lblAlgn val="ctr"/>
        <c:lblOffset val="100"/>
        <c:noMultiLvlLbl val="0"/>
      </c:catAx>
      <c:valAx>
        <c:axId val="373074504"/>
        <c:scaling>
          <c:orientation val="minMax"/>
        </c:scaling>
        <c:delete val="1"/>
        <c:axPos val="l"/>
        <c:numFmt formatCode="General" sourceLinked="1"/>
        <c:majorTickMark val="none"/>
        <c:minorTickMark val="none"/>
        <c:tickLblPos val="nextTo"/>
        <c:crossAx val="362041424"/>
        <c:crosses val="autoZero"/>
        <c:crossBetween val="between"/>
      </c:valAx>
      <c:spPr>
        <a:solidFill>
          <a:srgbClr val="002060"/>
        </a:solid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solidFill>
    <a:ln w="9525" cap="flat" cmpd="sng" algn="ctr">
      <a:noFill/>
      <a:round/>
    </a:ln>
    <a:effectLst>
      <a:glow rad="228600">
        <a:schemeClr val="accent5">
          <a:lumMod val="75000"/>
          <a:alpha val="40000"/>
        </a:schemeClr>
      </a:glow>
      <a:outerShdw blurRad="63500" sx="102000" sy="102000" algn="ctr" rotWithShape="0">
        <a:schemeClr val="accent5">
          <a:lumMod val="75000"/>
          <a:alpha val="40000"/>
        </a:schemeClr>
      </a:outerShdw>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4.xml"/><Relationship Id="rId7" Type="http://schemas.openxmlformats.org/officeDocument/2006/relationships/image" Target="../media/image1.jpe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4.jpeg"/><Relationship Id="rId4" Type="http://schemas.openxmlformats.org/officeDocument/2006/relationships/chart" Target="../charts/chart5.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8</xdr:col>
      <xdr:colOff>53340</xdr:colOff>
      <xdr:row>6</xdr:row>
      <xdr:rowOff>175260</xdr:rowOff>
    </xdr:from>
    <xdr:to>
      <xdr:col>15</xdr:col>
      <xdr:colOff>358140</xdr:colOff>
      <xdr:row>21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27214</xdr:rowOff>
    </xdr:from>
    <xdr:to>
      <xdr:col>27</xdr:col>
      <xdr:colOff>190500</xdr:colOff>
      <xdr:row>54</xdr:row>
      <xdr:rowOff>95250</xdr:rowOff>
    </xdr:to>
    <xdr:sp macro="" textlink="">
      <xdr:nvSpPr>
        <xdr:cNvPr id="5" name="Rectangle 4"/>
        <xdr:cNvSpPr>
          <a:spLocks noChangeAspect="1"/>
        </xdr:cNvSpPr>
      </xdr:nvSpPr>
      <xdr:spPr>
        <a:xfrm>
          <a:off x="0" y="27214"/>
          <a:ext cx="16723179" cy="9620250"/>
        </a:xfrm>
        <a:prstGeom prst="rect">
          <a:avLst/>
        </a:prstGeom>
        <a:solidFill>
          <a:srgbClr val="002060"/>
        </a:solidFill>
        <a:effectLst>
          <a:glow rad="228600">
            <a:schemeClr val="accent5">
              <a:satMod val="175000"/>
              <a:alpha val="40000"/>
            </a:scheme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35560</xdr:colOff>
      <xdr:row>0</xdr:row>
      <xdr:rowOff>154576</xdr:rowOff>
    </xdr:from>
    <xdr:to>
      <xdr:col>3</xdr:col>
      <xdr:colOff>108858</xdr:colOff>
      <xdr:row>51</xdr:row>
      <xdr:rowOff>46263</xdr:rowOff>
    </xdr:to>
    <xdr:sp macro="" textlink="">
      <xdr:nvSpPr>
        <xdr:cNvPr id="2" name="Rectangle 1"/>
        <xdr:cNvSpPr/>
      </xdr:nvSpPr>
      <xdr:spPr>
        <a:xfrm>
          <a:off x="35560" y="154576"/>
          <a:ext cx="1910262" cy="8913223"/>
        </a:xfrm>
        <a:prstGeom prst="rect">
          <a:avLst/>
        </a:prstGeom>
        <a:solidFill>
          <a:srgbClr val="002060"/>
        </a:solidFill>
        <a:ln>
          <a:solidFill>
            <a:schemeClr val="accent5">
              <a:lumMod val="75000"/>
            </a:schemeClr>
          </a:solidFill>
        </a:ln>
        <a:effectLst>
          <a:glow rad="101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272505</xdr:colOff>
      <xdr:row>0</xdr:row>
      <xdr:rowOff>176891</xdr:rowOff>
    </xdr:from>
    <xdr:to>
      <xdr:col>25</xdr:col>
      <xdr:colOff>253305</xdr:colOff>
      <xdr:row>7</xdr:row>
      <xdr:rowOff>8378</xdr:rowOff>
    </xdr:to>
    <xdr:sp macro="" textlink="">
      <xdr:nvSpPr>
        <xdr:cNvPr id="7" name="Rounded Rectangle 6"/>
        <xdr:cNvSpPr/>
      </xdr:nvSpPr>
      <xdr:spPr>
        <a:xfrm>
          <a:off x="2109469" y="176891"/>
          <a:ext cx="13451872" cy="1069737"/>
        </a:xfrm>
        <a:prstGeom prst="roundRect">
          <a:avLst/>
        </a:prstGeom>
        <a:solidFill>
          <a:srgbClr val="002060"/>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Customer Churn Analytics Dashboard</a:t>
          </a:r>
        </a:p>
        <a:p>
          <a:pPr algn="ctr"/>
          <a:r>
            <a:rPr lang="en-IN" sz="2000" b="1"/>
            <a:t>Telco Customer Retention &amp; Revenue Analysis</a:t>
          </a:r>
        </a:p>
      </xdr:txBody>
    </xdr:sp>
    <xdr:clientData/>
  </xdr:twoCellAnchor>
  <xdr:twoCellAnchor>
    <xdr:from>
      <xdr:col>3</xdr:col>
      <xdr:colOff>474433</xdr:colOff>
      <xdr:row>7</xdr:row>
      <xdr:rowOff>126174</xdr:rowOff>
    </xdr:from>
    <xdr:to>
      <xdr:col>8</xdr:col>
      <xdr:colOff>306433</xdr:colOff>
      <xdr:row>12</xdr:row>
      <xdr:rowOff>33563</xdr:rowOff>
    </xdr:to>
    <xdr:sp macro="" textlink="">
      <xdr:nvSpPr>
        <xdr:cNvPr id="10" name="Rounded Rectangle 9"/>
        <xdr:cNvSpPr/>
      </xdr:nvSpPr>
      <xdr:spPr>
        <a:xfrm>
          <a:off x="2311397" y="1364424"/>
          <a:ext cx="2893607" cy="791853"/>
        </a:xfrm>
        <a:prstGeom prst="roundRect">
          <a:avLst/>
        </a:prstGeom>
        <a:solidFill>
          <a:srgbClr val="002060"/>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Total Customers</a:t>
          </a:r>
        </a:p>
        <a:p>
          <a:pPr algn="ctr"/>
          <a:r>
            <a:rPr lang="en-IN" sz="2400" b="0" i="0" u="none" strike="noStrike">
              <a:solidFill>
                <a:schemeClr val="lt1"/>
              </a:solidFill>
              <a:effectLst/>
              <a:latin typeface="+mn-lt"/>
              <a:ea typeface="+mn-ea"/>
              <a:cs typeface="+mn-cs"/>
            </a:rPr>
            <a:t>      7032</a:t>
          </a:r>
          <a:r>
            <a:rPr lang="en-IN" sz="2400" b="0"/>
            <a:t> </a:t>
          </a:r>
        </a:p>
      </xdr:txBody>
    </xdr:sp>
    <xdr:clientData/>
  </xdr:twoCellAnchor>
  <xdr:twoCellAnchor>
    <xdr:from>
      <xdr:col>9</xdr:col>
      <xdr:colOff>30111</xdr:colOff>
      <xdr:row>7</xdr:row>
      <xdr:rowOff>138738</xdr:rowOff>
    </xdr:from>
    <xdr:to>
      <xdr:col>13</xdr:col>
      <xdr:colOff>474433</xdr:colOff>
      <xdr:row>12</xdr:row>
      <xdr:rowOff>84363</xdr:rowOff>
    </xdr:to>
    <xdr:sp macro="" textlink="">
      <xdr:nvSpPr>
        <xdr:cNvPr id="12" name="Rounded Rectangle 11"/>
        <xdr:cNvSpPr/>
      </xdr:nvSpPr>
      <xdr:spPr>
        <a:xfrm>
          <a:off x="5541004" y="1376988"/>
          <a:ext cx="2893608" cy="830089"/>
        </a:xfrm>
        <a:prstGeom prst="roundRect">
          <a:avLst/>
        </a:prstGeom>
        <a:solidFill>
          <a:srgbClr val="002060"/>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Churn Customers</a:t>
          </a:r>
        </a:p>
        <a:p>
          <a:pPr algn="ctr"/>
          <a:r>
            <a:rPr lang="en-IN" sz="2400" b="0" i="0" u="none" strike="noStrike">
              <a:solidFill>
                <a:schemeClr val="lt1"/>
              </a:solidFill>
              <a:effectLst/>
              <a:latin typeface="+mn-lt"/>
              <a:ea typeface="+mn-ea"/>
              <a:cs typeface="+mn-cs"/>
            </a:rPr>
            <a:t>      1869</a:t>
          </a:r>
          <a:r>
            <a:rPr lang="en-IN" sz="2400" b="0"/>
            <a:t> </a:t>
          </a:r>
        </a:p>
      </xdr:txBody>
    </xdr:sp>
    <xdr:clientData/>
  </xdr:twoCellAnchor>
  <xdr:twoCellAnchor>
    <xdr:from>
      <xdr:col>14</xdr:col>
      <xdr:colOff>474433</xdr:colOff>
      <xdr:row>8</xdr:row>
      <xdr:rowOff>12781</xdr:rowOff>
    </xdr:from>
    <xdr:to>
      <xdr:col>19</xdr:col>
      <xdr:colOff>306433</xdr:colOff>
      <xdr:row>12</xdr:row>
      <xdr:rowOff>97063</xdr:rowOff>
    </xdr:to>
    <xdr:sp macro="" textlink="">
      <xdr:nvSpPr>
        <xdr:cNvPr id="13" name="Rounded Rectangle 12"/>
        <xdr:cNvSpPr/>
      </xdr:nvSpPr>
      <xdr:spPr>
        <a:xfrm>
          <a:off x="9046933" y="1427924"/>
          <a:ext cx="2893607" cy="791853"/>
        </a:xfrm>
        <a:prstGeom prst="roundRect">
          <a:avLst/>
        </a:prstGeom>
        <a:solidFill>
          <a:srgbClr val="002060"/>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Churn Rate</a:t>
          </a:r>
          <a:endParaRPr lang="en-IN" sz="1600" b="1" i="0" u="none" strike="noStrike">
            <a:solidFill>
              <a:schemeClr val="lt1"/>
            </a:solidFill>
            <a:effectLst/>
            <a:latin typeface="+mn-lt"/>
            <a:ea typeface="+mn-ea"/>
            <a:cs typeface="+mn-cs"/>
          </a:endParaRPr>
        </a:p>
        <a:p>
          <a:pPr algn="ctr"/>
          <a:r>
            <a:rPr lang="en-IN" sz="2400" b="0" i="0" u="none" strike="noStrike">
              <a:solidFill>
                <a:schemeClr val="lt1"/>
              </a:solidFill>
              <a:effectLst/>
              <a:latin typeface="+mn-lt"/>
              <a:ea typeface="+mn-ea"/>
              <a:cs typeface="+mn-cs"/>
            </a:rPr>
            <a:t>       26.6%</a:t>
          </a:r>
          <a:r>
            <a:rPr lang="en-IN" sz="2400" b="0"/>
            <a:t> </a:t>
          </a:r>
        </a:p>
      </xdr:txBody>
    </xdr:sp>
    <xdr:clientData/>
  </xdr:twoCellAnchor>
  <xdr:twoCellAnchor>
    <xdr:from>
      <xdr:col>20</xdr:col>
      <xdr:colOff>177446</xdr:colOff>
      <xdr:row>8</xdr:row>
      <xdr:rowOff>81</xdr:rowOff>
    </xdr:from>
    <xdr:to>
      <xdr:col>25</xdr:col>
      <xdr:colOff>9446</xdr:colOff>
      <xdr:row>12</xdr:row>
      <xdr:rowOff>108856</xdr:rowOff>
    </xdr:to>
    <xdr:sp macro="" textlink="">
      <xdr:nvSpPr>
        <xdr:cNvPr id="14" name="Rounded Rectangle 13"/>
        <xdr:cNvSpPr/>
      </xdr:nvSpPr>
      <xdr:spPr>
        <a:xfrm>
          <a:off x="12423875" y="1415224"/>
          <a:ext cx="2893607" cy="816346"/>
        </a:xfrm>
        <a:prstGeom prst="roundRect">
          <a:avLst/>
        </a:prstGeom>
        <a:solidFill>
          <a:srgbClr val="002060"/>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Total CLV</a:t>
          </a:r>
          <a:endParaRPr lang="en-IN" sz="1600" b="1" i="0" u="none" strike="noStrike">
            <a:solidFill>
              <a:schemeClr val="lt1"/>
            </a:solidFill>
            <a:effectLst/>
            <a:latin typeface="+mn-lt"/>
            <a:ea typeface="+mn-ea"/>
            <a:cs typeface="+mn-cs"/>
          </a:endParaRPr>
        </a:p>
        <a:p>
          <a:pPr algn="ctr"/>
          <a:r>
            <a:rPr lang="en-IN" sz="2400" b="0" i="0" u="none" strike="noStrike">
              <a:solidFill>
                <a:schemeClr val="lt1"/>
              </a:solidFill>
              <a:effectLst/>
              <a:latin typeface="+mn-lt"/>
              <a:ea typeface="+mn-ea"/>
              <a:cs typeface="+mn-cs"/>
            </a:rPr>
            <a:t>     16.06M</a:t>
          </a:r>
          <a:r>
            <a:rPr lang="en-IN" sz="2400" b="0"/>
            <a:t> </a:t>
          </a:r>
        </a:p>
      </xdr:txBody>
    </xdr:sp>
    <xdr:clientData/>
  </xdr:twoCellAnchor>
  <xdr:twoCellAnchor editAs="absolute">
    <xdr:from>
      <xdr:col>3</xdr:col>
      <xdr:colOff>421500</xdr:colOff>
      <xdr:row>16</xdr:row>
      <xdr:rowOff>15783</xdr:rowOff>
    </xdr:from>
    <xdr:to>
      <xdr:col>10</xdr:col>
      <xdr:colOff>165100</xdr:colOff>
      <xdr:row>31</xdr:row>
      <xdr:rowOff>146596</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284340</xdr:colOff>
      <xdr:row>15</xdr:row>
      <xdr:rowOff>116476</xdr:rowOff>
    </xdr:from>
    <xdr:to>
      <xdr:col>17</xdr:col>
      <xdr:colOff>586740</xdr:colOff>
      <xdr:row>31</xdr:row>
      <xdr:rowOff>71303</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512940</xdr:colOff>
      <xdr:row>15</xdr:row>
      <xdr:rowOff>97063</xdr:rowOff>
    </xdr:from>
    <xdr:to>
      <xdr:col>26</xdr:col>
      <xdr:colOff>244140</xdr:colOff>
      <xdr:row>32</xdr:row>
      <xdr:rowOff>84883</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408799</xdr:colOff>
      <xdr:row>34</xdr:row>
      <xdr:rowOff>162556</xdr:rowOff>
    </xdr:from>
    <xdr:to>
      <xdr:col>11</xdr:col>
      <xdr:colOff>285750</xdr:colOff>
      <xdr:row>50</xdr:row>
      <xdr:rowOff>172356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115290</xdr:colOff>
      <xdr:row>35</xdr:row>
      <xdr:rowOff>32141</xdr:rowOff>
    </xdr:from>
    <xdr:to>
      <xdr:col>18</xdr:col>
      <xdr:colOff>420411</xdr:colOff>
      <xdr:row>51</xdr:row>
      <xdr:rowOff>43435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372035</xdr:colOff>
      <xdr:row>35</xdr:row>
      <xdr:rowOff>23763</xdr:rowOff>
    </xdr:from>
    <xdr:to>
      <xdr:col>26</xdr:col>
      <xdr:colOff>100835</xdr:colOff>
      <xdr:row>51</xdr:row>
      <xdr:rowOff>33563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14</xdr:row>
      <xdr:rowOff>127256</xdr:rowOff>
    </xdr:from>
    <xdr:to>
      <xdr:col>3</xdr:col>
      <xdr:colOff>107036</xdr:colOff>
      <xdr:row>22</xdr:row>
      <xdr:rowOff>108856</xdr:rowOff>
    </xdr:to>
    <mc:AlternateContent xmlns:mc="http://schemas.openxmlformats.org/markup-compatibility/2006" xmlns:a14="http://schemas.microsoft.com/office/drawing/2010/main">
      <mc:Choice Requires="a14">
        <xdr:graphicFrame macro="">
          <xdr:nvGraphicFramePr>
            <xdr:cNvPr id="22"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0" y="2603756"/>
              <a:ext cx="1944000" cy="1396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127256</xdr:rowOff>
    </xdr:from>
    <xdr:to>
      <xdr:col>3</xdr:col>
      <xdr:colOff>107036</xdr:colOff>
      <xdr:row>30</xdr:row>
      <xdr:rowOff>108856</xdr:rowOff>
    </xdr:to>
    <mc:AlternateContent xmlns:mc="http://schemas.openxmlformats.org/markup-compatibility/2006" xmlns:a14="http://schemas.microsoft.com/office/drawing/2010/main">
      <mc:Choice Requires="a14">
        <xdr:graphicFrame macro="">
          <xdr:nvGraphicFramePr>
            <xdr:cNvPr id="23" name="TenureGroup"/>
            <xdr:cNvGraphicFramePr>
              <a:graphicFrameLocks/>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0" y="4018899"/>
              <a:ext cx="1944000" cy="1396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108856</xdr:rowOff>
    </xdr:from>
    <xdr:to>
      <xdr:col>3</xdr:col>
      <xdr:colOff>107036</xdr:colOff>
      <xdr:row>13</xdr:row>
      <xdr:rowOff>158056</xdr:rowOff>
    </xdr:to>
    <mc:AlternateContent xmlns:mc="http://schemas.openxmlformats.org/markup-compatibility/2006" xmlns:a14="http://schemas.microsoft.com/office/drawing/2010/main">
      <mc:Choice Requires="a14">
        <xdr:graphicFrame macro="">
          <xdr:nvGraphicFramePr>
            <xdr:cNvPr id="24"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0" y="1347106"/>
              <a:ext cx="1944000" cy="1110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108856</xdr:rowOff>
    </xdr:from>
    <xdr:to>
      <xdr:col>3</xdr:col>
      <xdr:colOff>107036</xdr:colOff>
      <xdr:row>6</xdr:row>
      <xdr:rowOff>165859</xdr:rowOff>
    </xdr:to>
    <mc:AlternateContent xmlns:mc="http://schemas.openxmlformats.org/markup-compatibility/2006" xmlns:a14="http://schemas.microsoft.com/office/drawing/2010/main">
      <mc:Choice Requires="a14">
        <xdr:graphicFrame macro="">
          <xdr:nvGraphicFramePr>
            <xdr:cNvPr id="2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639535"/>
              <a:ext cx="1944000" cy="587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121556</xdr:rowOff>
    </xdr:from>
    <xdr:to>
      <xdr:col>3</xdr:col>
      <xdr:colOff>107036</xdr:colOff>
      <xdr:row>49</xdr:row>
      <xdr:rowOff>58963</xdr:rowOff>
    </xdr:to>
    <mc:AlternateContent xmlns:mc="http://schemas.openxmlformats.org/markup-compatibility/2006" xmlns:a14="http://schemas.microsoft.com/office/drawing/2010/main">
      <mc:Choice Requires="a14">
        <xdr:graphicFrame macro="">
          <xdr:nvGraphicFramePr>
            <xdr:cNvPr id="32" name="tenure"/>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0" y="5428342"/>
              <a:ext cx="1944000" cy="329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48260</xdr:colOff>
      <xdr:row>1</xdr:row>
      <xdr:rowOff>108856</xdr:rowOff>
    </xdr:from>
    <xdr:to>
      <xdr:col>3</xdr:col>
      <xdr:colOff>19460</xdr:colOff>
      <xdr:row>3</xdr:row>
      <xdr:rowOff>108856</xdr:rowOff>
    </xdr:to>
    <xdr:sp macro="" textlink="">
      <xdr:nvSpPr>
        <xdr:cNvPr id="3" name="Rounded Rectangle 2"/>
        <xdr:cNvSpPr/>
      </xdr:nvSpPr>
      <xdr:spPr>
        <a:xfrm>
          <a:off x="48260" y="285749"/>
          <a:ext cx="1808164" cy="353786"/>
        </a:xfrm>
        <a:prstGeom prst="roundRect">
          <a:avLst/>
        </a:prstGeom>
        <a:solidFill>
          <a:srgbClr val="002060"/>
        </a:solidFill>
        <a:effectLst>
          <a:glow rad="1016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w="10160">
                <a:noFill/>
                <a:prstDash val="solid"/>
              </a:ln>
              <a:solidFill>
                <a:schemeClr val="bg1"/>
              </a:solidFill>
              <a:effectLst>
                <a:glow rad="139700">
                  <a:schemeClr val="accent5">
                    <a:satMod val="175000"/>
                    <a:alpha val="40000"/>
                  </a:schemeClr>
                </a:glow>
                <a:outerShdw blurRad="38100" dist="22860" dir="5400000" algn="tl" rotWithShape="0">
                  <a:srgbClr val="000000">
                    <a:alpha val="30000"/>
                  </a:srgbClr>
                </a:outerShdw>
              </a:effectLst>
            </a:rPr>
            <a:t>FILTERS</a:t>
          </a:r>
        </a:p>
      </xdr:txBody>
    </xdr:sp>
    <xdr:clientData/>
  </xdr:twoCellAnchor>
  <xdr:twoCellAnchor editAs="oneCell">
    <xdr:from>
      <xdr:col>3</xdr:col>
      <xdr:colOff>477156</xdr:colOff>
      <xdr:row>8</xdr:row>
      <xdr:rowOff>33563</xdr:rowOff>
    </xdr:from>
    <xdr:to>
      <xdr:col>5</xdr:col>
      <xdr:colOff>51735</xdr:colOff>
      <xdr:row>11</xdr:row>
      <xdr:rowOff>147256</xdr:rowOff>
    </xdr:to>
    <xdr:pic>
      <xdr:nvPicPr>
        <xdr:cNvPr id="30" name="Picture 2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14120" y="1448706"/>
          <a:ext cx="799222" cy="644371"/>
        </a:xfrm>
        <a:prstGeom prst="rect">
          <a:avLst/>
        </a:prstGeom>
        <a:ln>
          <a:noFill/>
        </a:ln>
        <a:effectLst>
          <a:softEdge rad="112500"/>
        </a:effectLst>
      </xdr:spPr>
    </xdr:pic>
    <xdr:clientData/>
  </xdr:twoCellAnchor>
  <xdr:twoCellAnchor editAs="oneCell">
    <xdr:from>
      <xdr:col>8</xdr:col>
      <xdr:colOff>566964</xdr:colOff>
      <xdr:row>8</xdr:row>
      <xdr:rowOff>46263</xdr:rowOff>
    </xdr:from>
    <xdr:to>
      <xdr:col>10</xdr:col>
      <xdr:colOff>173263</xdr:colOff>
      <xdr:row>11</xdr:row>
      <xdr:rowOff>176856</xdr:rowOff>
    </xdr:to>
    <xdr:pic>
      <xdr:nvPicPr>
        <xdr:cNvPr id="31" name="Picture 3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65535" y="1461406"/>
          <a:ext cx="830942" cy="661271"/>
        </a:xfrm>
        <a:prstGeom prst="rect">
          <a:avLst/>
        </a:prstGeom>
        <a:ln>
          <a:noFill/>
        </a:ln>
        <a:effectLst>
          <a:softEdge rad="112500"/>
        </a:effectLst>
      </xdr:spPr>
    </xdr:pic>
    <xdr:clientData/>
  </xdr:twoCellAnchor>
  <xdr:twoCellAnchor editAs="oneCell">
    <xdr:from>
      <xdr:col>14</xdr:col>
      <xdr:colOff>484413</xdr:colOff>
      <xdr:row>7</xdr:row>
      <xdr:rowOff>146957</xdr:rowOff>
    </xdr:from>
    <xdr:to>
      <xdr:col>16</xdr:col>
      <xdr:colOff>139706</xdr:colOff>
      <xdr:row>12</xdr:row>
      <xdr:rowOff>157957</xdr:rowOff>
    </xdr:to>
    <xdr:pic>
      <xdr:nvPicPr>
        <xdr:cNvPr id="33" name="Picture 32"/>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56913" y="1385207"/>
          <a:ext cx="879936" cy="895464"/>
        </a:xfrm>
        <a:prstGeom prst="rect">
          <a:avLst/>
        </a:prstGeom>
        <a:ln>
          <a:noFill/>
        </a:ln>
        <a:effectLst>
          <a:softEdge rad="112500"/>
        </a:effectLst>
      </xdr:spPr>
    </xdr:pic>
    <xdr:clientData/>
  </xdr:twoCellAnchor>
  <xdr:twoCellAnchor editAs="oneCell">
    <xdr:from>
      <xdr:col>20</xdr:col>
      <xdr:colOff>175077</xdr:colOff>
      <xdr:row>8</xdr:row>
      <xdr:rowOff>84363</xdr:rowOff>
    </xdr:from>
    <xdr:to>
      <xdr:col>21</xdr:col>
      <xdr:colOff>386277</xdr:colOff>
      <xdr:row>12</xdr:row>
      <xdr:rowOff>57163</xdr:rowOff>
    </xdr:to>
    <xdr:pic>
      <xdr:nvPicPr>
        <xdr:cNvPr id="34" name="Picture 3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421506" y="1499506"/>
          <a:ext cx="823521" cy="680371"/>
        </a:xfrm>
        <a:prstGeom prst="rect">
          <a:avLst/>
        </a:prstGeom>
      </xdr:spPr>
    </xdr:pic>
    <xdr:clientData/>
  </xdr:twoCellAnchor>
  <xdr:twoCellAnchor>
    <xdr:from>
      <xdr:col>10</xdr:col>
      <xdr:colOff>40822</xdr:colOff>
      <xdr:row>21</xdr:row>
      <xdr:rowOff>40820</xdr:rowOff>
    </xdr:from>
    <xdr:to>
      <xdr:col>11</xdr:col>
      <xdr:colOff>258535</xdr:colOff>
      <xdr:row>24</xdr:row>
      <xdr:rowOff>149678</xdr:rowOff>
    </xdr:to>
    <xdr:cxnSp macro="">
      <xdr:nvCxnSpPr>
        <xdr:cNvPr id="38" name="Elbow Connector 37"/>
        <xdr:cNvCxnSpPr/>
      </xdr:nvCxnSpPr>
      <xdr:spPr>
        <a:xfrm flipV="1">
          <a:off x="6164036" y="3755570"/>
          <a:ext cx="830035" cy="639537"/>
        </a:xfrm>
        <a:prstGeom prst="bentConnector3">
          <a:avLst>
            <a:gd name="adj1" fmla="val 50000"/>
          </a:avLst>
        </a:prstGeom>
        <a:ln>
          <a:solidFill>
            <a:schemeClr val="accent1">
              <a:lumMod val="75000"/>
            </a:schemeClr>
          </a:solidFill>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81643</xdr:colOff>
      <xdr:row>26</xdr:row>
      <xdr:rowOff>81642</xdr:rowOff>
    </xdr:from>
    <xdr:to>
      <xdr:col>11</xdr:col>
      <xdr:colOff>217714</xdr:colOff>
      <xdr:row>26</xdr:row>
      <xdr:rowOff>81642</xdr:rowOff>
    </xdr:to>
    <xdr:cxnSp macro="">
      <xdr:nvCxnSpPr>
        <xdr:cNvPr id="51" name="Straight Connector 50"/>
        <xdr:cNvCxnSpPr/>
      </xdr:nvCxnSpPr>
      <xdr:spPr>
        <a:xfrm>
          <a:off x="6204857" y="4680856"/>
          <a:ext cx="748393" cy="0"/>
        </a:xfrm>
        <a:prstGeom prst="line">
          <a:avLst/>
        </a:prstGeom>
        <a:ln>
          <a:solidFill>
            <a:schemeClr val="accent1">
              <a:lumMod val="75000"/>
            </a:schemeClr>
          </a:solidFill>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431800</xdr:colOff>
      <xdr:row>31</xdr:row>
      <xdr:rowOff>71303</xdr:rowOff>
    </xdr:from>
    <xdr:to>
      <xdr:col>14</xdr:col>
      <xdr:colOff>435540</xdr:colOff>
      <xdr:row>34</xdr:row>
      <xdr:rowOff>172356</xdr:rowOff>
    </xdr:to>
    <xdr:cxnSp macro="">
      <xdr:nvCxnSpPr>
        <xdr:cNvPr id="96" name="Straight Arrow Connector 95"/>
        <xdr:cNvCxnSpPr>
          <a:stCxn id="17" idx="2"/>
        </xdr:cNvCxnSpPr>
      </xdr:nvCxnSpPr>
      <xdr:spPr>
        <a:xfrm flipH="1">
          <a:off x="9004300" y="5554982"/>
          <a:ext cx="3740" cy="631731"/>
        </a:xfrm>
        <a:prstGeom prst="straightConnector1">
          <a:avLst/>
        </a:prstGeom>
        <a:ln>
          <a:solidFill>
            <a:schemeClr val="accent1">
              <a:lumMod val="75000"/>
            </a:schemeClr>
          </a:solidFill>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495298</xdr:colOff>
      <xdr:row>14</xdr:row>
      <xdr:rowOff>58963</xdr:rowOff>
    </xdr:from>
    <xdr:to>
      <xdr:col>21</xdr:col>
      <xdr:colOff>48077</xdr:colOff>
      <xdr:row>14</xdr:row>
      <xdr:rowOff>58963</xdr:rowOff>
    </xdr:to>
    <xdr:cxnSp macro="">
      <xdr:nvCxnSpPr>
        <xdr:cNvPr id="230" name="Straight Arrow Connector 229"/>
        <xdr:cNvCxnSpPr/>
      </xdr:nvCxnSpPr>
      <xdr:spPr>
        <a:xfrm>
          <a:off x="4781548" y="2535463"/>
          <a:ext cx="8125279" cy="0"/>
        </a:xfrm>
        <a:prstGeom prst="straightConnector1">
          <a:avLst/>
        </a:prstGeom>
        <a:ln>
          <a:solidFill>
            <a:schemeClr val="accent1">
              <a:lumMod val="75000"/>
            </a:schemeClr>
          </a:solidFill>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443591</xdr:colOff>
      <xdr:row>12</xdr:row>
      <xdr:rowOff>97063</xdr:rowOff>
    </xdr:from>
    <xdr:to>
      <xdr:col>7</xdr:col>
      <xdr:colOff>468991</xdr:colOff>
      <xdr:row>14</xdr:row>
      <xdr:rowOff>33563</xdr:rowOff>
    </xdr:to>
    <xdr:cxnSp macro="">
      <xdr:nvCxnSpPr>
        <xdr:cNvPr id="237" name="Straight Arrow Connector 236"/>
        <xdr:cNvCxnSpPr/>
      </xdr:nvCxnSpPr>
      <xdr:spPr>
        <a:xfrm flipH="1" flipV="1">
          <a:off x="4729841" y="2219777"/>
          <a:ext cx="25400" cy="290286"/>
        </a:xfrm>
        <a:prstGeom prst="straightConnector1">
          <a:avLst/>
        </a:prstGeom>
        <a:ln>
          <a:solidFill>
            <a:schemeClr val="accent1">
              <a:lumMod val="75000"/>
            </a:schemeClr>
          </a:solidFill>
          <a:tailEnd type="triangle"/>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72570</xdr:colOff>
      <xdr:row>12</xdr:row>
      <xdr:rowOff>134256</xdr:rowOff>
    </xdr:from>
    <xdr:to>
      <xdr:col>21</xdr:col>
      <xdr:colOff>72570</xdr:colOff>
      <xdr:row>14</xdr:row>
      <xdr:rowOff>46263</xdr:rowOff>
    </xdr:to>
    <xdr:cxnSp macro="">
      <xdr:nvCxnSpPr>
        <xdr:cNvPr id="247" name="Straight Arrow Connector 246"/>
        <xdr:cNvCxnSpPr/>
      </xdr:nvCxnSpPr>
      <xdr:spPr>
        <a:xfrm flipV="1">
          <a:off x="12931320" y="2256970"/>
          <a:ext cx="0" cy="265793"/>
        </a:xfrm>
        <a:prstGeom prst="straightConnector1">
          <a:avLst/>
        </a:prstGeom>
        <a:ln>
          <a:solidFill>
            <a:schemeClr val="accent1">
              <a:lumMod val="75000"/>
            </a:schemeClr>
          </a:solidFill>
          <a:tailEnd type="triangle"/>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12</xdr:row>
      <xdr:rowOff>134256</xdr:rowOff>
    </xdr:from>
    <xdr:to>
      <xdr:col>17</xdr:col>
      <xdr:colOff>38100</xdr:colOff>
      <xdr:row>14</xdr:row>
      <xdr:rowOff>8163</xdr:rowOff>
    </xdr:to>
    <xdr:cxnSp macro="">
      <xdr:nvCxnSpPr>
        <xdr:cNvPr id="254" name="Straight Arrow Connector 253"/>
        <xdr:cNvCxnSpPr/>
      </xdr:nvCxnSpPr>
      <xdr:spPr>
        <a:xfrm flipV="1">
          <a:off x="10447564" y="2256970"/>
          <a:ext cx="0" cy="227693"/>
        </a:xfrm>
        <a:prstGeom prst="straightConnector1">
          <a:avLst/>
        </a:prstGeom>
        <a:ln>
          <a:solidFill>
            <a:schemeClr val="accent1">
              <a:lumMod val="75000"/>
            </a:schemeClr>
          </a:solidFill>
          <a:tailEnd type="triangle"/>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240391</xdr:colOff>
      <xdr:row>12</xdr:row>
      <xdr:rowOff>146956</xdr:rowOff>
    </xdr:from>
    <xdr:to>
      <xdr:col>11</xdr:col>
      <xdr:colOff>253091</xdr:colOff>
      <xdr:row>13</xdr:row>
      <xdr:rowOff>172356</xdr:rowOff>
    </xdr:to>
    <xdr:cxnSp macro="">
      <xdr:nvCxnSpPr>
        <xdr:cNvPr id="255" name="Straight Arrow Connector 254"/>
        <xdr:cNvCxnSpPr/>
      </xdr:nvCxnSpPr>
      <xdr:spPr>
        <a:xfrm flipH="1" flipV="1">
          <a:off x="6975927" y="2269670"/>
          <a:ext cx="12700" cy="202293"/>
        </a:xfrm>
        <a:prstGeom prst="straightConnector1">
          <a:avLst/>
        </a:prstGeom>
        <a:ln>
          <a:solidFill>
            <a:schemeClr val="accent1">
              <a:lumMod val="75000"/>
            </a:schemeClr>
          </a:solidFill>
          <a:tailEnd type="triangle"/>
        </a:ln>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94.825348148152" createdVersion="5" refreshedVersion="5" minRefreshableVersion="3" recordCount="7032">
  <cacheSource type="worksheet">
    <worksheetSource name="Churn_Data"/>
  </cacheSource>
  <cacheFields count="11">
    <cacheField name="customerID" numFmtId="0">
      <sharedItems count="7032">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Contract" numFmtId="0">
      <sharedItems count="3">
        <s v="Month-to-month"/>
        <s v="One year"/>
        <s v="Two year"/>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enure" numFmtId="0">
      <sharedItems containsSemiMixedTypes="0" containsString="0" containsNumber="1" containsInteger="1" minValue="1" maxValue="72" count="72">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39"/>
      </sharedItems>
    </cacheField>
    <cacheField name="CLV" numFmtId="0">
      <sharedItems containsSemiMixedTypes="0" containsString="0" containsNumber="1" minValue="18.8" maxValue="8550" count="6016">
        <n v="29.85"/>
        <n v="1936.3"/>
        <n v="107.7"/>
        <n v="1903.49999999999"/>
        <n v="141.4"/>
        <n v="797.2"/>
        <n v="1960.19999999999"/>
        <n v="297.5"/>
        <n v="2934.4"/>
        <n v="3481.2999999999902"/>
        <n v="649.35"/>
        <n v="303.2"/>
        <n v="5820.2999999999902"/>
        <n v="5081.3"/>
        <n v="2637.5"/>
        <n v="7814.25"/>
        <n v="1073.8"/>
        <n v="7575.7"/>
        <n v="552"/>
        <n v="1891.05"/>
        <n v="39.65"/>
        <n v="237.6"/>
        <n v="20.149999999999999"/>
        <n v="3474.2"/>
        <n v="2920.4"/>
        <n v="1659"/>
        <n v="4669.45"/>
        <n v="30.2"/>
        <n v="6498"/>
        <n v="1099.9000000000001"/>
        <n v="6840.8499999999904"/>
        <n v="191"/>
        <n v="1786.05"/>
        <n v="20.2"/>
        <n v="45.25"/>
        <n v="7192.8"/>
        <n v="348.5"/>
        <n v="3440.7999999999902"/>
        <n v="3615.8999999999901"/>
        <n v="1076.3499999999999"/>
        <n v="495.5"/>
        <n v="4844"/>
        <n v="352.75"/>
        <n v="5030.5499999999902"/>
        <n v="990.6"/>
        <n v="4140.5"/>
        <n v="98.5"/>
        <n v="161.30000000000001"/>
        <n v="4147"/>
        <n v="4426.3500000000004"/>
        <n v="3880.75"/>
        <n v="1486.5"/>
        <n v="1737.5"/>
        <n v="645.20000000000005"/>
        <n v="4491"/>
        <n v="1718.1"/>
        <n v="6277.95"/>
        <n v="7157.7"/>
        <n v="848.3"/>
        <n v="7740"/>
        <n v="4723.5"/>
        <n v="5394"/>
        <n v="3031.2"/>
        <n v="979.19999999999902"/>
        <n v="849.6"/>
        <n v="225.89999999999901"/>
        <n v="3708.3"/>
        <n v="2455.1999999999998"/>
        <n v="1007.49999999999"/>
        <n v="798.5"/>
        <n v="49.05"/>
        <n v="1060.8"/>
        <n v="7142.4"/>
        <n v="1503.5"/>
        <n v="193.5"/>
        <n v="6188"/>
        <n v="2559.9"/>
        <n v="437.2"/>
        <n v="2242.5"/>
        <n v="1165.5"/>
        <n v="79.349999999999994"/>
        <n v="556.04999999999995"/>
        <n v="526.04999999999995"/>
        <n v="4359.5999999999904"/>
        <n v="987.349999999999"/>
        <n v="893.69999999999902"/>
        <n v="2175.25"/>
        <n v="991.19999999999902"/>
        <n v="917.69999999999902"/>
        <n v="978.75"/>
        <n v="2461.5"/>
        <n v="74.7"/>
        <n v="5544"/>
        <n v="7218.25"/>
        <n v="7264.8"/>
        <n v="947.4"/>
        <n v="4746.3499999999904"/>
        <n v="105.25"/>
        <n v="1092"/>
        <n v="2462.5"/>
        <n v="19.45"/>
        <n v="3610"/>
        <n v="3006.2999999999902"/>
        <n v="7480"/>
        <n v="121.5"/>
        <n v="7498.8"/>
        <n v="964.8"/>
        <n v="4057.0499999999902"/>
        <n v="1396.8"/>
        <n v="5321.25"/>
        <n v="3013.4"/>
        <n v="3940.95"/>
        <n v="2830.5"/>
        <n v="3494.4"/>
        <n v="269.54999999999899"/>
        <n v="1117.8"/>
        <n v="1002.5"/>
        <n v="846.65"/>
        <n v="2300.4"/>
        <n v="5588.8"/>
        <n v="124.19999999999899"/>
        <n v="223.2"/>
        <n v="354.9"/>
        <n v="83.4"/>
        <n v="2935.35"/>
        <n v="2107.35"/>
        <n v="1695.6"/>
        <n v="19.75"/>
        <n v="4007.95"/>
        <n v="1117.3499999999999"/>
        <n v="1465"/>
        <n v="3386.85"/>
        <n v="35.450000000000003"/>
        <n v="88.7"/>
        <n v="1105.0999999999999"/>
        <n v="1725"/>
        <n v="1292.8"/>
        <n v="1117.2"/>
        <n v="70.45"/>
        <n v="6339.5999999999904"/>
        <n v="569.20000000000005"/>
        <n v="6164.05"/>
        <n v="5395.2"/>
        <n v="1700.45"/>
        <n v="6438.25"/>
        <n v="58.8"/>
        <n v="45.65"/>
        <n v="1935"/>
        <n v="1042.5"/>
        <n v="548.4"/>
        <n v="665"/>
        <n v="7570.5"/>
        <n v="5338.2"/>
        <n v="118.19999999999899"/>
        <n v="1132.5999999999999"/>
        <n v="1851.3"/>
        <n v="443.29999999999899"/>
        <n v="1028"/>
        <n v="257"/>
        <n v="728"/>
        <n v="1648"/>
        <n v="139.4"/>
        <n v="3916.7"/>
        <n v="226.6"/>
        <n v="1373.1"/>
        <n v="283.60000000000002"/>
        <n v="6411.5999999999904"/>
        <n v="2627.3999999999901"/>
        <n v="326.39999999999998"/>
        <n v="3622.75"/>
        <n v="208.8"/>
        <n v="1147.3"/>
        <n v="5027.0499999999902"/>
        <n v="657.6"/>
        <n v="839.8"/>
        <n v="1116.75"/>
        <n v="535.15"/>
        <n v="1580.25"/>
        <n v="1253.55"/>
        <n v="29.95"/>
        <n v="45.3"/>
        <n v="676"/>
        <n v="2466.75"/>
        <n v="1030.25"/>
        <n v="24.8"/>
        <n v="1036"/>
        <n v="91.199999999999903"/>
        <n v="255.45"/>
        <n v="2264"/>
        <n v="3091.7"/>
        <n v="546"/>
        <n v="1362.75"/>
        <n v="7898.4"/>
        <n v="1138.7"/>
        <n v="1931"/>
        <n v="578.4"/>
        <n v="6569.65"/>
        <n v="8082"/>
        <n v="20.75"/>
        <n v="2751.3"/>
        <n v="1120.7"/>
        <n v="7494.05"/>
        <n v="1017.9"/>
        <n v="3029.3999999999901"/>
        <n v="2638.35"/>
        <n v="3992.4"/>
        <n v="79.900000000000006"/>
        <n v="2025.3999999999901"/>
        <n v="6556.8"/>
        <n v="92"/>
        <n v="25.25"/>
        <n v="1204.75"/>
        <n v="580"/>
        <n v="1996.3999999999901"/>
        <n v="3348.75"/>
        <n v="3258"/>
        <n v="3735.6"/>
        <n v="5473"/>
        <n v="640"/>
        <n v="280.60000000000002"/>
        <n v="1757.25"/>
        <n v="200.2"/>
        <n v="232.2"/>
        <n v="1214.4000000000001"/>
        <n v="2515.65"/>
        <n v="55.2"/>
        <n v="2697"/>
        <n v="4009.1"/>
        <n v="5832"/>
        <n v="4675"/>
        <n v="84.6"/>
        <n v="1458"/>
        <n v="729.349999999999"/>
        <n v="108.8"/>
        <n v="296"/>
        <n v="1316.7"/>
        <n v="1045"/>
        <n v="316"/>
        <n v="6235.2"/>
        <n v="7862.4"/>
        <n v="3062.7"/>
        <n v="6136"/>
        <n v="712.4"/>
        <n v="301.39999999999998"/>
        <n v="2665"/>
        <n v="1116"/>
        <n v="48.55"/>
        <n v="4158"/>
        <n v="4768.5"/>
        <n v="140.80000000000001"/>
        <n v="40.200000000000003"/>
        <n v="2678.4"/>
        <n v="198.5"/>
        <n v="3989.85"/>
        <n v="7021.0999999999904"/>
        <n v="5717.5"/>
        <n v="89.2"/>
        <n v="1305"/>
        <n v="123.44999999999899"/>
        <n v="1389.7"/>
        <n v="5121.45"/>
        <n v="1545.35"/>
        <n v="5098.5"/>
        <n v="5374.0999999999904"/>
        <n v="1245"/>
        <n v="1995"/>
        <n v="1141.6500000000001"/>
        <n v="1721.75"/>
        <n v="1511.2"/>
        <n v="3405.75"/>
        <n v="2141"/>
        <n v="70.599999999999994"/>
        <n v="427"/>
        <n v="5462.5999999999904"/>
        <n v="1363.95"/>
        <n v="770"/>
        <n v="252.75"/>
        <n v="330.9"/>
        <n v="512"/>
        <n v="25.4"/>
        <n v="3702.6"/>
        <n v="1712.7"/>
        <n v="1672"/>
        <n v="887"/>
        <n v="70"/>
        <n v="596"/>
        <n v="448.5"/>
        <n v="1826.3999999999901"/>
        <n v="2142"/>
        <n v="536.099999999999"/>
        <n v="236.39999999999901"/>
        <n v="20.25"/>
        <n v="5399.55"/>
        <n v="3528"/>
        <n v="2982"/>
        <n v="73.599999999999994"/>
        <n v="1492.7"/>
        <n v="381.8"/>
        <n v="361.6"/>
        <n v="4100.3999999999996"/>
        <n v="3110.2999999999902"/>
        <n v="1289.5999999999999"/>
        <n v="2396.8000000000002"/>
        <n v="2190.9499999999998"/>
        <n v="3843.7"/>
        <n v="3780"/>
        <n v="19.25"/>
        <n v="1959.1"/>
        <n v="4947.1499999999996"/>
        <n v="346.75"/>
        <n v="403"/>
        <n v="5612.55"/>
        <n v="1412.8999999999901"/>
        <n v="3051.4"/>
        <n v="2235.6"/>
        <n v="3202.5"/>
        <n v="4452.3"/>
        <n v="4320"/>
        <n v="44.8"/>
        <n v="437.4"/>
        <n v="4143.45"/>
        <n v="5340.4"/>
        <n v="911.9"/>
        <n v="140.69999999999999"/>
        <n v="1005.19999999999"/>
        <n v="1405.05"/>
        <n v="694.75"/>
        <n v="153.6"/>
        <n v="4365.3999999999996"/>
        <n v="516.94999999999902"/>
        <n v="161.19999999999999"/>
        <n v="5154.3999999999996"/>
        <n v="4497.8"/>
        <n v="5994.2"/>
        <n v="3412.7999999999902"/>
        <n v="6514.2"/>
        <n v="1748.8"/>
        <n v="6088.25"/>
        <n v="4451.7"/>
        <n v="1291.5"/>
        <n v="830.25"/>
        <n v="72.099999999999994"/>
        <n v="180.8"/>
        <n v="1361.5"/>
        <n v="1033.8499999999999"/>
        <n v="6208"/>
        <n v="2323.6"/>
        <n v="758.2"/>
        <n v="624.04999999999995"/>
        <n v="339.2"/>
        <n v="879.9"/>
        <n v="802.5"/>
        <n v="865.6"/>
        <n v="6736"/>
        <n v="4078.2"/>
        <n v="101"/>
        <n v="4050.7999999999902"/>
        <n v="2917.3999999999901"/>
        <n v="965.85"/>
        <n v="1366.2"/>
        <n v="482.5"/>
        <n v="1378.85"/>
        <n v="19.149999999999999"/>
        <n v="7004.15"/>
        <n v="8107.2"/>
        <n v="679.8"/>
        <n v="171.3"/>
        <n v="858"/>
        <n v="5586"/>
        <n v="3555.7"/>
        <n v="3659.2999999999902"/>
        <n v="25.35"/>
        <n v="2623.75"/>
        <n v="5468.65"/>
        <n v="1474.75"/>
        <n v="3534.2"/>
        <n v="50.65"/>
        <n v="4665.5999999999904"/>
        <n v="90.85"/>
        <n v="5188.7999999999902"/>
        <n v="219.45"/>
        <n v="4699.75"/>
        <n v="2299.5"/>
        <n v="3977.6"/>
        <n v="44"/>
        <n v="2581.1999999999998"/>
        <n v="2289.6"/>
        <n v="88.6"/>
        <n v="378.099999999999"/>
        <n v="3992.1"/>
        <n v="5943.3"/>
        <n v="3626.7"/>
        <n v="2514.3000000000002"/>
        <n v="1801.8"/>
        <n v="461.15"/>
        <n v="632"/>
        <n v="220.55"/>
        <n v="6862.05"/>
        <n v="3801.2"/>
        <n v="394"/>
        <n v="1425.6"/>
        <n v="5724"/>
        <n v="3006.4"/>
        <n v="19.899999999999999"/>
        <n v="19.600000000000001"/>
        <n v="244.04999999999899"/>
        <n v="1124.7"/>
        <n v="2173.5500000000002"/>
        <n v="4454.8499999999904"/>
        <n v="3391.2"/>
        <n v="1172"/>
        <n v="6909"/>
        <n v="992"/>
        <n v="1832.6"/>
        <n v="75.3"/>
        <n v="488.94999999999902"/>
        <n v="2915.95"/>
        <n v="1130.8"/>
        <n v="407"/>
        <n v="2840.75"/>
        <n v="5465.2"/>
        <n v="859.5"/>
        <n v="1360.8"/>
        <n v="3961"/>
        <n v="1183.3999999999901"/>
        <n v="4694.3999999999996"/>
        <n v="106.9"/>
        <n v="544.79999999999995"/>
        <n v="809.75"/>
        <n v="1155.7"/>
        <n v="750.6"/>
        <n v="8211.6"/>
        <n v="3144.75"/>
        <n v="55.05"/>
        <n v="1807.2"/>
        <n v="4975.95"/>
        <n v="6191.1"/>
        <n v="1166.3999999999901"/>
        <n v="2894.4"/>
        <n v="6354"/>
        <n v="69.55"/>
        <n v="1302.5999999999999"/>
        <n v="758"/>
        <n v="7596"/>
        <n v="1580.8"/>
        <n v="1534.5"/>
        <n v="3612"/>
        <n v="2269.4"/>
        <n v="1488.3999999999901"/>
        <n v="2499.6"/>
        <n v="2601.1999999999998"/>
        <n v="2424"/>
        <n v="40"/>
        <n v="75.099999999999994"/>
        <n v="117.899999999999"/>
        <n v="1666.8"/>
        <n v="404.6"/>
        <n v="698.6"/>
        <n v="8355.6"/>
        <n v="2803.5"/>
        <n v="6534.4"/>
        <n v="6458.4"/>
        <n v="875.599999999999"/>
        <n v="727.35"/>
        <n v="351.04999999999899"/>
        <n v="55"/>
        <n v="630.44999999999902"/>
        <n v="1286.4000000000001"/>
        <n v="1926"/>
        <n v="2661.75"/>
        <n v="529.9"/>
        <n v="480.5"/>
        <n v="1035"/>
        <n v="216.14999999999901"/>
        <n v="2174.3999999999901"/>
        <n v="1629"/>
        <n v="7812"/>
        <n v="668.4"/>
        <n v="6084"/>
        <n v="1502.25"/>
        <n v="6379.2"/>
        <n v="74.349999999999994"/>
        <n v="6602.4"/>
        <n v="118"/>
        <n v="148.80000000000001"/>
        <n v="3907.0499999999902"/>
        <n v="20.399999999999999"/>
        <n v="962.5"/>
        <n v="1705.2"/>
        <n v="1386"/>
        <n v="142.25"/>
        <n v="1196.4000000000001"/>
        <n v="3952.5"/>
        <n v="5729.7"/>
        <n v="4564"/>
        <n v="4370.5999999999904"/>
        <n v="5482.05"/>
        <n v="1882"/>
        <n v="188.4"/>
        <n v="483"/>
        <n v="19.850000000000001"/>
        <n v="1886"/>
        <n v="6493.45"/>
        <n v="371.75"/>
        <n v="5905.2"/>
        <n v="2850"/>
        <n v="4192"/>
        <n v="1520.3999999999901"/>
        <n v="350.25"/>
        <n v="2030.4"/>
        <n v="240.6"/>
        <n v="7061.8"/>
        <n v="1496.4"/>
        <n v="4702.5"/>
        <n v="1738.8"/>
        <n v="3401.7"/>
        <n v="4745"/>
        <n v="8334"/>
        <n v="5492.6"/>
        <n v="686"/>
        <n v="5594.4"/>
        <n v="506.4"/>
        <n v="1403.5"/>
        <n v="159.9"/>
        <n v="7286.2"/>
        <n v="85"/>
        <n v="1074.5999999999999"/>
        <n v="5137.6499999999996"/>
        <n v="1928.85"/>
        <n v="6599.85"/>
        <n v="4836"/>
        <n v="8143.2"/>
        <n v="648.45000000000005"/>
        <n v="19.55"/>
        <n v="860.5"/>
        <n v="592.15"/>
        <n v="2684.3"/>
        <n v="3365.7"/>
        <n v="6828.25"/>
        <n v="5095"/>
        <n v="296.25"/>
        <n v="7941.5999999999904"/>
        <n v="8323.1999999999898"/>
        <n v="1064.25"/>
        <n v="588.79999999999995"/>
        <n v="2571.1999999999998"/>
        <n v="3850"/>
        <n v="2682.7999999999902"/>
        <n v="772.2"/>
        <n v="49.3"/>
        <n v="6006"/>
        <n v="70.8"/>
        <n v="487.9"/>
        <n v="5870.5"/>
        <n v="450.099999999999"/>
        <n v="5030.3499999999904"/>
        <n v="1528.5"/>
        <n v="5218.5"/>
        <n v="3508.75"/>
        <n v="444.4"/>
        <n v="1155"/>
        <n v="2801.2"/>
        <n v="713.9"/>
        <n v="5616.8"/>
        <n v="3103.7999999999902"/>
        <n v="4944.05"/>
        <n v="3039.5499999999902"/>
        <n v="634.5"/>
        <n v="3309.25"/>
        <n v="39.299999999999997"/>
        <n v="228"/>
        <n v="356.8"/>
        <n v="19"/>
        <n v="60"/>
        <n v="85.7"/>
        <n v="3289"/>
        <n v="100.5"/>
        <n v="7138.8"/>
        <n v="6418.4"/>
        <n v="8056.8"/>
        <n v="1145.3999999999901"/>
        <n v="5260.5"/>
        <n v="2529"/>
        <n v="45.6"/>
        <n v="739.8"/>
        <n v="877.6"/>
        <n v="262.2"/>
        <n v="4607.8499999999904"/>
        <n v="1326"/>
        <n v="1192.8"/>
        <n v="39.9"/>
        <n v="4900.5"/>
        <n v="4997.8999999999996"/>
        <n v="3505.6"/>
        <n v="6238.8"/>
        <n v="3078"/>
        <n v="2440.35"/>
        <n v="8247.6"/>
        <n v="6841.25"/>
        <n v="269.55"/>
        <n v="585"/>
        <n v="1356.3"/>
        <n v="4831.2"/>
        <n v="3475"/>
        <n v="732.75"/>
        <n v="202"/>
        <n v="6788.0999999999904"/>
        <n v="4990.3499999999904"/>
        <n v="549.85"/>
        <n v="345.5"/>
        <n v="5707.0999999999904"/>
        <n v="3402"/>
        <n v="140"/>
        <n v="2378.75"/>
        <n v="1937.75"/>
        <n v="6903.5999999999904"/>
        <n v="8038.8"/>
        <n v="4412.45"/>
        <n v="4762.25"/>
        <n v="2530"/>
        <n v="6469.2"/>
        <n v="203.5"/>
        <n v="2182"/>
        <n v="6857.5"/>
        <n v="3082.95"/>
        <n v="4821.2"/>
        <n v="5854.8"/>
        <n v="852.5"/>
        <n v="1727.19999999999"/>
        <n v="2414.4499999999998"/>
        <n v="89.55"/>
        <n v="4402.6499999999996"/>
        <n v="378.75"/>
        <n v="1891"/>
        <n v="45.7"/>
        <n v="3482.5"/>
        <n v="179"/>
        <n v="1680"/>
        <n v="208.64999999999901"/>
        <n v="74.599999999999994"/>
        <n v="703.5"/>
        <n v="421.6"/>
        <n v="157.19999999999999"/>
        <n v="951"/>
        <n v="6041.7999999999902"/>
        <n v="3546"/>
        <n v="39.700000000000003"/>
        <n v="752.95"/>
        <n v="97"/>
        <n v="452.5"/>
        <n v="20.05"/>
        <n v="4520.75"/>
        <n v="1111.5"/>
        <n v="224.25"/>
        <n v="139.30000000000001"/>
        <n v="1479.8"/>
        <n v="182.6"/>
        <n v="4046"/>
        <n v="1052.05"/>
        <n v="1354.15"/>
        <n v="75.05"/>
        <n v="546.70000000000005"/>
        <n v="2555.7999999999902"/>
        <n v="7172.75"/>
        <n v="1178.4000000000001"/>
        <n v="69.400000000000006"/>
        <n v="323.85000000000002"/>
        <n v="3663"/>
        <n v="80"/>
        <n v="4501.8"/>
        <n v="193.2"/>
        <n v="4150"/>
        <n v="71.099999999999994"/>
        <n v="49.9"/>
        <n v="1254.5999999999999"/>
        <n v="1565.2"/>
        <n v="4253.3999999999996"/>
        <n v="20.45"/>
        <n v="2332.75"/>
        <n v="225.29999999999899"/>
        <n v="441.1"/>
        <n v="20.65"/>
        <n v="6130.8"/>
        <n v="150.44999999999999"/>
        <n v="3992.65"/>
        <n v="4788"/>
        <n v="4177.8"/>
        <n v="2910.25"/>
        <n v="2462.1"/>
        <n v="41.1"/>
        <n v="197"/>
        <n v="1996.24999999999"/>
        <n v="3874"/>
        <n v="2825.55"/>
        <n v="2183.6999999999998"/>
        <n v="2322.8999999999901"/>
        <n v="1620"/>
        <n v="1432.6"/>
        <n v="1204"/>
        <n v="1828.8"/>
        <n v="4100.8999999999996"/>
        <n v="4135.75"/>
        <n v="2740.8"/>
        <n v="1309.0999999999999"/>
        <n v="5463.7999999999902"/>
        <n v="40.4"/>
        <n v="343.8"/>
        <n v="136.05000000000001"/>
        <n v="3118.5"/>
        <n v="191.25"/>
        <n v="577.5"/>
        <n v="404.25"/>
        <n v="2751"/>
        <n v="4823"/>
        <n v="3926.25"/>
        <n v="101.75"/>
        <n v="1887.5"/>
        <n v="5691.5999999999904"/>
        <n v="2434.0500000000002"/>
        <n v="1619.2"/>
        <n v="3313.5"/>
        <n v="7070"/>
        <n v="3332.7"/>
        <n v="3055"/>
        <n v="160.9"/>
        <n v="985.5"/>
        <n v="1470.1"/>
        <n v="220.25"/>
        <n v="7977.5999999999904"/>
        <n v="8276.4"/>
        <n v="225.14999999999901"/>
        <n v="924"/>
        <n v="5673.15"/>
        <n v="1530.9"/>
        <n v="5610.5"/>
        <n v="499.44999999999902"/>
        <n v="180.7"/>
        <n v="1971"/>
        <n v="1300.2"/>
        <n v="59.55"/>
        <n v="1288.5"/>
        <n v="6505.2"/>
        <n v="20.8"/>
        <n v="1963.5"/>
        <n v="210.89999999999901"/>
        <n v="4813.2"/>
        <n v="1293.5"/>
        <n v="393.79999999999899"/>
        <n v="1734.69999999999"/>
        <n v="285.599999999999"/>
        <n v="3044.25"/>
        <n v="1101.5999999999999"/>
        <n v="224.95"/>
        <n v="1400.25"/>
        <n v="444.5"/>
        <n v="3161.4"/>
        <n v="7966.8"/>
        <n v="120.899999999999"/>
        <n v="164"/>
        <n v="6313"/>
        <n v="90.7"/>
        <n v="5207.8499999999904"/>
        <n v="224"/>
        <n v="1478.25"/>
        <n v="52.2"/>
        <n v="2557.8000000000002"/>
        <n v="5060"/>
        <n v="3981.6"/>
        <n v="2068.9"/>
        <n v="1881.6"/>
        <n v="5014.8"/>
        <n v="3591"/>
        <n v="5229.2"/>
        <n v="158.80000000000001"/>
        <n v="2300.1"/>
        <n v="270"/>
        <n v="128.4"/>
        <n v="2532.6999999999998"/>
        <n v="511"/>
        <n v="20"/>
        <n v="5998.5"/>
        <n v="5295.5"/>
        <n v="985"/>
        <n v="928.2"/>
        <n v="2953.2"/>
        <n v="512.099999999999"/>
        <n v="5529.5999999999904"/>
        <n v="993.6"/>
        <n v="7707.05"/>
        <n v="4052"/>
        <n v="5988.5"/>
        <n v="7280"/>
        <n v="1060.5"/>
        <n v="1033.5999999999999"/>
        <n v="100.25"/>
        <n v="2115"/>
        <n v="172.4"/>
        <n v="5703.5"/>
        <n v="2335.1999999999998"/>
        <n v="6160"/>
        <n v="6487.3499999999904"/>
        <n v="3403.45"/>
        <n v="4845.7"/>
        <n v="319.75"/>
        <n v="1599.6"/>
        <n v="1431.2"/>
        <n v="669.19999999999902"/>
        <n v="357.7"/>
        <n v="5457"/>
        <n v="1524.9"/>
        <n v="5427.5"/>
        <n v="951.9"/>
        <n v="5187"/>
        <n v="3285.6"/>
        <n v="315.39999999999998"/>
        <n v="5595"/>
        <n v="4426.8"/>
        <n v="44.4"/>
        <n v="2851.2"/>
        <n v="897.599999999999"/>
        <n v="5500"/>
        <n v="7560"/>
        <n v="401.05"/>
        <n v="89.9"/>
        <n v="308.25"/>
        <n v="5515.25"/>
        <n v="397.79999999999899"/>
        <n v="6624"/>
        <n v="6465.5999999999904"/>
        <n v="8337.6"/>
        <n v="4427.8"/>
        <n v="49.7"/>
        <n v="321.75"/>
        <n v="1394"/>
        <n v="6209.3"/>
        <n v="6195.5999999999904"/>
        <n v="50.8"/>
        <n v="5874"/>
        <n v="514.79999999999995"/>
        <n v="5977.6"/>
        <n v="1473"/>
        <n v="285.29999999999899"/>
        <n v="2082.3000000000002"/>
        <n v="322.39999999999998"/>
        <n v="2418"/>
        <n v="102.5"/>
        <n v="5047.45"/>
        <n v="79.199999999999903"/>
        <n v="7070.4"/>
        <n v="5560.3499999999904"/>
        <n v="3048"/>
        <n v="4486.5"/>
        <n v="104.399999999999"/>
        <n v="1576.5"/>
        <n v="3067.65"/>
        <n v="3885"/>
        <n v="1803.45"/>
        <n v="1101"/>
        <n v="501.8"/>
        <n v="503.4"/>
        <n v="7453.75"/>
        <n v="1754.19999999999"/>
        <n v="590.44999999999902"/>
        <n v="2983.5"/>
        <n v="3374.4"/>
        <n v="6334.65"/>
        <n v="2768.2999999999902"/>
        <n v="5192.5"/>
        <n v="2595.1999999999998"/>
        <n v="24.6"/>
        <n v="5115.6000000000004"/>
        <n v="2829"/>
        <n v="8243.1"/>
        <n v="5594.15"/>
        <n v="1186.8"/>
        <n v="4720"/>
        <n v="39"/>
        <n v="884.69999999999902"/>
        <n v="1595.44999999999"/>
        <n v="5913.5999999999904"/>
        <n v="5450.45"/>
        <n v="904.5"/>
        <n v="225.6"/>
        <n v="1241.6499999999901"/>
        <n v="159.6"/>
        <n v="7898.75"/>
        <n v="728.5"/>
        <n v="1335"/>
        <n v="7639.2"/>
        <n v="1814.3999999999901"/>
        <n v="73.55"/>
        <n v="1734.2"/>
        <n v="4719.5999999999904"/>
        <n v="2098.1999999999998"/>
        <n v="2195.5499999999902"/>
        <n v="1449"/>
        <n v="245.39999999999901"/>
        <n v="1206.4000000000001"/>
        <n v="5021.1000000000004"/>
        <n v="1797.4"/>
        <n v="2441.6"/>
        <n v="238.2"/>
        <n v="1054.95"/>
        <n v="7055"/>
        <n v="2593.5"/>
        <n v="1201.5999999999999"/>
        <n v="2659.7999999999902"/>
        <n v="1389.6"/>
        <n v="338.4"/>
        <n v="403.2"/>
        <n v="333"/>
        <n v="474.29999999999899"/>
        <n v="7023.25"/>
        <n v="298.5"/>
        <n v="505.2"/>
        <n v="391.95"/>
        <n v="1916.3999999999901"/>
        <n v="4716"/>
        <n v="5621.4"/>
        <n v="82"/>
        <n v="2923.2"/>
        <n v="3466.75"/>
        <n v="717.5"/>
        <n v="604.79999999999995"/>
        <n v="1212.2"/>
        <n v="884.25"/>
        <n v="2092.1999999999998"/>
        <n v="44.7"/>
        <n v="1806.95"/>
        <n v="227"/>
        <n v="2043.75"/>
        <n v="2755.2"/>
        <n v="208.6"/>
        <n v="487.2"/>
        <n v="4102"/>
        <n v="802.4"/>
        <n v="134.75"/>
        <n v="62.55"/>
        <n v="5491.8499999999904"/>
        <n v="192"/>
        <n v="90.55"/>
        <n v="4598.6499999999996"/>
        <n v="4065.7999999999902"/>
        <n v="1335.4"/>
        <n v="4481.05"/>
        <n v="7671.55"/>
        <n v="69.900000000000006"/>
        <n v="827.75"/>
        <n v="6432.5"/>
        <n v="1923.25"/>
        <n v="390"/>
        <n v="784"/>
        <n v="1866.15"/>
        <n v="86.6"/>
        <n v="1710"/>
        <n v="525.599999999999"/>
        <n v="517.04999999999995"/>
        <n v="666.4"/>
        <n v="4496.8"/>
        <n v="1412.3"/>
        <n v="555.5"/>
        <n v="261"/>
        <n v="260"/>
        <n v="2985.5"/>
        <n v="2380"/>
        <n v="377.2"/>
        <n v="1490.3999999999901"/>
        <n v="140.6"/>
        <n v="667.44999999999902"/>
        <n v="2038.5"/>
        <n v="278.2"/>
        <n v="734.45"/>
        <n v="420"/>
        <n v="5080.0499999999902"/>
        <n v="1621.8"/>
        <n v="137.9"/>
        <n v="3185.6"/>
        <n v="477.25"/>
        <n v="4164.1499999999996"/>
        <n v="863.1"/>
        <n v="49.5"/>
        <n v="1034.0999999999999"/>
        <n v="643.79999999999995"/>
        <n v="5687.0999999999904"/>
        <n v="1561.6"/>
        <n v="160.19999999999999"/>
        <n v="1990.94999999999"/>
        <n v="1521.8"/>
        <n v="423.5"/>
        <n v="3874.49999999999"/>
        <n v="2602.9499999999998"/>
        <n v="6600"/>
        <n v="804.8"/>
        <n v="4460.3"/>
        <n v="2177.5"/>
        <n v="264.89999999999998"/>
        <n v="3487.5"/>
        <n v="1933.19999999999"/>
        <n v="736.8"/>
        <n v="1466.3"/>
        <n v="5811.3499999999904"/>
        <n v="1656.6"/>
        <n v="7799.6"/>
        <n v="638.94999999999902"/>
        <n v="4530.3999999999996"/>
        <n v="3019.1"/>
        <n v="1266.3"/>
        <n v="308.8"/>
        <n v="982.8"/>
        <n v="2232"/>
        <n v="434"/>
        <n v="4269.8999999999996"/>
        <n v="3848"/>
        <n v="150.75"/>
        <n v="574.20000000000005"/>
        <n v="19.649999999999999"/>
        <n v="523.79999999999995"/>
        <n v="568"/>
        <n v="3230"/>
        <n v="197.5"/>
        <n v="3884"/>
        <n v="703.8"/>
        <n v="400"/>
        <n v="847"/>
        <n v="179.1"/>
        <n v="2083.7999999999902"/>
        <n v="521.29999999999995"/>
        <n v="8092.8"/>
        <n v="1706.8"/>
        <n v="622.5"/>
        <n v="779.8"/>
        <n v="2071.15"/>
        <n v="923.55"/>
        <n v="4853.45"/>
        <n v="1080"/>
        <n v="139.5"/>
        <n v="98.1"/>
        <n v="1248.5"/>
        <n v="686.35"/>
        <n v="21.1"/>
        <n v="5702.35"/>
        <n v="1421"/>
        <n v="4694.5"/>
        <n v="4672.8"/>
        <n v="641.6"/>
        <n v="4547.0999999999904"/>
        <n v="161.9"/>
        <n v="1019.2"/>
        <n v="965.9"/>
        <n v="986.7"/>
        <n v="2804.8"/>
        <n v="1707.65"/>
        <n v="1196"/>
        <n v="5479.95"/>
        <n v="2185.1499999999901"/>
        <n v="4546.5"/>
        <n v="7131.95"/>
        <n v="2808.5"/>
        <n v="80.55"/>
        <n v="568.75"/>
        <n v="2260"/>
        <n v="5999.8499999999904"/>
        <n v="278.5"/>
        <n v="372"/>
        <n v="168.45"/>
        <n v="5680.8"/>
        <n v="821.1"/>
        <n v="717.75"/>
        <n v="6139.35"/>
        <n v="1673.25"/>
        <n v="1697.4"/>
        <n v="2006"/>
        <n v="2376"/>
        <n v="377.6"/>
        <n v="6379.3499999999904"/>
        <n v="2921.15"/>
        <n v="3163.2"/>
        <n v="2100.15"/>
        <n v="921.5"/>
        <n v="4651.3999999999996"/>
        <n v="5052"/>
        <n v="4165"/>
        <n v="1411"/>
        <n v="4125"/>
        <n v="852.15"/>
        <n v="1540"/>
        <n v="588.599999999999"/>
        <n v="4120.3500000000004"/>
        <n v="522.54999999999995"/>
        <n v="1523.75"/>
        <n v="4044.35"/>
        <n v="497.9"/>
        <n v="905.8"/>
        <n v="1144.55"/>
        <n v="38.5"/>
        <n v="2130.6999999999998"/>
        <n v="8254.7999999999993"/>
        <n v="1260"/>
        <n v="1405.8"/>
        <n v="716.65"/>
        <n v="275.099999999999"/>
        <n v="1156.3499999999999"/>
        <n v="121.19999999999899"/>
        <n v="827.2"/>
        <n v="1022.4"/>
        <n v="35.549999999999997"/>
        <n v="2416"/>
        <n v="1032.4000000000001"/>
        <n v="180.75"/>
        <n v="190.3"/>
        <n v="1256.45"/>
        <n v="1654.35"/>
        <n v="18.850000000000001"/>
        <n v="383.95"/>
        <n v="3343.6"/>
        <n v="1109.25"/>
        <n v="5327"/>
        <n v="991.099999999999"/>
        <n v="6072.9"/>
        <n v="5646"/>
        <n v="241.2"/>
        <n v="2187.2999999999902"/>
        <n v="31.35"/>
        <n v="4847.45"/>
        <n v="1077"/>
        <n v="5871.7"/>
        <n v="497.49999999999898"/>
        <n v="269"/>
        <n v="1340.3"/>
        <n v="3083.5"/>
        <n v="8208"/>
        <n v="5664"/>
        <n v="3212.8"/>
        <n v="759.5"/>
        <n v="1040"/>
        <n v="659.4"/>
        <n v="3643.2"/>
        <n v="1520.25"/>
        <n v="4054.9"/>
        <n v="1942.19999999999"/>
        <n v="1261.05"/>
        <n v="3063.75"/>
        <n v="4952.8500000000004"/>
        <n v="1582.2"/>
        <n v="60.15"/>
        <n v="3540.8999999999901"/>
        <n v="7387.55"/>
        <n v="3473.75"/>
        <n v="257.10000000000002"/>
        <n v="3984.2999999999902"/>
        <n v="2420.25"/>
        <n v="633.15"/>
        <n v="3499.15"/>
        <n v="706.3"/>
        <n v="1200"/>
        <n v="5626.5"/>
        <n v="291.75"/>
        <n v="871.5"/>
        <n v="1341.3"/>
        <n v="3866.5"/>
        <n v="592.79999999999995"/>
        <n v="4995.25"/>
        <n v="1500"/>
        <n v="459.9"/>
        <n v="74.900000000000006"/>
        <n v="210.45"/>
        <n v="624.6"/>
        <n v="80.25"/>
        <n v="5216.3999999999996"/>
        <n v="1173"/>
        <n v="729.849999999999"/>
        <n v="486.849999999999"/>
        <n v="1393.8"/>
        <n v="1634"/>
        <n v="240.89999999999901"/>
        <n v="1472.5"/>
        <n v="2173.1999999999998"/>
        <n v="4367.8999999999996"/>
        <n v="1117.75"/>
        <n v="221.4"/>
        <n v="4432"/>
        <n v="151.80000000000001"/>
        <n v="45.85"/>
        <n v="799.2"/>
        <n v="1774.8"/>
        <n v="2712"/>
        <n v="4941.6499999999996"/>
        <n v="4596.3499999999904"/>
        <n v="4098.3999999999996"/>
        <n v="1288"/>
        <n v="2662.2"/>
        <n v="1729"/>
        <n v="5715.9"/>
        <n v="5996.3"/>
        <n v="230.85"/>
        <n v="252.85"/>
        <n v="1538.4"/>
        <n v="176.1"/>
        <n v="503.74999999999898"/>
        <n v="598.5"/>
        <n v="291"/>
        <n v="2080.35"/>
        <n v="4731.75"/>
        <n v="1995.6"/>
        <n v="991.65"/>
        <n v="45.05"/>
        <n v="5779.2"/>
        <n v="75.8"/>
        <n v="555.1"/>
        <n v="4884"/>
        <n v="61.8"/>
        <n v="6184.8"/>
        <n v="1539"/>
        <n v="947.05"/>
        <n v="4381.5"/>
        <n v="100.6"/>
        <n v="160.30000000000001"/>
        <n v="615"/>
        <n v="6092.7999999999902"/>
        <n v="6568.8"/>
        <n v="5308.8"/>
        <n v="321"/>
        <n v="4870.3999999999996"/>
        <n v="6498.85"/>
        <n v="7164.0999999999904"/>
        <n v="1552.94999999999"/>
        <n v="2840.8"/>
        <n v="97.25"/>
        <n v="4321.8"/>
        <n v="6271.3"/>
        <n v="3124"/>
        <n v="7057.4"/>
        <n v="1447.2"/>
        <n v="2185.1999999999998"/>
        <n v="523.75"/>
        <n v="8269.1999999999898"/>
        <n v="693"/>
        <n v="62.8"/>
        <n v="1171.1500000000001"/>
        <n v="626.5"/>
        <n v="74.099999999999994"/>
        <n v="3225"/>
        <n v="1251.2"/>
        <n v="4334.3999999999996"/>
        <n v="6080.4"/>
        <n v="600"/>
        <n v="5239"/>
        <n v="7450.4"/>
        <n v="268.5"/>
        <n v="5642"/>
        <n v="1614"/>
        <n v="378"/>
        <n v="1382.4"/>
        <n v="484.54999999999899"/>
        <n v="7963.2"/>
        <n v="3841.2"/>
        <n v="3645"/>
        <n v="1359.3"/>
        <n v="1284"/>
        <n v="1667.3999999999901"/>
        <n v="8088.5"/>
        <n v="2719.7999999999902"/>
        <n v="1385.6"/>
        <n v="1533.6"/>
        <n v="3320.1"/>
        <n v="1894.2"/>
        <n v="3405.6"/>
        <n v="5148.8499999999904"/>
        <n v="3492.45"/>
        <n v="229.89999999999901"/>
        <n v="139.65"/>
        <n v="73.8"/>
        <n v="533.6"/>
        <n v="3033.6"/>
        <n v="3950.99999999999"/>
        <n v="199.5"/>
        <n v="1750.1499999999901"/>
        <n v="81.400000000000006"/>
        <n v="69.25"/>
        <n v="2203.75"/>
        <n v="1247.75"/>
        <n v="1237.5"/>
        <n v="25.15"/>
        <n v="1652.55"/>
        <n v="1770"/>
        <n v="25.2"/>
        <n v="90"/>
        <n v="1130.25"/>
        <n v="632.4"/>
        <n v="6930"/>
        <n v="164.1"/>
        <n v="160"/>
        <n v="4675.2"/>
        <n v="574"/>
        <n v="5742.75"/>
        <n v="1221.5"/>
        <n v="379.05"/>
        <n v="799.5"/>
        <n v="2532.15"/>
        <n v="4398.55"/>
        <n v="4388.3999999999996"/>
        <n v="1343.1"/>
        <n v="1590.3"/>
        <n v="175.5"/>
        <n v="676.8"/>
        <n v="5349.6"/>
        <n v="701.5"/>
        <n v="852.75"/>
        <n v="1235.6499999999901"/>
        <n v="313.8"/>
        <n v="280.8"/>
        <n v="4360.5"/>
        <n v="2421.9499999999998"/>
        <n v="856"/>
        <n v="5011.1499999999996"/>
        <n v="4557.6000000000004"/>
        <n v="2009.7"/>
        <n v="546.75"/>
        <n v="79.2"/>
        <n v="2191.9"/>
        <n v="3795.74999999999"/>
        <n v="774.15"/>
        <n v="350"/>
        <n v="5925.5999999999904"/>
        <n v="3874.3999999999901"/>
        <n v="3122"/>
        <n v="6005.45"/>
        <n v="1147.7"/>
        <n v="49.95"/>
        <n v="1523.5"/>
        <n v="4920"/>
        <n v="5539.2"/>
        <n v="1749.6"/>
        <n v="700.2"/>
        <n v="3204.5"/>
        <n v="4950"/>
        <n v="2488.1999999999998"/>
        <n v="663.3"/>
        <n v="20.350000000000001"/>
        <n v="6869.5999999999904"/>
        <n v="2993"/>
        <n v="6403.2"/>
        <n v="331.4"/>
        <n v="2024.3999999999901"/>
        <n v="273.7"/>
        <n v="59.849999999999902"/>
        <n v="399.2"/>
        <n v="630"/>
        <n v="530"/>
        <n v="815.5"/>
        <n v="76"/>
        <n v="1669.8"/>
        <n v="356.4"/>
        <n v="7391.0999999999904"/>
        <n v="3979.65"/>
        <n v="187.7"/>
        <n v="2942.05"/>
        <n v="1264.5"/>
        <n v="6145.75"/>
        <n v="3342.5"/>
        <n v="6419.2"/>
        <n v="3219"/>
        <n v="897.3"/>
        <n v="1206.44999999999"/>
        <n v="5988"/>
        <n v="759.6"/>
        <n v="7913.5"/>
        <n v="1516.5"/>
        <n v="957.599999999999"/>
        <n v="889.8"/>
        <n v="6532"/>
        <n v="3249.3999999999901"/>
        <n v="50.45"/>
        <n v="1100.25"/>
        <n v="570.4"/>
        <n v="2788.5499999999902"/>
        <n v="726.25"/>
        <n v="620.54999999999995"/>
        <n v="1199.4000000000001"/>
        <n v="7111"/>
        <n v="182.8"/>
        <n v="1323"/>
        <n v="2010"/>
        <n v="377.75"/>
        <n v="159.19999999999999"/>
        <n v="5672.4"/>
        <n v="5215.5999999999904"/>
        <n v="167.39999999999901"/>
        <n v="4557.1499999999996"/>
        <n v="50.05"/>
        <n v="323.2"/>
        <n v="479.55"/>
        <n v="117"/>
        <n v="154.80000000000001"/>
        <n v="1251"/>
        <n v="2537.6"/>
        <n v="2929.5"/>
        <n v="598.849999999999"/>
        <n v="3817.7999999999902"/>
        <n v="1600"/>
        <n v="4548.5999999999904"/>
        <n v="20.55"/>
        <n v="5979"/>
        <n v="426.5"/>
        <n v="2109.8000000000002"/>
        <n v="720"/>
        <n v="281.60000000000002"/>
        <n v="584.54999999999995"/>
        <n v="590.4"/>
        <n v="1696.25"/>
        <n v="5722.5999999999904"/>
        <n v="3655.6"/>
        <n v="2748.15"/>
        <n v="967.2"/>
        <n v="2370"/>
        <n v="4317.75"/>
        <n v="7272.6"/>
        <n v="40.5"/>
        <n v="6466"/>
        <n v="4292.7"/>
        <n v="2158.1999999999998"/>
        <n v="1386.44999999999"/>
        <n v="4687.2"/>
        <n v="1259.05"/>
        <n v="3557.25"/>
        <n v="7043.2"/>
        <n v="2127.4"/>
        <n v="110.1"/>
        <n v="5980.8"/>
        <n v="51.25"/>
        <n v="1328.25"/>
        <n v="4676.0999999999904"/>
        <n v="1675.8"/>
        <n v="874.5"/>
        <n v="158"/>
        <n v="5103.8"/>
        <n v="60.75"/>
        <n v="4036.65"/>
        <n v="1134.75"/>
        <n v="6032"/>
        <n v="1487.4"/>
        <n v="259.349999999999"/>
        <n v="2712.15"/>
        <n v="4596.75"/>
        <n v="1279.8"/>
        <n v="3678.8"/>
        <n v="1061.0999999999999"/>
        <n v="2034.35"/>
        <n v="1303.05"/>
        <n v="5708.4"/>
        <n v="1289.75"/>
        <n v="1187.2"/>
        <n v="25.8"/>
        <n v="1228.5"/>
        <n v="2812.6"/>
        <n v="1574.19999999999"/>
        <n v="5630.8"/>
        <n v="102.75"/>
        <n v="85.2"/>
        <n v="2495.65"/>
        <n v="1996.6499999999901"/>
        <n v="348.4"/>
        <n v="6920.5499999999902"/>
        <n v="144.54999999999899"/>
        <n v="286.2"/>
        <n v="1512"/>
        <n v="1067.8"/>
        <n v="1085.5999999999999"/>
        <n v="180"/>
        <n v="901.25"/>
        <n v="274.39999999999998"/>
        <n v="1054.8999999999901"/>
        <n v="449.4"/>
        <n v="5226.75"/>
        <n v="5684.4"/>
        <n v="806.8"/>
        <n v="201.2"/>
        <n v="5058.8999999999996"/>
        <n v="1429.2"/>
        <n v="970.6"/>
        <n v="349.75"/>
        <n v="6599.25"/>
        <n v="1191"/>
        <n v="6772.5"/>
        <n v="2147.5"/>
        <n v="484.79999999999899"/>
        <n v="2497.0499999999902"/>
        <n v="3178.5"/>
        <n v="543.4"/>
        <n v="5623.2999999999902"/>
        <n v="91.7"/>
        <n v="807"/>
        <n v="1529.6"/>
        <n v="40.700000000000003"/>
        <n v="1756.94999999999"/>
        <n v="74.95"/>
        <n v="242.54999999999899"/>
        <n v="277.39999999999998"/>
        <n v="953.5"/>
        <n v="4485.25"/>
        <n v="5428.8"/>
        <n v="678"/>
        <n v="1225.4000000000001"/>
        <n v="694.5"/>
        <n v="469.2"/>
        <n v="135"/>
        <n v="4516.7"/>
        <n v="294.75"/>
        <n v="6567"/>
        <n v="4124.2"/>
        <n v="1676.19999999999"/>
        <n v="416.5"/>
        <n v="965.4"/>
        <n v="1505.7"/>
        <n v="756"/>
        <n v="3651.2"/>
        <n v="293.7"/>
        <n v="3477.5"/>
        <n v="3378.9"/>
        <n v="7415.4"/>
        <n v="1262.4000000000001"/>
        <n v="5340"/>
        <n v="454.65"/>
        <n v="1219.05"/>
        <n v="358.7"/>
        <n v="3273.9"/>
        <n v="75.400000000000006"/>
        <n v="1612"/>
        <n v="149.4"/>
        <n v="4651.2"/>
        <n v="527.85"/>
        <n v="5628"/>
        <n v="88.8"/>
        <n v="4353.8999999999996"/>
        <n v="2707.5"/>
        <n v="969.75"/>
        <n v="6606.75"/>
        <n v="1270.75"/>
        <n v="7495.2"/>
        <n v="1157.6499999999901"/>
        <n v="341.7"/>
        <n v="5689.05"/>
        <n v="3085.5"/>
        <n v="6548.4"/>
        <n v="5855.8"/>
        <n v="669.8"/>
        <n v="3413.65"/>
        <n v="982.45"/>
        <n v="1028.19999999999"/>
        <n v="1605.15"/>
        <n v="2179.25"/>
        <n v="5623.5"/>
        <n v="58.1"/>
        <n v="3025.75"/>
        <n v="3247.6"/>
        <n v="5248.8"/>
        <n v="5502"/>
        <n v="681.75"/>
        <n v="1184"/>
        <n v="834.9"/>
        <n v="2701.5"/>
        <n v="4824.6000000000004"/>
        <n v="3898.7999999999902"/>
        <n v="1450.94999999999"/>
        <n v="5092.7999999999902"/>
        <n v="43.8"/>
        <n v="3717"/>
        <n v="209.85"/>
        <n v="1168.8"/>
        <n v="1943.7"/>
        <n v="5739.2"/>
        <n v="765.849999999999"/>
        <n v="6271.2"/>
        <n v="575.65"/>
        <n v="3342.95"/>
        <n v="3733.2"/>
        <n v="3555.3"/>
        <n v="3864.5"/>
        <n v="4857"/>
        <n v="1516.05"/>
        <n v="85.8"/>
        <n v="79.099999999999994"/>
        <n v="584.79999999999995"/>
        <n v="1203.5"/>
        <n v="18.8"/>
        <n v="132.89999999999901"/>
        <n v="4812.3999999999996"/>
        <n v="896"/>
        <n v="5297.5"/>
        <n v="4814.3999999999996"/>
        <n v="1193.8"/>
        <n v="7072"/>
        <n v="348.75"/>
        <n v="4827.1499999999996"/>
        <n v="4418.3"/>
        <n v="691.65"/>
        <n v="162"/>
        <n v="347.2"/>
        <n v="5204.25"/>
        <n v="596.79999999999995"/>
        <n v="50.15"/>
        <n v="6807.9"/>
        <n v="5191.2"/>
        <n v="4657.5999999999904"/>
        <n v="577.29999999999995"/>
        <n v="2288.1"/>
        <n v="320.60000000000002"/>
        <n v="152.39999999999901"/>
        <n v="320.25"/>
        <n v="1369.2"/>
        <n v="1800"/>
        <n v="6138"/>
        <n v="450.8"/>
        <n v="1755.25"/>
        <n v="1904.85"/>
        <n v="1561.3"/>
        <n v="316.79999999999899"/>
        <n v="806"/>
        <n v="411.95"/>
        <n v="6828.5"/>
        <n v="1179"/>
        <n v="984.75"/>
        <n v="8240.4"/>
        <n v="34.700000000000003"/>
        <n v="3817.8"/>
        <n v="255.89999999999901"/>
        <n v="4759.6499999999996"/>
        <n v="6020.8"/>
        <n v="867.3"/>
        <n v="961.15"/>
        <n v="6761.7"/>
        <n v="2192.4"/>
        <n v="392.15"/>
        <n v="99.75"/>
        <n v="4974.75"/>
        <n v="6737.85"/>
        <n v="221.54999999999899"/>
        <n v="297.60000000000002"/>
        <n v="2073"/>
        <n v="413.75"/>
        <n v="1732.3999999999901"/>
        <n v="1602.25"/>
        <n v="3190.2"/>
        <n v="5219"/>
        <n v="892.4"/>
        <n v="438"/>
        <n v="1418.3999999999901"/>
        <n v="338.29999999999899"/>
        <n v="167.6"/>
        <n v="668.25"/>
        <n v="2876.4"/>
        <n v="120.6"/>
        <n v="284.7"/>
        <n v="1601.4"/>
        <n v="1497"/>
        <n v="2202.5499999999902"/>
        <n v="3674.25"/>
        <n v="5724.8"/>
        <n v="59.85"/>
        <n v="69.599999999999994"/>
        <n v="6039"/>
        <n v="19.05"/>
        <n v="408.599999999999"/>
        <n v="19.5"/>
        <n v="309.75"/>
        <n v="5976.3"/>
        <n v="816"/>
        <n v="1142.4000000000001"/>
        <n v="174.3"/>
        <n v="1664.95"/>
        <n v="4282.45"/>
        <n v="1108.8"/>
        <n v="8384.4"/>
        <n v="254.25"/>
        <n v="1082.7"/>
        <n v="5759"/>
        <n v="4485"/>
        <n v="1259.3"/>
        <n v="1314.9"/>
        <n v="6955.2"/>
        <n v="4606.5999999999904"/>
        <n v="651.599999999999"/>
        <n v="3293.3999999999901"/>
        <n v="4317.3"/>
        <n v="1363.4"/>
        <n v="388"/>
        <n v="2745"/>
        <n v="1418.1"/>
        <n v="3137.75"/>
        <n v="90.8"/>
        <n v="4769.1000000000004"/>
        <n v="6417.7"/>
        <n v="554.85"/>
        <n v="8175.65"/>
        <n v="3688.6499999999901"/>
        <n v="6620.75"/>
        <n v="4641.2"/>
        <n v="1176.5"/>
        <n v="1315.8"/>
        <n v="48.75"/>
        <n v="7088.25"/>
        <n v="1537.2"/>
        <n v="1782"/>
        <n v="182.3"/>
        <n v="362.7"/>
        <n v="6261"/>
        <n v="1717.3"/>
        <n v="71.650000000000006"/>
        <n v="6269.6"/>
        <n v="3201.5"/>
        <n v="4418.3999999999996"/>
        <n v="1641.6"/>
        <n v="937.19999999999902"/>
        <n v="2706"/>
        <n v="2914.8"/>
        <n v="6464.55"/>
        <n v="1703.35"/>
        <n v="1693.95"/>
        <n v="582"/>
        <n v="917"/>
        <n v="987"/>
        <n v="43.85"/>
        <n v="1533.4"/>
        <n v="269.849999999999"/>
        <n v="1911.6"/>
        <n v="702.099999999999"/>
        <n v="4640.3999999999996"/>
        <n v="903.6"/>
        <n v="76.349999999999994"/>
        <n v="1820.45"/>
        <n v="2720"/>
        <n v="6755.65"/>
        <n v="1825.05"/>
        <n v="1643.05"/>
        <n v="75.5"/>
        <n v="1476"/>
        <n v="19.2"/>
        <n v="7081.2"/>
        <n v="4461"/>
        <n v="3132.35"/>
        <n v="273.89999999999998"/>
        <n v="2729.6"/>
        <n v="2683.0499999999902"/>
        <n v="1403.1499999999901"/>
        <n v="1461.6"/>
        <n v="1734.4"/>
        <n v="5892.25"/>
        <n v="2290.5"/>
        <n v="1052.0999999999999"/>
        <n v="598.79999999999995"/>
        <n v="656"/>
        <n v="1398.1"/>
        <n v="2556.4499999999998"/>
        <n v="47.95"/>
        <n v="45.1"/>
        <n v="45"/>
        <n v="2304"/>
        <n v="4862.7"/>
        <n v="101.2"/>
        <n v="7062.25"/>
        <n v="3417.75"/>
        <n v="1398.7"/>
        <n v="3917.6"/>
        <n v="357.2"/>
        <n v="1067"/>
        <n v="733.4"/>
        <n v="455.5"/>
        <n v="3170.15"/>
        <n v="70.2"/>
        <n v="46.2"/>
        <n v="45.15"/>
        <n v="43.3"/>
        <n v="924.6"/>
        <n v="2171.6999999999998"/>
        <n v="3828.5"/>
        <n v="1390.8"/>
        <n v="4438.2"/>
        <n v="1380.95"/>
        <n v="45.95"/>
        <n v="2626"/>
        <n v="150.6"/>
        <n v="1578.2"/>
        <n v="4752"/>
        <n v="6681.6"/>
        <n v="251.25"/>
        <n v="44.05"/>
        <n v="1735.2"/>
        <n v="45.55"/>
        <n v="4783.8"/>
        <n v="807.69999999999902"/>
        <n v="5086.8"/>
        <n v="3717.35"/>
        <n v="8215.1999999999898"/>
        <n v="4474.3999999999996"/>
        <n v="6375.5999999999904"/>
        <n v="62.25"/>
        <n v="70.05"/>
        <n v="172"/>
        <n v="1160.8999999999901"/>
        <n v="1745.8"/>
        <n v="3517.5"/>
        <n v="1497.15"/>
        <n v="1687.19999999999"/>
        <n v="4046.7999999999902"/>
        <n v="1162.4000000000001"/>
        <n v="1283.3999999999901"/>
        <n v="435.4"/>
        <n v="21"/>
        <n v="203.8"/>
        <n v="1105.5999999999999"/>
        <n v="2021.7"/>
        <n v="5882"/>
        <n v="2658.1"/>
        <n v="394.75"/>
        <n v="1546.15"/>
        <n v="79.599999999999994"/>
        <n v="241.79999999999899"/>
        <n v="6523.2"/>
        <n v="276"/>
        <n v="5289.2"/>
        <n v="1018.85"/>
        <n v="1440"/>
        <n v="549.5"/>
        <n v="1376.55"/>
        <n v="152.5"/>
        <n v="902"/>
        <n v="6207.5"/>
        <n v="193.79999999999899"/>
        <n v="1226.4000000000001"/>
        <n v="3731.2"/>
        <n v="6415.2"/>
        <n v="1318.8"/>
        <n v="50.9"/>
        <n v="449.9"/>
        <n v="6016.5"/>
        <n v="1508.75"/>
        <n v="732.6"/>
        <n v="1877.69999999999"/>
        <n v="4253.8999999999996"/>
        <n v="4890.2"/>
        <n v="5045.45"/>
        <n v="606.04999999999995"/>
        <n v="81.05"/>
        <n v="61.5"/>
        <n v="5925.4"/>
        <n v="237.29999999999899"/>
        <n v="1012.35"/>
        <n v="254.15"/>
        <n v="20.9"/>
        <n v="21.05"/>
        <n v="4504.5"/>
        <n v="163.95"/>
        <n v="883.19999999999902"/>
        <n v="49.8"/>
        <n v="204"/>
        <n v="1455.5"/>
        <n v="4972"/>
        <n v="6317.5"/>
        <n v="161.5"/>
        <n v="7008.2"/>
        <n v="5970.25"/>
        <n v="702.8"/>
        <n v="1910"/>
        <n v="75.349999999999994"/>
        <n v="75.45"/>
        <n v="4674.6000000000004"/>
        <n v="7293.5999999999904"/>
        <n v="2442.6"/>
        <n v="2036.3999999999901"/>
        <n v="171.25"/>
        <n v="2923.7999999999902"/>
        <n v="2526.2999999999902"/>
        <n v="2298.85"/>
        <n v="565.6"/>
        <n v="3616.7999999999902"/>
        <n v="1189.19999999999"/>
        <n v="1315.19999999999"/>
        <n v="5423.4"/>
        <n v="5315.9"/>
        <n v="3216"/>
        <n v="567.69999999999902"/>
        <n v="387"/>
        <n v="1968.8"/>
        <n v="5817.5999999999904"/>
        <n v="824.45"/>
        <n v="411.6"/>
        <n v="93.55"/>
        <n v="2811.7"/>
        <n v="3975.75"/>
        <n v="900"/>
        <n v="952.5"/>
        <n v="5921.7999999999902"/>
        <n v="279.3"/>
        <n v="2182.9499999999998"/>
        <n v="1272.5999999999999"/>
        <n v="350.4"/>
        <n v="6437.7"/>
        <n v="2228.75"/>
        <n v="6313.2999999999902"/>
        <n v="1622.25"/>
        <n v="1356"/>
        <n v="3543.75"/>
        <n v="1420.35"/>
        <n v="431.2"/>
        <n v="69.95"/>
        <n v="4545.95"/>
        <n v="7078.55"/>
        <n v="1723.85"/>
        <n v="679.5"/>
        <n v="100.75"/>
        <n v="2440.8000000000002"/>
        <n v="5429.25"/>
        <n v="2156.3999999999901"/>
        <n v="4922.05"/>
        <n v="235.75"/>
        <n v="160.4"/>
        <n v="5547.5"/>
        <n v="379.5"/>
        <n v="4542.1000000000004"/>
        <n v="4641.25"/>
        <n v="623.1"/>
        <n v="803.4"/>
        <n v="1397.2"/>
        <n v="864.5"/>
        <n v="775.19999999999902"/>
        <n v="6974.7"/>
        <n v="3920.8"/>
        <n v="6705.3"/>
        <n v="1380"/>
        <n v="405"/>
        <n v="1148.4000000000001"/>
        <n v="8413.1999999999898"/>
        <n v="7508.25"/>
        <n v="483.599999999999"/>
        <n v="294"/>
        <n v="6070.2"/>
        <n v="121.9"/>
        <n v="125.25"/>
        <n v="1322.25"/>
        <n v="2472.2999999999902"/>
        <n v="2749.85"/>
        <n v="74.3"/>
        <n v="2360.7999999999902"/>
        <n v="1745.69999999999"/>
        <n v="6429.05"/>
        <n v="136.15"/>
        <n v="1804.6"/>
        <n v="1114.4000000000001"/>
        <n v="136.5"/>
        <n v="7624.5"/>
        <n v="24.7"/>
        <n v="2032.8"/>
        <n v="5892.6"/>
        <n v="3379.6"/>
        <n v="1338.6"/>
        <n v="4984.7999999999902"/>
        <n v="3917.45"/>
        <n v="98.8"/>
        <n v="4880.25"/>
        <n v="4131"/>
        <n v="1742.4"/>
        <n v="3439.15"/>
        <n v="6414.8499999999904"/>
        <n v="340.9"/>
        <n v="1659.8999999999901"/>
        <n v="3896.4"/>
        <n v="586.5"/>
        <n v="2901.8999999999901"/>
        <n v="1587.2"/>
        <n v="6704.75"/>
        <n v="4735.25"/>
        <n v="95.6"/>
        <n v="2927.75"/>
        <n v="6304.7"/>
        <n v="754.65"/>
        <n v="278.599999999999"/>
        <n v="4650.45"/>
        <n v="5658.8"/>
        <n v="827.4"/>
        <n v="71.349999999999994"/>
        <n v="893.6"/>
        <n v="7423.5"/>
        <n v="6055.2"/>
        <n v="1731.8999999999901"/>
        <n v="518.69999999999902"/>
        <n v="69.75"/>
        <n v="2982.4"/>
        <n v="1374.44999999999"/>
        <n v="134.6"/>
        <n v="2008.8"/>
        <n v="1985"/>
        <n v="1416"/>
        <n v="5727.5999999999904"/>
        <n v="248"/>
        <n v="353.7"/>
        <n v="79.95"/>
        <n v="19.3"/>
        <n v="846.44999999999902"/>
        <n v="181.5"/>
        <n v="3154"/>
        <n v="6865.5"/>
        <n v="3670.4"/>
        <n v="1449.8999999999901"/>
        <n v="681.6"/>
        <n v="225.75"/>
        <n v="3269.75"/>
        <n v="3080.5499999999902"/>
        <n v="2067.6999999999998"/>
        <n v="887.4"/>
        <n v="60.599999999999902"/>
        <n v="637.5"/>
        <n v="1960.2"/>
        <n v="4275"/>
        <n v="2476"/>
        <n v="8424.15"/>
        <n v="54.35"/>
        <n v="1763.3"/>
        <n v="929.19999999999902"/>
        <n v="910.19999999999902"/>
        <n v="2493.9499999999998"/>
        <n v="124.75"/>
        <n v="5058.5"/>
        <n v="44.45"/>
        <n v="1694"/>
        <n v="3056.5499999999902"/>
        <n v="4834.8"/>
        <n v="2022.3"/>
        <n v="451.95"/>
        <n v="70.55"/>
        <n v="5969.5999999999904"/>
        <n v="1365"/>
        <n v="304.79999999999899"/>
        <n v="3777.3"/>
        <n v="467.94999999999902"/>
        <n v="2842.95"/>
        <n v="1361.85"/>
        <n v="2245.5"/>
        <n v="151.5"/>
        <n v="801.9"/>
        <n v="7133.0999999999904"/>
        <n v="342"/>
        <n v="117.3"/>
        <n v="4650.5999999999904"/>
        <n v="1766.1"/>
        <n v="1642.19999999999"/>
        <n v="50.1"/>
        <n v="1864.99999999999"/>
        <n v="474"/>
        <n v="2550"/>
        <n v="161.1"/>
        <n v="5446.8"/>
        <n v="4816.5"/>
        <n v="375.75"/>
        <n v="6026.4"/>
        <n v="151.6"/>
        <n v="2704.7999999999902"/>
        <n v="2856.5"/>
        <n v="7077"/>
        <n v="262.599999999999"/>
        <n v="5548.95"/>
        <n v="1238.25"/>
        <n v="520.79999999999995"/>
        <n v="5022"/>
        <n v="1265.25"/>
        <n v="121.7"/>
        <n v="43.95"/>
        <n v="344.2"/>
        <n v="384.75"/>
        <n v="2554.5"/>
        <n v="1299.8"/>
        <n v="7390.8"/>
        <n v="1054.69999999999"/>
        <n v="97.75"/>
        <n v="6780.5"/>
        <n v="4207.5"/>
        <n v="100.4"/>
        <n v="177.1"/>
        <n v="1314"/>
        <n v="8253.75"/>
        <n v="904.8"/>
        <n v="1687.05"/>
        <n v="5978.2"/>
        <n v="91.3"/>
        <n v="4796.3999999999996"/>
        <n v="79.5"/>
        <n v="715.4"/>
        <n v="383.8"/>
        <n v="4214.1000000000004"/>
        <n v="1053.1500000000001"/>
        <n v="1339"/>
        <n v="1105.8"/>
        <n v="3090.6"/>
        <n v="490.69999999999902"/>
        <n v="7552.8"/>
        <n v="7457.0999999999904"/>
        <n v="3394.8999999999901"/>
        <n v="603.75"/>
        <n v="100.8"/>
        <n v="156.4"/>
        <n v="7176"/>
        <n v="5220"/>
        <n v="195"/>
        <n v="303"/>
        <n v="1208.2"/>
        <n v="3489.5"/>
        <n v="6972.8"/>
        <n v="5933.4"/>
        <n v="5822"/>
        <n v="1799"/>
        <n v="5713.2"/>
        <n v="4547.55"/>
        <n v="2518.6"/>
        <n v="1299.6500000000001"/>
        <n v="1290.3"/>
        <n v="795.8"/>
        <n v="1133.9000000000001"/>
        <n v="7311.5"/>
        <n v="282"/>
        <n v="915.75"/>
        <n v="700"/>
        <n v="700.19999999999902"/>
        <n v="3774.6"/>
        <n v="3212.35"/>
        <n v="357.25"/>
        <n v="1237.95"/>
        <n v="95.85"/>
        <n v="2391.9"/>
        <n v="6447.5999999999904"/>
        <n v="1093.4000000000001"/>
        <n v="6652.8"/>
        <n v="2189.6"/>
        <n v="7269.15"/>
        <n v="102.45"/>
        <n v="786"/>
        <n v="1633.5"/>
        <n v="775.5"/>
        <n v="301.5"/>
        <n v="762.849999999999"/>
        <n v="1267.2"/>
        <n v="5356.8"/>
        <n v="6699.5999999999904"/>
        <n v="51.2"/>
        <n v="983.99999999999898"/>
        <n v="4833"/>
        <n v="2951.2"/>
        <n v="166.8"/>
        <n v="240.29999999999899"/>
        <n v="2555.35"/>
        <n v="588.9"/>
        <n v="8046.5"/>
        <n v="1355.4"/>
        <n v="5431.4"/>
        <n v="8182.8"/>
        <n v="824"/>
        <n v="70.900000000000006"/>
        <n v="260.54999999999899"/>
        <n v="3662"/>
        <n v="49.85"/>
        <n v="594"/>
        <n v="2296.5499999999902"/>
        <n v="74.5"/>
        <n v="4582.6000000000004"/>
        <n v="7094.75"/>
        <n v="337.4"/>
        <n v="801.2"/>
        <n v="1043.2"/>
        <n v="71.55"/>
        <n v="167.7"/>
        <n v="4976.7"/>
        <n v="515.20000000000005"/>
        <n v="7479.6"/>
        <n v="7736.4"/>
        <n v="633.75"/>
        <n v="342.6"/>
        <n v="4930.2"/>
        <n v="6188.4"/>
        <n v="1280.4000000000001"/>
        <n v="45.2"/>
        <n v="5958.9"/>
        <n v="5464.8"/>
        <n v="2664"/>
        <n v="4956"/>
        <n v="722"/>
        <n v="6478.75"/>
        <n v="6760.3"/>
        <n v="3321.8"/>
        <n v="209.54999999999899"/>
        <n v="7430.15"/>
        <n v="5155.6499999999996"/>
        <n v="4586.3999999999996"/>
        <n v="5016"/>
        <n v="361.8"/>
        <n v="4484.8999999999996"/>
        <n v="6714"/>
        <n v="2570.75"/>
        <n v="82.8"/>
        <n v="1237.25"/>
        <n v="7135.5"/>
        <n v="996.599999999999"/>
        <n v="5632.2"/>
        <n v="6204.25"/>
        <n v="1002.05"/>
        <n v="2859.3999999999901"/>
        <n v="1245.75"/>
        <n v="79.8"/>
        <n v="7858.8"/>
        <n v="2228.1999999999998"/>
        <n v="3571.75"/>
        <n v="5397.9"/>
        <n v="1803.2"/>
        <n v="670"/>
        <n v="3104.35"/>
        <n v="3716.4"/>
        <n v="279"/>
        <n v="1196.8"/>
        <n v="5866"/>
        <n v="1436.3999999999901"/>
        <n v="1979.25"/>
        <n v="2160"/>
        <n v="7813.2"/>
        <n v="3192"/>
        <n v="138.30000000000001"/>
        <n v="555.79999999999995"/>
        <n v="80.2"/>
        <n v="6798.25"/>
        <n v="195.2"/>
        <n v="2049.6"/>
        <n v="6512.4"/>
        <n v="3302.6"/>
        <n v="157.6"/>
        <n v="241.04999999999899"/>
        <n v="176.4"/>
        <n v="3631.4"/>
        <n v="2079.1999999999998"/>
        <n v="5031.7"/>
        <n v="1083.5"/>
        <n v="2400.75"/>
        <n v="1243.0999999999999"/>
        <n v="1920.8"/>
        <n v="44.75"/>
        <n v="1157.0999999999999"/>
        <n v="1690.2"/>
        <n v="70.150000000000006"/>
        <n v="85.55"/>
        <n v="8434.7999999999993"/>
        <n v="6352"/>
        <n v="7765.95"/>
        <n v="25.7"/>
        <n v="6411.3"/>
        <n v="3260.4"/>
        <n v="38.799999999999997"/>
        <n v="7788.7"/>
        <n v="673.75"/>
        <n v="2599.1"/>
        <n v="2460.5"/>
        <n v="3403.2"/>
        <n v="6225"/>
        <n v="214.5"/>
        <n v="1145.5"/>
        <n v="547.04999999999995"/>
        <n v="4370.3999999999996"/>
        <n v="88.949999999999903"/>
        <n v="2158.6"/>
        <n v="526.5"/>
        <n v="55.45"/>
        <n v="6066.95"/>
        <n v="158.4"/>
        <n v="1814"/>
        <n v="3422.1"/>
        <n v="88.35"/>
        <n v="60.5"/>
        <n v="598.20000000000005"/>
        <n v="837"/>
        <n v="600.04999999999995"/>
        <n v="3966.9"/>
        <n v="753.6"/>
        <n v="481.25"/>
        <n v="938.25"/>
        <n v="3459.35"/>
        <n v="5097"/>
        <n v="1409.1"/>
        <n v="347.55"/>
        <n v="505"/>
        <n v="3782"/>
        <n v="2713.5"/>
        <n v="357.5"/>
        <n v="2334.15"/>
        <n v="591.79999999999995"/>
        <n v="154.19999999999999"/>
        <n v="2713.2"/>
        <n v="6438.15"/>
        <n v="527.79999999999995"/>
        <n v="35.9"/>
        <n v="3771.5"/>
        <n v="4894.05"/>
        <n v="1669.5"/>
        <n v="48.9"/>
        <n v="457.2"/>
        <n v="58.949999999999903"/>
        <n v="837.19999999999902"/>
        <n v="2280.0499999999902"/>
        <n v="429.8"/>
        <n v="826.8"/>
        <n v="622.4"/>
        <n v="163"/>
        <n v="593.6"/>
        <n v="7887.5999999999904"/>
        <n v="3098.45"/>
        <n v="524.29999999999995"/>
        <n v="1467.8999999999901"/>
        <n v="656.15"/>
        <n v="7952.4"/>
        <n v="2970.7999999999902"/>
        <n v="1113"/>
        <n v="297.8"/>
        <n v="1743.05"/>
        <n v="446.75"/>
        <n v="1153.8499999999999"/>
        <n v="5167.05"/>
        <n v="5252.5"/>
        <n v="163.6"/>
        <n v="938.4"/>
        <n v="1379"/>
        <n v="685.2"/>
        <n v="77.150000000000006"/>
        <n v="35.25"/>
        <n v="1233"/>
        <n v="4799.55"/>
        <n v="194.2"/>
        <n v="1691.75"/>
        <n v="5215.2"/>
        <n v="4750.3"/>
        <n v="119.1"/>
        <n v="4998.45"/>
        <n v="5273.5"/>
        <n v="5844.3"/>
        <n v="258.14999999999998"/>
        <n v="178.2"/>
        <n v="4247.5999999999904"/>
        <n v="5537.15"/>
        <n v="1525"/>
        <n v="4632.2"/>
        <n v="246"/>
        <n v="1126.3"/>
        <n v="2532.6"/>
        <n v="1450.8"/>
        <n v="1712.75"/>
        <n v="5334.6"/>
        <n v="3921.45"/>
        <n v="854.7"/>
        <n v="707.85"/>
        <n v="544.5"/>
        <n v="2637.25"/>
        <n v="769.5"/>
        <n v="360.9"/>
        <n v="78.400000000000006"/>
        <n v="1452.6"/>
        <n v="2878.2"/>
        <n v="3775"/>
        <n v="1465.2"/>
        <n v="1823.5"/>
        <n v="906.4"/>
        <n v="151.4"/>
        <n v="683.4"/>
        <n v="1739.5"/>
        <n v="1818"/>
        <n v="74.25"/>
        <n v="2612.8999999999901"/>
        <n v="1581.25"/>
        <n v="998.4"/>
        <n v="7366.4"/>
        <n v="1542.4"/>
        <n v="69.5"/>
        <n v="2391.6"/>
        <n v="182.9"/>
        <n v="2881.5"/>
        <n v="3069"/>
        <n v="4173.75"/>
        <n v="951.75"/>
        <n v="1432.8"/>
        <n v="7038"/>
        <n v="19.399999999999999"/>
        <n v="749.69999999999902"/>
        <n v="640.79999999999995"/>
        <n v="2821.5"/>
        <n v="1735.95"/>
        <n v="4145.0999999999904"/>
        <n v="3410.2999999999902"/>
        <n v="7396.8"/>
        <n v="6454"/>
        <n v="632.5"/>
        <n v="8164.8"/>
        <n v="1378.69999999999"/>
        <n v="1690"/>
        <n v="7836.5"/>
        <n v="3873.6"/>
        <n v="2523.5"/>
        <n v="1275.95"/>
        <n v="946.19999999999902"/>
        <n v="4386.5"/>
        <n v="1903.75"/>
        <n v="2033.2"/>
        <n v="559.6"/>
        <n v="40.1"/>
        <n v="1122.8"/>
        <n v="233.39999999999901"/>
        <n v="1264.3"/>
        <n v="38.4"/>
        <n v="480"/>
        <n v="3804.75"/>
        <n v="136.35"/>
        <n v="761.9"/>
        <n v="8319.6"/>
        <n v="4310.2"/>
        <n v="7029"/>
        <n v="3336.2999999999902"/>
        <n v="2648.75"/>
        <n v="325"/>
        <n v="5950.75"/>
        <n v="5745"/>
        <n v="290.25"/>
        <n v="1789.2"/>
        <n v="4216.8"/>
        <n v="1775"/>
        <n v="54.75"/>
        <n v="3730.35"/>
        <n v="5737.25"/>
        <n v="94.6"/>
        <n v="3065.9"/>
        <n v="967.19999999999902"/>
        <n v="3039"/>
        <n v="200"/>
        <n v="1263.5999999999999"/>
        <n v="3981.45"/>
        <n v="3784.5"/>
        <n v="862.4"/>
        <n v="541.35"/>
        <n v="395.2"/>
        <n v="228.14999999999901"/>
        <n v="2210"/>
        <n v="5734.2"/>
        <n v="1258.5999999999999"/>
        <n v="6997.25"/>
        <n v="5711.95"/>
        <n v="1235.8499999999999"/>
        <n v="7781.5999999999904"/>
        <n v="5256"/>
        <n v="70.099999999999994"/>
        <n v="7102.8"/>
        <n v="7132.8"/>
        <n v="8272.7999999999993"/>
        <n v="265.2"/>
        <n v="3234.85"/>
        <n v="241.5"/>
        <n v="6438.55"/>
        <n v="1173.9000000000001"/>
        <n v="703"/>
        <n v="6321.45"/>
        <n v="6577.2"/>
        <n v="267.60000000000002"/>
        <n v="3644.85"/>
        <n v="1230.3"/>
        <n v="5616.0999999999904"/>
        <n v="1428"/>
        <n v="4838.3999999999996"/>
        <n v="3003"/>
        <n v="848.1"/>
        <n v="5332.95"/>
        <n v="3561.25"/>
        <n v="6509.75"/>
        <n v="84.8"/>
        <n v="1590.75"/>
        <n v="7910"/>
        <n v="1463.3999999999901"/>
        <n v="5460"/>
        <n v="1197.9000000000001"/>
        <n v="2088.9"/>
        <n v="299.5"/>
        <n v="2750.5499999999902"/>
        <n v="603"/>
        <n v="19.8"/>
        <n v="4580.8"/>
        <n v="2086"/>
        <n v="2168.3999999999901"/>
        <n v="55.55"/>
        <n v="5274.5"/>
        <n v="90.75"/>
        <n v="358.4"/>
        <n v="2312.6999999999998"/>
        <n v="1916.8999999999901"/>
        <n v="263.2"/>
        <n v="5273.45"/>
        <n v="677.3"/>
        <n v="3128.4"/>
        <n v="6439.85"/>
        <n v="5886.9"/>
        <n v="3087.15"/>
        <n v="5247"/>
        <n v="8283.6"/>
        <n v="1807.85"/>
        <n v="4852.6499999999996"/>
        <n v="6640.2"/>
        <n v="542.70000000000005"/>
        <n v="2229.6999999999998"/>
        <n v="869.4"/>
        <n v="590.15"/>
        <n v="280.2"/>
        <n v="591"/>
        <n v="298.60000000000002"/>
        <n v="1858.3999999999901"/>
        <n v="201.6"/>
        <n v="557.54999999999995"/>
        <n v="7258.8"/>
        <n v="7246.8"/>
        <n v="1517.1499999999901"/>
        <n v="2548"/>
        <n v="393.75"/>
        <n v="8406"/>
        <n v="643.6"/>
        <n v="413.7"/>
        <n v="1095.5999999999999"/>
        <n v="4232.8"/>
        <n v="2645.2"/>
        <n v="6244.45"/>
        <n v="3275.8999999999901"/>
        <n v="845.25"/>
        <n v="1165.0999999999999"/>
        <n v="3211.8"/>
        <n v="1846.8"/>
        <n v="152.80000000000001"/>
        <n v="296.10000000000002"/>
        <n v="1310.3999999999901"/>
        <n v="2211.9499999999998"/>
        <n v="489.599999999999"/>
        <n v="2522.7999999999902"/>
        <n v="234.8"/>
        <n v="5135.3999999999996"/>
        <n v="1035.25"/>
        <n v="853.1"/>
        <n v="6670.8"/>
        <n v="2709.4"/>
        <n v="4065.5999999999899"/>
        <n v="773.25"/>
        <n v="792.5"/>
        <n v="606.4"/>
        <n v="430.5"/>
        <n v="1236.8999999999901"/>
        <n v="49"/>
        <n v="556.20000000000005"/>
        <n v="474.25"/>
        <n v="1526.25"/>
        <n v="171.4"/>
        <n v="5225.8500000000004"/>
        <n v="6819.75"/>
        <n v="81.599999999999994"/>
        <n v="55.3"/>
        <n v="222.75"/>
        <n v="3793.4"/>
        <n v="5367"/>
        <n v="6697.6"/>
        <n v="3233.6"/>
        <n v="6170.15"/>
        <n v="447.5"/>
        <n v="4537.5"/>
        <n v="7440.3499999999904"/>
        <n v="86.05"/>
        <n v="651"/>
        <n v="135.79999999999899"/>
        <n v="2624.8"/>
        <n v="58.349999999999902"/>
        <n v="472.15"/>
        <n v="1097.3999999999901"/>
        <n v="95.65"/>
        <n v="124.05"/>
        <n v="901.6"/>
        <n v="20.95"/>
        <n v="5827.05"/>
        <n v="101.25"/>
        <n v="536.9"/>
        <n v="347"/>
        <n v="2482.5"/>
        <n v="5187.2"/>
        <n v="2027.99999999999"/>
        <n v="911.95"/>
        <n v="7360"/>
        <n v="3900.7999999999902"/>
        <n v="1573.35"/>
        <n v="820.94999999999902"/>
        <n v="4958"/>
        <n v="698.4"/>
        <n v="300.29999999999899"/>
        <n v="3182.6499999999901"/>
        <n v="1188.8"/>
        <n v="970.45"/>
        <n v="768.15"/>
        <n v="1857.5"/>
        <n v="310.8"/>
        <n v="3245.2"/>
        <n v="4046.2999999999902"/>
        <n v="392.4"/>
        <n v="2722.5"/>
        <n v="1517.4"/>
        <n v="1879.2"/>
        <n v="2134.8000000000002"/>
        <n v="5482.5"/>
        <n v="4237.95"/>
        <n v="320.39999999999998"/>
        <n v="1569.3999999999901"/>
        <n v="670.94999999999902"/>
        <n v="4939"/>
        <n v="302.85000000000002"/>
        <n v="949"/>
        <n v="1050.5"/>
        <n v="6575.0999999999904"/>
        <n v="3356.8"/>
        <n v="844.94999999999902"/>
        <n v="216.9"/>
        <n v="4993.7999999999902"/>
        <n v="1356.05"/>
        <n v="6753.5"/>
        <n v="770.25"/>
        <n v="6867.3"/>
        <n v="1669.4"/>
        <n v="3019.4"/>
        <n v="265.04999999999899"/>
        <n v="2744.85"/>
        <n v="220.8"/>
        <n v="1274.6500000000001"/>
        <n v="74.400000000000006"/>
        <n v="3275.9"/>
        <n v="797.55"/>
        <n v="1212.75"/>
        <n v="395.25"/>
        <n v="569.4"/>
        <n v="557.6"/>
        <n v="3684"/>
        <n v="1177.19999999999"/>
        <n v="2830"/>
        <n v="4035.9"/>
        <n v="850.5"/>
        <n v="4836.3"/>
        <n v="20.5"/>
        <n v="820"/>
        <n v="791.3"/>
        <n v="1941.2"/>
        <n v="193"/>
        <n v="1032.2"/>
        <n v="398.4"/>
        <n v="1036.2"/>
        <n v="124.3"/>
        <n v="2061.7999999999902"/>
        <n v="1350"/>
        <n v="243.6"/>
        <n v="5940"/>
        <n v="5798.4"/>
        <n v="5669.4"/>
        <n v="1195.94999999999"/>
        <n v="812.7"/>
        <n v="2998.6"/>
        <n v="205.5"/>
        <n v="6198.5"/>
        <n v="6793.8"/>
        <n v="81.95"/>
        <n v="485.44999999999902"/>
        <n v="44.6"/>
        <n v="255"/>
        <n v="7210.5"/>
        <n v="1015.19999999999"/>
        <n v="490.79999999999899"/>
        <n v="2229.5"/>
        <n v="546.599999999999"/>
        <n v="6153.15"/>
        <n v="1205.3999999999901"/>
        <n v="963.9"/>
        <n v="2367.5"/>
        <n v="1244.8"/>
        <n v="1872.19999999999"/>
        <n v="374.3"/>
        <n v="6048.15"/>
        <n v="1914"/>
        <n v="7206.5"/>
        <n v="959.4"/>
        <n v="1984"/>
        <n v="1751"/>
        <n v="6490.8"/>
        <n v="7778.7"/>
        <n v="6297"/>
        <n v="71"/>
        <n v="2900"/>
        <n v="3315.85"/>
        <n v="79.7"/>
        <n v="1298"/>
        <n v="2896.8"/>
        <n v="1137.3499999999999"/>
        <n v="380.4"/>
        <n v="3830.45"/>
        <n v="6847.2"/>
        <n v="444.599999999999"/>
        <n v="426"/>
        <n v="1773.75"/>
        <n v="1663.2"/>
        <n v="292.79999999999899"/>
        <n v="1780"/>
        <n v="2384.35"/>
        <n v="889"/>
        <n v="73.5"/>
        <n v="2992"/>
        <n v="3322.7999999999902"/>
        <n v="2075.1999999999998"/>
        <n v="4593.5999999999904"/>
        <n v="2266.9499999999998"/>
        <n v="1356.6"/>
        <n v="346.8"/>
        <n v="2432.85"/>
        <n v="6127.2"/>
        <n v="2585.7999999999902"/>
        <n v="4849.2"/>
        <n v="820.05"/>
        <n v="5152.5"/>
        <n v="8004"/>
        <n v="6466.7999999999902"/>
        <n v="1610"/>
        <n v="798.25"/>
        <n v="3476.5499999999902"/>
        <n v="6248"/>
        <n v="1632"/>
        <n v="232.79999999999899"/>
        <n v="6113.0999999999904"/>
        <n v="4106"/>
        <n v="5942.4"/>
        <n v="5180.75"/>
        <n v="1005.59999999999"/>
        <n v="2885.85"/>
        <n v="7052.4"/>
        <n v="984"/>
        <n v="611.4"/>
        <n v="680.4"/>
        <n v="4118.25"/>
        <n v="4429.6000000000004"/>
        <n v="4091.7999999999902"/>
        <n v="3374"/>
        <n v="80.8"/>
        <n v="1283"/>
        <n v="2117"/>
        <n v="528.15"/>
        <n v="656.94999999999902"/>
        <n v="5049"/>
        <n v="321.2"/>
        <n v="2720.25"/>
        <n v="2216.5"/>
        <n v="645"/>
        <n v="93"/>
        <n v="870.4"/>
        <n v="1400.4"/>
        <n v="4080"/>
        <n v="648.9"/>
        <n v="6711.25"/>
        <n v="271.2"/>
        <n v="7104.5"/>
        <n v="351.25"/>
        <n v="5327.7"/>
        <n v="4698"/>
        <n v="2646"/>
        <n v="181.95"/>
        <n v="457.9"/>
        <n v="2062.8000000000002"/>
        <n v="3049.5"/>
        <n v="1832.3999999999901"/>
        <n v="1373.5"/>
        <n v="1084.2"/>
        <n v="6382.9"/>
        <n v="3962"/>
        <n v="3797.75"/>
        <n v="7894.8"/>
        <n v="339"/>
        <n v="3330"/>
        <n v="408"/>
        <n v="2393.1999999999998"/>
        <n v="1090.8"/>
        <n v="6206.55"/>
        <n v="149.5"/>
        <n v="391.4"/>
        <n v="1013.4"/>
        <n v="183.6"/>
        <n v="2205.9"/>
        <n v="2146.5"/>
        <n v="89.15"/>
        <n v="1049.3"/>
        <n v="2380.8000000000002"/>
        <n v="220"/>
        <n v="25"/>
        <n v="3057.1"/>
        <n v="177.75"/>
        <n v="3545.1"/>
        <n v="2059"/>
        <n v="3924.8"/>
        <n v="5118.25"/>
        <n v="165.89999999999901"/>
        <n v="1107"/>
        <n v="1681.7"/>
        <n v="1213.3"/>
        <n v="1123.6499999999901"/>
        <n v="1762.1"/>
        <n v="1359.2"/>
        <n v="165.6"/>
        <n v="216.25"/>
        <n v="1112.05"/>
        <n v="79.55"/>
        <n v="3552.5"/>
        <n v="330.65"/>
        <n v="7534.4"/>
        <n v="84.5"/>
        <n v="1732.5"/>
        <n v="3306.45"/>
        <n v="651.20000000000005"/>
        <n v="7075.2"/>
        <n v="7710.5999999999904"/>
        <n v="60.8"/>
        <n v="45.4"/>
        <n v="3151.2"/>
        <n v="6301.3"/>
        <n v="2692.8"/>
        <n v="88.9"/>
        <n v="59.25"/>
        <n v="2036.85"/>
        <n v="6766.5"/>
        <n v="7142.2"/>
        <n v="3684.8"/>
        <n v="3525"/>
        <n v="490"/>
        <n v="949.45"/>
        <n v="1539.2"/>
        <n v="2447.1999999999998"/>
        <n v="822"/>
        <n v="3701.85"/>
        <n v="1441.65"/>
        <n v="45.8"/>
        <n v="757.5"/>
        <n v="4916.3999999999996"/>
        <n v="305.7"/>
        <n v="4253.5"/>
        <n v="4843.3999999999996"/>
        <n v="2080.75"/>
        <n v="7504.7"/>
        <n v="337.5"/>
        <n v="2398.5"/>
        <n v="171.1"/>
        <n v="274.60000000000002"/>
        <n v="48.6"/>
        <n v="311.39999999999998"/>
        <n v="3054.9"/>
        <n v="1437"/>
        <n v="181.35"/>
        <n v="316.04999999999899"/>
        <n v="1626.05"/>
        <n v="696.4"/>
        <n v="3726"/>
        <n v="5606.6"/>
        <n v="53.5"/>
        <n v="25.1"/>
        <n v="1523.2"/>
        <n v="2285.4"/>
        <n v="932.8"/>
        <n v="4359.3999999999996"/>
        <n v="40.799999999999997"/>
        <n v="2389.5"/>
        <n v="342.54999999999899"/>
        <n v="5194.75"/>
        <n v="4628.3999999999996"/>
        <n v="271"/>
        <n v="666.44999999999902"/>
        <n v="1277.8999999999901"/>
        <n v="969.99999999999898"/>
        <n v="4558"/>
        <n v="1453.2"/>
        <n v="19.100000000000001"/>
        <n v="7444.8"/>
        <n v="7239.5999999999904"/>
        <n v="3434.4"/>
        <n v="1097.8499999999999"/>
        <n v="3922.6"/>
        <n v="7553"/>
        <n v="2750.4"/>
        <n v="1721.55"/>
        <n v="950.4"/>
        <n v="1119.2"/>
        <n v="5633.7999999999902"/>
        <n v="1010.1"/>
        <n v="6650"/>
        <n v="1785.6"/>
        <n v="5648.4"/>
        <n v="3573.5"/>
        <n v="691.19999999999902"/>
        <n v="3782.9"/>
        <n v="1190"/>
        <n v="4473.0999999999904"/>
        <n v="59.7"/>
        <n v="1070.3"/>
        <n v="190.2"/>
        <n v="946.4"/>
        <n v="113.69999999999899"/>
        <n v="306.60000000000002"/>
        <n v="495.75"/>
        <n v="3546.15"/>
        <n v="512.79999999999995"/>
        <n v="436.04999999999899"/>
        <n v="1126.5"/>
        <n v="2492.1"/>
        <n v="476.25"/>
        <n v="404.55"/>
        <n v="891.9"/>
        <n v="284.54999999999899"/>
        <n v="3191.25"/>
        <n v="270.89999999999998"/>
        <n v="1322.3999999999901"/>
        <n v="3537.3"/>
        <n v="3143.4"/>
        <n v="486"/>
        <n v="683.19999999999902"/>
        <n v="4758.3999999999996"/>
        <n v="967.5"/>
        <n v="3575"/>
        <n v="2805.6"/>
        <n v="437.85"/>
        <n v="2397.5"/>
        <n v="328.95"/>
        <n v="2610"/>
        <n v="1385.5"/>
        <n v="1300.5"/>
        <n v="3520.7999999999902"/>
        <n v="4373.2"/>
        <n v="529.20000000000005"/>
        <n v="5203.2"/>
        <n v="4284"/>
        <n v="109.35"/>
        <n v="5914.3"/>
        <n v="25.05"/>
        <n v="1177.4000000000001"/>
        <n v="3054.8999999999901"/>
        <n v="398.8"/>
        <n v="297"/>
        <n v="3606.9"/>
        <n v="352.2"/>
        <n v="1110.69999999999"/>
        <n v="57.3"/>
        <n v="2388.65"/>
        <n v="724.94999999999902"/>
        <n v="1529"/>
        <n v="4240"/>
        <n v="1734"/>
        <n v="3979.99999999999"/>
        <n v="55.25"/>
        <n v="8467.1999999999898"/>
        <n v="120"/>
        <n v="98.25"/>
        <n v="3386.3999999999901"/>
        <n v="93.85"/>
        <n v="4211.2"/>
        <n v="340.85"/>
        <n v="3200"/>
        <n v="1451.3999999999901"/>
        <n v="4059.6"/>
        <n v="3290.25"/>
        <n v="40.9"/>
        <n v="5412.7999999999902"/>
        <n v="5411"/>
        <n v="89.25"/>
        <n v="89.8"/>
        <n v="89.4"/>
        <n v="935.35"/>
        <n v="145.25"/>
        <n v="675.599999999999"/>
        <n v="5578.25"/>
        <n v="1130.4000000000001"/>
        <n v="1231.6500000000001"/>
        <n v="1266.75"/>
        <n v="1931.3999999999901"/>
        <n v="119.6"/>
        <n v="472.79999999999899"/>
        <n v="2665.7"/>
        <n v="884.8"/>
        <n v="1290.25"/>
        <n v="510.9"/>
        <n v="791.2"/>
        <n v="5753.7"/>
        <n v="20.100000000000001"/>
        <n v="102.25"/>
        <n v="754.3"/>
        <n v="545"/>
        <n v="1927.3999999999901"/>
        <n v="165.45"/>
        <n v="8035.2"/>
        <n v="866.5"/>
        <n v="226.05"/>
        <n v="3949.75"/>
        <n v="1055.7"/>
        <n v="3762"/>
        <n v="1730.6"/>
        <n v="7299.5999999999904"/>
        <n v="5178.8999999999996"/>
        <n v="2050.4"/>
        <n v="24.4"/>
        <n v="423.29999999999899"/>
        <n v="2431.9499999999998"/>
        <n v="5780"/>
        <n v="2973.3"/>
        <n v="4461.5999999999904"/>
        <n v="911"/>
        <n v="2051.75"/>
        <n v="942.35"/>
        <n v="1795.19999999999"/>
        <n v="403.4"/>
        <n v="1216.19999999999"/>
        <n v="81.7"/>
        <n v="2252.25"/>
        <n v="3573.3999999999901"/>
        <n v="316.60000000000002"/>
        <n v="5161"/>
        <n v="1315.6"/>
        <n v="3223"/>
        <n v="4645.2"/>
        <n v="6150"/>
        <n v="1404.15"/>
        <n v="3396"/>
        <n v="4636.3999999999996"/>
        <n v="3340.75"/>
        <n v="1918.05"/>
        <n v="271.05"/>
        <n v="3628.5"/>
        <n v="1323.6"/>
        <n v="254.75"/>
        <n v="320"/>
        <n v="69.099999999999994"/>
        <n v="5774.4"/>
        <n v="1183.19999999999"/>
        <n v="3542.7"/>
        <n v="7969.6"/>
        <n v="3206.95"/>
        <n v="311.8"/>
        <n v="7586.55"/>
        <n v="3600.5"/>
        <n v="240"/>
        <n v="3823.2"/>
        <n v="78.45"/>
        <n v="2150.3999999999901"/>
        <n v="20.3"/>
        <n v="2961.85"/>
        <n v="7085.0999999999904"/>
        <n v="1244.0999999999999"/>
        <n v="4460.3999999999996"/>
        <n v="295"/>
        <n v="141.5"/>
        <n v="1063.8"/>
        <n v="1635.2"/>
        <n v="760.05"/>
        <n v="567"/>
        <n v="75.55"/>
        <n v="6289.8"/>
        <n v="70.25"/>
        <n v="905.4"/>
        <n v="4987.8"/>
        <n v="46.3"/>
        <n v="4358.3"/>
        <n v="300"/>
        <n v="1116.5"/>
        <n v="527.44999999999902"/>
        <n v="1072.8"/>
        <n v="5984"/>
        <n v="415.75"/>
        <n v="2146.1999999999998"/>
        <n v="2482"/>
        <n v="321.60000000000002"/>
        <n v="741.5"/>
        <n v="7297.2"/>
        <n v="168.1"/>
        <n v="480.7"/>
        <n v="7518.9"/>
        <n v="1094.5"/>
        <n v="44.15"/>
        <n v="85.45"/>
        <n v="1020.59999999999"/>
        <n v="2381.4"/>
        <n v="6133.6"/>
        <n v="203.4"/>
        <n v="59.2"/>
        <n v="1443.15"/>
        <n v="418.95"/>
        <n v="1081.5999999999999"/>
        <n v="4777.6000000000004"/>
        <n v="54.9"/>
        <n v="3277.5"/>
        <n v="2181.9"/>
        <n v="373.349999999999"/>
        <n v="2907.7999999999902"/>
        <n v="4641"/>
        <n v="4330.8999999999996"/>
        <n v="611.6"/>
        <n v="2581.1"/>
        <n v="211.75"/>
        <n v="5979.3"/>
        <n v="150.9"/>
        <n v="109.7"/>
        <n v="1703.4"/>
        <n v="38.6"/>
        <n v="95.1"/>
        <n v="3273.85"/>
        <n v="1839.6"/>
        <n v="453"/>
        <n v="1152.5999999999999"/>
        <n v="3967.2"/>
        <n v="3584.75"/>
        <n v="6671.2"/>
        <n v="1600.3"/>
        <n v="5623.4"/>
        <n v="5756.5"/>
        <n v="6235.6"/>
        <n v="6142.7"/>
        <n v="3294.9"/>
        <n v="1517.3999999999901"/>
        <n v="1094.8"/>
        <n v="355.8"/>
        <n v="81.8"/>
        <n v="1946"/>
        <n v="5555.2"/>
        <n v="649.44999999999902"/>
        <n v="1343.35"/>
        <n v="202.8"/>
        <n v="7955.5"/>
        <n v="5400.7"/>
        <n v="119"/>
        <n v="2546.1999999999998"/>
        <n v="1969.3"/>
        <n v="5644"/>
        <n v="838.19999999999902"/>
        <n v="450.4"/>
        <n v="5915.7"/>
        <n v="6358.35"/>
        <n v="1807"/>
        <n v="6984"/>
        <n v="4084.5"/>
        <n v="50.6"/>
        <n v="895"/>
        <n v="1971.2"/>
        <n v="69.8"/>
        <n v="1980.3"/>
        <n v="1036.1500000000001"/>
        <n v="5085.3500000000004"/>
        <n v="2425.1999999999998"/>
        <n v="6636"/>
        <n v="6572.75"/>
        <n v="600.6"/>
        <n v="142.6"/>
        <n v="487.5"/>
        <n v="2308.2999999999902"/>
        <n v="1704.6"/>
        <n v="2067.1999999999998"/>
        <n v="2865.2"/>
        <n v="3926"/>
        <n v="4744.8999999999996"/>
        <n v="6249.5"/>
        <n v="3174.6"/>
        <n v="245.8"/>
        <n v="4976.3999999999996"/>
        <n v="7336"/>
        <n v="4611.75"/>
        <n v="44.95"/>
        <n v="6835.5"/>
        <n v="5711.75"/>
        <n v="2308.7999999999902"/>
        <n v="753"/>
        <n v="4802.3999999999996"/>
        <n v="3063.5"/>
        <n v="596.4"/>
        <n v="3372.55"/>
        <n v="2599.35"/>
        <n v="457"/>
        <n v="19.7"/>
        <n v="1372.5"/>
        <n v="410.4"/>
        <n v="738.5"/>
        <n v="4458.3"/>
        <n v="5573.75"/>
        <n v="40.6"/>
        <n v="6548.75"/>
        <n v="1334.7"/>
        <n v="1806.6499999999901"/>
        <n v="181.2"/>
        <n v="1389.5"/>
        <n v="855"/>
        <n v="1400.3999999999901"/>
        <n v="3171.1"/>
        <n v="146.5"/>
        <n v="4455.5999999999904"/>
        <n v="1045.2"/>
        <n v="539.1"/>
        <n v="2342.6"/>
        <n v="408.4"/>
        <n v="3121.8"/>
        <n v="87.6"/>
        <n v="93.2"/>
        <n v="138.6"/>
        <n v="5469.4"/>
        <n v="4510.55"/>
        <n v="6880.5"/>
        <n v="224.54999999999899"/>
        <n v="1610.25"/>
        <n v="79"/>
        <n v="44.9"/>
        <n v="602"/>
        <n v="1303.8"/>
        <n v="1275"/>
        <n v="230.45"/>
        <n v="943.5"/>
        <n v="129.89999999999901"/>
        <n v="7665"/>
        <n v="3648.5499999999902"/>
        <n v="313.60000000000002"/>
        <n v="3046.65"/>
        <n v="8071.2"/>
        <n v="4752.5"/>
        <n v="251.75"/>
        <n v="315.2"/>
        <n v="148.4"/>
        <n v="309.60000000000002"/>
        <n v="891.75"/>
        <n v="198"/>
        <n v="4839.2"/>
        <n v="6988.8"/>
        <n v="79.150000000000006"/>
        <n v="1341.25"/>
        <n v="7114.2"/>
        <n v="361.2"/>
        <n v="7822.8"/>
        <n v="1991.85"/>
        <n v="7603.2"/>
        <n v="4785"/>
        <n v="5907.2"/>
        <n v="6303.5"/>
        <n v="6933.15"/>
        <n v="4151.05"/>
        <n v="3078.4"/>
        <n v="6942.7999999999902"/>
        <n v="497.349999999999"/>
        <n v="1705"/>
        <n v="116.69999999999899"/>
        <n v="1961.85"/>
        <n v="2581.6"/>
        <n v="535.95000000000005"/>
        <n v="307.3"/>
        <n v="2093"/>
        <n v="449"/>
        <n v="2715"/>
        <n v="5698.35"/>
        <n v="50.75"/>
        <n v="4483.7999999999902"/>
        <n v="1255.0999999999999"/>
        <n v="2082.15"/>
        <n v="339.15"/>
        <n v="328"/>
        <n v="2173.5"/>
        <n v="2544"/>
        <n v="547.4"/>
        <n v="3050.3"/>
        <n v="1677.6"/>
        <n v="2354.4"/>
        <n v="2604"/>
        <n v="3248"/>
        <n v="656.1"/>
        <n v="4693.5"/>
        <n v="2412"/>
        <n v="3065.1"/>
        <n v="895.05"/>
        <n v="621.44999999999902"/>
        <n v="1850.7"/>
        <n v="992.5"/>
        <n v="172.5"/>
        <n v="560.79999999999995"/>
        <n v="366.75"/>
        <n v="140.4"/>
        <n v="166.05"/>
        <n v="2392.5"/>
        <n v="3658.5"/>
        <n v="4294.2"/>
        <n v="1100"/>
        <n v="2513.6999999999998"/>
        <n v="744.8"/>
        <n v="1693.19999999999"/>
        <n v="7122.5"/>
        <n v="716.94999999999902"/>
        <n v="2934.75"/>
        <n v="6340.95"/>
        <n v="1201.8"/>
        <n v="4085.65"/>
        <n v="1547.7"/>
        <n v="2752.75"/>
        <n v="4157.25"/>
        <n v="2749.5"/>
        <n v="6023.7"/>
        <n v="870.3"/>
        <n v="2549.75"/>
        <n v="6141.5999999999904"/>
        <n v="1650"/>
        <n v="48.8"/>
        <n v="2673.25"/>
        <n v="5958.2"/>
        <n v="1409.35"/>
        <n v="1271.8999999999901"/>
        <n v="625.5"/>
        <n v="427.54999999999899"/>
        <n v="83.8"/>
        <n v="49.55"/>
        <n v="71.25"/>
        <n v="8193.6"/>
        <n v="1767.6"/>
        <n v="216.7"/>
        <n v="182.25"/>
        <n v="100.3"/>
        <n v="6030"/>
        <n v="2781.1"/>
        <n v="3648.05"/>
        <n v="3123"/>
        <n v="1009.65"/>
        <n v="975"/>
        <n v="171.45"/>
        <n v="3194.1"/>
        <n v="4597.6499999999996"/>
        <n v="1799.85"/>
        <n v="1368.5"/>
        <n v="2280"/>
        <n v="2517.1999999999998"/>
        <n v="620.79999999999995"/>
        <n v="2440.1999999999998"/>
        <n v="891.7"/>
        <n v="542.5"/>
        <n v="7363.3"/>
        <n v="248.5"/>
        <n v="4465.05"/>
        <n v="406.349999999999"/>
        <n v="795.6"/>
        <n v="203.2"/>
        <n v="4220"/>
        <n v="2317.1999999999998"/>
        <n v="1314.5"/>
        <n v="4906"/>
        <n v="800.25"/>
        <n v="3788.1"/>
        <n v="4273.5"/>
        <n v="2112"/>
        <n v="30.55"/>
        <n v="1358.4"/>
        <n v="365.849999999999"/>
        <n v="4646"/>
        <n v="3869.5"/>
        <n v="3240.0499999999902"/>
        <n v="2222.5"/>
        <n v="1900"/>
        <n v="4020.0499999999902"/>
        <n v="71.150000000000006"/>
        <n v="1299.5999999999999"/>
        <n v="2556"/>
        <n v="207.45"/>
        <n v="2392.0500000000002"/>
        <n v="7286.25"/>
        <n v="294.89999999999998"/>
        <n v="2867.2"/>
        <n v="4911.75"/>
        <n v="2107.5"/>
        <n v="661.5"/>
        <n v="1583"/>
        <n v="180.9"/>
        <n v="4964"/>
        <n v="4236.5999999999904"/>
        <n v="2191.7999999999902"/>
        <n v="224.39999999999901"/>
        <n v="204.5"/>
        <n v="4166.25"/>
        <n v="2877.6"/>
        <n v="3698.4"/>
        <n v="4122.75"/>
        <n v="863.5"/>
        <n v="1122"/>
        <n v="1419.55"/>
        <n v="5680.05"/>
        <n v="2291.1"/>
        <n v="41.3"/>
        <n v="934.94999999999902"/>
        <n v="368.099999999999"/>
        <n v="1537.6"/>
        <n v="1424.8"/>
        <n v="289.79999999999899"/>
        <n v="5949.5999999999904"/>
        <n v="5956.5"/>
        <n v="139.6"/>
        <n v="1774.45"/>
        <n v="876.24999999999898"/>
        <n v="7783.2"/>
        <n v="161.6"/>
        <n v="253"/>
        <n v="1722"/>
        <n v="143.30000000000001"/>
        <n v="4366.5"/>
        <n v="197.4"/>
        <n v="1963"/>
        <n v="659.75"/>
        <n v="68.95"/>
        <n v="234"/>
        <n v="3787.2"/>
        <n v="3256"/>
        <n v="29.15"/>
        <n v="304.2"/>
        <n v="24.45"/>
        <n v="2793"/>
        <n v="625.44999999999902"/>
        <n v="220.79999999999899"/>
        <n v="5950.8"/>
        <n v="735"/>
        <n v="321.39999999999998"/>
        <n v="277.2"/>
        <n v="127.25"/>
        <n v="55.8"/>
        <n v="7984.8"/>
        <n v="4276.25"/>
        <n v="1048"/>
        <n v="1134.3"/>
        <n v="79.05"/>
        <n v="95"/>
        <n v="4204.2"/>
        <n v="4034.4"/>
        <n v="2423.0500000000002"/>
        <n v="907.1"/>
        <n v="151.19999999999999"/>
        <n v="5240.3999999999996"/>
        <n v="3038.75"/>
        <n v="553.9"/>
        <n v="1008.59999999999"/>
        <n v="6943.2"/>
        <n v="3549"/>
        <n v="898"/>
        <n v="2045.25"/>
        <n v="5527.4"/>
        <n v="5926.5"/>
        <n v="178.65"/>
        <n v="414.599999999999"/>
        <n v="2372.5"/>
        <n v="977.4"/>
        <n v="736.5"/>
        <n v="3448.6"/>
        <n v="4212.5999999999904"/>
        <n v="2022.75"/>
        <n v="6002.7"/>
        <n v="1538.1"/>
        <n v="5740.0999999999904"/>
        <n v="1323.8999999999901"/>
        <n v="2511.6"/>
        <n v="57.9"/>
        <n v="44.55"/>
        <n v="108.9"/>
        <n v="334.04999999999899"/>
        <n v="7245"/>
        <n v="6386.4"/>
        <n v="3757.5"/>
        <n v="1073.25"/>
        <n v="6327.7999999999902"/>
        <n v="1414.5"/>
        <n v="8128.8"/>
        <n v="74.2"/>
        <n v="564.29999999999995"/>
        <n v="5677.2"/>
        <n v="221.2"/>
        <n v="1006.2"/>
        <n v="1257.75"/>
        <n v="4343"/>
        <n v="400.8"/>
        <n v="2226.25"/>
        <n v="4011.15"/>
        <n v="897"/>
        <n v="3995.7"/>
        <n v="477.599999999999"/>
        <n v="3734.4"/>
        <n v="422.6"/>
        <n v="2613"/>
        <n v="300.75"/>
        <n v="3474"/>
        <n v="2565"/>
        <n v="70.849999999999994"/>
        <n v="3008.25"/>
        <n v="295.60000000000002"/>
        <n v="363.6"/>
        <n v="98.4"/>
        <n v="6348.1"/>
        <n v="4245.75"/>
        <n v="885.5"/>
        <n v="3348.7999999999902"/>
        <n v="3445"/>
        <n v="6960.0999999999904"/>
        <n v="103.25"/>
        <n v="4086.65"/>
        <n v="5116.5"/>
        <n v="481.65"/>
        <n v="2741.7"/>
        <n v="1778"/>
        <n v="1743.35"/>
        <n v="3006"/>
        <n v="24"/>
        <n v="486.4"/>
        <n v="1911"/>
        <n v="1555.05"/>
        <n v="4912.5"/>
        <n v="3699.2"/>
        <n v="304.64999999999998"/>
        <n v="927.9"/>
        <n v="1744.2"/>
        <n v="4589.95"/>
        <n v="2214.3000000000002"/>
        <n v="1174.95"/>
        <n v="8239.5499999999993"/>
        <n v="45.75"/>
        <n v="2132"/>
        <n v="4625.6499999999996"/>
        <n v="179.2"/>
        <n v="1599.3"/>
        <n v="224.85"/>
        <n v="7693.2"/>
        <n v="80.150000000000006"/>
        <n v="250.9"/>
        <n v="7866"/>
        <n v="2356.1999999999998"/>
        <n v="334.9"/>
        <n v="359.099999999999"/>
        <n v="8064.7999999999902"/>
        <n v="1352.3999999999901"/>
        <n v="771.4"/>
        <n v="8316"/>
        <n v="1202.4000000000001"/>
        <n v="5673.2"/>
        <n v="687.75"/>
        <n v="29.9"/>
        <n v="4271.7999999999902"/>
        <n v="707.2"/>
        <n v="105.6"/>
        <n v="78.8"/>
        <n v="1709.05"/>
        <n v="6963"/>
        <n v="215.05"/>
        <n v="5000.8"/>
        <n v="889.19999999999902"/>
        <n v="6915"/>
        <n v="776.099999999999"/>
        <n v="4793.75"/>
        <n v="139.9"/>
        <n v="1804"/>
        <n v="561.29999999999995"/>
        <n v="6134.4"/>
        <n v="1591.19999999999"/>
        <n v="6341.55"/>
        <n v="80.849999999999994"/>
        <n v="3938.3999999999901"/>
        <n v="2667.7"/>
        <n v="381.7"/>
        <n v="61.65"/>
        <n v="1727.1"/>
        <n v="2240"/>
        <n v="7329.8"/>
        <n v="1776.25"/>
        <n v="157.1"/>
        <n v="177.29999999999899"/>
        <n v="402.5"/>
        <n v="614.25"/>
        <n v="80.599999999999994"/>
        <n v="101.9"/>
        <n v="78.650000000000006"/>
        <n v="477.849999999999"/>
        <n v="141.75"/>
        <n v="42.9"/>
        <n v="4978.3999999999996"/>
        <n v="1037.7"/>
        <n v="4713.8"/>
        <n v="5540.5"/>
        <n v="7779.5999999999904"/>
        <n v="446.4"/>
        <n v="1611.6"/>
        <n v="1331.1"/>
        <n v="631.79999999999995"/>
        <n v="6463.7999999999902"/>
        <n v="1181.5999999999999"/>
        <n v="3619.65"/>
        <n v="172.64999999999901"/>
        <n v="591.85"/>
        <n v="1332.8"/>
        <n v="7599"/>
        <n v="5538"/>
        <n v="7754.4"/>
        <n v="617.6"/>
        <n v="1443.6"/>
        <n v="2675.4"/>
        <n v="618.75"/>
        <n v="2597.1999999999998"/>
        <n v="2932.25"/>
        <n v="1716"/>
        <n v="97.8"/>
        <n v="6936.2999999999902"/>
        <n v="272.10000000000002"/>
        <n v="2959.6"/>
        <n v="1728.85"/>
        <n v="24.25"/>
        <n v="872.8"/>
        <n v="841.5"/>
        <n v="4138.6499999999996"/>
        <n v="308"/>
        <n v="1300.5999999999999"/>
        <n v="374"/>
        <n v="5929"/>
        <n v="4620"/>
        <n v="5481"/>
        <n v="2097.1999999999998"/>
        <n v="498"/>
        <n v="4240.05"/>
        <n v="2289"/>
        <n v="139.19999999999999"/>
        <n v="3890.25"/>
        <n v="4938.75"/>
        <n v="5821.2"/>
        <n v="4881.5999999999904"/>
        <n v="24.05"/>
        <n v="1413.5"/>
        <n v="2863.65"/>
        <n v="5462.1"/>
        <n v="50.55"/>
        <n v="108.7"/>
        <n v="5621.2"/>
        <n v="45.35"/>
        <n v="1652"/>
        <n v="486.15"/>
        <n v="1407.7"/>
        <n v="4676.3999999999996"/>
        <n v="188.5"/>
        <n v="831.6"/>
        <n v="175.35"/>
        <n v="299.2"/>
        <n v="8229.6"/>
        <n v="489"/>
        <n v="6879.6"/>
        <n v="5756.2"/>
        <n v="4023.35"/>
        <n v="4849"/>
        <n v="364.5"/>
        <n v="1501.55"/>
        <n v="1236"/>
        <n v="658.69999999999902"/>
        <n v="2053.1999999999998"/>
        <n v="2794.5"/>
        <n v="256.75"/>
        <n v="3778.95"/>
        <n v="5936"/>
        <n v="994"/>
        <n v="2206.6"/>
        <n v="6054.4"/>
        <n v="3465.5"/>
        <n v="4611.5"/>
        <n v="5736.2"/>
        <n v="7034.4"/>
        <n v="1209"/>
        <n v="662.75"/>
        <n v="1912.5"/>
        <n v="2494.8000000000002"/>
        <n v="1792.8"/>
        <n v="3394"/>
        <n v="131.4"/>
        <n v="3420.9"/>
        <n v="701.4"/>
        <n v="70.5"/>
        <n v="948.5"/>
        <n v="3620.4"/>
        <n v="273"/>
        <n v="6769.4"/>
        <n v="4070"/>
        <n v="715.94999999999902"/>
        <n v="916.3"/>
        <n v="5724.6"/>
        <n v="2453.8999999999901"/>
        <n v="6954.5"/>
        <n v="1341.2"/>
        <n v="1485"/>
        <n v="781.5"/>
        <n v="756.9"/>
        <n v="4133.1499999999996"/>
        <n v="6813.6"/>
        <n v="78.05"/>
        <n v="1210.5"/>
        <n v="5702.4"/>
        <n v="209"/>
        <n v="515.19999999999902"/>
        <n v="672.75"/>
        <n v="1378"/>
        <n v="2204"/>
        <n v="74"/>
        <n v="246.89999999999901"/>
        <n v="1788"/>
        <n v="6345.6"/>
        <n v="176.7"/>
        <n v="990"/>
        <n v="313.25"/>
        <n v="6537.5999999999904"/>
        <n v="396.4"/>
        <n v="7148.9"/>
        <n v="2245.1999999999998"/>
        <n v="6800.4"/>
        <n v="641.85"/>
        <n v="4756.5"/>
        <n v="1435.5"/>
        <n v="5867.55"/>
        <n v="1017.44999999999"/>
        <n v="4102.2"/>
        <n v="6281.1"/>
        <n v="670.25"/>
        <n v="2052.6999999999998"/>
        <n v="2579.85"/>
        <n v="3331.05"/>
        <n v="2432.6999999999998"/>
        <n v="1804.05"/>
        <n v="3702.2999999999902"/>
        <n v="1388.8"/>
        <n v="2240.1"/>
        <n v="2857.7"/>
        <n v="362.5"/>
        <n v="310.7"/>
        <n v="5521.5999999999904"/>
        <n v="5700.75"/>
        <n v="3344.4"/>
        <n v="935.3"/>
        <n v="1932"/>
        <n v="6293.7"/>
        <n v="1394.75"/>
        <n v="4053.5"/>
        <n v="2120"/>
        <n v="2180.85"/>
        <n v="881.4"/>
        <n v="2632"/>
        <n v="1764.35"/>
        <n v="561.15"/>
        <n v="3503.85"/>
        <n v="623"/>
        <n v="3135"/>
        <n v="4949.75"/>
        <n v="548.1"/>
        <n v="8449.1999999999898"/>
        <n v="497.2"/>
        <n v="5295.25"/>
        <n v="1950"/>
        <n v="99.9"/>
        <n v="4730.3999999999996"/>
        <n v="4358.25"/>
        <n v="527.70000000000005"/>
        <n v="633.6"/>
        <n v="3785"/>
        <n v="3791.15"/>
        <n v="1518.75"/>
        <n v="8290.7999999999993"/>
        <n v="170.54999999999899"/>
        <n v="1038.5999999999999"/>
        <n v="1058.2"/>
        <n v="1244.3999999999901"/>
        <n v="958.65"/>
        <n v="3835.2"/>
        <n v="879.599999999999"/>
        <n v="48.7"/>
        <n v="6283.7"/>
        <n v="2860.85"/>
        <n v="33.6"/>
        <n v="399.5"/>
        <n v="20.7"/>
        <n v="6451.0999999999904"/>
        <n v="729"/>
        <n v="2892.4"/>
        <n v="5085.3"/>
        <n v="6851.25"/>
        <n v="463.45"/>
        <n v="1842.45"/>
        <n v="3152.25"/>
        <n v="1683.5"/>
        <n v="1864.5"/>
        <n v="1198.5999999999999"/>
        <n v="5728.25"/>
        <n v="3896.75"/>
        <n v="1407.6"/>
        <n v="196"/>
        <n v="140.35"/>
        <n v="427.75"/>
        <n v="1886.3999999999901"/>
        <n v="8409.6"/>
        <n v="914.55"/>
        <n v="4195.2"/>
        <n v="2415.6"/>
        <n v="3977.2"/>
        <n v="2470.8000000000002"/>
        <n v="90.6"/>
        <n v="360.2"/>
        <n v="7790.4"/>
        <n v="1051.3999999999901"/>
        <n v="3607.2"/>
        <n v="1072.5"/>
        <n v="1391.6"/>
        <n v="227.54999999999899"/>
        <n v="5564.85"/>
        <n v="68.5"/>
        <n v="808.5"/>
        <n v="1965.1499999999901"/>
        <n v="304.8"/>
        <n v="5356.4"/>
        <n v="19.95"/>
        <n v="2021.6"/>
        <n v="752"/>
        <n v="1345.3"/>
        <n v="2564"/>
        <n v="908.5"/>
        <n v="1241.0999999999999"/>
        <n v="7493.6"/>
        <n v="7338.15"/>
        <n v="5070.8"/>
        <n v="659"/>
        <n v="6583.5"/>
        <n v="1065.9000000000001"/>
        <n v="1952.5"/>
        <n v="2449.0500000000002"/>
        <n v="978.9"/>
        <n v="1820"/>
        <n v="4870.6000000000004"/>
        <n v="4710.6499999999996"/>
        <n v="3072.3"/>
        <n v="3115.0499999999902"/>
        <n v="132.80000000000001"/>
        <n v="4804.7"/>
        <n v="6603.3"/>
        <n v="6324"/>
        <n v="6562.8"/>
        <n v="3139.5"/>
        <n v="557.19999999999902"/>
        <n v="1408.3999999999901"/>
        <n v="2475.35"/>
        <n v="848.25"/>
        <n v="25.75"/>
        <n v="99.2"/>
        <n v="125.69999999999899"/>
        <n v="4658.3999999999996"/>
        <n v="635"/>
        <n v="1260.8"/>
        <n v="1750"/>
        <n v="5265"/>
        <n v="2910.4"/>
        <n v="3323.24999999999"/>
        <n v="792.44999999999902"/>
        <n v="6992.7"/>
        <n v="275.54999999999899"/>
        <n v="1085.4000000000001"/>
        <n v="7059.2"/>
        <n v="2290.9"/>
        <n v="1257.2"/>
        <n v="1021.8"/>
        <n v="4083.65"/>
        <n v="2528.75"/>
        <n v="3309.75"/>
        <n v="460"/>
        <n v="1697.94999999999"/>
        <n v="1303.5"/>
        <n v="4403.8499999999904"/>
        <n v="1147.5"/>
        <n v="931"/>
        <n v="566.95000000000005"/>
        <n v="4404"/>
        <n v="3572.35"/>
        <n v="1743.75"/>
        <n v="1113.2"/>
        <n v="4723.2"/>
        <n v="280.7"/>
        <n v="2709.2999999999902"/>
        <n v="1819.3"/>
        <n v="2430"/>
        <n v="6254.85"/>
        <n v="4242"/>
        <n v="7150"/>
        <n v="1480.35"/>
        <n v="1124.8999999999901"/>
        <n v="140.30000000000001"/>
        <n v="2689.6"/>
        <n v="2698"/>
        <n v="89.1"/>
        <n v="489.3"/>
        <n v="766.5"/>
        <n v="1604.8"/>
        <n v="1486.75"/>
        <n v="1814.05"/>
        <n v="3240"/>
        <n v="2807.0499999999902"/>
        <n v="840.4"/>
        <n v="1529.1"/>
        <n v="7927.2"/>
        <n v="7075.15"/>
        <n v="2622"/>
        <n v="243.25"/>
        <n v="88.3"/>
        <n v="3112.2"/>
        <n v="606"/>
        <n v="5484.2"/>
        <n v="1417.95"/>
        <n v="2788.8"/>
        <n v="5010"/>
        <n v="80.3"/>
        <n v="1470.1499999999901"/>
        <n v="142.44999999999999"/>
        <n v="5875.2"/>
        <n v="1191.8"/>
        <n v="302.10000000000002"/>
        <n v="56.4"/>
        <n v="306.75"/>
        <n v="841.75"/>
        <n v="2270.1"/>
        <n v="2772.95"/>
        <n v="1703.75"/>
        <n v="1014.3"/>
        <n v="4793.5999999999904"/>
        <n v="5027.3999999999996"/>
        <n v="1947.6"/>
        <n v="727.65"/>
        <n v="1698.9"/>
        <n v="318.5"/>
        <n v="501.25"/>
        <n v="7543.8"/>
        <n v="4513.5"/>
        <n v="1760"/>
        <n v="1396.95"/>
        <n v="6116.6"/>
        <n v="4451.6499999999996"/>
        <n v="5040"/>
        <n v="159.4"/>
        <n v="427.35"/>
        <n v="3165.25"/>
        <n v="329.79999999999899"/>
        <n v="3012"/>
        <n v="1274.9000000000001"/>
        <n v="535.5"/>
        <n v="1816.5"/>
        <n v="1131.45"/>
        <n v="7172.55"/>
        <n v="7484.4"/>
        <n v="4826.5"/>
        <n v="6804.5999999999904"/>
        <n v="172.9"/>
        <n v="5069.2"/>
        <n v="1909.05"/>
        <n v="1998.4"/>
        <n v="2149.1999999999998"/>
        <n v="501.29999999999899"/>
        <n v="2919.3"/>
        <n v="162.80000000000001"/>
        <n v="5144.3999999999996"/>
        <n v="3290.85"/>
        <n v="1514.4"/>
        <n v="2844.2999999999902"/>
        <n v="1679.7"/>
        <n v="1515.55"/>
        <n v="435.75"/>
        <n v="4362.5999999999904"/>
        <n v="1281.8"/>
        <n v="3497.3999999999901"/>
        <n v="168.4"/>
        <n v="1872.44999999999"/>
        <n v="3020.8999999999901"/>
        <n v="2910"/>
        <n v="2191.1999999999998"/>
        <n v="24.75"/>
        <n v="968.8"/>
        <n v="1272"/>
        <n v="4931.8500000000004"/>
        <n v="1962.7"/>
        <n v="5579"/>
        <n v="1964.8"/>
        <n v="1256.3999999999901"/>
        <n v="1500.35"/>
        <n v="302.60000000000002"/>
        <n v="1451.2"/>
        <n v="1151.4000000000001"/>
        <n v="6069"/>
        <n v="1272.45"/>
        <n v="568.4"/>
        <n v="2580"/>
        <n v="235.5"/>
        <n v="6174"/>
        <n v="239.7"/>
        <n v="7323.6"/>
        <n v="2991"/>
        <n v="6282"/>
        <n v="879"/>
        <n v="4225.5"/>
        <n v="6051.5"/>
        <n v="77.599999999999994"/>
        <n v="1696.6"/>
        <n v="3596.7"/>
        <n v="2731.8"/>
        <n v="1415.2"/>
        <n v="69.849999999999994"/>
        <n v="980.4"/>
        <n v="1551.55"/>
        <n v="319.60000000000002"/>
        <n v="3338.3999999999901"/>
        <n v="381"/>
        <n v="4505"/>
        <n v="312.55"/>
        <n v="3433.75"/>
        <n v="2550.6"/>
        <n v="3040.95"/>
        <n v="58.65"/>
        <n v="930.05"/>
        <n v="162.6"/>
        <n v="1442.55"/>
        <n v="1686.3"/>
        <n v="1715.2"/>
        <n v="70.349999999999994"/>
        <n v="6052.2"/>
        <n v="5441.2"/>
        <n v="96.4"/>
        <n v="3114.3"/>
        <n v="3446.4"/>
        <n v="6242.4"/>
        <n v="1298.7"/>
        <n v="455.4"/>
        <n v="252.89999999999901"/>
        <n v="6462"/>
        <n v="5877"/>
        <n v="939.599999999999"/>
        <n v="6337.9"/>
        <n v="807.3"/>
        <n v="5324"/>
        <n v="745.55"/>
        <n v="1872"/>
        <n v="5569.2"/>
        <n v="528.4"/>
        <n v="437.79999999999899"/>
        <n v="84.3"/>
        <n v="2589.6999999999998"/>
        <n v="5285"/>
        <n v="6656.4"/>
        <n v="2256.7999999999902"/>
        <n v="1248"/>
        <n v="6303.5999999999904"/>
        <n v="1095.05"/>
        <n v="650"/>
        <n v="6235.8"/>
        <n v="2095.2999999999902"/>
        <n v="621"/>
        <n v="2282.75"/>
        <n v="2988.8"/>
        <n v="958.75"/>
        <n v="3137.55"/>
        <n v="3878.6"/>
        <n v="442.8"/>
        <n v="1316.55"/>
        <n v="714.15"/>
        <n v="1196.25"/>
        <n v="7465.65"/>
        <n v="3001.5"/>
        <n v="69.349999999999994"/>
        <n v="846.599999999999"/>
        <n v="257.39999999999998"/>
        <n v="5339.9"/>
        <n v="1014"/>
        <n v="6541"/>
        <n v="1854.6"/>
        <n v="1575.9"/>
        <n v="1890"/>
        <n v="5429.2"/>
        <n v="184.04999999999899"/>
        <n v="2164"/>
        <n v="135.5"/>
        <n v="2909.7"/>
        <n v="2301.75"/>
        <n v="813.15"/>
        <n v="446"/>
        <n v="8136.5999999999904"/>
        <n v="800.5"/>
        <n v="4742.8"/>
        <n v="6820.4"/>
        <n v="3581.8999999999901"/>
        <n v="2215.1999999999998"/>
        <n v="1073.5999999999999"/>
        <n v="132.65"/>
        <n v="1396"/>
        <n v="6369"/>
        <n v="1479.6"/>
        <n v="7614"/>
        <n v="6500.7"/>
        <n v="609.5"/>
        <n v="1356.1"/>
        <n v="6310.5"/>
        <n v="6397.0999999999904"/>
        <n v="5112.8999999999996"/>
        <n v="85.05"/>
        <n v="8550"/>
        <n v="2233.4"/>
        <n v="201.5"/>
        <n v="5774.0999999999904"/>
        <n v="212"/>
        <n v="943.8"/>
        <n v="223.3"/>
        <n v="2158.7999999999902"/>
        <n v="5800.4"/>
        <n v="1612.8"/>
        <n v="599.70000000000005"/>
        <n v="1012.5"/>
        <n v="2649.4"/>
        <n v="6487.5999999999904"/>
        <n v="4664.25"/>
        <n v="1748.7"/>
        <n v="105.3"/>
        <n v="6441.5"/>
        <n v="4236.75"/>
        <n v="275"/>
        <n v="4279"/>
        <n v="1377.5"/>
        <n v="8481.6"/>
        <n v="2941.25"/>
        <n v="4293"/>
        <n v="4662"/>
        <n v="1146.5999999999999"/>
        <n v="41.4"/>
        <n v="379"/>
        <n v="238.95"/>
        <n v="296.7"/>
        <n v="4357.5999999999904"/>
        <n v="6579.15"/>
        <n v="757.6"/>
        <n v="592.4"/>
        <n v="5644.7999999999902"/>
        <n v="6996"/>
        <n v="650.4"/>
        <n v="1431.1"/>
        <n v="462.5"/>
        <n v="1731.6"/>
        <n v="37.5"/>
        <n v="880"/>
        <n v="5041"/>
        <n v="151.1"/>
        <n v="2433.6"/>
        <n v="4862"/>
        <n v="195.75"/>
        <n v="657.15"/>
        <n v="3445.2"/>
        <n v="70.7"/>
        <n v="181"/>
        <n v="7844.4"/>
        <n v="978.65"/>
        <n v="1293"/>
        <n v="1536"/>
        <n v="800.1"/>
        <n v="2392"/>
        <n v="1667.6"/>
        <n v="1054.2"/>
        <n v="355.6"/>
        <n v="6779.5"/>
        <n v="6230"/>
        <n v="299.60000000000002"/>
        <n v="149.80000000000001"/>
        <n v="2422.0499999999902"/>
        <n v="385"/>
        <n v="122.4"/>
        <n v="1042.95"/>
        <n v="1612.3"/>
        <n v="2506.25"/>
        <n v="572"/>
        <n v="2570"/>
        <n v="4300"/>
        <n v="380"/>
        <n v="998.5"/>
        <n v="6220.8"/>
        <n v="1051.2"/>
        <n v="2384.1"/>
        <n v="2258.3999999999901"/>
        <n v="7179.45"/>
        <n v="5009.3999999999996"/>
        <n v="7732.8"/>
        <n v="2083.4"/>
        <n v="6359.5"/>
        <n v="39.799999999999997"/>
        <n v="2058.4"/>
        <n v="5636.4"/>
        <n v="1611.2"/>
        <n v="1331.2"/>
        <n v="258.05"/>
        <n v="5652.2"/>
        <n v="6814.8"/>
        <n v="5316.3"/>
        <n v="2191.35"/>
        <n v="2994.3"/>
        <n v="1892.3999999999901"/>
        <n v="61.15"/>
        <n v="473.7"/>
        <n v="5350.8"/>
        <n v="3432.7999999999902"/>
        <n v="5423.5999999999904"/>
        <n v="243.29999999999899"/>
        <n v="5412.5"/>
        <n v="6092.9"/>
        <n v="5879.25"/>
        <n v="5529.6"/>
        <n v="4415.3999999999996"/>
        <n v="4206.6000000000004"/>
        <n v="3056.4"/>
        <n v="4209"/>
        <n v="4002.5"/>
        <n v="62.05"/>
        <n v="3542.4"/>
        <n v="1230"/>
        <n v="1759.5"/>
        <n v="3791.55"/>
        <n v="2994.6"/>
        <n v="3120"/>
        <n v="3751"/>
        <n v="4550"/>
        <n v="520.5"/>
        <n v="869"/>
        <n v="1419.75"/>
        <n v="1497.6"/>
        <n v="3332"/>
        <n v="1283.2"/>
        <n v="3415.3"/>
        <n v="153"/>
        <n v="721"/>
        <n v="446.6"/>
        <n v="355.95"/>
        <n v="254.64999999999901"/>
        <n v="470.349999999999"/>
        <n v="323.39999999999998"/>
        <n v="1717"/>
        <n v="3011.25"/>
        <n v="2245.9499999999998"/>
        <n v="60.1"/>
        <n v="1103.2"/>
        <n v="78.95"/>
        <n v="4956.5999999999904"/>
        <n v="2351.1"/>
        <n v="5309.9"/>
        <n v="90.3"/>
        <n v="1324.6"/>
        <n v="8033.65"/>
        <n v="696.5"/>
        <n v="4077.9"/>
        <n v="2373.8000000000002"/>
        <n v="4830.95"/>
        <n v="2383.1999999999998"/>
        <n v="344.75"/>
        <n v="103.1"/>
        <n v="1512.8"/>
        <n v="1839.2"/>
        <n v="1033.5"/>
        <n v="4913.2"/>
        <n v="1451.7"/>
        <n v="7462.8"/>
        <n v="218.8"/>
        <n v="3194.85"/>
        <n v="2630.35"/>
        <n v="6906.25"/>
        <n v="4863.25"/>
        <n v="38.700000000000003"/>
        <n v="1102.4000000000001"/>
        <n v="5211.25"/>
        <n v="2696.4"/>
        <n v="94"/>
        <n v="1530.2"/>
        <n v="3484.6"/>
        <n v="7234.5999999999904"/>
        <n v="1276.5999999999999"/>
        <n v="1303.1499999999901"/>
        <n v="3949.1"/>
        <n v="4352.3999999999996"/>
        <n v="1347.75"/>
        <n v="184"/>
        <n v="596.25"/>
        <n v="4590.8"/>
        <n v="1980"/>
        <n v="2677.1"/>
        <n v="5139.2"/>
        <n v="1046.75"/>
        <n v="4889.3999999999996"/>
        <n v="3026.7999999999902"/>
        <n v="53.95"/>
        <n v="7002"/>
        <n v="1827.1"/>
        <n v="844"/>
        <n v="1296"/>
        <n v="1602.9"/>
        <n v="540"/>
        <n v="4025.7"/>
        <n v="723.6"/>
        <n v="2256"/>
        <n v="1651.55"/>
        <n v="6776.25"/>
        <n v="1958.74999999999"/>
        <n v="7349.9"/>
        <n v="516.25"/>
        <n v="1438.35"/>
        <n v="2270.3999999999901"/>
        <n v="490.95"/>
        <n v="751.1"/>
        <n v="788"/>
        <n v="484.05"/>
        <n v="2821.25"/>
        <n v="469.5"/>
        <n v="2105.35"/>
        <n v="5402.7"/>
        <n v="211.2"/>
        <n v="1400.7"/>
        <n v="5005.8500000000004"/>
        <n v="835.19999999999902"/>
        <n v="6659.2"/>
        <n v="2825.65"/>
        <n v="3397.2"/>
        <n v="527.15"/>
        <n v="2829.6"/>
        <n v="141.9"/>
        <n v="1182.75"/>
        <n v="341.599999999999"/>
        <n v="1008.8"/>
        <n v="3428.8999999999901"/>
        <n v="3681.5"/>
        <n v="1288.8"/>
        <n v="3091.2"/>
        <n v="4361.6000000000004"/>
        <n v="6112.8"/>
        <n v="135.1"/>
        <n v="3188.2"/>
        <n v="5637.6"/>
        <n v="1044"/>
        <n v="2239.5"/>
        <n v="1830.55"/>
        <n v="3178.6"/>
        <n v="1027.5"/>
        <n v="2143.4"/>
        <n v="235.2"/>
        <n v="3890.9"/>
        <n v="139.29999999999899"/>
        <n v="777.1"/>
        <n v="4666.2"/>
        <n v="5332.15"/>
        <n v="4905.1499999999996"/>
        <n v="262.39999999999998"/>
        <n v="1687"/>
        <n v="89.3"/>
        <n v="4052.7"/>
        <n v="3746.6"/>
        <n v="75.75"/>
        <n v="336.2"/>
        <n v="3170.9"/>
        <n v="1352.4"/>
        <n v="454"/>
        <n v="3549.15"/>
        <n v="1151.3"/>
        <n v="6904.8"/>
        <n v="1693.35"/>
        <n v="2972.2"/>
        <n v="4276.3499999999904"/>
        <n v="2560.5"/>
        <n v="6105.5999999999904"/>
        <n v="3270.6"/>
        <n v="1065.3999999999901"/>
        <n v="5367.5999999999904"/>
        <n v="159.1"/>
        <n v="997.05"/>
        <n v="2740.5"/>
        <n v="1427.1"/>
        <n v="3898.05"/>
        <n v="3647.7999999999902"/>
        <n v="2587"/>
        <n v="35.75"/>
        <n v="6944"/>
        <n v="3729.2999999999902"/>
        <n v="571.5"/>
        <n v="5292"/>
        <n v="1551.75"/>
        <n v="2177.5500000000002"/>
        <n v="228.8"/>
        <n v="7974"/>
        <n v="4367.25"/>
        <n v="2748.6"/>
        <n v="1519.8"/>
        <n v="18.899999999999999"/>
        <n v="1191.2"/>
        <n v="59.4"/>
        <n v="203.6"/>
        <n v="5992.4"/>
        <n v="244"/>
        <n v="401"/>
        <n v="324"/>
        <n v="2557.1"/>
        <n v="222"/>
        <n v="366.6"/>
        <n v="2444.6999999999998"/>
        <n v="200.4"/>
        <n v="562.599999999999"/>
        <n v="755.6"/>
        <n v="5590.25"/>
        <n v="798.3"/>
        <n v="1267.3499999999999"/>
        <n v="3459.2"/>
        <n v="1948.7"/>
        <n v="287.7"/>
        <n v="190.8"/>
        <n v="3604"/>
        <n v="170.45"/>
        <n v="351.9"/>
        <n v="1778.55"/>
        <n v="1219.3999999999901"/>
        <n v="110.55"/>
        <n v="7470"/>
        <n v="3745.5"/>
        <n v="499.2"/>
        <n v="44.1"/>
        <n v="563.20000000000005"/>
        <n v="710.5"/>
        <n v="6368.4"/>
        <n v="1572"/>
        <n v="2505.2999999999902"/>
        <n v="5997.5999999999904"/>
        <n v="954.599999999999"/>
        <n v="6174.1"/>
        <n v="1532.55"/>
        <n v="4726.8"/>
        <n v="1728.8999999999901"/>
        <n v="525.69999999999902"/>
        <n v="3480.35"/>
        <n v="6866.5"/>
        <n v="3032.55"/>
        <n v="817.849999999999"/>
        <n v="7113.6"/>
        <n v="4083.3"/>
        <n v="835.5"/>
        <n v="515"/>
        <n v="7642.8"/>
        <n v="5407.65"/>
        <n v="4063.5"/>
        <n v="796.94999999999902"/>
        <n v="3713.2999999999902"/>
        <n v="99.25"/>
        <n v="1453.45"/>
        <n v="1338.3999999999901"/>
        <n v="813.85"/>
        <n v="1882.55"/>
        <n v="7760.3"/>
        <n v="70.3"/>
        <n v="418.79999999999899"/>
        <n v="855.5"/>
        <n v="7912.8"/>
        <n v="352.099999999999"/>
        <n v="913.5"/>
        <n v="1069.8"/>
        <n v="1435.19999999999"/>
        <n v="1576"/>
        <n v="1365.6"/>
        <n v="159.30000000000001"/>
        <n v="1936"/>
        <n v="413"/>
        <n v="376.2"/>
        <n v="1721.3999999999901"/>
        <n v="2301.1999999999998"/>
        <n v="2801.75"/>
        <n v="2852.85"/>
        <n v="5351.4"/>
        <n v="6999.3"/>
        <n v="5899.5999999999904"/>
        <n v="821.69999999999902"/>
        <n v="1279.2"/>
        <n v="1330.3"/>
        <n v="6098.4"/>
        <n v="682.65"/>
        <n v="1464"/>
        <n v="3569.4"/>
        <n v="4193.75"/>
        <n v="2180.1"/>
        <n v="1729.35"/>
        <n v="2389.1999999999998"/>
        <n v="1989"/>
        <n v="1483.8999999999901"/>
        <n v="2980.25"/>
        <n v="2402.35"/>
        <n v="1087.9000000000001"/>
        <n v="953.05"/>
        <n v="3870.3"/>
        <n v="3095.4"/>
        <n v="138.94999999999999"/>
        <n v="6716.75"/>
        <n v="6241.05"/>
        <n v="3694.1"/>
        <n v="415.8"/>
        <n v="2854"/>
        <n v="456.5"/>
        <n v="1583.4"/>
        <n v="917.99999999999898"/>
        <n v="1125.75"/>
        <n v="435.2"/>
        <n v="662.9"/>
        <n v="183"/>
        <n v="143.15"/>
        <n v="3241.35"/>
        <n v="5840.25"/>
        <n v="2477.75"/>
        <n v="6166.3499999999904"/>
        <n v="3386.25"/>
        <n v="231"/>
        <n v="221.1"/>
        <n v="1813.05"/>
        <n v="7930.8"/>
        <n v="2319.7999999999902"/>
        <n v="3968"/>
        <n v="3091.4"/>
        <n v="2754.2"/>
        <n v="1143.0999999999999"/>
        <n v="4346.0999999999904"/>
        <n v="588"/>
        <n v="4018.5"/>
        <n v="8069.15"/>
        <n v="4170"/>
        <n v="3019.9"/>
        <n v="70.400000000000006"/>
        <n v="4049.1"/>
        <n v="3607.8"/>
        <n v="378.25"/>
        <n v="348.25"/>
        <n v="2056.1"/>
        <n v="1345.95"/>
        <n v="1129.5"/>
        <n v="502.5"/>
        <n v="1034"/>
        <n v="5873.8499999999904"/>
        <n v="7929.45"/>
        <n v="4685.8999999999996"/>
        <n v="1064.7"/>
        <n v="4228.3999999999996"/>
        <n v="4700.2"/>
        <n v="2502"/>
        <n v="1203"/>
        <n v="145.19999999999999"/>
        <n v="6407.5"/>
        <n v="7582.8"/>
        <n v="1247.5"/>
        <n v="96.25"/>
        <n v="6900.3"/>
        <n v="4272.8"/>
        <n v="92.25"/>
        <n v="1696.2"/>
        <n v="948.2"/>
        <n v="842.8"/>
        <n v="6457.75"/>
        <n v="1190.3999999999901"/>
        <n v="1410.75"/>
        <n v="3876.5499999999902"/>
        <n v="1771.4"/>
        <n v="2832"/>
        <n v="953.7"/>
        <n v="686.25"/>
        <n v="1245.45"/>
        <n v="155.6"/>
        <n v="664.05"/>
        <n v="375.55"/>
        <n v="69.650000000000006"/>
        <n v="6344"/>
        <n v="4009.95"/>
        <n v="727.19999999999902"/>
        <n v="972.74999999999898"/>
        <n v="550.79999999999995"/>
        <n v="562.1"/>
        <n v="1190.8"/>
        <n v="3027.6"/>
        <n v="5774.35"/>
        <n v="208.04999999999899"/>
        <n v="4375.7999999999902"/>
        <n v="299.39999999999998"/>
        <n v="2706.3999999999901"/>
        <n v="5759.6"/>
        <n v="3540"/>
        <n v="36.450000000000003"/>
        <n v="4280.3999999999996"/>
        <n v="3045"/>
        <n v="54.3"/>
        <n v="3014.55"/>
        <n v="1197"/>
        <n v="1904.3999999999901"/>
        <n v="1966.8"/>
        <n v="5407.2"/>
        <n v="7134.5999999999904"/>
        <n v="3776.45"/>
        <n v="5686.5"/>
        <n v="7455"/>
        <n v="6554.9"/>
        <n v="212.1"/>
        <n v="944.3"/>
        <n v="2427.1999999999998"/>
        <n v="975.599999999999"/>
        <n v="832.3"/>
        <n v="7916.4"/>
        <n v="3203.85"/>
        <n v="679.2"/>
        <n v="2772"/>
        <n v="147.1"/>
        <n v="1665.6"/>
        <n v="245"/>
        <n v="20.6"/>
        <n v="1682"/>
        <n v="6984.25"/>
        <n v="524"/>
        <n v="1552.45"/>
        <n v="4506.75"/>
        <n v="7520.4"/>
        <n v="253.79999999999899"/>
        <n v="673.4"/>
        <n v="399.599999999999"/>
        <n v="4624.6499999999996"/>
        <n v="5472.2999999999902"/>
        <n v="1580"/>
        <n v="809.2"/>
        <n v="4230"/>
        <n v="730.35"/>
        <n v="3671.5499999999902"/>
        <n v="1423.5"/>
        <n v="7191"/>
        <n v="6880.25"/>
        <n v="3531"/>
        <n v="1774"/>
        <n v="1666.3"/>
        <n v="1410.5"/>
        <n v="159.5"/>
        <n v="2552.85"/>
        <n v="1134.5999999999999"/>
        <n v="345.25"/>
        <n v="7632.5"/>
        <n v="2555"/>
        <n v="8032.5"/>
        <n v="2357.5499999999902"/>
        <n v="5005"/>
        <n v="3740.7"/>
        <n v="7224.3"/>
        <n v="2337"/>
        <n v="2991.45"/>
        <n v="5964.3"/>
        <n v="4053.3"/>
        <n v="2056.1999999999998"/>
        <n v="5867.4"/>
        <n v="2173.75"/>
        <n v="5996.1"/>
        <n v="596.5"/>
        <n v="863.2"/>
        <n v="540.599999999999"/>
        <n v="1390.35"/>
        <n v="591.25"/>
        <n v="2617.4"/>
        <n v="535.79999999999995"/>
        <n v="6137.5999999999904"/>
        <n v="1760.5"/>
        <n v="2611.9499999999998"/>
        <n v="4806"/>
        <n v="285.60000000000002"/>
        <n v="927.19999999999902"/>
        <n v="228.5"/>
        <n v="79.650000000000006"/>
        <n v="4238.7"/>
        <n v="5878.6"/>
        <n v="1550.2"/>
        <n v="2643.2999999999902"/>
        <n v="5514.65"/>
        <n v="5437.5"/>
        <n v="2342.6999999999998"/>
        <n v="1098.9000000000001"/>
        <n v="2836.4"/>
        <n v="80.05"/>
        <n v="2586.8000000000002"/>
        <n v="655"/>
        <n v="1739.35"/>
        <n v="915.85"/>
        <n v="3388.4"/>
        <n v="1589.35"/>
        <n v="90.1"/>
        <n v="1235.25"/>
        <n v="2848.75"/>
        <n v="5023.2"/>
        <n v="4518.5"/>
        <n v="4588.8500000000004"/>
        <n v="297.89999999999998"/>
        <n v="2355.1999999999998"/>
        <n v="7902"/>
        <n v="2273.65"/>
        <n v="7341.6"/>
        <n v="2129.4"/>
        <n v="6101.6"/>
        <n v="1310.4000000000001"/>
        <n v="3632.75"/>
        <n v="850"/>
        <n v="925"/>
        <n v="2378.1999999999998"/>
        <n v="1148.55"/>
        <n v="5289.55"/>
        <n v="6201.6"/>
        <n v="1000"/>
        <n v="1679.8"/>
        <n v="2563.5"/>
        <n v="3195.7999999999902"/>
        <n v="74.45"/>
        <n v="2395.75"/>
        <n v="5459.9"/>
        <n v="2334.7999999999902"/>
        <n v="4923.5999999999904"/>
        <n v="8420.4"/>
        <n v="1016.25"/>
        <n v="7890.15"/>
        <n v="1146"/>
        <n v="2564.9"/>
        <n v="1294.6499999999901"/>
        <n v="89.35"/>
        <n v="4579.2"/>
        <n v="920.4"/>
        <n v="346.5"/>
        <n v="296.5"/>
        <n v="422.5"/>
        <n v="1608.75"/>
        <n v="1774.5"/>
        <n v="1632.6"/>
        <n v="1240"/>
        <n v="3943.5"/>
        <n v="5362.5"/>
        <n v="691.9"/>
        <n v="1452.8"/>
        <n v="5613.3"/>
        <n v="5247.5"/>
        <n v="7472.75"/>
        <n v="747.5"/>
        <n v="427.5"/>
        <n v="245.2"/>
        <n v="4396.3999999999996"/>
        <n v="5488"/>
        <n v="160.5"/>
        <n v="2524.8000000000002"/>
        <n v="2912"/>
        <n v="3051"/>
        <n v="257.60000000000002"/>
        <n v="4528.8500000000004"/>
        <n v="458"/>
        <n v="122"/>
        <n v="3526.65"/>
        <n v="1193.4000000000001"/>
        <n v="295.5"/>
        <n v="2479.0500000000002"/>
        <n v="5044.7999999999902"/>
        <n v="509.099999999999"/>
        <n v="39.5"/>
        <n v="987.5"/>
        <n v="2323.1999999999998"/>
        <n v="633.94999999999902"/>
        <n v="183.15"/>
        <n v="4654.8"/>
        <n v="4399.8999999999996"/>
        <n v="3529.2"/>
        <n v="6901.2"/>
        <n v="4003.6499999999901"/>
        <n v="2317.9"/>
        <n v="6336"/>
        <n v="5218.55"/>
        <n v="1410"/>
        <n v="6761.6"/>
        <n v="5415"/>
        <n v="859.6"/>
        <n v="5652"/>
        <n v="8001"/>
        <n v="4260.2"/>
        <n v="1051.05"/>
        <n v="6025.5"/>
        <n v="3013.5"/>
        <n v="2627.25"/>
        <n v="805.05"/>
        <n v="721.5"/>
        <n v="5549.5"/>
        <n v="3144.9"/>
        <n v="4183.7"/>
        <n v="54.5"/>
        <n v="1232"/>
        <n v="719.1"/>
        <n v="3076.8"/>
        <n v="942.4"/>
        <n v="4571"/>
        <n v="1181.7"/>
        <n v="4848.75"/>
        <n v="5524.2"/>
        <n v="134.25"/>
        <n v="4165.5999999999904"/>
        <n v="6911.05"/>
        <n v="84.65"/>
        <n v="6791.15"/>
        <n v="2778.7"/>
        <n v="3681"/>
        <n v="403.65"/>
        <n v="561"/>
        <n v="357"/>
        <n v="888.5"/>
        <n v="681.7"/>
        <n v="4036.2"/>
        <n v="4489.6000000000004"/>
        <n v="44.35"/>
        <n v="518.75"/>
        <n v="1457.3"/>
        <n v="5225.7999999999902"/>
        <n v="557.9"/>
        <n v="2607"/>
        <n v="6350.95"/>
        <n v="2151.8000000000002"/>
        <n v="1944"/>
        <n v="2970"/>
        <n v="424.25"/>
        <n v="6062.4"/>
        <n v="5527.5999999999904"/>
        <n v="73.650000000000006"/>
        <n v="2438.6999999999998"/>
        <n v="6855.15"/>
        <n v="4703.3999999999996"/>
        <n v="664.94999999999902"/>
        <n v="4441.5"/>
        <n v="334.2"/>
        <n v="1372.35"/>
        <n v="1644.5"/>
        <n v="506.099999999999"/>
        <n v="679.6"/>
        <n v="812.349999999999"/>
        <n v="1042.75"/>
        <n v="2538.1999999999998"/>
        <n v="46"/>
        <n v="3630"/>
        <n v="426.7"/>
        <n v="1148.8"/>
        <n v="701.75"/>
        <n v="3889.6"/>
        <n v="363"/>
        <n v="1677.2"/>
        <n v="230"/>
        <n v="1823.3999999999901"/>
        <n v="5386.5"/>
        <n v="497.7"/>
        <n v="6194.15"/>
        <n v="48.45"/>
        <n v="348.3"/>
        <n v="207"/>
        <n v="6155.7"/>
        <n v="55.7"/>
        <n v="4633.75"/>
        <n v="3814.35"/>
        <n v="484.4"/>
        <n v="2459.25"/>
        <n v="1336.5"/>
        <n v="1221.45"/>
        <n v="2633.4"/>
        <n v="6081.9"/>
        <n v="3046.3999999999901"/>
        <n v="647.9"/>
        <n v="2003.4"/>
        <n v="1687.35"/>
        <n v="4680.5"/>
        <n v="312.3"/>
        <n v="8168.55"/>
        <n v="81.099999999999994"/>
        <n v="438.9"/>
        <n v="6502.5999999999904"/>
        <n v="5772.05"/>
        <n v="1103.8999999999901"/>
        <n v="6298.25"/>
        <n v="1817.55"/>
        <n v="169.6"/>
        <n v="268.35000000000002"/>
        <n v="1697.5"/>
        <n v="392"/>
        <n v="445.5"/>
        <n v="1297.8"/>
        <n v="1037.3999999999901"/>
        <n v="8380.7999999999993"/>
        <n v="411.45"/>
        <n v="5743.15"/>
        <n v="4303.5999999999904"/>
        <n v="1933.75"/>
        <n v="702.9"/>
        <n v="5914.8"/>
        <n v="5047"/>
        <n v="4184.3999999999996"/>
        <n v="251.7"/>
        <n v="3520.55"/>
        <n v="4867.8"/>
        <n v="5236"/>
        <n v="838.44999999999902"/>
        <n v="5484.5"/>
        <n v="53.55"/>
        <n v="974.1"/>
        <n v="840"/>
        <n v="6573"/>
        <n v="7694.2"/>
        <n v="1152"/>
        <n v="2208.6999999999998"/>
        <n v="4199.8"/>
        <n v="49.65"/>
        <n v="2500.1"/>
        <n v="478.74999999999898"/>
        <n v="353.8"/>
        <n v="2340.5"/>
        <n v="1926.25"/>
        <n v="1722.5"/>
        <n v="1991"/>
        <n v="1053.25"/>
        <n v="853.65"/>
        <n v="489.65"/>
        <n v="1431.5"/>
        <n v="481.5"/>
        <n v="1203.5999999999999"/>
        <n v="828"/>
        <n v="703.94999999999902"/>
        <n v="2324.35"/>
        <n v="226.5"/>
        <n v="5823.2"/>
        <n v="2814.75"/>
        <n v="5072.3999999999996"/>
        <n v="5814"/>
        <n v="2071"/>
        <n v="41.5"/>
        <n v="223.85"/>
        <n v="7545.5999999999904"/>
        <n v="2393.15"/>
        <n v="2044"/>
        <n v="5567.5999999999904"/>
        <n v="452.1"/>
        <n v="704.55"/>
        <n v="523.94999999999902"/>
        <n v="4034.55"/>
        <n v="75"/>
        <n v="158.1"/>
        <n v="1203.4000000000001"/>
        <n v="5776"/>
        <n v="123.899999999999"/>
        <n v="992.55"/>
        <n v="75.900000000000006"/>
        <n v="76.2"/>
        <n v="4233.6000000000004"/>
        <n v="661.65"/>
        <n v="2332.1999999999998"/>
        <n v="3540.6"/>
        <n v="553"/>
        <n v="7374.5"/>
        <n v="1631.5"/>
        <n v="49.75"/>
        <n v="1705.5"/>
        <n v="4529.7"/>
        <n v="3412.2"/>
        <n v="79.400000000000006"/>
        <n v="3524.25"/>
        <n v="846"/>
        <n v="851.7"/>
        <n v="1860.25"/>
        <n v="3948.75"/>
        <n v="4323.6499999999996"/>
        <n v="409.7"/>
        <n v="1543.3"/>
        <n v="3518.2"/>
        <n v="3190.4"/>
        <n v="208.79999999999899"/>
        <n v="3232"/>
        <n v="692.4"/>
        <n v="20.85"/>
        <n v="2182.8000000000002"/>
        <n v="35"/>
        <n v="6119"/>
        <n v="864"/>
        <n v="3897.95"/>
        <n v="373.25"/>
        <n v="4406.3999999999996"/>
        <n v="493.2"/>
        <n v="5288.4"/>
        <n v="1697.85"/>
        <n v="5792.4"/>
        <n v="1192.4000000000001"/>
        <n v="1279.5"/>
        <n v="2299.6999999999998"/>
        <n v="7462.0999999999904"/>
        <n v="1650.1499999999901"/>
        <n v="75.7"/>
        <n v="91.1"/>
        <n v="859.099999999999"/>
        <n v="231.6"/>
        <n v="7735"/>
        <n v="1816"/>
        <n v="466.9"/>
        <n v="3986.1499999999901"/>
        <n v="391.8"/>
        <n v="3460.8"/>
        <n v="110.6"/>
        <n v="3901.95"/>
        <n v="3329.6"/>
        <n v="1426.95"/>
        <n v="2816.1"/>
        <n v="4677.7"/>
        <n v="443.7"/>
        <n v="1001.1"/>
        <n v="7714"/>
        <n v="1162.2"/>
        <n v="1837.8"/>
        <n v="1326.6"/>
        <n v="199"/>
        <n v="1658.7"/>
        <n v="6436.8"/>
        <n v="960"/>
        <n v="1498.5"/>
        <n v="6894.3"/>
        <n v="2697.9"/>
        <n v="1899.05"/>
        <n v="8244"/>
        <n v="767.6"/>
        <n v="1476.2"/>
        <n v="810"/>
        <n v="2329.6"/>
        <n v="2096.85"/>
        <n v="1794"/>
        <n v="419.1"/>
        <n v="1447.5"/>
        <n v="719.6"/>
        <n v="1464.8"/>
        <n v="1891.19999999999"/>
        <n v="3171"/>
        <n v="210.75"/>
        <n v="5343.75"/>
        <n v="6565.4"/>
        <n v="3887"/>
        <n v="3988.6"/>
        <n v="7739"/>
        <n v="2519.6999999999998"/>
        <n v="244.79999999999899"/>
        <n v="5654.55"/>
        <n v="2119.25"/>
        <n v="4906.8"/>
        <n v="3726.45"/>
        <n v="1070.5999999999999"/>
        <n v="2408.4"/>
        <n v="1346.3999999999901"/>
        <n v="6076.8"/>
        <n v="3151.7999999999902"/>
        <n v="495"/>
        <n v="2034"/>
        <n v="6451.2"/>
        <n v="1444.5"/>
        <n v="777"/>
        <n v="4149.6000000000004"/>
        <n v="2820"/>
        <n v="1687.2"/>
        <n v="456.3"/>
        <n v="1360.85"/>
        <n v="2568.6999999999998"/>
        <n v="2081.1"/>
        <n v="406.5"/>
        <n v="1696.8999999999901"/>
        <n v="1261.5999999999999"/>
        <n v="39.200000000000003"/>
        <n v="1071.5999999999999"/>
        <n v="7804.8"/>
        <n v="515.70000000000005"/>
        <n v="1452.65"/>
        <n v="4934.8999999999996"/>
        <n v="5366.4"/>
        <n v="329.6"/>
        <n v="765.44999999999902"/>
        <n v="133.80000000000001"/>
        <n v="6831.5"/>
        <n v="8060.5"/>
        <n v="3588"/>
        <n v="1814.7"/>
        <n v="2469.25"/>
        <n v="5270.0999999999904"/>
        <n v="3061.7"/>
        <n v="1760.3999999999901"/>
        <n v="1858.45"/>
        <n v="760.5"/>
        <n v="817.19999999999902"/>
        <n v="1409"/>
        <n v="651.69999999999902"/>
        <n v="579"/>
        <n v="114.899999999999"/>
        <n v="102.8"/>
        <n v="3808.0499999999902"/>
        <n v="3031.7"/>
        <n v="3167.5"/>
        <n v="1023.75"/>
        <n v="2856"/>
        <n v="227.39999999999901"/>
        <n v="228.29999999999899"/>
        <n v="5828"/>
        <n v="1256.8499999999999"/>
        <n v="1426"/>
        <n v="3878"/>
        <n v="1451.1"/>
        <n v="732"/>
        <n v="2780.25"/>
        <n v="491.15"/>
        <n v="1500.25"/>
        <n v="1186.45"/>
        <n v="6340.3"/>
        <n v="1198.5"/>
        <n v="2044.35"/>
        <n v="851.4"/>
        <n v="4153.6000000000004"/>
        <n v="129.5"/>
        <n v="1335.6"/>
        <n v="1357.2"/>
        <n v="1006"/>
        <n v="4615"/>
        <n v="86"/>
        <n v="5668.35"/>
        <n v="63.599999999999902"/>
        <n v="2014.6499999999901"/>
        <n v="2718.3"/>
        <n v="275.8"/>
        <n v="263.89999999999998"/>
        <n v="2755.4"/>
        <n v="560.04999999999995"/>
        <n v="928.25"/>
        <n v="855.099999999999"/>
        <n v="4684.3999999999996"/>
        <n v="2964.75"/>
        <n v="5889.15"/>
        <n v="457.6"/>
        <n v="516.5"/>
        <n v="288"/>
        <n v="4538.25"/>
        <n v="5071.8999999999996"/>
        <n v="457.65"/>
        <n v="4763.2"/>
        <n v="6923"/>
        <n v="1105.3"/>
        <n v="44.3"/>
        <n v="4170.3999999999996"/>
        <n v="365.4"/>
        <n v="239.4"/>
        <n v="4004.4"/>
        <n v="2265.9"/>
        <n v="1357.5"/>
        <n v="1317.9"/>
        <n v="8118"/>
        <n v="1150.5"/>
        <n v="4391.8499999999904"/>
        <n v="2048.7999999999902"/>
        <n v="2111.4"/>
        <n v="7578"/>
        <n v="1280.3"/>
        <n v="1374"/>
        <n v="471.9"/>
        <n v="1262.25"/>
        <n v="1274"/>
        <n v="472.25"/>
        <n v="315"/>
        <n v="2440.1"/>
        <n v="778.69999999999902"/>
        <n v="758.1"/>
        <n v="672"/>
        <n v="4807.5999999999904"/>
        <n v="438.75"/>
        <n v="84.85"/>
        <n v="5432.0999999999904"/>
        <n v="3103.8"/>
        <n v="5922"/>
        <n v="3056.6"/>
        <n v="3711.1"/>
        <n v="101.8"/>
        <n v="50.7"/>
        <n v="4924.8"/>
        <n v="2786.9"/>
        <n v="1413.8999999999901"/>
        <n v="605.54999999999995"/>
        <n v="653.4"/>
        <n v="5235.8999999999996"/>
        <n v="1292"/>
        <n v="1730.3"/>
        <n v="2293.1999999999998"/>
        <n v="4176.8999999999996"/>
        <n v="888.599999999999"/>
        <n v="2715.6"/>
        <n v="445.75"/>
        <n v="1320"/>
        <n v="825"/>
        <n v="200.5"/>
        <n v="628.25"/>
        <n v="994.69999999999902"/>
        <n v="1177.05"/>
        <n v="3875.5"/>
        <n v="1041.44999999999"/>
        <n v="1357.44999999999"/>
        <n v="1107.7"/>
        <n v="1192.0999999999999"/>
        <n v="4252.2"/>
        <n v="870.65"/>
        <n v="252.6"/>
        <n v="283.79999999999899"/>
        <n v="3409.2"/>
        <n v="1508"/>
        <n v="4709.25"/>
        <n v="149.9"/>
        <n v="8060.4"/>
        <n v="1230.7"/>
        <n v="538.5"/>
        <n v="962.4"/>
        <n v="3813.25"/>
        <n v="24.9"/>
        <n v="497.099999999999"/>
        <n v="6617.2"/>
        <n v="5681.5999999999904"/>
        <n v="4305"/>
        <n v="698.05"/>
        <n v="2139.15"/>
        <n v="292.5"/>
        <n v="5504.0499999999902"/>
        <n v="580.79999999999995"/>
        <n v="715.95"/>
        <n v="418"/>
        <n v="5032.5"/>
        <n v="5081.3999999999996"/>
        <n v="223.64999999999901"/>
        <n v="7374.6"/>
        <n v="280.75"/>
        <n v="671.55"/>
        <n v="3302.5499999999902"/>
        <n v="2082.5"/>
        <n v="265.849999999999"/>
        <n v="999.6"/>
        <n v="274.5"/>
        <n v="1853.2"/>
        <n v="890.75"/>
        <n v="970.19999999999902"/>
        <n v="379.6"/>
        <n v="2109.15"/>
        <n v="351.6"/>
        <n v="7160.4"/>
        <n v="2223.75"/>
        <n v="7316.0999999999904"/>
        <n v="5856.5"/>
        <n v="6892.2"/>
        <n v="7994"/>
        <n v="70.75"/>
        <n v="725.2"/>
        <n v="120.44999999999899"/>
        <n v="919.19999999999902"/>
        <n v="767.69999999999902"/>
        <n v="856.05"/>
        <n v="2739.05"/>
        <n v="6063.4"/>
        <n v="3216.45"/>
        <n v="1079.3"/>
        <n v="3504.6"/>
        <n v="330"/>
        <n v="4123.7999999999902"/>
        <n v="1169.45"/>
        <n v="504.9"/>
        <n v="1571.69999999999"/>
        <n v="696.8"/>
        <n v="1287"/>
        <n v="3911.3999999999901"/>
        <n v="1344"/>
        <n v="1475"/>
        <n v="189.9"/>
        <n v="247.099999999999"/>
        <n v="534.599999999999"/>
        <n v="4528.25"/>
        <n v="4941"/>
        <n v="7599.5999999999904"/>
        <n v="244.4"/>
        <n v="1593.6"/>
        <n v="23.45"/>
        <n v="649"/>
        <n v="3987.75"/>
        <n v="7064.9"/>
        <n v="4958.25"/>
        <n v="1352.5"/>
        <n v="29.7"/>
        <n v="5964.9"/>
        <n v="3420"/>
        <n v="151.94999999999999"/>
        <n v="4263.8999999999996"/>
        <n v="1038.7"/>
        <n v="55.4"/>
        <n v="7021"/>
        <n v="173.7"/>
        <n v="6786"/>
        <n v="3340.5499999999902"/>
        <n v="1171.3499999999999"/>
        <n v="78.599999999999994"/>
        <n v="1593.9"/>
        <n v="1753.7"/>
        <n v="2872.45"/>
        <n v="7607.25"/>
        <n v="5440"/>
        <n v="5785"/>
        <n v="110.2"/>
        <n v="452.7"/>
        <n v="108.3"/>
        <n v="1136.2"/>
        <n v="3354"/>
        <n v="6923.4"/>
        <n v="1581.3"/>
        <n v="533.20000000000005"/>
        <n v="7884"/>
        <n v="3544.7999999999902"/>
        <n v="1331.7"/>
        <n v="8510.4"/>
        <n v="720.3"/>
        <n v="356.7"/>
        <n v="156"/>
        <n v="332.35"/>
        <n v="6080.75"/>
        <n v="3380.1"/>
        <n v="1329.25"/>
        <n v="1822.1"/>
        <n v="6148.8"/>
        <n v="1093.3999999999901"/>
        <n v="2074.7999999999902"/>
        <n v="3764.2"/>
        <n v="4467.3499999999904"/>
        <n v="3577.7999999999902"/>
        <n v="268.2"/>
        <n v="8094"/>
        <n v="931.5"/>
        <n v="269.25"/>
        <n v="5617.95"/>
        <n v="5418.4"/>
        <n v="2110.5"/>
        <n v="1017.5"/>
        <n v="2070"/>
        <n v="2487.5"/>
        <n v="3864.8999999999901"/>
        <n v="4616.1000000000004"/>
        <n v="25.85"/>
        <n v="2913.6"/>
        <n v="639"/>
        <n v="1491.2"/>
        <n v="1257"/>
        <n v="96.75"/>
        <n v="2230.7999999999902"/>
        <n v="41"/>
        <n v="3227.4"/>
        <n v="520.44999999999902"/>
        <n v="2967"/>
        <n v="1692.8999999999901"/>
        <n v="3381.75"/>
        <n v="282.60000000000002"/>
        <n v="3230.2"/>
        <n v="4232.3499999999904"/>
        <n v="79.25"/>
        <n v="5236.25"/>
        <n v="701"/>
        <n v="3185"/>
        <n v="118.6"/>
        <n v="2905.6"/>
        <n v="3347.5499999999902"/>
        <n v="217.2"/>
        <n v="1023.3"/>
        <n v="1046.6500000000001"/>
        <n v="6758.4"/>
        <n v="6093.9"/>
        <n v="2283.6999999999998"/>
        <n v="5197.5"/>
        <n v="5209.95"/>
        <n v="6620.4"/>
        <n v="80.5"/>
        <n v="2337.2999999999902"/>
        <n v="1344.6"/>
        <n v="1353.95"/>
        <n v="5688.2"/>
        <n v="288.8"/>
        <n v="7593.45"/>
        <n v="875.5"/>
        <n v="3850.65"/>
        <n v="403.5"/>
        <n v="1627.5"/>
        <n v="7251.9"/>
        <n v="326.95"/>
        <n v="4000.5"/>
        <n v="4973.8"/>
        <n v="3910"/>
        <n v="4928.8"/>
        <n v="720.65"/>
        <n v="1368.75"/>
        <n v="428.75"/>
        <n v="761.25"/>
        <n v="382.849999999999"/>
        <n v="882.2"/>
        <n v="589.5"/>
        <n v="4152.7999999999902"/>
        <n v="5049.8999999999996"/>
        <n v="4088"/>
        <n v="537"/>
        <n v="509.6"/>
        <n v="5900.4"/>
        <n v="1673.75"/>
        <n v="92.1"/>
        <n v="6152.4"/>
        <n v="76.400000000000006"/>
        <n v="62.099999999999902"/>
        <n v="1467.4"/>
        <n v="881.099999999999"/>
        <n v="3319.7999999999902"/>
        <n v="3996"/>
        <n v="7156.8"/>
        <n v="93.3"/>
        <n v="147.44999999999999"/>
        <n v="6019.2"/>
        <n v="5348.7"/>
        <n v="4725.8999999999996"/>
        <n v="3526.2"/>
        <n v="5373"/>
        <n v="3648"/>
        <n v="223.5"/>
        <n v="6841.35"/>
        <n v="1972.5"/>
        <n v="7627.95"/>
        <n v="35.049999999999997"/>
        <n v="73"/>
        <n v="59.699999999999903"/>
        <n v="4617"/>
        <n v="460.2"/>
        <n v="1267.8999999999901"/>
        <n v="4353.75"/>
        <n v="1355"/>
        <n v="4404.3999999999996"/>
        <n v="90.5"/>
        <n v="2767.0499999999902"/>
        <n v="458.7"/>
        <n v="1170.75"/>
        <n v="585.79999999999995"/>
        <n v="2319.3000000000002"/>
        <n v="3294"/>
        <n v="141.30000000000001"/>
        <n v="4953.3"/>
        <n v="4302.8"/>
        <n v="305.25"/>
        <n v="7301"/>
        <n v="943.95"/>
        <n v="123.6"/>
        <n v="78.2"/>
        <n v="2150.5"/>
        <n v="1418.3"/>
        <n v="2182.6999999999998"/>
        <n v="158.9"/>
        <n v="7785.4"/>
        <n v="6652.7"/>
        <n v="4711.1499999999996"/>
        <n v="3900"/>
        <n v="969.599999999999"/>
        <n v="1562.3999999999901"/>
        <n v="7254.4"/>
        <n v="3680"/>
        <n v="4209.3999999999996"/>
        <n v="1668.3"/>
        <n v="3678.2999999999902"/>
        <n v="7756.75"/>
        <n v="698.85"/>
        <n v="2470"/>
        <n v="8257.2999999999993"/>
        <n v="636.79999999999995"/>
        <n v="1817.6"/>
        <n v="2667"/>
        <n v="5508.25"/>
        <n v="5691.6"/>
        <n v="191.7"/>
        <n v="443.099999999999"/>
        <n v="3364.7999999999902"/>
        <n v="1347.3"/>
        <n v="4238"/>
        <n v="1561.44999999999"/>
        <n v="2703.2"/>
        <n v="6282.5"/>
        <n v="2073.4499999999998"/>
        <n v="1894.1"/>
        <n v="7157"/>
        <n v="6360"/>
        <n v="6968"/>
        <n v="975.1"/>
        <n v="4235.0999999999904"/>
        <n v="2228.6999999999998"/>
        <n v="1304.55"/>
        <n v="4892.7"/>
        <n v="763.8"/>
        <n v="2848.1"/>
        <n v="113.1"/>
        <n v="49.25"/>
        <n v="1029"/>
        <n v="1795.3"/>
        <n v="689.5"/>
        <n v="5185"/>
        <n v="3964.8"/>
        <n v="5715.7"/>
        <n v="7497"/>
        <n v="989"/>
        <n v="5833.75"/>
        <n v="4367"/>
        <n v="439.599999999999"/>
        <n v="673.65"/>
        <n v="697.95"/>
        <n v="713.65"/>
        <n v="4371.2"/>
        <n v="3388"/>
        <n v="188"/>
        <n v="7038.3499999999904"/>
        <n v="603.599999999999"/>
        <n v="78"/>
        <n v="4089.8"/>
        <n v="1277.0999999999999"/>
        <n v="44.65"/>
        <n v="1092.6499999999901"/>
        <n v="6782.75"/>
        <n v="2813.9"/>
        <n v="922.3"/>
        <n v="201"/>
        <n v="406.8"/>
        <n v="6015.5999999999904"/>
        <n v="1989.75"/>
        <n v="7430.5"/>
        <n v="3000.1"/>
        <n v="2985"/>
        <n v="2402.4"/>
        <n v="465.6"/>
        <n v="4206.5999999999904"/>
        <n v="3310.2"/>
        <n v="3523.5"/>
        <n v="7526"/>
        <n v="4020.49999999999"/>
        <n v="4302"/>
        <n v="165.3"/>
        <n v="3229.2"/>
        <n v="8395.1999999999898"/>
        <n v="5683.5999999999904"/>
        <n v="1975.35"/>
        <n v="842.25"/>
        <n v="7348.5"/>
        <n v="825.6"/>
        <n v="5229"/>
        <n v="140.19999999999999"/>
        <n v="7797.5999999999904"/>
        <n v="1010"/>
        <n v="2630.3"/>
        <n v="2941.2999999999902"/>
        <n v="2458.2999999999902"/>
        <n v="5858.1"/>
        <n v="2536"/>
        <n v="1492.05"/>
        <n v="2795"/>
        <n v="1746"/>
        <n v="3902.4"/>
        <n v="2301"/>
        <n v="2052.0499999999902"/>
        <n v="826.15"/>
        <n v="415.5"/>
        <n v="4646.45"/>
        <n v="325.54999999999899"/>
        <n v="2135"/>
        <n v="1189"/>
        <n v="50.5"/>
        <n v="2610.4"/>
        <n v="5572"/>
        <n v="473.099999999999"/>
        <n v="3741.5"/>
        <n v="3243.2"/>
        <n v="940.95"/>
        <n v="2462.9499999999998"/>
        <n v="362.6"/>
        <n v="5211.2999999999902"/>
        <n v="4740"/>
        <n v="6069.7"/>
        <n v="537.29999999999995"/>
        <n v="7672.5"/>
        <n v="1316.25"/>
        <n v="4702.3499999999904"/>
        <n v="3333.2999999999902"/>
        <n v="2613.6999999999998"/>
        <n v="3517.49999999999"/>
        <n v="755.65"/>
        <n v="1501.95"/>
        <n v="4424.2"/>
        <n v="4179.7"/>
        <n v="191.3"/>
        <n v="4076.8999999999901"/>
        <n v="1215.4000000000001"/>
        <n v="750.5"/>
        <n v="624.4"/>
        <n v="750.75"/>
        <n v="347.6"/>
        <n v="5649"/>
        <n v="94.4"/>
        <n v="1442.1"/>
        <n v="3399.95"/>
        <n v="6648"/>
        <n v="694.85"/>
        <n v="101.45"/>
        <n v="1261"/>
        <n v="3352.2"/>
        <n v="4707.2"/>
        <n v="339.75"/>
        <n v="5755.3499999999904"/>
        <n v="504.4"/>
        <n v="69.2"/>
        <n v="774.8"/>
        <n v="4074"/>
        <n v="5358.5999999999904"/>
        <n v="82.3"/>
        <n v="737.1"/>
        <n v="7081.9"/>
        <n v="2475"/>
        <n v="4224.5"/>
        <n v="237.75"/>
        <n v="1099.8"/>
        <n v="5417.2"/>
        <n v="3956.4"/>
        <n v="4583.8999999999996"/>
        <n v="3190.95"/>
        <n v="669.9"/>
        <n v="894.75"/>
        <n v="727.9"/>
        <n v="48.95"/>
        <n v="329.1"/>
        <n v="5755.0499999999902"/>
        <n v="171.7"/>
        <n v="451.8"/>
        <n v="1462"/>
        <n v="688.5"/>
        <n v="952"/>
        <n v="1127.5"/>
        <n v="4929.3999999999996"/>
        <n v="331.79999999999899"/>
        <n v="1424.5"/>
        <n v="149.69999999999999"/>
        <n v="2274.3000000000002"/>
        <n v="1645"/>
        <n v="366.3"/>
        <n v="2962.4"/>
        <n v="5127.75"/>
        <n v="3582.25"/>
        <n v="8095.5"/>
        <n v="159.69999999999999"/>
        <n v="1899.3"/>
        <n v="2187.8999999999901"/>
        <n v="389.5"/>
        <n v="1140"/>
        <n v="3394.5"/>
        <n v="4399.5"/>
        <n v="671.85"/>
        <n v="1227.5999999999999"/>
        <n v="2852.6"/>
        <n v="1684.85"/>
        <n v="56.25"/>
        <n v="2228.1"/>
        <n v="6048"/>
        <n v="3748.45"/>
        <n v="68.650000000000006"/>
        <n v="114"/>
        <n v="3300"/>
        <n v="5527.2"/>
        <n v="664.19999999999902"/>
        <n v="1402.8"/>
        <n v="1123.5"/>
        <n v="6478.2"/>
        <n v="8158.5"/>
        <n v="1495.5"/>
        <n v="116.6"/>
        <n v="1870"/>
        <n v="6174.4"/>
        <n v="2295"/>
        <n v="810.9"/>
        <n v="1299.0999999999999"/>
        <n v="5106.5"/>
        <n v="735.5"/>
        <n v="6069.5999999999904"/>
        <n v="3822"/>
        <n v="3893.3999999999901"/>
        <n v="7579.25"/>
        <n v="860"/>
        <n v="548.54999999999995"/>
        <n v="1754.4"/>
        <n v="1545.7"/>
        <n v="3000.25"/>
        <n v="5861.05"/>
        <n v="5200"/>
        <n v="495.25"/>
        <n v="1223.3"/>
        <n v="3854"/>
        <n v="932.39999999999895"/>
        <n v="89"/>
        <n v="7319.4"/>
        <n v="3990"/>
        <n v="25.3"/>
        <n v="400.5"/>
        <n v="2002.44999999999"/>
        <n v="61.199999999999903"/>
        <n v="450.9"/>
        <n v="4360.2"/>
        <n v="4005.6"/>
        <n v="2252.9"/>
        <n v="124.1"/>
        <n v="76.45"/>
        <n v="3843.2"/>
        <n v="574.5"/>
        <n v="1200.6500000000001"/>
        <n v="658.35"/>
        <n v="1388.75"/>
        <n v="2130.1"/>
        <n v="1021"/>
        <n v="482.4"/>
        <n v="5170"/>
        <n v="1422.3999999999901"/>
        <n v="1975"/>
        <n v="223.79999999999899"/>
        <n v="5886.5"/>
        <n v="989.4"/>
        <n v="5506.05"/>
        <n v="1956.05"/>
        <n v="667.8"/>
        <n v="833"/>
        <n v="605.5"/>
        <n v="1524.6"/>
        <n v="2199.15"/>
        <n v="6645.5999999999904"/>
        <n v="69.150000000000006"/>
        <n v="3862.7999999999902"/>
        <n v="1863.55"/>
        <n v="54.65"/>
        <n v="3772.7999999999902"/>
        <n v="1259.9000000000001"/>
        <n v="2263.9499999999998"/>
        <n v="3938.7"/>
        <n v="5902.95"/>
        <n v="549.45000000000005"/>
        <n v="87.9"/>
        <n v="164.5"/>
        <n v="2545.1999999999998"/>
        <n v="3866.2999999999902"/>
        <n v="378.95"/>
        <n v="396.15"/>
        <n v="2262"/>
        <n v="4584"/>
        <n v="273.14999999999998"/>
        <n v="6379.05"/>
        <n v="1898.45"/>
        <n v="396.54999999999899"/>
        <n v="2261.25"/>
        <n v="7527.45"/>
        <n v="3489.1"/>
        <n v="1604.85"/>
        <n v="3060.65"/>
        <n v="1206.25"/>
        <n v="609.20000000000005"/>
        <n v="5048.0999999999904"/>
        <n v="482.75"/>
        <n v="2379"/>
        <n v="3584"/>
        <n v="7653.5999999999904"/>
        <n v="2809.7999999999902"/>
        <n v="1540.8"/>
        <n v="6262.85"/>
        <n v="1124.2"/>
        <n v="1850.3999999999901"/>
        <n v="1040.2"/>
        <n v="4970"/>
        <n v="3345.6"/>
        <n v="4819.1499999999996"/>
        <n v="2392.6"/>
        <n v="6521.2"/>
        <n v="1309.75"/>
        <n v="981.2"/>
        <n v="222.29999999999899"/>
        <n v="225"/>
        <n v="1854"/>
        <n v="5887"/>
        <n v="3885.7"/>
        <n v="7172.3499999999904"/>
        <n v="4492.8"/>
        <n v="4960.6000000000004"/>
        <n v="1359.45"/>
        <n v="6194.75"/>
        <n v="1393.6"/>
        <n v="6882.75"/>
        <n v="223.6"/>
        <n v="3168"/>
        <n v="4118.3999999999996"/>
        <n v="6891.7999999999902"/>
        <n v="5405.4"/>
        <n v="226"/>
        <n v="1843.4"/>
        <n v="5558"/>
        <n v="1513.6"/>
        <n v="3355.8"/>
        <n v="1974.5"/>
        <n v="3024.2999999999902"/>
        <n v="4776.1499999999996"/>
        <n v="197.6"/>
        <n v="1925"/>
        <n v="5175.8999999999996"/>
        <n v="1766.4"/>
        <n v="276.5"/>
        <n v="3174.9"/>
        <n v="8460"/>
        <n v="952.8"/>
        <n v="315.60000000000002"/>
        <n v="640.15"/>
        <n v="2367.4"/>
        <n v="3422.5"/>
        <n v="4545.75"/>
        <n v="4956.8999999999996"/>
        <n v="89.699999999999903"/>
        <n v="1422"/>
        <n v="582.4"/>
        <n v="208.95"/>
        <n v="1116.1499999999901"/>
        <n v="469.3"/>
        <n v="6807.5999999999904"/>
        <n v="534.04999999999995"/>
        <n v="3848.25"/>
        <n v="520"/>
        <n v="753.35"/>
        <n v="1394.3999999999901"/>
        <n v="840.65"/>
        <n v="113.4"/>
        <n v="1864.35"/>
        <n v="7780.5"/>
        <n v="1483.3"/>
        <n v="1697.6499999999901"/>
        <n v="3923.75"/>
        <n v="451.75"/>
        <n v="7388.5"/>
        <n v="764"/>
        <n v="122.399999999999"/>
        <n v="3917.55"/>
        <n v="299.8"/>
        <n v="50.35"/>
        <n v="3856.5"/>
        <n v="3062.4"/>
        <n v="5358"/>
        <n v="5029.2"/>
        <n v="1861.2"/>
        <n v="213.29999999999899"/>
        <n v="5434"/>
        <n v="5507.65"/>
        <n v="1797.3"/>
        <n v="2569.6"/>
        <n v="202.2"/>
        <n v="5309.7"/>
        <n v="2195.1"/>
        <n v="4743"/>
        <n v="152.4"/>
        <n v="156.80000000000001"/>
        <n v="707"/>
        <n v="607.6"/>
        <n v="1107.69999999999"/>
        <n v="1864.8"/>
        <n v="5922.8"/>
        <n v="478.2"/>
        <n v="1108.25"/>
        <n v="278.75"/>
        <n v="825.75"/>
        <n v="2599.85"/>
        <n v="1007.1"/>
        <n v="138"/>
        <n v="2506.5"/>
        <n v="4336.2"/>
        <n v="3606.2"/>
        <n v="2723.6"/>
        <n v="5999.4"/>
        <n v="2843.4"/>
        <n v="1458.69999999999"/>
        <n v="5385.2999999999902"/>
        <n v="2227.5"/>
        <n v="7902.3"/>
        <n v="3770.3"/>
        <n v="1283.0999999999999"/>
        <n v="355.4"/>
        <n v="2908.8"/>
        <n v="95.45"/>
        <n v="1336.6499999999901"/>
        <n v="1184.3"/>
        <n v="2436.75"/>
        <n v="3655.3999999999901"/>
        <n v="4919.2"/>
        <n v="5112.45"/>
        <n v="6055.4"/>
        <n v="1525.2"/>
        <n v="6466.5999999999904"/>
        <n v="69.7"/>
        <n v="1807.05"/>
        <n v="1124.8"/>
        <n v="105.44999999999899"/>
        <n v="885"/>
        <n v="810.8"/>
        <n v="242.1"/>
        <n v="3238.3"/>
        <n v="116.2"/>
        <n v="4785.6000000000004"/>
        <n v="335.4"/>
        <n v="317.7"/>
        <n v="2484"/>
        <n v="4984.8"/>
        <n v="2201.1"/>
        <n v="4794"/>
        <n v="2068.5"/>
        <n v="3833.2"/>
        <n v="2415"/>
        <n v="2806.4"/>
        <n v="467.5"/>
        <n v="2880.25"/>
        <n v="498.15"/>
        <n v="8022"/>
        <n v="1145.7"/>
        <n v="7503.75"/>
        <n v="4429"/>
        <n v="7045.2"/>
        <n v="860.2"/>
        <n v="6051.5999999999904"/>
        <n v="3423.75"/>
        <n v="4827.6000000000004"/>
        <n v="531.9"/>
        <n v="4311.8999999999996"/>
        <n v="223.35"/>
        <n v="3927.2999999999902"/>
        <n v="4135.5999999999904"/>
        <n v="322"/>
        <n v="2678.3999999999901"/>
        <n v="225.45"/>
        <n v="5750.7"/>
        <n v="567.5"/>
        <n v="7394.65"/>
        <n v="7202"/>
        <n v="400.75"/>
        <n v="1001"/>
        <n v="4683.3"/>
        <n v="4006.7999999999902"/>
        <n v="3092.7"/>
        <n v="1360"/>
        <n v="30.5"/>
        <n v="6881"/>
        <n v="2186.3999999999901"/>
        <n v="6871.4"/>
        <n v="4873.8999999999996"/>
        <n v="1160"/>
        <n v="247"/>
        <n v="975.099999999999"/>
        <n v="5155.2"/>
        <n v="1066"/>
        <n v="4324.8499999999904"/>
        <n v="776.25"/>
        <n v="3385.7999999999902"/>
        <n v="4013.1"/>
        <n v="1809.6"/>
        <n v="2733.75"/>
        <n v="923.4"/>
        <n v="2758.7"/>
        <n v="5746.2"/>
        <n v="2152.5"/>
        <n v="2237.5"/>
        <n v="1636.8"/>
        <n v="297.39999999999998"/>
        <n v="1795.5"/>
        <n v="6269.2"/>
        <n v="4982"/>
        <n v="5041.3499999999904"/>
        <n v="1544.3999999999901"/>
        <n v="4464"/>
        <n v="24.2"/>
        <n v="624"/>
        <n v="523.6"/>
        <n v="5353.2"/>
        <n v="1913.6"/>
        <n v="775"/>
        <n v="2823"/>
        <n v="3792.25"/>
        <n v="1598.5"/>
        <n v="1520"/>
        <n v="3369.6"/>
        <n v="765.2"/>
        <n v="7139.05"/>
        <n v="4402.5"/>
        <n v="1051.3499999999999"/>
        <n v="5104.3499999999904"/>
        <n v="2726.5"/>
        <n v="2054.6999999999998"/>
        <n v="1046.5"/>
        <n v="106.35"/>
        <n v="1376.85"/>
        <n v="6745.6"/>
        <n v="929.5"/>
        <n v="3613.7999999999902"/>
        <n v="443.9"/>
        <n v="4180"/>
        <n v="4543.2"/>
        <n v="1863"/>
        <n v="241.6"/>
        <n v="5266.9"/>
        <n v="3736"/>
        <n v="3657.2"/>
        <n v="1053.1499999999901"/>
        <n v="70.650000000000006"/>
        <n v="785.849999999999"/>
        <n v="230.39999999999901"/>
        <n v="717.599999999999"/>
        <n v="7556.4"/>
        <n v="6520.5"/>
        <n v="1710.8999999999901"/>
        <n v="397.8"/>
        <n v="953.55"/>
        <n v="4358.7999999999902"/>
        <n v="266.39999999999998"/>
        <n v="2641"/>
        <n v="6897.65"/>
        <n v="1495.3"/>
        <n v="727.8"/>
        <n v="1522.8"/>
        <n v="2035.19999999999"/>
        <n v="7430.4"/>
        <n v="325.60000000000002"/>
        <n v="6972.9"/>
      </sharedItems>
    </cacheField>
    <cacheField name="Churn" numFmtId="0">
      <sharedItems count="2">
        <s v="No"/>
        <s v="Yes"/>
      </sharedItems>
    </cacheField>
    <cacheField name="customerSegment" numFmtId="0">
      <sharedItems count="3">
        <s v="Low Value"/>
        <s v="Medium Value"/>
        <s v="High Value"/>
      </sharedItems>
    </cacheField>
    <cacheField name="ChurnRisk" numFmtId="0">
      <sharedItems count="3">
        <s v="High Risk"/>
        <s v="Low Risk"/>
        <s v="Medium Risk"/>
      </sharedItems>
    </cacheField>
    <cacheField name="TenureGroup" numFmtId="0">
      <sharedItems count="4">
        <s v="0-1 Year"/>
        <s v="2-4 Years"/>
        <s v="1-2 Years"/>
        <s v="4+ Year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32">
  <r>
    <x v="0"/>
    <x v="0"/>
    <x v="0"/>
    <x v="0"/>
    <n v="29.85"/>
    <x v="0"/>
    <x v="0"/>
    <x v="0"/>
    <x v="0"/>
    <x v="0"/>
    <x v="0"/>
  </r>
  <r>
    <x v="1"/>
    <x v="1"/>
    <x v="1"/>
    <x v="1"/>
    <n v="56.95"/>
    <x v="1"/>
    <x v="1"/>
    <x v="0"/>
    <x v="0"/>
    <x v="1"/>
    <x v="1"/>
  </r>
  <r>
    <x v="2"/>
    <x v="1"/>
    <x v="0"/>
    <x v="1"/>
    <n v="53.85"/>
    <x v="2"/>
    <x v="2"/>
    <x v="1"/>
    <x v="0"/>
    <x v="0"/>
    <x v="0"/>
  </r>
  <r>
    <x v="3"/>
    <x v="1"/>
    <x v="1"/>
    <x v="2"/>
    <n v="42.3"/>
    <x v="3"/>
    <x v="3"/>
    <x v="0"/>
    <x v="0"/>
    <x v="1"/>
    <x v="1"/>
  </r>
  <r>
    <x v="4"/>
    <x v="0"/>
    <x v="0"/>
    <x v="0"/>
    <n v="70.7"/>
    <x v="2"/>
    <x v="4"/>
    <x v="1"/>
    <x v="0"/>
    <x v="0"/>
    <x v="0"/>
  </r>
  <r>
    <x v="5"/>
    <x v="0"/>
    <x v="0"/>
    <x v="0"/>
    <n v="99.65"/>
    <x v="4"/>
    <x v="5"/>
    <x v="1"/>
    <x v="0"/>
    <x v="0"/>
    <x v="0"/>
  </r>
  <r>
    <x v="6"/>
    <x v="1"/>
    <x v="0"/>
    <x v="3"/>
    <n v="89.1"/>
    <x v="5"/>
    <x v="6"/>
    <x v="0"/>
    <x v="0"/>
    <x v="2"/>
    <x v="2"/>
  </r>
  <r>
    <x v="7"/>
    <x v="0"/>
    <x v="0"/>
    <x v="1"/>
    <n v="29.75"/>
    <x v="6"/>
    <x v="7"/>
    <x v="0"/>
    <x v="0"/>
    <x v="0"/>
    <x v="0"/>
  </r>
  <r>
    <x v="8"/>
    <x v="0"/>
    <x v="0"/>
    <x v="0"/>
    <n v="104.8"/>
    <x v="7"/>
    <x v="8"/>
    <x v="1"/>
    <x v="1"/>
    <x v="1"/>
    <x v="1"/>
  </r>
  <r>
    <x v="9"/>
    <x v="1"/>
    <x v="1"/>
    <x v="2"/>
    <n v="56.15"/>
    <x v="8"/>
    <x v="9"/>
    <x v="0"/>
    <x v="1"/>
    <x v="1"/>
    <x v="3"/>
  </r>
  <r>
    <x v="10"/>
    <x v="1"/>
    <x v="0"/>
    <x v="1"/>
    <n v="49.95"/>
    <x v="9"/>
    <x v="10"/>
    <x v="0"/>
    <x v="0"/>
    <x v="2"/>
    <x v="2"/>
  </r>
  <r>
    <x v="11"/>
    <x v="1"/>
    <x v="2"/>
    <x v="3"/>
    <n v="18.95"/>
    <x v="10"/>
    <x v="11"/>
    <x v="0"/>
    <x v="0"/>
    <x v="2"/>
    <x v="2"/>
  </r>
  <r>
    <x v="12"/>
    <x v="1"/>
    <x v="1"/>
    <x v="3"/>
    <n v="100.35"/>
    <x v="11"/>
    <x v="12"/>
    <x v="0"/>
    <x v="2"/>
    <x v="1"/>
    <x v="3"/>
  </r>
  <r>
    <x v="13"/>
    <x v="1"/>
    <x v="0"/>
    <x v="2"/>
    <n v="103.7"/>
    <x v="12"/>
    <x v="13"/>
    <x v="1"/>
    <x v="2"/>
    <x v="1"/>
    <x v="3"/>
  </r>
  <r>
    <x v="14"/>
    <x v="1"/>
    <x v="0"/>
    <x v="0"/>
    <n v="105.5"/>
    <x v="13"/>
    <x v="14"/>
    <x v="0"/>
    <x v="1"/>
    <x v="1"/>
    <x v="1"/>
  </r>
  <r>
    <x v="15"/>
    <x v="0"/>
    <x v="2"/>
    <x v="3"/>
    <n v="113.25"/>
    <x v="14"/>
    <x v="15"/>
    <x v="0"/>
    <x v="2"/>
    <x v="1"/>
    <x v="3"/>
  </r>
  <r>
    <x v="16"/>
    <x v="0"/>
    <x v="1"/>
    <x v="1"/>
    <n v="20.65"/>
    <x v="15"/>
    <x v="16"/>
    <x v="0"/>
    <x v="0"/>
    <x v="1"/>
    <x v="3"/>
  </r>
  <r>
    <x v="17"/>
    <x v="1"/>
    <x v="2"/>
    <x v="2"/>
    <n v="106.7"/>
    <x v="16"/>
    <x v="17"/>
    <x v="0"/>
    <x v="2"/>
    <x v="1"/>
    <x v="3"/>
  </r>
  <r>
    <x v="18"/>
    <x v="0"/>
    <x v="0"/>
    <x v="3"/>
    <n v="55.2"/>
    <x v="6"/>
    <x v="18"/>
    <x v="1"/>
    <x v="0"/>
    <x v="0"/>
    <x v="0"/>
  </r>
  <r>
    <x v="19"/>
    <x v="0"/>
    <x v="0"/>
    <x v="0"/>
    <n v="90.05"/>
    <x v="17"/>
    <x v="19"/>
    <x v="0"/>
    <x v="0"/>
    <x v="2"/>
    <x v="2"/>
  </r>
  <r>
    <x v="20"/>
    <x v="1"/>
    <x v="0"/>
    <x v="0"/>
    <n v="39.65"/>
    <x v="0"/>
    <x v="20"/>
    <x v="1"/>
    <x v="0"/>
    <x v="0"/>
    <x v="0"/>
  </r>
  <r>
    <x v="21"/>
    <x v="1"/>
    <x v="1"/>
    <x v="2"/>
    <n v="19.8"/>
    <x v="18"/>
    <x v="21"/>
    <x v="0"/>
    <x v="0"/>
    <x v="2"/>
    <x v="0"/>
  </r>
  <r>
    <x v="22"/>
    <x v="1"/>
    <x v="0"/>
    <x v="1"/>
    <n v="20.149999999999999"/>
    <x v="0"/>
    <x v="22"/>
    <x v="1"/>
    <x v="0"/>
    <x v="0"/>
    <x v="0"/>
  </r>
  <r>
    <x v="23"/>
    <x v="0"/>
    <x v="2"/>
    <x v="3"/>
    <n v="59.9"/>
    <x v="11"/>
    <x v="23"/>
    <x v="0"/>
    <x v="1"/>
    <x v="1"/>
    <x v="3"/>
  </r>
  <r>
    <x v="24"/>
    <x v="1"/>
    <x v="0"/>
    <x v="3"/>
    <n v="59.6"/>
    <x v="12"/>
    <x v="24"/>
    <x v="0"/>
    <x v="1"/>
    <x v="1"/>
    <x v="3"/>
  </r>
  <r>
    <x v="25"/>
    <x v="0"/>
    <x v="0"/>
    <x v="2"/>
    <n v="55.3"/>
    <x v="19"/>
    <x v="25"/>
    <x v="0"/>
    <x v="0"/>
    <x v="1"/>
    <x v="1"/>
  </r>
  <r>
    <x v="26"/>
    <x v="1"/>
    <x v="0"/>
    <x v="0"/>
    <n v="99.35"/>
    <x v="20"/>
    <x v="26"/>
    <x v="1"/>
    <x v="1"/>
    <x v="1"/>
    <x v="1"/>
  </r>
  <r>
    <x v="27"/>
    <x v="1"/>
    <x v="0"/>
    <x v="0"/>
    <n v="30.2"/>
    <x v="0"/>
    <x v="27"/>
    <x v="1"/>
    <x v="0"/>
    <x v="0"/>
    <x v="0"/>
  </r>
  <r>
    <x v="28"/>
    <x v="1"/>
    <x v="2"/>
    <x v="3"/>
    <n v="90.25"/>
    <x v="21"/>
    <x v="28"/>
    <x v="0"/>
    <x v="2"/>
    <x v="1"/>
    <x v="3"/>
  </r>
  <r>
    <x v="29"/>
    <x v="0"/>
    <x v="0"/>
    <x v="1"/>
    <n v="64.7"/>
    <x v="22"/>
    <x v="29"/>
    <x v="1"/>
    <x v="0"/>
    <x v="2"/>
    <x v="2"/>
  </r>
  <r>
    <x v="30"/>
    <x v="0"/>
    <x v="2"/>
    <x v="3"/>
    <n v="96.35"/>
    <x v="16"/>
    <x v="30"/>
    <x v="0"/>
    <x v="2"/>
    <x v="1"/>
    <x v="3"/>
  </r>
  <r>
    <x v="31"/>
    <x v="1"/>
    <x v="0"/>
    <x v="3"/>
    <n v="95.5"/>
    <x v="2"/>
    <x v="31"/>
    <x v="0"/>
    <x v="0"/>
    <x v="0"/>
    <x v="0"/>
  </r>
  <r>
    <x v="32"/>
    <x v="0"/>
    <x v="1"/>
    <x v="1"/>
    <n v="66.150000000000006"/>
    <x v="23"/>
    <x v="32"/>
    <x v="0"/>
    <x v="0"/>
    <x v="1"/>
    <x v="1"/>
  </r>
  <r>
    <x v="33"/>
    <x v="1"/>
    <x v="0"/>
    <x v="2"/>
    <n v="20.2"/>
    <x v="0"/>
    <x v="33"/>
    <x v="0"/>
    <x v="0"/>
    <x v="0"/>
    <x v="0"/>
  </r>
  <r>
    <x v="34"/>
    <x v="1"/>
    <x v="0"/>
    <x v="2"/>
    <n v="45.25"/>
    <x v="0"/>
    <x v="34"/>
    <x v="0"/>
    <x v="0"/>
    <x v="0"/>
    <x v="0"/>
  </r>
  <r>
    <x v="35"/>
    <x v="0"/>
    <x v="2"/>
    <x v="2"/>
    <n v="99.9"/>
    <x v="21"/>
    <x v="35"/>
    <x v="0"/>
    <x v="2"/>
    <x v="1"/>
    <x v="3"/>
  </r>
  <r>
    <x v="36"/>
    <x v="1"/>
    <x v="0"/>
    <x v="0"/>
    <n v="69.7"/>
    <x v="24"/>
    <x v="36"/>
    <x v="1"/>
    <x v="0"/>
    <x v="0"/>
    <x v="0"/>
  </r>
  <r>
    <x v="37"/>
    <x v="0"/>
    <x v="0"/>
    <x v="3"/>
    <n v="74.8"/>
    <x v="25"/>
    <x v="37"/>
    <x v="0"/>
    <x v="1"/>
    <x v="1"/>
    <x v="1"/>
  </r>
  <r>
    <x v="38"/>
    <x v="1"/>
    <x v="0"/>
    <x v="0"/>
    <n v="106.35"/>
    <x v="1"/>
    <x v="38"/>
    <x v="1"/>
    <x v="1"/>
    <x v="1"/>
    <x v="1"/>
  </r>
  <r>
    <x v="39"/>
    <x v="0"/>
    <x v="0"/>
    <x v="2"/>
    <n v="97.85"/>
    <x v="26"/>
    <x v="39"/>
    <x v="1"/>
    <x v="0"/>
    <x v="0"/>
    <x v="0"/>
  </r>
  <r>
    <x v="40"/>
    <x v="1"/>
    <x v="1"/>
    <x v="1"/>
    <n v="49.55"/>
    <x v="6"/>
    <x v="40"/>
    <x v="0"/>
    <x v="0"/>
    <x v="0"/>
    <x v="0"/>
  </r>
  <r>
    <x v="41"/>
    <x v="0"/>
    <x v="2"/>
    <x v="3"/>
    <n v="69.2"/>
    <x v="27"/>
    <x v="41"/>
    <x v="0"/>
    <x v="1"/>
    <x v="1"/>
    <x v="3"/>
  </r>
  <r>
    <x v="42"/>
    <x v="0"/>
    <x v="1"/>
    <x v="1"/>
    <n v="20.75"/>
    <x v="22"/>
    <x v="42"/>
    <x v="0"/>
    <x v="0"/>
    <x v="2"/>
    <x v="2"/>
  </r>
  <r>
    <x v="43"/>
    <x v="0"/>
    <x v="2"/>
    <x v="3"/>
    <n v="79.849999999999994"/>
    <x v="28"/>
    <x v="43"/>
    <x v="0"/>
    <x v="2"/>
    <x v="1"/>
    <x v="3"/>
  </r>
  <r>
    <x v="44"/>
    <x v="0"/>
    <x v="0"/>
    <x v="0"/>
    <n v="76.2"/>
    <x v="9"/>
    <x v="44"/>
    <x v="0"/>
    <x v="0"/>
    <x v="2"/>
    <x v="2"/>
  </r>
  <r>
    <x v="45"/>
    <x v="0"/>
    <x v="0"/>
    <x v="0"/>
    <n v="84.5"/>
    <x v="12"/>
    <x v="45"/>
    <x v="0"/>
    <x v="1"/>
    <x v="1"/>
    <x v="3"/>
  </r>
  <r>
    <x v="46"/>
    <x v="1"/>
    <x v="0"/>
    <x v="1"/>
    <n v="49.25"/>
    <x v="2"/>
    <x v="46"/>
    <x v="0"/>
    <x v="0"/>
    <x v="0"/>
    <x v="0"/>
  </r>
  <r>
    <x v="47"/>
    <x v="0"/>
    <x v="0"/>
    <x v="0"/>
    <n v="80.650000000000006"/>
    <x v="2"/>
    <x v="47"/>
    <x v="1"/>
    <x v="0"/>
    <x v="0"/>
    <x v="0"/>
  </r>
  <r>
    <x v="48"/>
    <x v="1"/>
    <x v="2"/>
    <x v="3"/>
    <n v="79.75"/>
    <x v="15"/>
    <x v="48"/>
    <x v="0"/>
    <x v="1"/>
    <x v="1"/>
    <x v="3"/>
  </r>
  <r>
    <x v="49"/>
    <x v="0"/>
    <x v="2"/>
    <x v="3"/>
    <n v="64.150000000000006"/>
    <x v="14"/>
    <x v="49"/>
    <x v="0"/>
    <x v="1"/>
    <x v="1"/>
    <x v="3"/>
  </r>
  <r>
    <x v="50"/>
    <x v="0"/>
    <x v="0"/>
    <x v="0"/>
    <n v="90.25"/>
    <x v="29"/>
    <x v="50"/>
    <x v="0"/>
    <x v="1"/>
    <x v="1"/>
    <x v="1"/>
  </r>
  <r>
    <x v="51"/>
    <x v="0"/>
    <x v="0"/>
    <x v="3"/>
    <n v="99.1"/>
    <x v="30"/>
    <x v="51"/>
    <x v="1"/>
    <x v="0"/>
    <x v="2"/>
    <x v="2"/>
  </r>
  <r>
    <x v="52"/>
    <x v="0"/>
    <x v="0"/>
    <x v="3"/>
    <n v="69.5"/>
    <x v="13"/>
    <x v="52"/>
    <x v="0"/>
    <x v="0"/>
    <x v="1"/>
    <x v="1"/>
  </r>
  <r>
    <x v="53"/>
    <x v="0"/>
    <x v="0"/>
    <x v="3"/>
    <n v="80.650000000000006"/>
    <x v="4"/>
    <x v="53"/>
    <x v="1"/>
    <x v="0"/>
    <x v="0"/>
    <x v="0"/>
  </r>
  <r>
    <x v="54"/>
    <x v="0"/>
    <x v="1"/>
    <x v="3"/>
    <n v="74.849999999999994"/>
    <x v="31"/>
    <x v="54"/>
    <x v="0"/>
    <x v="1"/>
    <x v="1"/>
    <x v="3"/>
  </r>
  <r>
    <x v="55"/>
    <x v="1"/>
    <x v="0"/>
    <x v="0"/>
    <n v="95.45"/>
    <x v="32"/>
    <x v="55"/>
    <x v="1"/>
    <x v="0"/>
    <x v="2"/>
    <x v="2"/>
  </r>
  <r>
    <x v="56"/>
    <x v="0"/>
    <x v="1"/>
    <x v="3"/>
    <n v="99.65"/>
    <x v="28"/>
    <x v="56"/>
    <x v="0"/>
    <x v="2"/>
    <x v="1"/>
    <x v="3"/>
  </r>
  <r>
    <x v="57"/>
    <x v="1"/>
    <x v="1"/>
    <x v="0"/>
    <n v="108.45"/>
    <x v="33"/>
    <x v="57"/>
    <x v="0"/>
    <x v="2"/>
    <x v="1"/>
    <x v="3"/>
  </r>
  <r>
    <x v="58"/>
    <x v="0"/>
    <x v="2"/>
    <x v="3"/>
    <n v="24.95"/>
    <x v="1"/>
    <x v="58"/>
    <x v="0"/>
    <x v="0"/>
    <x v="1"/>
    <x v="1"/>
  </r>
  <r>
    <x v="59"/>
    <x v="0"/>
    <x v="2"/>
    <x v="3"/>
    <n v="107.5"/>
    <x v="21"/>
    <x v="59"/>
    <x v="0"/>
    <x v="2"/>
    <x v="1"/>
    <x v="3"/>
  </r>
  <r>
    <x v="60"/>
    <x v="0"/>
    <x v="0"/>
    <x v="0"/>
    <n v="100.5"/>
    <x v="20"/>
    <x v="60"/>
    <x v="0"/>
    <x v="1"/>
    <x v="1"/>
    <x v="1"/>
  </r>
  <r>
    <x v="61"/>
    <x v="1"/>
    <x v="0"/>
    <x v="2"/>
    <n v="89.9"/>
    <x v="31"/>
    <x v="61"/>
    <x v="0"/>
    <x v="2"/>
    <x v="1"/>
    <x v="3"/>
  </r>
  <r>
    <x v="62"/>
    <x v="1"/>
    <x v="2"/>
    <x v="2"/>
    <n v="42.1"/>
    <x v="21"/>
    <x v="62"/>
    <x v="0"/>
    <x v="1"/>
    <x v="1"/>
    <x v="3"/>
  </r>
  <r>
    <x v="63"/>
    <x v="0"/>
    <x v="1"/>
    <x v="3"/>
    <n v="54.4"/>
    <x v="32"/>
    <x v="63"/>
    <x v="0"/>
    <x v="0"/>
    <x v="2"/>
    <x v="2"/>
  </r>
  <r>
    <x v="64"/>
    <x v="0"/>
    <x v="0"/>
    <x v="0"/>
    <n v="94.4"/>
    <x v="34"/>
    <x v="64"/>
    <x v="1"/>
    <x v="0"/>
    <x v="0"/>
    <x v="0"/>
  </r>
  <r>
    <x v="65"/>
    <x v="0"/>
    <x v="0"/>
    <x v="0"/>
    <n v="75.3"/>
    <x v="35"/>
    <x v="65"/>
    <x v="0"/>
    <x v="0"/>
    <x v="0"/>
    <x v="0"/>
  </r>
  <r>
    <x v="66"/>
    <x v="1"/>
    <x v="1"/>
    <x v="0"/>
    <n v="78.900000000000006"/>
    <x v="20"/>
    <x v="66"/>
    <x v="0"/>
    <x v="1"/>
    <x v="1"/>
    <x v="1"/>
  </r>
  <r>
    <x v="67"/>
    <x v="0"/>
    <x v="2"/>
    <x v="1"/>
    <n v="79.2"/>
    <x v="36"/>
    <x v="67"/>
    <x v="0"/>
    <x v="1"/>
    <x v="1"/>
    <x v="1"/>
  </r>
  <r>
    <x v="68"/>
    <x v="0"/>
    <x v="2"/>
    <x v="2"/>
    <n v="20.149999999999999"/>
    <x v="37"/>
    <x v="68"/>
    <x v="0"/>
    <x v="0"/>
    <x v="1"/>
    <x v="3"/>
  </r>
  <r>
    <x v="69"/>
    <x v="1"/>
    <x v="0"/>
    <x v="1"/>
    <n v="79.849999999999994"/>
    <x v="6"/>
    <x v="69"/>
    <x v="0"/>
    <x v="0"/>
    <x v="0"/>
    <x v="0"/>
  </r>
  <r>
    <x v="70"/>
    <x v="1"/>
    <x v="0"/>
    <x v="1"/>
    <n v="49.05"/>
    <x v="0"/>
    <x v="70"/>
    <x v="0"/>
    <x v="0"/>
    <x v="0"/>
    <x v="0"/>
  </r>
  <r>
    <x v="71"/>
    <x v="0"/>
    <x v="1"/>
    <x v="0"/>
    <n v="20.399999999999999"/>
    <x v="15"/>
    <x v="71"/>
    <x v="0"/>
    <x v="0"/>
    <x v="1"/>
    <x v="3"/>
  </r>
  <r>
    <x v="72"/>
    <x v="1"/>
    <x v="2"/>
    <x v="2"/>
    <n v="111.6"/>
    <x v="38"/>
    <x v="72"/>
    <x v="0"/>
    <x v="2"/>
    <x v="1"/>
    <x v="3"/>
  </r>
  <r>
    <x v="73"/>
    <x v="1"/>
    <x v="2"/>
    <x v="2"/>
    <n v="24.25"/>
    <x v="8"/>
    <x v="73"/>
    <x v="0"/>
    <x v="0"/>
    <x v="1"/>
    <x v="3"/>
  </r>
  <r>
    <x v="74"/>
    <x v="0"/>
    <x v="0"/>
    <x v="2"/>
    <n v="64.5"/>
    <x v="35"/>
    <x v="74"/>
    <x v="0"/>
    <x v="0"/>
    <x v="0"/>
    <x v="0"/>
  </r>
  <r>
    <x v="75"/>
    <x v="0"/>
    <x v="1"/>
    <x v="0"/>
    <n v="110.5"/>
    <x v="39"/>
    <x v="75"/>
    <x v="0"/>
    <x v="2"/>
    <x v="1"/>
    <x v="3"/>
  </r>
  <r>
    <x v="76"/>
    <x v="0"/>
    <x v="1"/>
    <x v="3"/>
    <n v="55.65"/>
    <x v="25"/>
    <x v="76"/>
    <x v="0"/>
    <x v="1"/>
    <x v="1"/>
    <x v="1"/>
  </r>
  <r>
    <x v="77"/>
    <x v="0"/>
    <x v="0"/>
    <x v="1"/>
    <n v="54.65"/>
    <x v="4"/>
    <x v="77"/>
    <x v="0"/>
    <x v="0"/>
    <x v="0"/>
    <x v="0"/>
  </r>
  <r>
    <x v="78"/>
    <x v="1"/>
    <x v="0"/>
    <x v="0"/>
    <n v="74.75"/>
    <x v="19"/>
    <x v="78"/>
    <x v="0"/>
    <x v="1"/>
    <x v="1"/>
    <x v="1"/>
  </r>
  <r>
    <x v="79"/>
    <x v="0"/>
    <x v="1"/>
    <x v="3"/>
    <n v="25.9"/>
    <x v="3"/>
    <x v="79"/>
    <x v="0"/>
    <x v="0"/>
    <x v="1"/>
    <x v="1"/>
  </r>
  <r>
    <x v="80"/>
    <x v="0"/>
    <x v="0"/>
    <x v="0"/>
    <n v="79.349999999999994"/>
    <x v="0"/>
    <x v="80"/>
    <x v="1"/>
    <x v="0"/>
    <x v="0"/>
    <x v="0"/>
  </r>
  <r>
    <x v="81"/>
    <x v="0"/>
    <x v="0"/>
    <x v="0"/>
    <n v="50.55"/>
    <x v="26"/>
    <x v="81"/>
    <x v="0"/>
    <x v="0"/>
    <x v="0"/>
    <x v="0"/>
  </r>
  <r>
    <x v="82"/>
    <x v="0"/>
    <x v="0"/>
    <x v="2"/>
    <n v="75.150000000000006"/>
    <x v="40"/>
    <x v="82"/>
    <x v="1"/>
    <x v="0"/>
    <x v="0"/>
    <x v="0"/>
  </r>
  <r>
    <x v="83"/>
    <x v="0"/>
    <x v="0"/>
    <x v="2"/>
    <n v="103.8"/>
    <x v="41"/>
    <x v="83"/>
    <x v="0"/>
    <x v="1"/>
    <x v="1"/>
    <x v="1"/>
  </r>
  <r>
    <x v="84"/>
    <x v="0"/>
    <x v="2"/>
    <x v="2"/>
    <n v="20.149999999999999"/>
    <x v="12"/>
    <x v="84"/>
    <x v="0"/>
    <x v="0"/>
    <x v="1"/>
    <x v="3"/>
  </r>
  <r>
    <x v="85"/>
    <x v="1"/>
    <x v="0"/>
    <x v="3"/>
    <n v="99.3"/>
    <x v="34"/>
    <x v="85"/>
    <x v="0"/>
    <x v="0"/>
    <x v="0"/>
    <x v="0"/>
  </r>
  <r>
    <x v="86"/>
    <x v="0"/>
    <x v="1"/>
    <x v="2"/>
    <n v="62.15"/>
    <x v="42"/>
    <x v="86"/>
    <x v="0"/>
    <x v="1"/>
    <x v="1"/>
    <x v="1"/>
  </r>
  <r>
    <x v="87"/>
    <x v="0"/>
    <x v="2"/>
    <x v="2"/>
    <n v="20.65"/>
    <x v="43"/>
    <x v="87"/>
    <x v="0"/>
    <x v="0"/>
    <x v="1"/>
    <x v="1"/>
  </r>
  <r>
    <x v="88"/>
    <x v="0"/>
    <x v="2"/>
    <x v="1"/>
    <n v="19.95"/>
    <x v="25"/>
    <x v="88"/>
    <x v="0"/>
    <x v="0"/>
    <x v="1"/>
    <x v="1"/>
  </r>
  <r>
    <x v="89"/>
    <x v="1"/>
    <x v="0"/>
    <x v="1"/>
    <n v="33.75"/>
    <x v="44"/>
    <x v="89"/>
    <x v="0"/>
    <x v="0"/>
    <x v="1"/>
    <x v="1"/>
  </r>
  <r>
    <x v="90"/>
    <x v="1"/>
    <x v="0"/>
    <x v="2"/>
    <n v="82.05"/>
    <x v="19"/>
    <x v="90"/>
    <x v="0"/>
    <x v="1"/>
    <x v="1"/>
    <x v="1"/>
  </r>
  <r>
    <x v="91"/>
    <x v="1"/>
    <x v="0"/>
    <x v="0"/>
    <n v="74.7"/>
    <x v="0"/>
    <x v="91"/>
    <x v="0"/>
    <x v="0"/>
    <x v="0"/>
    <x v="0"/>
  </r>
  <r>
    <x v="92"/>
    <x v="1"/>
    <x v="2"/>
    <x v="1"/>
    <n v="84"/>
    <x v="33"/>
    <x v="92"/>
    <x v="0"/>
    <x v="2"/>
    <x v="1"/>
    <x v="3"/>
  </r>
  <r>
    <x v="93"/>
    <x v="0"/>
    <x v="0"/>
    <x v="3"/>
    <n v="111.05"/>
    <x v="45"/>
    <x v="93"/>
    <x v="0"/>
    <x v="2"/>
    <x v="1"/>
    <x v="3"/>
  </r>
  <r>
    <x v="94"/>
    <x v="1"/>
    <x v="2"/>
    <x v="2"/>
    <n v="100.9"/>
    <x v="21"/>
    <x v="94"/>
    <x v="0"/>
    <x v="2"/>
    <x v="1"/>
    <x v="3"/>
  </r>
  <r>
    <x v="95"/>
    <x v="0"/>
    <x v="0"/>
    <x v="0"/>
    <n v="78.95"/>
    <x v="18"/>
    <x v="95"/>
    <x v="1"/>
    <x v="0"/>
    <x v="2"/>
    <x v="0"/>
  </r>
  <r>
    <x v="96"/>
    <x v="1"/>
    <x v="1"/>
    <x v="3"/>
    <n v="66.849999999999994"/>
    <x v="16"/>
    <x v="96"/>
    <x v="0"/>
    <x v="1"/>
    <x v="1"/>
    <x v="3"/>
  </r>
  <r>
    <x v="97"/>
    <x v="1"/>
    <x v="0"/>
    <x v="1"/>
    <n v="21.05"/>
    <x v="24"/>
    <x v="97"/>
    <x v="1"/>
    <x v="0"/>
    <x v="0"/>
    <x v="0"/>
  </r>
  <r>
    <x v="98"/>
    <x v="1"/>
    <x v="2"/>
    <x v="2"/>
    <n v="21"/>
    <x v="15"/>
    <x v="98"/>
    <x v="0"/>
    <x v="0"/>
    <x v="1"/>
    <x v="3"/>
  </r>
  <r>
    <x v="99"/>
    <x v="0"/>
    <x v="0"/>
    <x v="0"/>
    <n v="98.5"/>
    <x v="13"/>
    <x v="99"/>
    <x v="1"/>
    <x v="1"/>
    <x v="1"/>
    <x v="1"/>
  </r>
  <r>
    <x v="100"/>
    <x v="1"/>
    <x v="0"/>
    <x v="1"/>
    <n v="20.2"/>
    <x v="0"/>
    <x v="33"/>
    <x v="0"/>
    <x v="0"/>
    <x v="0"/>
    <x v="0"/>
  </r>
  <r>
    <x v="101"/>
    <x v="0"/>
    <x v="0"/>
    <x v="0"/>
    <n v="19.45"/>
    <x v="0"/>
    <x v="100"/>
    <x v="0"/>
    <x v="0"/>
    <x v="0"/>
    <x v="0"/>
  </r>
  <r>
    <x v="102"/>
    <x v="1"/>
    <x v="1"/>
    <x v="2"/>
    <n v="95"/>
    <x v="46"/>
    <x v="101"/>
    <x v="0"/>
    <x v="1"/>
    <x v="1"/>
    <x v="1"/>
  </r>
  <r>
    <x v="103"/>
    <x v="0"/>
    <x v="1"/>
    <x v="2"/>
    <n v="45.55"/>
    <x v="33"/>
    <x v="102"/>
    <x v="0"/>
    <x v="1"/>
    <x v="1"/>
    <x v="3"/>
  </r>
  <r>
    <x v="104"/>
    <x v="1"/>
    <x v="2"/>
    <x v="2"/>
    <n v="110"/>
    <x v="47"/>
    <x v="103"/>
    <x v="1"/>
    <x v="2"/>
    <x v="1"/>
    <x v="3"/>
  </r>
  <r>
    <x v="105"/>
    <x v="1"/>
    <x v="0"/>
    <x v="1"/>
    <n v="24.3"/>
    <x v="24"/>
    <x v="104"/>
    <x v="0"/>
    <x v="0"/>
    <x v="0"/>
    <x v="0"/>
  </r>
  <r>
    <x v="106"/>
    <x v="0"/>
    <x v="1"/>
    <x v="0"/>
    <n v="104.15"/>
    <x v="21"/>
    <x v="105"/>
    <x v="0"/>
    <x v="2"/>
    <x v="1"/>
    <x v="3"/>
  </r>
  <r>
    <x v="107"/>
    <x v="0"/>
    <x v="1"/>
    <x v="1"/>
    <n v="30.15"/>
    <x v="48"/>
    <x v="106"/>
    <x v="0"/>
    <x v="0"/>
    <x v="1"/>
    <x v="1"/>
  </r>
  <r>
    <x v="108"/>
    <x v="1"/>
    <x v="1"/>
    <x v="1"/>
    <n v="94.35"/>
    <x v="29"/>
    <x v="107"/>
    <x v="0"/>
    <x v="1"/>
    <x v="1"/>
    <x v="1"/>
  </r>
  <r>
    <x v="109"/>
    <x v="1"/>
    <x v="2"/>
    <x v="3"/>
    <n v="19.399999999999999"/>
    <x v="21"/>
    <x v="108"/>
    <x v="0"/>
    <x v="0"/>
    <x v="1"/>
    <x v="3"/>
  </r>
  <r>
    <x v="110"/>
    <x v="1"/>
    <x v="0"/>
    <x v="0"/>
    <n v="96.75"/>
    <x v="49"/>
    <x v="109"/>
    <x v="1"/>
    <x v="2"/>
    <x v="1"/>
    <x v="3"/>
  </r>
  <r>
    <x v="111"/>
    <x v="0"/>
    <x v="1"/>
    <x v="3"/>
    <n v="57.95"/>
    <x v="15"/>
    <x v="110"/>
    <x v="0"/>
    <x v="1"/>
    <x v="1"/>
    <x v="3"/>
  </r>
  <r>
    <x v="112"/>
    <x v="0"/>
    <x v="0"/>
    <x v="0"/>
    <n v="91.65"/>
    <x v="29"/>
    <x v="111"/>
    <x v="0"/>
    <x v="1"/>
    <x v="1"/>
    <x v="1"/>
  </r>
  <r>
    <x v="113"/>
    <x v="0"/>
    <x v="0"/>
    <x v="0"/>
    <n v="76.5"/>
    <x v="50"/>
    <x v="112"/>
    <x v="1"/>
    <x v="1"/>
    <x v="1"/>
    <x v="1"/>
  </r>
  <r>
    <x v="114"/>
    <x v="0"/>
    <x v="2"/>
    <x v="0"/>
    <n v="54.6"/>
    <x v="38"/>
    <x v="113"/>
    <x v="0"/>
    <x v="1"/>
    <x v="1"/>
    <x v="3"/>
  </r>
  <r>
    <x v="115"/>
    <x v="1"/>
    <x v="0"/>
    <x v="0"/>
    <n v="89.85"/>
    <x v="35"/>
    <x v="114"/>
    <x v="0"/>
    <x v="0"/>
    <x v="0"/>
    <x v="0"/>
  </r>
  <r>
    <x v="116"/>
    <x v="0"/>
    <x v="2"/>
    <x v="2"/>
    <n v="31.05"/>
    <x v="51"/>
    <x v="115"/>
    <x v="0"/>
    <x v="0"/>
    <x v="1"/>
    <x v="1"/>
  </r>
  <r>
    <x v="117"/>
    <x v="0"/>
    <x v="0"/>
    <x v="0"/>
    <n v="100.25"/>
    <x v="6"/>
    <x v="116"/>
    <x v="1"/>
    <x v="0"/>
    <x v="0"/>
    <x v="0"/>
  </r>
  <r>
    <x v="118"/>
    <x v="0"/>
    <x v="2"/>
    <x v="1"/>
    <n v="20.65"/>
    <x v="52"/>
    <x v="117"/>
    <x v="0"/>
    <x v="0"/>
    <x v="1"/>
    <x v="1"/>
  </r>
  <r>
    <x v="119"/>
    <x v="1"/>
    <x v="0"/>
    <x v="3"/>
    <n v="85.2"/>
    <x v="23"/>
    <x v="118"/>
    <x v="0"/>
    <x v="1"/>
    <x v="1"/>
    <x v="1"/>
  </r>
  <r>
    <x v="120"/>
    <x v="0"/>
    <x v="1"/>
    <x v="3"/>
    <n v="99.8"/>
    <x v="39"/>
    <x v="119"/>
    <x v="0"/>
    <x v="2"/>
    <x v="1"/>
    <x v="3"/>
  </r>
  <r>
    <x v="121"/>
    <x v="0"/>
    <x v="0"/>
    <x v="1"/>
    <n v="20.7"/>
    <x v="53"/>
    <x v="120"/>
    <x v="0"/>
    <x v="0"/>
    <x v="0"/>
    <x v="0"/>
  </r>
  <r>
    <x v="122"/>
    <x v="1"/>
    <x v="0"/>
    <x v="0"/>
    <n v="74.400000000000006"/>
    <x v="35"/>
    <x v="121"/>
    <x v="1"/>
    <x v="0"/>
    <x v="0"/>
    <x v="0"/>
  </r>
  <r>
    <x v="123"/>
    <x v="0"/>
    <x v="0"/>
    <x v="1"/>
    <n v="50.7"/>
    <x v="40"/>
    <x v="122"/>
    <x v="0"/>
    <x v="0"/>
    <x v="0"/>
    <x v="0"/>
  </r>
  <r>
    <x v="124"/>
    <x v="0"/>
    <x v="0"/>
    <x v="1"/>
    <n v="20.85"/>
    <x v="54"/>
    <x v="123"/>
    <x v="0"/>
    <x v="0"/>
    <x v="0"/>
    <x v="0"/>
  </r>
  <r>
    <x v="125"/>
    <x v="1"/>
    <x v="2"/>
    <x v="0"/>
    <n v="88.95"/>
    <x v="55"/>
    <x v="124"/>
    <x v="0"/>
    <x v="1"/>
    <x v="1"/>
    <x v="1"/>
  </r>
  <r>
    <x v="126"/>
    <x v="0"/>
    <x v="0"/>
    <x v="0"/>
    <n v="78.05"/>
    <x v="23"/>
    <x v="125"/>
    <x v="1"/>
    <x v="1"/>
    <x v="1"/>
    <x v="1"/>
  </r>
  <r>
    <x v="127"/>
    <x v="1"/>
    <x v="2"/>
    <x v="2"/>
    <n v="23.55"/>
    <x v="21"/>
    <x v="126"/>
    <x v="0"/>
    <x v="0"/>
    <x v="1"/>
    <x v="3"/>
  </r>
  <r>
    <x v="128"/>
    <x v="1"/>
    <x v="0"/>
    <x v="1"/>
    <n v="19.75"/>
    <x v="0"/>
    <x v="127"/>
    <x v="0"/>
    <x v="0"/>
    <x v="0"/>
    <x v="0"/>
  </r>
  <r>
    <x v="129"/>
    <x v="1"/>
    <x v="1"/>
    <x v="0"/>
    <n v="56.45"/>
    <x v="16"/>
    <x v="128"/>
    <x v="0"/>
    <x v="1"/>
    <x v="1"/>
    <x v="3"/>
  </r>
  <r>
    <x v="130"/>
    <x v="0"/>
    <x v="0"/>
    <x v="0"/>
    <n v="85.95"/>
    <x v="9"/>
    <x v="129"/>
    <x v="0"/>
    <x v="0"/>
    <x v="2"/>
    <x v="2"/>
  </r>
  <r>
    <x v="131"/>
    <x v="0"/>
    <x v="0"/>
    <x v="3"/>
    <n v="58.6"/>
    <x v="13"/>
    <x v="130"/>
    <x v="1"/>
    <x v="0"/>
    <x v="1"/>
    <x v="1"/>
  </r>
  <r>
    <x v="132"/>
    <x v="1"/>
    <x v="2"/>
    <x v="2"/>
    <n v="50.55"/>
    <x v="56"/>
    <x v="131"/>
    <x v="0"/>
    <x v="1"/>
    <x v="1"/>
    <x v="3"/>
  </r>
  <r>
    <x v="133"/>
    <x v="1"/>
    <x v="0"/>
    <x v="0"/>
    <n v="35.450000000000003"/>
    <x v="0"/>
    <x v="132"/>
    <x v="1"/>
    <x v="0"/>
    <x v="0"/>
    <x v="0"/>
  </r>
  <r>
    <x v="134"/>
    <x v="1"/>
    <x v="0"/>
    <x v="0"/>
    <n v="44.35"/>
    <x v="2"/>
    <x v="133"/>
    <x v="1"/>
    <x v="0"/>
    <x v="0"/>
    <x v="0"/>
  </r>
  <r>
    <x v="135"/>
    <x v="0"/>
    <x v="2"/>
    <x v="3"/>
    <n v="25.7"/>
    <x v="29"/>
    <x v="134"/>
    <x v="0"/>
    <x v="0"/>
    <x v="1"/>
    <x v="1"/>
  </r>
  <r>
    <x v="136"/>
    <x v="0"/>
    <x v="0"/>
    <x v="2"/>
    <n v="75"/>
    <x v="57"/>
    <x v="135"/>
    <x v="0"/>
    <x v="0"/>
    <x v="2"/>
    <x v="2"/>
  </r>
  <r>
    <x v="137"/>
    <x v="0"/>
    <x v="2"/>
    <x v="1"/>
    <n v="20.2"/>
    <x v="38"/>
    <x v="136"/>
    <x v="0"/>
    <x v="0"/>
    <x v="1"/>
    <x v="3"/>
  </r>
  <r>
    <x v="138"/>
    <x v="1"/>
    <x v="2"/>
    <x v="1"/>
    <n v="19.600000000000001"/>
    <x v="58"/>
    <x v="137"/>
    <x v="0"/>
    <x v="0"/>
    <x v="1"/>
    <x v="3"/>
  </r>
  <r>
    <x v="139"/>
    <x v="0"/>
    <x v="0"/>
    <x v="1"/>
    <n v="70.45"/>
    <x v="0"/>
    <x v="138"/>
    <x v="1"/>
    <x v="0"/>
    <x v="0"/>
    <x v="0"/>
  </r>
  <r>
    <x v="140"/>
    <x v="0"/>
    <x v="2"/>
    <x v="3"/>
    <n v="88.05"/>
    <x v="21"/>
    <x v="139"/>
    <x v="0"/>
    <x v="2"/>
    <x v="1"/>
    <x v="3"/>
  </r>
  <r>
    <x v="141"/>
    <x v="0"/>
    <x v="0"/>
    <x v="0"/>
    <n v="71.150000000000006"/>
    <x v="4"/>
    <x v="140"/>
    <x v="1"/>
    <x v="0"/>
    <x v="0"/>
    <x v="0"/>
  </r>
  <r>
    <x v="142"/>
    <x v="0"/>
    <x v="2"/>
    <x v="2"/>
    <n v="101.05"/>
    <x v="59"/>
    <x v="141"/>
    <x v="0"/>
    <x v="2"/>
    <x v="1"/>
    <x v="3"/>
  </r>
  <r>
    <x v="143"/>
    <x v="1"/>
    <x v="1"/>
    <x v="3"/>
    <n v="84.3"/>
    <x v="38"/>
    <x v="142"/>
    <x v="0"/>
    <x v="2"/>
    <x v="1"/>
    <x v="3"/>
  </r>
  <r>
    <x v="144"/>
    <x v="1"/>
    <x v="2"/>
    <x v="2"/>
    <n v="23.95"/>
    <x v="16"/>
    <x v="143"/>
    <x v="0"/>
    <x v="0"/>
    <x v="1"/>
    <x v="3"/>
  </r>
  <r>
    <x v="145"/>
    <x v="0"/>
    <x v="2"/>
    <x v="3"/>
    <n v="99.05"/>
    <x v="45"/>
    <x v="144"/>
    <x v="0"/>
    <x v="2"/>
    <x v="1"/>
    <x v="3"/>
  </r>
  <r>
    <x v="146"/>
    <x v="1"/>
    <x v="1"/>
    <x v="1"/>
    <n v="19.600000000000001"/>
    <x v="35"/>
    <x v="145"/>
    <x v="0"/>
    <x v="0"/>
    <x v="0"/>
    <x v="0"/>
  </r>
  <r>
    <x v="147"/>
    <x v="1"/>
    <x v="0"/>
    <x v="0"/>
    <n v="45.65"/>
    <x v="0"/>
    <x v="146"/>
    <x v="1"/>
    <x v="0"/>
    <x v="0"/>
    <x v="0"/>
  </r>
  <r>
    <x v="148"/>
    <x v="1"/>
    <x v="1"/>
    <x v="3"/>
    <n v="64.5"/>
    <x v="19"/>
    <x v="147"/>
    <x v="0"/>
    <x v="0"/>
    <x v="1"/>
    <x v="1"/>
  </r>
  <r>
    <x v="149"/>
    <x v="1"/>
    <x v="0"/>
    <x v="1"/>
    <n v="69.5"/>
    <x v="30"/>
    <x v="148"/>
    <x v="0"/>
    <x v="0"/>
    <x v="2"/>
    <x v="2"/>
  </r>
  <r>
    <x v="150"/>
    <x v="0"/>
    <x v="0"/>
    <x v="0"/>
    <n v="68.55"/>
    <x v="4"/>
    <x v="149"/>
    <x v="0"/>
    <x v="0"/>
    <x v="0"/>
    <x v="0"/>
  </r>
  <r>
    <x v="151"/>
    <x v="1"/>
    <x v="0"/>
    <x v="1"/>
    <n v="95"/>
    <x v="40"/>
    <x v="150"/>
    <x v="1"/>
    <x v="0"/>
    <x v="0"/>
    <x v="0"/>
  </r>
  <r>
    <x v="152"/>
    <x v="0"/>
    <x v="1"/>
    <x v="3"/>
    <n v="108.15"/>
    <x v="27"/>
    <x v="151"/>
    <x v="0"/>
    <x v="2"/>
    <x v="1"/>
    <x v="3"/>
  </r>
  <r>
    <x v="153"/>
    <x v="1"/>
    <x v="2"/>
    <x v="0"/>
    <n v="86.1"/>
    <x v="8"/>
    <x v="152"/>
    <x v="0"/>
    <x v="2"/>
    <x v="1"/>
    <x v="3"/>
  </r>
  <r>
    <x v="154"/>
    <x v="0"/>
    <x v="0"/>
    <x v="1"/>
    <n v="19.7"/>
    <x v="53"/>
    <x v="153"/>
    <x v="0"/>
    <x v="0"/>
    <x v="0"/>
    <x v="0"/>
  </r>
  <r>
    <x v="155"/>
    <x v="0"/>
    <x v="0"/>
    <x v="2"/>
    <n v="80.900000000000006"/>
    <x v="60"/>
    <x v="154"/>
    <x v="0"/>
    <x v="0"/>
    <x v="2"/>
    <x v="2"/>
  </r>
  <r>
    <x v="156"/>
    <x v="0"/>
    <x v="0"/>
    <x v="2"/>
    <n v="84.15"/>
    <x v="5"/>
    <x v="155"/>
    <x v="0"/>
    <x v="0"/>
    <x v="2"/>
    <x v="2"/>
  </r>
  <r>
    <x v="157"/>
    <x v="1"/>
    <x v="1"/>
    <x v="1"/>
    <n v="20.149999999999999"/>
    <x v="5"/>
    <x v="156"/>
    <x v="0"/>
    <x v="0"/>
    <x v="2"/>
    <x v="2"/>
  </r>
  <r>
    <x v="158"/>
    <x v="1"/>
    <x v="2"/>
    <x v="1"/>
    <n v="64.25"/>
    <x v="10"/>
    <x v="157"/>
    <x v="0"/>
    <x v="0"/>
    <x v="2"/>
    <x v="2"/>
  </r>
  <r>
    <x v="159"/>
    <x v="1"/>
    <x v="2"/>
    <x v="2"/>
    <n v="25.7"/>
    <x v="6"/>
    <x v="158"/>
    <x v="0"/>
    <x v="0"/>
    <x v="0"/>
    <x v="0"/>
  </r>
  <r>
    <x v="160"/>
    <x v="0"/>
    <x v="0"/>
    <x v="0"/>
    <n v="56"/>
    <x v="9"/>
    <x v="159"/>
    <x v="0"/>
    <x v="0"/>
    <x v="2"/>
    <x v="2"/>
  </r>
  <r>
    <x v="161"/>
    <x v="0"/>
    <x v="0"/>
    <x v="0"/>
    <n v="82.4"/>
    <x v="61"/>
    <x v="160"/>
    <x v="1"/>
    <x v="0"/>
    <x v="2"/>
    <x v="2"/>
  </r>
  <r>
    <x v="162"/>
    <x v="0"/>
    <x v="0"/>
    <x v="0"/>
    <n v="69.7"/>
    <x v="2"/>
    <x v="161"/>
    <x v="0"/>
    <x v="0"/>
    <x v="0"/>
    <x v="0"/>
  </r>
  <r>
    <x v="163"/>
    <x v="1"/>
    <x v="2"/>
    <x v="2"/>
    <n v="73.900000000000006"/>
    <x v="62"/>
    <x v="162"/>
    <x v="0"/>
    <x v="1"/>
    <x v="1"/>
    <x v="3"/>
  </r>
  <r>
    <x v="164"/>
    <x v="0"/>
    <x v="1"/>
    <x v="1"/>
    <n v="20.6"/>
    <x v="26"/>
    <x v="163"/>
    <x v="0"/>
    <x v="0"/>
    <x v="0"/>
    <x v="0"/>
  </r>
  <r>
    <x v="165"/>
    <x v="1"/>
    <x v="2"/>
    <x v="1"/>
    <n v="19.899999999999999"/>
    <x v="14"/>
    <x v="164"/>
    <x v="0"/>
    <x v="0"/>
    <x v="1"/>
    <x v="3"/>
  </r>
  <r>
    <x v="166"/>
    <x v="0"/>
    <x v="0"/>
    <x v="2"/>
    <n v="70.900000000000006"/>
    <x v="54"/>
    <x v="165"/>
    <x v="1"/>
    <x v="0"/>
    <x v="0"/>
    <x v="0"/>
  </r>
  <r>
    <x v="167"/>
    <x v="1"/>
    <x v="2"/>
    <x v="2"/>
    <n v="89.05"/>
    <x v="21"/>
    <x v="166"/>
    <x v="0"/>
    <x v="2"/>
    <x v="1"/>
    <x v="3"/>
  </r>
  <r>
    <x v="168"/>
    <x v="1"/>
    <x v="0"/>
    <x v="0"/>
    <n v="45.3"/>
    <x v="11"/>
    <x v="167"/>
    <x v="1"/>
    <x v="1"/>
    <x v="1"/>
    <x v="3"/>
  </r>
  <r>
    <x v="169"/>
    <x v="0"/>
    <x v="0"/>
    <x v="0"/>
    <n v="20.399999999999999"/>
    <x v="10"/>
    <x v="168"/>
    <x v="0"/>
    <x v="0"/>
    <x v="2"/>
    <x v="2"/>
  </r>
  <r>
    <x v="170"/>
    <x v="1"/>
    <x v="1"/>
    <x v="2"/>
    <n v="84.25"/>
    <x v="29"/>
    <x v="169"/>
    <x v="0"/>
    <x v="1"/>
    <x v="1"/>
    <x v="1"/>
  </r>
  <r>
    <x v="171"/>
    <x v="0"/>
    <x v="0"/>
    <x v="0"/>
    <n v="104.4"/>
    <x v="2"/>
    <x v="170"/>
    <x v="1"/>
    <x v="0"/>
    <x v="0"/>
    <x v="0"/>
  </r>
  <r>
    <x v="172"/>
    <x v="1"/>
    <x v="2"/>
    <x v="1"/>
    <n v="81.95"/>
    <x v="60"/>
    <x v="171"/>
    <x v="0"/>
    <x v="0"/>
    <x v="2"/>
    <x v="2"/>
  </r>
  <r>
    <x v="173"/>
    <x v="0"/>
    <x v="1"/>
    <x v="2"/>
    <n v="94.85"/>
    <x v="62"/>
    <x v="172"/>
    <x v="1"/>
    <x v="2"/>
    <x v="1"/>
    <x v="3"/>
  </r>
  <r>
    <x v="174"/>
    <x v="0"/>
    <x v="1"/>
    <x v="2"/>
    <n v="20.55"/>
    <x v="48"/>
    <x v="173"/>
    <x v="0"/>
    <x v="0"/>
    <x v="1"/>
    <x v="1"/>
  </r>
  <r>
    <x v="175"/>
    <x v="0"/>
    <x v="0"/>
    <x v="0"/>
    <n v="24.7"/>
    <x v="1"/>
    <x v="174"/>
    <x v="0"/>
    <x v="0"/>
    <x v="1"/>
    <x v="1"/>
  </r>
  <r>
    <x v="176"/>
    <x v="0"/>
    <x v="0"/>
    <x v="1"/>
    <n v="74.45"/>
    <x v="30"/>
    <x v="175"/>
    <x v="1"/>
    <x v="0"/>
    <x v="2"/>
    <x v="2"/>
  </r>
  <r>
    <x v="177"/>
    <x v="0"/>
    <x v="0"/>
    <x v="2"/>
    <n v="76.45"/>
    <x v="40"/>
    <x v="176"/>
    <x v="1"/>
    <x v="0"/>
    <x v="0"/>
    <x v="0"/>
  </r>
  <r>
    <x v="178"/>
    <x v="0"/>
    <x v="0"/>
    <x v="2"/>
    <n v="105.35"/>
    <x v="30"/>
    <x v="177"/>
    <x v="0"/>
    <x v="0"/>
    <x v="2"/>
    <x v="2"/>
  </r>
  <r>
    <x v="179"/>
    <x v="1"/>
    <x v="1"/>
    <x v="3"/>
    <n v="20.55"/>
    <x v="59"/>
    <x v="178"/>
    <x v="0"/>
    <x v="0"/>
    <x v="1"/>
    <x v="3"/>
  </r>
  <r>
    <x v="180"/>
    <x v="0"/>
    <x v="0"/>
    <x v="2"/>
    <n v="29.95"/>
    <x v="0"/>
    <x v="179"/>
    <x v="1"/>
    <x v="0"/>
    <x v="0"/>
    <x v="0"/>
  </r>
  <r>
    <x v="181"/>
    <x v="0"/>
    <x v="0"/>
    <x v="1"/>
    <n v="45.3"/>
    <x v="0"/>
    <x v="180"/>
    <x v="0"/>
    <x v="0"/>
    <x v="0"/>
    <x v="0"/>
  </r>
  <r>
    <x v="182"/>
    <x v="1"/>
    <x v="0"/>
    <x v="2"/>
    <n v="84.5"/>
    <x v="4"/>
    <x v="181"/>
    <x v="1"/>
    <x v="0"/>
    <x v="0"/>
    <x v="0"/>
  </r>
  <r>
    <x v="183"/>
    <x v="1"/>
    <x v="1"/>
    <x v="3"/>
    <n v="74.75"/>
    <x v="55"/>
    <x v="182"/>
    <x v="0"/>
    <x v="1"/>
    <x v="1"/>
    <x v="1"/>
  </r>
  <r>
    <x v="184"/>
    <x v="0"/>
    <x v="0"/>
    <x v="0"/>
    <n v="79.25"/>
    <x v="9"/>
    <x v="183"/>
    <x v="1"/>
    <x v="0"/>
    <x v="2"/>
    <x v="2"/>
  </r>
  <r>
    <x v="185"/>
    <x v="0"/>
    <x v="0"/>
    <x v="0"/>
    <n v="24.8"/>
    <x v="0"/>
    <x v="184"/>
    <x v="1"/>
    <x v="0"/>
    <x v="0"/>
    <x v="0"/>
  </r>
  <r>
    <x v="186"/>
    <x v="1"/>
    <x v="0"/>
    <x v="1"/>
    <n v="51.8"/>
    <x v="61"/>
    <x v="185"/>
    <x v="0"/>
    <x v="0"/>
    <x v="2"/>
    <x v="2"/>
  </r>
  <r>
    <x v="187"/>
    <x v="1"/>
    <x v="0"/>
    <x v="0"/>
    <n v="30.4"/>
    <x v="35"/>
    <x v="186"/>
    <x v="0"/>
    <x v="0"/>
    <x v="0"/>
    <x v="0"/>
  </r>
  <r>
    <x v="188"/>
    <x v="0"/>
    <x v="1"/>
    <x v="0"/>
    <n v="19.649999999999999"/>
    <x v="9"/>
    <x v="187"/>
    <x v="0"/>
    <x v="0"/>
    <x v="2"/>
    <x v="2"/>
  </r>
  <r>
    <x v="189"/>
    <x v="0"/>
    <x v="0"/>
    <x v="3"/>
    <n v="56.6"/>
    <x v="63"/>
    <x v="188"/>
    <x v="0"/>
    <x v="1"/>
    <x v="1"/>
    <x v="1"/>
  </r>
  <r>
    <x v="190"/>
    <x v="1"/>
    <x v="1"/>
    <x v="3"/>
    <n v="71.900000000000006"/>
    <x v="29"/>
    <x v="189"/>
    <x v="0"/>
    <x v="1"/>
    <x v="1"/>
    <x v="1"/>
  </r>
  <r>
    <x v="191"/>
    <x v="1"/>
    <x v="0"/>
    <x v="0"/>
    <n v="91"/>
    <x v="53"/>
    <x v="190"/>
    <x v="1"/>
    <x v="0"/>
    <x v="0"/>
    <x v="0"/>
  </r>
  <r>
    <x v="192"/>
    <x v="0"/>
    <x v="2"/>
    <x v="2"/>
    <n v="19.75"/>
    <x v="14"/>
    <x v="191"/>
    <x v="0"/>
    <x v="0"/>
    <x v="1"/>
    <x v="3"/>
  </r>
  <r>
    <x v="193"/>
    <x v="0"/>
    <x v="2"/>
    <x v="3"/>
    <n v="109.7"/>
    <x v="21"/>
    <x v="192"/>
    <x v="0"/>
    <x v="2"/>
    <x v="1"/>
    <x v="3"/>
  </r>
  <r>
    <x v="194"/>
    <x v="1"/>
    <x v="2"/>
    <x v="3"/>
    <n v="19.3"/>
    <x v="64"/>
    <x v="193"/>
    <x v="0"/>
    <x v="0"/>
    <x v="1"/>
    <x v="3"/>
  </r>
  <r>
    <x v="195"/>
    <x v="0"/>
    <x v="0"/>
    <x v="0"/>
    <n v="96.55"/>
    <x v="61"/>
    <x v="194"/>
    <x v="0"/>
    <x v="0"/>
    <x v="2"/>
    <x v="2"/>
  </r>
  <r>
    <x v="196"/>
    <x v="1"/>
    <x v="2"/>
    <x v="2"/>
    <n v="24.1"/>
    <x v="65"/>
    <x v="195"/>
    <x v="0"/>
    <x v="0"/>
    <x v="1"/>
    <x v="2"/>
  </r>
  <r>
    <x v="197"/>
    <x v="1"/>
    <x v="0"/>
    <x v="0"/>
    <n v="111.35"/>
    <x v="64"/>
    <x v="196"/>
    <x v="0"/>
    <x v="2"/>
    <x v="1"/>
    <x v="3"/>
  </r>
  <r>
    <x v="198"/>
    <x v="1"/>
    <x v="2"/>
    <x v="2"/>
    <n v="112.25"/>
    <x v="21"/>
    <x v="197"/>
    <x v="0"/>
    <x v="2"/>
    <x v="1"/>
    <x v="3"/>
  </r>
  <r>
    <x v="199"/>
    <x v="1"/>
    <x v="0"/>
    <x v="1"/>
    <n v="20.75"/>
    <x v="0"/>
    <x v="198"/>
    <x v="0"/>
    <x v="0"/>
    <x v="0"/>
    <x v="0"/>
  </r>
  <r>
    <x v="200"/>
    <x v="0"/>
    <x v="1"/>
    <x v="3"/>
    <n v="101.9"/>
    <x v="23"/>
    <x v="199"/>
    <x v="0"/>
    <x v="1"/>
    <x v="1"/>
    <x v="1"/>
  </r>
  <r>
    <x v="201"/>
    <x v="0"/>
    <x v="0"/>
    <x v="3"/>
    <n v="80.05"/>
    <x v="60"/>
    <x v="200"/>
    <x v="0"/>
    <x v="0"/>
    <x v="2"/>
    <x v="2"/>
  </r>
  <r>
    <x v="202"/>
    <x v="1"/>
    <x v="2"/>
    <x v="0"/>
    <n v="105.55"/>
    <x v="16"/>
    <x v="201"/>
    <x v="0"/>
    <x v="2"/>
    <x v="1"/>
    <x v="3"/>
  </r>
  <r>
    <x v="203"/>
    <x v="1"/>
    <x v="0"/>
    <x v="3"/>
    <n v="78.3"/>
    <x v="9"/>
    <x v="202"/>
    <x v="0"/>
    <x v="0"/>
    <x v="2"/>
    <x v="2"/>
  </r>
  <r>
    <x v="204"/>
    <x v="1"/>
    <x v="0"/>
    <x v="3"/>
    <n v="68.849999999999994"/>
    <x v="66"/>
    <x v="203"/>
    <x v="0"/>
    <x v="1"/>
    <x v="1"/>
    <x v="1"/>
  </r>
  <r>
    <x v="205"/>
    <x v="0"/>
    <x v="1"/>
    <x v="2"/>
    <n v="79.95"/>
    <x v="55"/>
    <x v="204"/>
    <x v="0"/>
    <x v="1"/>
    <x v="1"/>
    <x v="1"/>
  </r>
  <r>
    <x v="206"/>
    <x v="1"/>
    <x v="2"/>
    <x v="3"/>
    <n v="55.45"/>
    <x v="21"/>
    <x v="205"/>
    <x v="0"/>
    <x v="1"/>
    <x v="1"/>
    <x v="3"/>
  </r>
  <r>
    <x v="207"/>
    <x v="1"/>
    <x v="0"/>
    <x v="0"/>
    <n v="79.900000000000006"/>
    <x v="0"/>
    <x v="206"/>
    <x v="1"/>
    <x v="0"/>
    <x v="0"/>
    <x v="0"/>
  </r>
  <r>
    <x v="208"/>
    <x v="0"/>
    <x v="0"/>
    <x v="0"/>
    <n v="106.6"/>
    <x v="67"/>
    <x v="207"/>
    <x v="1"/>
    <x v="1"/>
    <x v="2"/>
    <x v="2"/>
  </r>
  <r>
    <x v="209"/>
    <x v="1"/>
    <x v="1"/>
    <x v="3"/>
    <n v="102.45"/>
    <x v="38"/>
    <x v="208"/>
    <x v="0"/>
    <x v="2"/>
    <x v="1"/>
    <x v="3"/>
  </r>
  <r>
    <x v="210"/>
    <x v="1"/>
    <x v="0"/>
    <x v="3"/>
    <n v="46"/>
    <x v="2"/>
    <x v="209"/>
    <x v="1"/>
    <x v="0"/>
    <x v="0"/>
    <x v="0"/>
  </r>
  <r>
    <x v="211"/>
    <x v="0"/>
    <x v="0"/>
    <x v="0"/>
    <n v="25.25"/>
    <x v="0"/>
    <x v="210"/>
    <x v="0"/>
    <x v="0"/>
    <x v="0"/>
    <x v="0"/>
  </r>
  <r>
    <x v="212"/>
    <x v="1"/>
    <x v="2"/>
    <x v="1"/>
    <n v="19.75"/>
    <x v="59"/>
    <x v="211"/>
    <x v="0"/>
    <x v="0"/>
    <x v="1"/>
    <x v="3"/>
  </r>
  <r>
    <x v="213"/>
    <x v="0"/>
    <x v="1"/>
    <x v="0"/>
    <n v="20"/>
    <x v="44"/>
    <x v="212"/>
    <x v="0"/>
    <x v="0"/>
    <x v="1"/>
    <x v="1"/>
  </r>
  <r>
    <x v="214"/>
    <x v="1"/>
    <x v="0"/>
    <x v="0"/>
    <n v="86.8"/>
    <x v="57"/>
    <x v="213"/>
    <x v="0"/>
    <x v="0"/>
    <x v="2"/>
    <x v="2"/>
  </r>
  <r>
    <x v="215"/>
    <x v="0"/>
    <x v="0"/>
    <x v="2"/>
    <n v="58.75"/>
    <x v="58"/>
    <x v="214"/>
    <x v="0"/>
    <x v="1"/>
    <x v="1"/>
    <x v="3"/>
  </r>
  <r>
    <x v="216"/>
    <x v="1"/>
    <x v="2"/>
    <x v="3"/>
    <n v="45.25"/>
    <x v="21"/>
    <x v="215"/>
    <x v="0"/>
    <x v="1"/>
    <x v="1"/>
    <x v="3"/>
  </r>
  <r>
    <x v="217"/>
    <x v="1"/>
    <x v="2"/>
    <x v="2"/>
    <n v="56.6"/>
    <x v="33"/>
    <x v="216"/>
    <x v="0"/>
    <x v="1"/>
    <x v="1"/>
    <x v="3"/>
  </r>
  <r>
    <x v="218"/>
    <x v="1"/>
    <x v="2"/>
    <x v="2"/>
    <n v="84.2"/>
    <x v="45"/>
    <x v="217"/>
    <x v="0"/>
    <x v="2"/>
    <x v="1"/>
    <x v="3"/>
  </r>
  <r>
    <x v="219"/>
    <x v="0"/>
    <x v="0"/>
    <x v="2"/>
    <n v="80"/>
    <x v="4"/>
    <x v="218"/>
    <x v="0"/>
    <x v="0"/>
    <x v="0"/>
    <x v="0"/>
  </r>
  <r>
    <x v="220"/>
    <x v="0"/>
    <x v="0"/>
    <x v="0"/>
    <n v="70.150000000000006"/>
    <x v="54"/>
    <x v="219"/>
    <x v="1"/>
    <x v="0"/>
    <x v="0"/>
    <x v="0"/>
  </r>
  <r>
    <x v="221"/>
    <x v="0"/>
    <x v="2"/>
    <x v="2"/>
    <n v="24.75"/>
    <x v="16"/>
    <x v="220"/>
    <x v="0"/>
    <x v="0"/>
    <x v="1"/>
    <x v="3"/>
  </r>
  <r>
    <x v="222"/>
    <x v="1"/>
    <x v="1"/>
    <x v="0"/>
    <n v="20.2"/>
    <x v="0"/>
    <x v="33"/>
    <x v="0"/>
    <x v="0"/>
    <x v="0"/>
    <x v="0"/>
  </r>
  <r>
    <x v="223"/>
    <x v="1"/>
    <x v="0"/>
    <x v="1"/>
    <n v="50.05"/>
    <x v="54"/>
    <x v="221"/>
    <x v="1"/>
    <x v="0"/>
    <x v="0"/>
    <x v="0"/>
  </r>
  <r>
    <x v="224"/>
    <x v="0"/>
    <x v="1"/>
    <x v="2"/>
    <n v="19.350000000000001"/>
    <x v="18"/>
    <x v="222"/>
    <x v="0"/>
    <x v="0"/>
    <x v="2"/>
    <x v="0"/>
  </r>
  <r>
    <x v="225"/>
    <x v="1"/>
    <x v="1"/>
    <x v="1"/>
    <n v="50.6"/>
    <x v="65"/>
    <x v="223"/>
    <x v="0"/>
    <x v="0"/>
    <x v="1"/>
    <x v="2"/>
  </r>
  <r>
    <x v="226"/>
    <x v="0"/>
    <x v="1"/>
    <x v="1"/>
    <n v="81.150000000000006"/>
    <x v="36"/>
    <x v="224"/>
    <x v="0"/>
    <x v="1"/>
    <x v="1"/>
    <x v="1"/>
  </r>
  <r>
    <x v="227"/>
    <x v="0"/>
    <x v="0"/>
    <x v="1"/>
    <n v="55.2"/>
    <x v="0"/>
    <x v="225"/>
    <x v="1"/>
    <x v="0"/>
    <x v="0"/>
    <x v="0"/>
  </r>
  <r>
    <x v="228"/>
    <x v="1"/>
    <x v="0"/>
    <x v="3"/>
    <n v="89.9"/>
    <x v="19"/>
    <x v="226"/>
    <x v="0"/>
    <x v="1"/>
    <x v="1"/>
    <x v="1"/>
  </r>
  <r>
    <x v="229"/>
    <x v="0"/>
    <x v="2"/>
    <x v="3"/>
    <n v="85.3"/>
    <x v="20"/>
    <x v="227"/>
    <x v="0"/>
    <x v="1"/>
    <x v="1"/>
    <x v="1"/>
  </r>
  <r>
    <x v="230"/>
    <x v="1"/>
    <x v="2"/>
    <x v="3"/>
    <n v="108"/>
    <x v="68"/>
    <x v="228"/>
    <x v="0"/>
    <x v="2"/>
    <x v="1"/>
    <x v="3"/>
  </r>
  <r>
    <x v="231"/>
    <x v="1"/>
    <x v="0"/>
    <x v="3"/>
    <n v="93.5"/>
    <x v="37"/>
    <x v="229"/>
    <x v="0"/>
    <x v="1"/>
    <x v="1"/>
    <x v="3"/>
  </r>
  <r>
    <x v="232"/>
    <x v="1"/>
    <x v="0"/>
    <x v="1"/>
    <n v="84.6"/>
    <x v="0"/>
    <x v="230"/>
    <x v="1"/>
    <x v="0"/>
    <x v="0"/>
    <x v="0"/>
  </r>
  <r>
    <x v="233"/>
    <x v="0"/>
    <x v="2"/>
    <x v="3"/>
    <n v="20.25"/>
    <x v="21"/>
    <x v="231"/>
    <x v="0"/>
    <x v="0"/>
    <x v="1"/>
    <x v="3"/>
  </r>
  <r>
    <x v="234"/>
    <x v="0"/>
    <x v="0"/>
    <x v="0"/>
    <n v="25.15"/>
    <x v="44"/>
    <x v="232"/>
    <x v="0"/>
    <x v="0"/>
    <x v="1"/>
    <x v="1"/>
  </r>
  <r>
    <x v="235"/>
    <x v="1"/>
    <x v="0"/>
    <x v="1"/>
    <n v="54.4"/>
    <x v="2"/>
    <x v="233"/>
    <x v="1"/>
    <x v="0"/>
    <x v="0"/>
    <x v="0"/>
  </r>
  <r>
    <x v="236"/>
    <x v="0"/>
    <x v="2"/>
    <x v="1"/>
    <n v="29.6"/>
    <x v="6"/>
    <x v="234"/>
    <x v="0"/>
    <x v="0"/>
    <x v="0"/>
    <x v="0"/>
  </r>
  <r>
    <x v="237"/>
    <x v="1"/>
    <x v="0"/>
    <x v="0"/>
    <n v="73.150000000000006"/>
    <x v="32"/>
    <x v="235"/>
    <x v="0"/>
    <x v="0"/>
    <x v="2"/>
    <x v="2"/>
  </r>
  <r>
    <x v="238"/>
    <x v="0"/>
    <x v="0"/>
    <x v="0"/>
    <n v="95"/>
    <x v="26"/>
    <x v="236"/>
    <x v="1"/>
    <x v="0"/>
    <x v="0"/>
    <x v="0"/>
  </r>
  <r>
    <x v="239"/>
    <x v="1"/>
    <x v="2"/>
    <x v="1"/>
    <n v="19.75"/>
    <x v="10"/>
    <x v="237"/>
    <x v="0"/>
    <x v="0"/>
    <x v="2"/>
    <x v="2"/>
  </r>
  <r>
    <x v="240"/>
    <x v="0"/>
    <x v="2"/>
    <x v="2"/>
    <n v="86.6"/>
    <x v="21"/>
    <x v="238"/>
    <x v="0"/>
    <x v="2"/>
    <x v="1"/>
    <x v="3"/>
  </r>
  <r>
    <x v="241"/>
    <x v="1"/>
    <x v="2"/>
    <x v="2"/>
    <n v="109.2"/>
    <x v="21"/>
    <x v="239"/>
    <x v="0"/>
    <x v="2"/>
    <x v="1"/>
    <x v="3"/>
  </r>
  <r>
    <x v="242"/>
    <x v="0"/>
    <x v="1"/>
    <x v="3"/>
    <n v="74.7"/>
    <x v="52"/>
    <x v="240"/>
    <x v="0"/>
    <x v="1"/>
    <x v="1"/>
    <x v="1"/>
  </r>
  <r>
    <x v="243"/>
    <x v="0"/>
    <x v="0"/>
    <x v="0"/>
    <n v="94.4"/>
    <x v="45"/>
    <x v="241"/>
    <x v="0"/>
    <x v="2"/>
    <x v="1"/>
    <x v="3"/>
  </r>
  <r>
    <x v="244"/>
    <x v="0"/>
    <x v="0"/>
    <x v="0"/>
    <n v="54.8"/>
    <x v="9"/>
    <x v="242"/>
    <x v="0"/>
    <x v="0"/>
    <x v="2"/>
    <x v="2"/>
  </r>
  <r>
    <x v="245"/>
    <x v="1"/>
    <x v="0"/>
    <x v="0"/>
    <n v="75.349999999999994"/>
    <x v="54"/>
    <x v="243"/>
    <x v="0"/>
    <x v="0"/>
    <x v="0"/>
    <x v="0"/>
  </r>
  <r>
    <x v="246"/>
    <x v="1"/>
    <x v="1"/>
    <x v="1"/>
    <n v="65"/>
    <x v="52"/>
    <x v="244"/>
    <x v="0"/>
    <x v="1"/>
    <x v="1"/>
    <x v="1"/>
  </r>
  <r>
    <x v="247"/>
    <x v="1"/>
    <x v="0"/>
    <x v="0"/>
    <n v="74.400000000000006"/>
    <x v="30"/>
    <x v="245"/>
    <x v="1"/>
    <x v="0"/>
    <x v="2"/>
    <x v="2"/>
  </r>
  <r>
    <x v="248"/>
    <x v="1"/>
    <x v="0"/>
    <x v="1"/>
    <n v="48.55"/>
    <x v="0"/>
    <x v="246"/>
    <x v="1"/>
    <x v="0"/>
    <x v="0"/>
    <x v="0"/>
  </r>
  <r>
    <x v="249"/>
    <x v="1"/>
    <x v="1"/>
    <x v="0"/>
    <n v="99"/>
    <x v="41"/>
    <x v="247"/>
    <x v="0"/>
    <x v="1"/>
    <x v="1"/>
    <x v="1"/>
  </r>
  <r>
    <x v="250"/>
    <x v="0"/>
    <x v="1"/>
    <x v="0"/>
    <n v="93.5"/>
    <x v="69"/>
    <x v="248"/>
    <x v="0"/>
    <x v="1"/>
    <x v="1"/>
    <x v="3"/>
  </r>
  <r>
    <x v="251"/>
    <x v="0"/>
    <x v="0"/>
    <x v="0"/>
    <n v="70.400000000000006"/>
    <x v="2"/>
    <x v="249"/>
    <x v="1"/>
    <x v="0"/>
    <x v="0"/>
    <x v="0"/>
  </r>
  <r>
    <x v="252"/>
    <x v="1"/>
    <x v="0"/>
    <x v="0"/>
    <n v="40.200000000000003"/>
    <x v="0"/>
    <x v="250"/>
    <x v="1"/>
    <x v="0"/>
    <x v="0"/>
    <x v="0"/>
  </r>
  <r>
    <x v="253"/>
    <x v="1"/>
    <x v="1"/>
    <x v="3"/>
    <n v="83.7"/>
    <x v="48"/>
    <x v="251"/>
    <x v="0"/>
    <x v="1"/>
    <x v="1"/>
    <x v="1"/>
  </r>
  <r>
    <x v="254"/>
    <x v="1"/>
    <x v="0"/>
    <x v="1"/>
    <n v="19.850000000000001"/>
    <x v="6"/>
    <x v="252"/>
    <x v="0"/>
    <x v="0"/>
    <x v="0"/>
    <x v="0"/>
  </r>
  <r>
    <x v="255"/>
    <x v="0"/>
    <x v="2"/>
    <x v="0"/>
    <n v="59.55"/>
    <x v="56"/>
    <x v="253"/>
    <x v="0"/>
    <x v="1"/>
    <x v="1"/>
    <x v="3"/>
  </r>
  <r>
    <x v="256"/>
    <x v="0"/>
    <x v="2"/>
    <x v="3"/>
    <n v="115.1"/>
    <x v="59"/>
    <x v="254"/>
    <x v="0"/>
    <x v="2"/>
    <x v="1"/>
    <x v="3"/>
  </r>
  <r>
    <x v="257"/>
    <x v="1"/>
    <x v="1"/>
    <x v="3"/>
    <n v="114.35"/>
    <x v="37"/>
    <x v="255"/>
    <x v="0"/>
    <x v="2"/>
    <x v="1"/>
    <x v="3"/>
  </r>
  <r>
    <x v="258"/>
    <x v="0"/>
    <x v="0"/>
    <x v="3"/>
    <n v="44.6"/>
    <x v="2"/>
    <x v="256"/>
    <x v="1"/>
    <x v="0"/>
    <x v="0"/>
    <x v="0"/>
  </r>
  <r>
    <x v="259"/>
    <x v="0"/>
    <x v="0"/>
    <x v="0"/>
    <n v="45"/>
    <x v="44"/>
    <x v="257"/>
    <x v="0"/>
    <x v="0"/>
    <x v="1"/>
    <x v="1"/>
  </r>
  <r>
    <x v="260"/>
    <x v="1"/>
    <x v="0"/>
    <x v="0"/>
    <n v="41.15"/>
    <x v="35"/>
    <x v="258"/>
    <x v="1"/>
    <x v="0"/>
    <x v="0"/>
    <x v="0"/>
  </r>
  <r>
    <x v="261"/>
    <x v="1"/>
    <x v="0"/>
    <x v="0"/>
    <n v="106.9"/>
    <x v="9"/>
    <x v="259"/>
    <x v="1"/>
    <x v="0"/>
    <x v="2"/>
    <x v="2"/>
  </r>
  <r>
    <x v="262"/>
    <x v="1"/>
    <x v="0"/>
    <x v="0"/>
    <n v="89.85"/>
    <x v="58"/>
    <x v="260"/>
    <x v="0"/>
    <x v="2"/>
    <x v="1"/>
    <x v="3"/>
  </r>
  <r>
    <x v="263"/>
    <x v="0"/>
    <x v="2"/>
    <x v="2"/>
    <n v="49.85"/>
    <x v="36"/>
    <x v="261"/>
    <x v="0"/>
    <x v="0"/>
    <x v="1"/>
    <x v="1"/>
  </r>
  <r>
    <x v="264"/>
    <x v="0"/>
    <x v="1"/>
    <x v="1"/>
    <n v="113.3"/>
    <x v="3"/>
    <x v="262"/>
    <x v="0"/>
    <x v="2"/>
    <x v="1"/>
    <x v="1"/>
  </r>
  <r>
    <x v="265"/>
    <x v="0"/>
    <x v="2"/>
    <x v="1"/>
    <n v="88.1"/>
    <x v="59"/>
    <x v="263"/>
    <x v="0"/>
    <x v="2"/>
    <x v="1"/>
    <x v="3"/>
  </r>
  <r>
    <x v="266"/>
    <x v="1"/>
    <x v="2"/>
    <x v="2"/>
    <n v="24.9"/>
    <x v="37"/>
    <x v="264"/>
    <x v="0"/>
    <x v="0"/>
    <x v="1"/>
    <x v="3"/>
  </r>
  <r>
    <x v="267"/>
    <x v="0"/>
    <x v="0"/>
    <x v="1"/>
    <n v="105"/>
    <x v="67"/>
    <x v="265"/>
    <x v="0"/>
    <x v="0"/>
    <x v="2"/>
    <x v="2"/>
  </r>
  <r>
    <x v="268"/>
    <x v="1"/>
    <x v="2"/>
    <x v="1"/>
    <n v="19.350000000000001"/>
    <x v="64"/>
    <x v="266"/>
    <x v="1"/>
    <x v="0"/>
    <x v="1"/>
    <x v="3"/>
  </r>
  <r>
    <x v="269"/>
    <x v="0"/>
    <x v="2"/>
    <x v="3"/>
    <n v="24.25"/>
    <x v="16"/>
    <x v="267"/>
    <x v="0"/>
    <x v="0"/>
    <x v="1"/>
    <x v="3"/>
  </r>
  <r>
    <x v="270"/>
    <x v="0"/>
    <x v="0"/>
    <x v="0"/>
    <n v="94.45"/>
    <x v="10"/>
    <x v="268"/>
    <x v="1"/>
    <x v="0"/>
    <x v="2"/>
    <x v="2"/>
  </r>
  <r>
    <x v="271"/>
    <x v="1"/>
    <x v="2"/>
    <x v="0"/>
    <n v="59.75"/>
    <x v="58"/>
    <x v="269"/>
    <x v="0"/>
    <x v="1"/>
    <x v="1"/>
    <x v="3"/>
  </r>
  <r>
    <x v="272"/>
    <x v="1"/>
    <x v="0"/>
    <x v="2"/>
    <n v="24.8"/>
    <x v="0"/>
    <x v="184"/>
    <x v="1"/>
    <x v="0"/>
    <x v="0"/>
    <x v="0"/>
  </r>
  <r>
    <x v="273"/>
    <x v="1"/>
    <x v="0"/>
    <x v="0"/>
    <n v="107.05"/>
    <x v="61"/>
    <x v="270"/>
    <x v="0"/>
    <x v="1"/>
    <x v="2"/>
    <x v="2"/>
  </r>
  <r>
    <x v="274"/>
    <x v="1"/>
    <x v="0"/>
    <x v="1"/>
    <n v="70.599999999999994"/>
    <x v="0"/>
    <x v="271"/>
    <x v="1"/>
    <x v="0"/>
    <x v="0"/>
    <x v="0"/>
  </r>
  <r>
    <x v="275"/>
    <x v="1"/>
    <x v="0"/>
    <x v="0"/>
    <n v="85.4"/>
    <x v="24"/>
    <x v="272"/>
    <x v="1"/>
    <x v="0"/>
    <x v="0"/>
    <x v="0"/>
  </r>
  <r>
    <x v="276"/>
    <x v="0"/>
    <x v="0"/>
    <x v="0"/>
    <n v="105.05"/>
    <x v="15"/>
    <x v="273"/>
    <x v="1"/>
    <x v="2"/>
    <x v="1"/>
    <x v="3"/>
  </r>
  <r>
    <x v="277"/>
    <x v="1"/>
    <x v="0"/>
    <x v="2"/>
    <n v="64.95"/>
    <x v="17"/>
    <x v="274"/>
    <x v="0"/>
    <x v="0"/>
    <x v="2"/>
    <x v="2"/>
  </r>
  <r>
    <x v="278"/>
    <x v="1"/>
    <x v="0"/>
    <x v="0"/>
    <n v="55"/>
    <x v="60"/>
    <x v="275"/>
    <x v="0"/>
    <x v="0"/>
    <x v="2"/>
    <x v="2"/>
  </r>
  <r>
    <x v="279"/>
    <x v="0"/>
    <x v="0"/>
    <x v="2"/>
    <n v="50.55"/>
    <x v="24"/>
    <x v="276"/>
    <x v="0"/>
    <x v="0"/>
    <x v="0"/>
    <x v="0"/>
  </r>
  <r>
    <x v="280"/>
    <x v="0"/>
    <x v="0"/>
    <x v="1"/>
    <n v="55.15"/>
    <x v="53"/>
    <x v="277"/>
    <x v="0"/>
    <x v="0"/>
    <x v="0"/>
    <x v="0"/>
  </r>
  <r>
    <x v="281"/>
    <x v="0"/>
    <x v="0"/>
    <x v="0"/>
    <n v="51.2"/>
    <x v="6"/>
    <x v="278"/>
    <x v="0"/>
    <x v="0"/>
    <x v="0"/>
    <x v="0"/>
  </r>
  <r>
    <x v="282"/>
    <x v="0"/>
    <x v="0"/>
    <x v="1"/>
    <n v="25.4"/>
    <x v="0"/>
    <x v="279"/>
    <x v="0"/>
    <x v="0"/>
    <x v="0"/>
    <x v="0"/>
  </r>
  <r>
    <x v="283"/>
    <x v="0"/>
    <x v="0"/>
    <x v="1"/>
    <n v="54.45"/>
    <x v="47"/>
    <x v="280"/>
    <x v="0"/>
    <x v="1"/>
    <x v="1"/>
    <x v="3"/>
  </r>
  <r>
    <x v="284"/>
    <x v="1"/>
    <x v="0"/>
    <x v="1"/>
    <n v="95.15"/>
    <x v="32"/>
    <x v="281"/>
    <x v="1"/>
    <x v="0"/>
    <x v="2"/>
    <x v="2"/>
  </r>
  <r>
    <x v="285"/>
    <x v="0"/>
    <x v="1"/>
    <x v="3"/>
    <n v="76"/>
    <x v="5"/>
    <x v="282"/>
    <x v="0"/>
    <x v="0"/>
    <x v="2"/>
    <x v="2"/>
  </r>
  <r>
    <x v="286"/>
    <x v="0"/>
    <x v="0"/>
    <x v="0"/>
    <n v="44.35"/>
    <x v="61"/>
    <x v="283"/>
    <x v="0"/>
    <x v="0"/>
    <x v="2"/>
    <x v="2"/>
  </r>
  <r>
    <x v="287"/>
    <x v="1"/>
    <x v="0"/>
    <x v="0"/>
    <n v="70"/>
    <x v="0"/>
    <x v="284"/>
    <x v="1"/>
    <x v="0"/>
    <x v="0"/>
    <x v="0"/>
  </r>
  <r>
    <x v="288"/>
    <x v="1"/>
    <x v="0"/>
    <x v="0"/>
    <n v="74.5"/>
    <x v="4"/>
    <x v="285"/>
    <x v="1"/>
    <x v="0"/>
    <x v="0"/>
    <x v="0"/>
  </r>
  <r>
    <x v="289"/>
    <x v="1"/>
    <x v="0"/>
    <x v="3"/>
    <n v="44.85"/>
    <x v="6"/>
    <x v="286"/>
    <x v="1"/>
    <x v="0"/>
    <x v="0"/>
    <x v="0"/>
  </r>
  <r>
    <x v="290"/>
    <x v="1"/>
    <x v="0"/>
    <x v="0"/>
    <n v="76.099999999999994"/>
    <x v="65"/>
    <x v="287"/>
    <x v="1"/>
    <x v="0"/>
    <x v="1"/>
    <x v="2"/>
  </r>
  <r>
    <x v="291"/>
    <x v="1"/>
    <x v="1"/>
    <x v="1"/>
    <n v="61.2"/>
    <x v="42"/>
    <x v="288"/>
    <x v="0"/>
    <x v="1"/>
    <x v="1"/>
    <x v="1"/>
  </r>
  <r>
    <x v="292"/>
    <x v="1"/>
    <x v="1"/>
    <x v="1"/>
    <n v="86.8"/>
    <x v="57"/>
    <x v="213"/>
    <x v="0"/>
    <x v="0"/>
    <x v="2"/>
    <x v="2"/>
  </r>
  <r>
    <x v="293"/>
    <x v="0"/>
    <x v="0"/>
    <x v="0"/>
    <n v="89.35"/>
    <x v="53"/>
    <x v="289"/>
    <x v="0"/>
    <x v="0"/>
    <x v="0"/>
    <x v="0"/>
  </r>
  <r>
    <x v="294"/>
    <x v="0"/>
    <x v="0"/>
    <x v="1"/>
    <n v="19.7"/>
    <x v="18"/>
    <x v="290"/>
    <x v="0"/>
    <x v="0"/>
    <x v="2"/>
    <x v="0"/>
  </r>
  <r>
    <x v="295"/>
    <x v="1"/>
    <x v="0"/>
    <x v="1"/>
    <n v="20.25"/>
    <x v="0"/>
    <x v="291"/>
    <x v="0"/>
    <x v="0"/>
    <x v="0"/>
    <x v="0"/>
  </r>
  <r>
    <x v="296"/>
    <x v="0"/>
    <x v="2"/>
    <x v="0"/>
    <n v="76.05"/>
    <x v="16"/>
    <x v="292"/>
    <x v="0"/>
    <x v="2"/>
    <x v="1"/>
    <x v="3"/>
  </r>
  <r>
    <x v="297"/>
    <x v="1"/>
    <x v="0"/>
    <x v="0"/>
    <n v="100.8"/>
    <x v="42"/>
    <x v="293"/>
    <x v="0"/>
    <x v="1"/>
    <x v="1"/>
    <x v="1"/>
  </r>
  <r>
    <x v="298"/>
    <x v="1"/>
    <x v="0"/>
    <x v="0"/>
    <n v="74.55"/>
    <x v="63"/>
    <x v="294"/>
    <x v="0"/>
    <x v="1"/>
    <x v="1"/>
    <x v="1"/>
  </r>
  <r>
    <x v="299"/>
    <x v="0"/>
    <x v="0"/>
    <x v="1"/>
    <n v="73.599999999999994"/>
    <x v="0"/>
    <x v="295"/>
    <x v="1"/>
    <x v="0"/>
    <x v="0"/>
    <x v="0"/>
  </r>
  <r>
    <x v="300"/>
    <x v="1"/>
    <x v="1"/>
    <x v="2"/>
    <n v="64.900000000000006"/>
    <x v="57"/>
    <x v="296"/>
    <x v="0"/>
    <x v="0"/>
    <x v="2"/>
    <x v="2"/>
  </r>
  <r>
    <x v="301"/>
    <x v="0"/>
    <x v="0"/>
    <x v="0"/>
    <n v="95.45"/>
    <x v="54"/>
    <x v="297"/>
    <x v="1"/>
    <x v="0"/>
    <x v="0"/>
    <x v="0"/>
  </r>
  <r>
    <x v="302"/>
    <x v="1"/>
    <x v="0"/>
    <x v="0"/>
    <n v="90.4"/>
    <x v="54"/>
    <x v="298"/>
    <x v="0"/>
    <x v="0"/>
    <x v="0"/>
    <x v="0"/>
  </r>
  <r>
    <x v="303"/>
    <x v="0"/>
    <x v="2"/>
    <x v="3"/>
    <n v="60.3"/>
    <x v="47"/>
    <x v="299"/>
    <x v="0"/>
    <x v="1"/>
    <x v="1"/>
    <x v="3"/>
  </r>
  <r>
    <x v="304"/>
    <x v="1"/>
    <x v="0"/>
    <x v="1"/>
    <n v="81.849999999999994"/>
    <x v="46"/>
    <x v="300"/>
    <x v="0"/>
    <x v="1"/>
    <x v="1"/>
    <x v="1"/>
  </r>
  <r>
    <x v="305"/>
    <x v="1"/>
    <x v="2"/>
    <x v="1"/>
    <n v="24.8"/>
    <x v="15"/>
    <x v="301"/>
    <x v="0"/>
    <x v="0"/>
    <x v="1"/>
    <x v="3"/>
  </r>
  <r>
    <x v="306"/>
    <x v="1"/>
    <x v="0"/>
    <x v="0"/>
    <n v="74.900000000000006"/>
    <x v="48"/>
    <x v="302"/>
    <x v="1"/>
    <x v="1"/>
    <x v="1"/>
    <x v="1"/>
  </r>
  <r>
    <x v="307"/>
    <x v="1"/>
    <x v="2"/>
    <x v="1"/>
    <n v="75.55"/>
    <x v="44"/>
    <x v="303"/>
    <x v="0"/>
    <x v="1"/>
    <x v="1"/>
    <x v="1"/>
  </r>
  <r>
    <x v="308"/>
    <x v="1"/>
    <x v="0"/>
    <x v="0"/>
    <n v="101.15"/>
    <x v="46"/>
    <x v="304"/>
    <x v="0"/>
    <x v="1"/>
    <x v="1"/>
    <x v="1"/>
  </r>
  <r>
    <x v="309"/>
    <x v="1"/>
    <x v="1"/>
    <x v="3"/>
    <n v="78.75"/>
    <x v="43"/>
    <x v="305"/>
    <x v="0"/>
    <x v="1"/>
    <x v="1"/>
    <x v="1"/>
  </r>
  <r>
    <x v="310"/>
    <x v="0"/>
    <x v="0"/>
    <x v="2"/>
    <n v="19.25"/>
    <x v="0"/>
    <x v="306"/>
    <x v="0"/>
    <x v="0"/>
    <x v="0"/>
    <x v="0"/>
  </r>
  <r>
    <x v="311"/>
    <x v="0"/>
    <x v="0"/>
    <x v="0"/>
    <n v="89.05"/>
    <x v="5"/>
    <x v="307"/>
    <x v="0"/>
    <x v="0"/>
    <x v="2"/>
    <x v="2"/>
  </r>
  <r>
    <x v="312"/>
    <x v="0"/>
    <x v="2"/>
    <x v="3"/>
    <n v="115.05"/>
    <x v="29"/>
    <x v="308"/>
    <x v="0"/>
    <x v="1"/>
    <x v="1"/>
    <x v="1"/>
  </r>
  <r>
    <x v="313"/>
    <x v="0"/>
    <x v="0"/>
    <x v="0"/>
    <n v="69.349999999999994"/>
    <x v="24"/>
    <x v="309"/>
    <x v="0"/>
    <x v="0"/>
    <x v="0"/>
    <x v="0"/>
  </r>
  <r>
    <x v="314"/>
    <x v="1"/>
    <x v="0"/>
    <x v="0"/>
    <n v="80.599999999999994"/>
    <x v="24"/>
    <x v="310"/>
    <x v="1"/>
    <x v="0"/>
    <x v="0"/>
    <x v="0"/>
  </r>
  <r>
    <x v="315"/>
    <x v="1"/>
    <x v="1"/>
    <x v="3"/>
    <n v="110.05"/>
    <x v="69"/>
    <x v="311"/>
    <x v="0"/>
    <x v="2"/>
    <x v="1"/>
    <x v="3"/>
  </r>
  <r>
    <x v="316"/>
    <x v="1"/>
    <x v="2"/>
    <x v="3"/>
    <n v="19.899999999999999"/>
    <x v="16"/>
    <x v="312"/>
    <x v="0"/>
    <x v="0"/>
    <x v="1"/>
    <x v="3"/>
  </r>
  <r>
    <x v="317"/>
    <x v="0"/>
    <x v="1"/>
    <x v="3"/>
    <n v="80.3"/>
    <x v="46"/>
    <x v="313"/>
    <x v="1"/>
    <x v="1"/>
    <x v="1"/>
    <x v="1"/>
  </r>
  <r>
    <x v="318"/>
    <x v="1"/>
    <x v="0"/>
    <x v="0"/>
    <n v="93.15"/>
    <x v="65"/>
    <x v="314"/>
    <x v="1"/>
    <x v="1"/>
    <x v="1"/>
    <x v="2"/>
  </r>
  <r>
    <x v="319"/>
    <x v="1"/>
    <x v="0"/>
    <x v="3"/>
    <n v="91.5"/>
    <x v="42"/>
    <x v="315"/>
    <x v="0"/>
    <x v="1"/>
    <x v="1"/>
    <x v="1"/>
  </r>
  <r>
    <x v="320"/>
    <x v="0"/>
    <x v="1"/>
    <x v="2"/>
    <n v="82.45"/>
    <x v="68"/>
    <x v="316"/>
    <x v="1"/>
    <x v="1"/>
    <x v="1"/>
    <x v="3"/>
  </r>
  <r>
    <x v="321"/>
    <x v="0"/>
    <x v="2"/>
    <x v="0"/>
    <n v="60"/>
    <x v="21"/>
    <x v="317"/>
    <x v="0"/>
    <x v="1"/>
    <x v="1"/>
    <x v="3"/>
  </r>
  <r>
    <x v="322"/>
    <x v="1"/>
    <x v="0"/>
    <x v="0"/>
    <n v="44.8"/>
    <x v="0"/>
    <x v="318"/>
    <x v="0"/>
    <x v="0"/>
    <x v="0"/>
    <x v="0"/>
  </r>
  <r>
    <x v="323"/>
    <x v="0"/>
    <x v="1"/>
    <x v="1"/>
    <n v="48.6"/>
    <x v="34"/>
    <x v="319"/>
    <x v="0"/>
    <x v="0"/>
    <x v="0"/>
    <x v="0"/>
  </r>
  <r>
    <x v="324"/>
    <x v="1"/>
    <x v="2"/>
    <x v="2"/>
    <n v="60.05"/>
    <x v="14"/>
    <x v="320"/>
    <x v="0"/>
    <x v="1"/>
    <x v="1"/>
    <x v="3"/>
  </r>
  <r>
    <x v="325"/>
    <x v="0"/>
    <x v="0"/>
    <x v="3"/>
    <n v="102.7"/>
    <x v="15"/>
    <x v="321"/>
    <x v="0"/>
    <x v="2"/>
    <x v="1"/>
    <x v="3"/>
  </r>
  <r>
    <x v="326"/>
    <x v="0"/>
    <x v="0"/>
    <x v="0"/>
    <n v="82.9"/>
    <x v="26"/>
    <x v="322"/>
    <x v="0"/>
    <x v="0"/>
    <x v="0"/>
    <x v="0"/>
  </r>
  <r>
    <x v="327"/>
    <x v="0"/>
    <x v="0"/>
    <x v="0"/>
    <n v="70.349999999999994"/>
    <x v="2"/>
    <x v="323"/>
    <x v="1"/>
    <x v="0"/>
    <x v="0"/>
    <x v="0"/>
  </r>
  <r>
    <x v="328"/>
    <x v="0"/>
    <x v="0"/>
    <x v="0"/>
    <n v="35.9"/>
    <x v="7"/>
    <x v="324"/>
    <x v="0"/>
    <x v="0"/>
    <x v="1"/>
    <x v="1"/>
  </r>
  <r>
    <x v="329"/>
    <x v="0"/>
    <x v="0"/>
    <x v="3"/>
    <n v="82.65"/>
    <x v="22"/>
    <x v="325"/>
    <x v="0"/>
    <x v="0"/>
    <x v="2"/>
    <x v="2"/>
  </r>
  <r>
    <x v="330"/>
    <x v="0"/>
    <x v="2"/>
    <x v="1"/>
    <n v="19.850000000000001"/>
    <x v="42"/>
    <x v="326"/>
    <x v="0"/>
    <x v="0"/>
    <x v="1"/>
    <x v="1"/>
  </r>
  <r>
    <x v="331"/>
    <x v="0"/>
    <x v="1"/>
    <x v="1"/>
    <n v="19.2"/>
    <x v="4"/>
    <x v="327"/>
    <x v="0"/>
    <x v="0"/>
    <x v="0"/>
    <x v="0"/>
  </r>
  <r>
    <x v="332"/>
    <x v="1"/>
    <x v="1"/>
    <x v="3"/>
    <n v="94.9"/>
    <x v="25"/>
    <x v="328"/>
    <x v="0"/>
    <x v="1"/>
    <x v="1"/>
    <x v="1"/>
  </r>
  <r>
    <x v="333"/>
    <x v="0"/>
    <x v="0"/>
    <x v="0"/>
    <n v="73.849999999999994"/>
    <x v="40"/>
    <x v="329"/>
    <x v="1"/>
    <x v="0"/>
    <x v="0"/>
    <x v="0"/>
  </r>
  <r>
    <x v="334"/>
    <x v="0"/>
    <x v="0"/>
    <x v="1"/>
    <n v="80.599999999999994"/>
    <x v="2"/>
    <x v="330"/>
    <x v="1"/>
    <x v="0"/>
    <x v="0"/>
    <x v="0"/>
  </r>
  <r>
    <x v="335"/>
    <x v="1"/>
    <x v="1"/>
    <x v="2"/>
    <n v="75.8"/>
    <x v="47"/>
    <x v="331"/>
    <x v="1"/>
    <x v="2"/>
    <x v="1"/>
    <x v="3"/>
  </r>
  <r>
    <x v="336"/>
    <x v="0"/>
    <x v="2"/>
    <x v="0"/>
    <n v="104.6"/>
    <x v="29"/>
    <x v="332"/>
    <x v="1"/>
    <x v="1"/>
    <x v="1"/>
    <x v="1"/>
  </r>
  <r>
    <x v="337"/>
    <x v="0"/>
    <x v="2"/>
    <x v="0"/>
    <n v="88.15"/>
    <x v="47"/>
    <x v="333"/>
    <x v="0"/>
    <x v="2"/>
    <x v="1"/>
    <x v="3"/>
  </r>
  <r>
    <x v="338"/>
    <x v="0"/>
    <x v="0"/>
    <x v="3"/>
    <n v="94.8"/>
    <x v="51"/>
    <x v="334"/>
    <x v="0"/>
    <x v="1"/>
    <x v="1"/>
    <x v="1"/>
  </r>
  <r>
    <x v="339"/>
    <x v="1"/>
    <x v="0"/>
    <x v="0"/>
    <n v="103.4"/>
    <x v="28"/>
    <x v="335"/>
    <x v="1"/>
    <x v="2"/>
    <x v="1"/>
    <x v="3"/>
  </r>
  <r>
    <x v="340"/>
    <x v="0"/>
    <x v="0"/>
    <x v="2"/>
    <n v="54.65"/>
    <x v="48"/>
    <x v="336"/>
    <x v="0"/>
    <x v="0"/>
    <x v="1"/>
    <x v="1"/>
  </r>
  <r>
    <x v="341"/>
    <x v="0"/>
    <x v="2"/>
    <x v="3"/>
    <n v="85.75"/>
    <x v="16"/>
    <x v="337"/>
    <x v="0"/>
    <x v="2"/>
    <x v="1"/>
    <x v="3"/>
  </r>
  <r>
    <x v="342"/>
    <x v="0"/>
    <x v="0"/>
    <x v="2"/>
    <n v="67.45"/>
    <x v="33"/>
    <x v="338"/>
    <x v="0"/>
    <x v="1"/>
    <x v="1"/>
    <x v="3"/>
  </r>
  <r>
    <x v="343"/>
    <x v="1"/>
    <x v="1"/>
    <x v="1"/>
    <n v="20.5"/>
    <x v="28"/>
    <x v="339"/>
    <x v="0"/>
    <x v="0"/>
    <x v="1"/>
    <x v="3"/>
  </r>
  <r>
    <x v="344"/>
    <x v="0"/>
    <x v="1"/>
    <x v="3"/>
    <n v="20.25"/>
    <x v="52"/>
    <x v="340"/>
    <x v="0"/>
    <x v="0"/>
    <x v="1"/>
    <x v="1"/>
  </r>
  <r>
    <x v="345"/>
    <x v="0"/>
    <x v="0"/>
    <x v="0"/>
    <n v="72.099999999999994"/>
    <x v="0"/>
    <x v="341"/>
    <x v="0"/>
    <x v="0"/>
    <x v="0"/>
    <x v="0"/>
  </r>
  <r>
    <x v="346"/>
    <x v="0"/>
    <x v="0"/>
    <x v="0"/>
    <n v="90.4"/>
    <x v="2"/>
    <x v="342"/>
    <x v="1"/>
    <x v="0"/>
    <x v="0"/>
    <x v="0"/>
  </r>
  <r>
    <x v="347"/>
    <x v="0"/>
    <x v="2"/>
    <x v="2"/>
    <n v="19.45"/>
    <x v="27"/>
    <x v="343"/>
    <x v="0"/>
    <x v="0"/>
    <x v="1"/>
    <x v="3"/>
  </r>
  <r>
    <x v="348"/>
    <x v="0"/>
    <x v="0"/>
    <x v="0"/>
    <n v="44.95"/>
    <x v="57"/>
    <x v="344"/>
    <x v="0"/>
    <x v="0"/>
    <x v="2"/>
    <x v="2"/>
  </r>
  <r>
    <x v="349"/>
    <x v="0"/>
    <x v="1"/>
    <x v="2"/>
    <n v="97"/>
    <x v="38"/>
    <x v="345"/>
    <x v="0"/>
    <x v="2"/>
    <x v="1"/>
    <x v="3"/>
  </r>
  <r>
    <x v="350"/>
    <x v="1"/>
    <x v="2"/>
    <x v="3"/>
    <n v="62.8"/>
    <x v="50"/>
    <x v="346"/>
    <x v="0"/>
    <x v="1"/>
    <x v="1"/>
    <x v="1"/>
  </r>
  <r>
    <x v="351"/>
    <x v="1"/>
    <x v="1"/>
    <x v="1"/>
    <n v="44.6"/>
    <x v="22"/>
    <x v="347"/>
    <x v="0"/>
    <x v="0"/>
    <x v="2"/>
    <x v="2"/>
  </r>
  <r>
    <x v="352"/>
    <x v="0"/>
    <x v="0"/>
    <x v="0"/>
    <n v="89.15"/>
    <x v="40"/>
    <x v="348"/>
    <x v="0"/>
    <x v="0"/>
    <x v="0"/>
    <x v="0"/>
  </r>
  <r>
    <x v="353"/>
    <x v="1"/>
    <x v="0"/>
    <x v="2"/>
    <n v="84.8"/>
    <x v="54"/>
    <x v="349"/>
    <x v="1"/>
    <x v="0"/>
    <x v="0"/>
    <x v="0"/>
  </r>
  <r>
    <x v="354"/>
    <x v="0"/>
    <x v="0"/>
    <x v="0"/>
    <n v="41.9"/>
    <x v="17"/>
    <x v="350"/>
    <x v="1"/>
    <x v="0"/>
    <x v="2"/>
    <x v="2"/>
  </r>
  <r>
    <x v="355"/>
    <x v="0"/>
    <x v="0"/>
    <x v="2"/>
    <n v="80.25"/>
    <x v="6"/>
    <x v="351"/>
    <x v="1"/>
    <x v="0"/>
    <x v="0"/>
    <x v="0"/>
  </r>
  <r>
    <x v="356"/>
    <x v="0"/>
    <x v="0"/>
    <x v="0"/>
    <n v="54.1"/>
    <x v="10"/>
    <x v="352"/>
    <x v="0"/>
    <x v="0"/>
    <x v="2"/>
    <x v="2"/>
  </r>
  <r>
    <x v="357"/>
    <x v="1"/>
    <x v="2"/>
    <x v="0"/>
    <n v="105.25"/>
    <x v="38"/>
    <x v="353"/>
    <x v="0"/>
    <x v="2"/>
    <x v="1"/>
    <x v="3"/>
  </r>
  <r>
    <x v="358"/>
    <x v="1"/>
    <x v="0"/>
    <x v="3"/>
    <n v="30.75"/>
    <x v="23"/>
    <x v="340"/>
    <x v="1"/>
    <x v="0"/>
    <x v="1"/>
    <x v="1"/>
  </r>
  <r>
    <x v="359"/>
    <x v="1"/>
    <x v="1"/>
    <x v="0"/>
    <n v="97.1"/>
    <x v="41"/>
    <x v="354"/>
    <x v="0"/>
    <x v="1"/>
    <x v="1"/>
    <x v="1"/>
  </r>
  <r>
    <x v="360"/>
    <x v="1"/>
    <x v="0"/>
    <x v="1"/>
    <n v="20.2"/>
    <x v="24"/>
    <x v="355"/>
    <x v="0"/>
    <x v="0"/>
    <x v="0"/>
    <x v="0"/>
  </r>
  <r>
    <x v="361"/>
    <x v="0"/>
    <x v="2"/>
    <x v="2"/>
    <n v="98.8"/>
    <x v="52"/>
    <x v="356"/>
    <x v="0"/>
    <x v="1"/>
    <x v="1"/>
    <x v="1"/>
  </r>
  <r>
    <x v="362"/>
    <x v="1"/>
    <x v="1"/>
    <x v="3"/>
    <n v="50.3"/>
    <x v="11"/>
    <x v="357"/>
    <x v="0"/>
    <x v="1"/>
    <x v="1"/>
    <x v="3"/>
  </r>
  <r>
    <x v="363"/>
    <x v="0"/>
    <x v="2"/>
    <x v="1"/>
    <n v="20.55"/>
    <x v="20"/>
    <x v="358"/>
    <x v="0"/>
    <x v="0"/>
    <x v="1"/>
    <x v="1"/>
  </r>
  <r>
    <x v="364"/>
    <x v="1"/>
    <x v="0"/>
    <x v="2"/>
    <n v="75.900000000000006"/>
    <x v="32"/>
    <x v="359"/>
    <x v="0"/>
    <x v="0"/>
    <x v="2"/>
    <x v="2"/>
  </r>
  <r>
    <x v="365"/>
    <x v="1"/>
    <x v="0"/>
    <x v="2"/>
    <n v="96.5"/>
    <x v="24"/>
    <x v="360"/>
    <x v="1"/>
    <x v="0"/>
    <x v="0"/>
    <x v="0"/>
  </r>
  <r>
    <x v="366"/>
    <x v="1"/>
    <x v="0"/>
    <x v="2"/>
    <n v="59.95"/>
    <x v="57"/>
    <x v="361"/>
    <x v="0"/>
    <x v="0"/>
    <x v="2"/>
    <x v="2"/>
  </r>
  <r>
    <x v="367"/>
    <x v="0"/>
    <x v="0"/>
    <x v="1"/>
    <n v="19.149999999999999"/>
    <x v="0"/>
    <x v="362"/>
    <x v="0"/>
    <x v="0"/>
    <x v="0"/>
    <x v="0"/>
  </r>
  <r>
    <x v="368"/>
    <x v="1"/>
    <x v="1"/>
    <x v="3"/>
    <n v="98.65"/>
    <x v="16"/>
    <x v="363"/>
    <x v="0"/>
    <x v="2"/>
    <x v="1"/>
    <x v="3"/>
  </r>
  <r>
    <x v="369"/>
    <x v="1"/>
    <x v="2"/>
    <x v="3"/>
    <n v="112.6"/>
    <x v="21"/>
    <x v="364"/>
    <x v="0"/>
    <x v="2"/>
    <x v="1"/>
    <x v="3"/>
  </r>
  <r>
    <x v="370"/>
    <x v="1"/>
    <x v="1"/>
    <x v="1"/>
    <n v="20.6"/>
    <x v="55"/>
    <x v="365"/>
    <x v="0"/>
    <x v="0"/>
    <x v="1"/>
    <x v="1"/>
  </r>
  <r>
    <x v="371"/>
    <x v="1"/>
    <x v="0"/>
    <x v="0"/>
    <n v="85.65"/>
    <x v="2"/>
    <x v="366"/>
    <x v="1"/>
    <x v="0"/>
    <x v="0"/>
    <x v="0"/>
  </r>
  <r>
    <x v="372"/>
    <x v="1"/>
    <x v="2"/>
    <x v="1"/>
    <n v="35.75"/>
    <x v="65"/>
    <x v="367"/>
    <x v="0"/>
    <x v="0"/>
    <x v="1"/>
    <x v="2"/>
  </r>
  <r>
    <x v="373"/>
    <x v="0"/>
    <x v="1"/>
    <x v="3"/>
    <n v="99.75"/>
    <x v="39"/>
    <x v="368"/>
    <x v="0"/>
    <x v="2"/>
    <x v="1"/>
    <x v="3"/>
  </r>
  <r>
    <x v="374"/>
    <x v="1"/>
    <x v="0"/>
    <x v="3"/>
    <n v="96.1"/>
    <x v="50"/>
    <x v="369"/>
    <x v="0"/>
    <x v="1"/>
    <x v="1"/>
    <x v="1"/>
  </r>
  <r>
    <x v="375"/>
    <x v="0"/>
    <x v="1"/>
    <x v="3"/>
    <n v="85.1"/>
    <x v="29"/>
    <x v="370"/>
    <x v="0"/>
    <x v="1"/>
    <x v="1"/>
    <x v="1"/>
  </r>
  <r>
    <x v="376"/>
    <x v="1"/>
    <x v="0"/>
    <x v="1"/>
    <n v="25.35"/>
    <x v="0"/>
    <x v="371"/>
    <x v="0"/>
    <x v="0"/>
    <x v="0"/>
    <x v="0"/>
  </r>
  <r>
    <x v="377"/>
    <x v="0"/>
    <x v="0"/>
    <x v="2"/>
    <n v="104.95"/>
    <x v="13"/>
    <x v="372"/>
    <x v="1"/>
    <x v="1"/>
    <x v="1"/>
    <x v="1"/>
  </r>
  <r>
    <x v="378"/>
    <x v="0"/>
    <x v="2"/>
    <x v="0"/>
    <n v="89.65"/>
    <x v="59"/>
    <x v="373"/>
    <x v="0"/>
    <x v="2"/>
    <x v="1"/>
    <x v="3"/>
  </r>
  <r>
    <x v="379"/>
    <x v="1"/>
    <x v="1"/>
    <x v="0"/>
    <n v="86.75"/>
    <x v="22"/>
    <x v="374"/>
    <x v="0"/>
    <x v="0"/>
    <x v="2"/>
    <x v="2"/>
  </r>
  <r>
    <x v="380"/>
    <x v="0"/>
    <x v="1"/>
    <x v="2"/>
    <n v="86.2"/>
    <x v="52"/>
    <x v="375"/>
    <x v="0"/>
    <x v="1"/>
    <x v="1"/>
    <x v="1"/>
  </r>
  <r>
    <x v="381"/>
    <x v="1"/>
    <x v="0"/>
    <x v="1"/>
    <n v="50.65"/>
    <x v="0"/>
    <x v="376"/>
    <x v="1"/>
    <x v="0"/>
    <x v="0"/>
    <x v="0"/>
  </r>
  <r>
    <x v="382"/>
    <x v="1"/>
    <x v="2"/>
    <x v="2"/>
    <n v="64.8"/>
    <x v="21"/>
    <x v="377"/>
    <x v="0"/>
    <x v="1"/>
    <x v="1"/>
    <x v="3"/>
  </r>
  <r>
    <x v="383"/>
    <x v="1"/>
    <x v="0"/>
    <x v="3"/>
    <n v="90.85"/>
    <x v="0"/>
    <x v="378"/>
    <x v="1"/>
    <x v="0"/>
    <x v="0"/>
    <x v="0"/>
  </r>
  <r>
    <x v="384"/>
    <x v="1"/>
    <x v="2"/>
    <x v="2"/>
    <n v="108.1"/>
    <x v="43"/>
    <x v="379"/>
    <x v="0"/>
    <x v="2"/>
    <x v="1"/>
    <x v="1"/>
  </r>
  <r>
    <x v="385"/>
    <x v="1"/>
    <x v="0"/>
    <x v="1"/>
    <n v="19.95"/>
    <x v="26"/>
    <x v="380"/>
    <x v="1"/>
    <x v="0"/>
    <x v="0"/>
    <x v="0"/>
  </r>
  <r>
    <x v="386"/>
    <x v="0"/>
    <x v="0"/>
    <x v="0"/>
    <n v="85.45"/>
    <x v="49"/>
    <x v="381"/>
    <x v="1"/>
    <x v="1"/>
    <x v="1"/>
    <x v="3"/>
  </r>
  <r>
    <x v="387"/>
    <x v="0"/>
    <x v="1"/>
    <x v="0"/>
    <n v="54.75"/>
    <x v="41"/>
    <x v="382"/>
    <x v="0"/>
    <x v="1"/>
    <x v="1"/>
    <x v="1"/>
  </r>
  <r>
    <x v="388"/>
    <x v="1"/>
    <x v="0"/>
    <x v="1"/>
    <n v="90.4"/>
    <x v="66"/>
    <x v="383"/>
    <x v="0"/>
    <x v="1"/>
    <x v="1"/>
    <x v="1"/>
  </r>
  <r>
    <x v="389"/>
    <x v="1"/>
    <x v="0"/>
    <x v="0"/>
    <n v="44"/>
    <x v="0"/>
    <x v="384"/>
    <x v="0"/>
    <x v="0"/>
    <x v="0"/>
    <x v="0"/>
  </r>
  <r>
    <x v="390"/>
    <x v="0"/>
    <x v="0"/>
    <x v="2"/>
    <n v="95.6"/>
    <x v="23"/>
    <x v="385"/>
    <x v="0"/>
    <x v="1"/>
    <x v="1"/>
    <x v="1"/>
  </r>
  <r>
    <x v="391"/>
    <x v="1"/>
    <x v="0"/>
    <x v="2"/>
    <n v="84.8"/>
    <x v="23"/>
    <x v="386"/>
    <x v="0"/>
    <x v="1"/>
    <x v="1"/>
    <x v="1"/>
  </r>
  <r>
    <x v="392"/>
    <x v="0"/>
    <x v="0"/>
    <x v="0"/>
    <n v="44.3"/>
    <x v="2"/>
    <x v="387"/>
    <x v="0"/>
    <x v="0"/>
    <x v="0"/>
    <x v="0"/>
  </r>
  <r>
    <x v="393"/>
    <x v="0"/>
    <x v="0"/>
    <x v="1"/>
    <n v="19.899999999999999"/>
    <x v="67"/>
    <x v="388"/>
    <x v="0"/>
    <x v="0"/>
    <x v="2"/>
    <x v="2"/>
  </r>
  <r>
    <x v="394"/>
    <x v="0"/>
    <x v="0"/>
    <x v="0"/>
    <n v="95.05"/>
    <x v="41"/>
    <x v="389"/>
    <x v="0"/>
    <x v="1"/>
    <x v="1"/>
    <x v="1"/>
  </r>
  <r>
    <x v="395"/>
    <x v="0"/>
    <x v="2"/>
    <x v="3"/>
    <n v="90.05"/>
    <x v="33"/>
    <x v="390"/>
    <x v="0"/>
    <x v="2"/>
    <x v="1"/>
    <x v="3"/>
  </r>
  <r>
    <x v="396"/>
    <x v="1"/>
    <x v="0"/>
    <x v="2"/>
    <n v="109.9"/>
    <x v="55"/>
    <x v="391"/>
    <x v="0"/>
    <x v="1"/>
    <x v="1"/>
    <x v="1"/>
  </r>
  <r>
    <x v="397"/>
    <x v="0"/>
    <x v="0"/>
    <x v="3"/>
    <n v="73.95"/>
    <x v="1"/>
    <x v="392"/>
    <x v="1"/>
    <x v="1"/>
    <x v="1"/>
    <x v="1"/>
  </r>
  <r>
    <x v="398"/>
    <x v="1"/>
    <x v="0"/>
    <x v="0"/>
    <n v="54.6"/>
    <x v="55"/>
    <x v="393"/>
    <x v="0"/>
    <x v="0"/>
    <x v="1"/>
    <x v="1"/>
  </r>
  <r>
    <x v="399"/>
    <x v="0"/>
    <x v="1"/>
    <x v="1"/>
    <n v="20.05"/>
    <x v="57"/>
    <x v="394"/>
    <x v="0"/>
    <x v="0"/>
    <x v="2"/>
    <x v="2"/>
  </r>
  <r>
    <x v="400"/>
    <x v="0"/>
    <x v="1"/>
    <x v="2"/>
    <n v="19.75"/>
    <x v="48"/>
    <x v="395"/>
    <x v="0"/>
    <x v="0"/>
    <x v="1"/>
    <x v="1"/>
  </r>
  <r>
    <x v="401"/>
    <x v="0"/>
    <x v="1"/>
    <x v="3"/>
    <n v="20.05"/>
    <x v="26"/>
    <x v="396"/>
    <x v="0"/>
    <x v="0"/>
    <x v="0"/>
    <x v="0"/>
  </r>
  <r>
    <x v="402"/>
    <x v="1"/>
    <x v="0"/>
    <x v="3"/>
    <n v="99.45"/>
    <x v="14"/>
    <x v="397"/>
    <x v="1"/>
    <x v="2"/>
    <x v="1"/>
    <x v="3"/>
  </r>
  <r>
    <x v="403"/>
    <x v="0"/>
    <x v="1"/>
    <x v="2"/>
    <n v="55.9"/>
    <x v="47"/>
    <x v="398"/>
    <x v="0"/>
    <x v="1"/>
    <x v="1"/>
    <x v="3"/>
  </r>
  <r>
    <x v="404"/>
    <x v="1"/>
    <x v="2"/>
    <x v="1"/>
    <n v="19.7"/>
    <x v="61"/>
    <x v="399"/>
    <x v="0"/>
    <x v="0"/>
    <x v="2"/>
    <x v="2"/>
  </r>
  <r>
    <x v="405"/>
    <x v="1"/>
    <x v="2"/>
    <x v="3"/>
    <n v="19.8"/>
    <x v="21"/>
    <x v="400"/>
    <x v="0"/>
    <x v="0"/>
    <x v="1"/>
    <x v="3"/>
  </r>
  <r>
    <x v="406"/>
    <x v="1"/>
    <x v="1"/>
    <x v="2"/>
    <n v="95.4"/>
    <x v="31"/>
    <x v="401"/>
    <x v="0"/>
    <x v="2"/>
    <x v="1"/>
    <x v="3"/>
  </r>
  <r>
    <x v="407"/>
    <x v="1"/>
    <x v="0"/>
    <x v="1"/>
    <n v="93.95"/>
    <x v="48"/>
    <x v="402"/>
    <x v="0"/>
    <x v="1"/>
    <x v="1"/>
    <x v="1"/>
  </r>
  <r>
    <x v="408"/>
    <x v="0"/>
    <x v="0"/>
    <x v="1"/>
    <n v="19.899999999999999"/>
    <x v="0"/>
    <x v="403"/>
    <x v="1"/>
    <x v="0"/>
    <x v="0"/>
    <x v="0"/>
  </r>
  <r>
    <x v="409"/>
    <x v="1"/>
    <x v="0"/>
    <x v="1"/>
    <n v="19.600000000000001"/>
    <x v="0"/>
    <x v="404"/>
    <x v="1"/>
    <x v="0"/>
    <x v="0"/>
    <x v="0"/>
  </r>
  <r>
    <x v="410"/>
    <x v="1"/>
    <x v="0"/>
    <x v="0"/>
    <n v="81.349999999999994"/>
    <x v="35"/>
    <x v="405"/>
    <x v="1"/>
    <x v="0"/>
    <x v="0"/>
    <x v="0"/>
  </r>
  <r>
    <x v="411"/>
    <x v="0"/>
    <x v="1"/>
    <x v="2"/>
    <n v="24.45"/>
    <x v="25"/>
    <x v="406"/>
    <x v="0"/>
    <x v="0"/>
    <x v="1"/>
    <x v="1"/>
  </r>
  <r>
    <x v="412"/>
    <x v="0"/>
    <x v="0"/>
    <x v="0"/>
    <n v="74.95"/>
    <x v="44"/>
    <x v="407"/>
    <x v="0"/>
    <x v="1"/>
    <x v="1"/>
    <x v="1"/>
  </r>
  <r>
    <x v="413"/>
    <x v="1"/>
    <x v="0"/>
    <x v="0"/>
    <n v="87.35"/>
    <x v="69"/>
    <x v="408"/>
    <x v="0"/>
    <x v="1"/>
    <x v="1"/>
    <x v="3"/>
  </r>
  <r>
    <x v="414"/>
    <x v="0"/>
    <x v="0"/>
    <x v="2"/>
    <n v="70.650000000000006"/>
    <x v="43"/>
    <x v="409"/>
    <x v="0"/>
    <x v="1"/>
    <x v="1"/>
    <x v="1"/>
  </r>
  <r>
    <x v="415"/>
    <x v="0"/>
    <x v="0"/>
    <x v="2"/>
    <n v="73.25"/>
    <x v="10"/>
    <x v="410"/>
    <x v="0"/>
    <x v="0"/>
    <x v="2"/>
    <x v="2"/>
  </r>
  <r>
    <x v="416"/>
    <x v="1"/>
    <x v="2"/>
    <x v="2"/>
    <n v="98.7"/>
    <x v="27"/>
    <x v="411"/>
    <x v="0"/>
    <x v="2"/>
    <x v="1"/>
    <x v="3"/>
  </r>
  <r>
    <x v="417"/>
    <x v="0"/>
    <x v="2"/>
    <x v="1"/>
    <n v="24.8"/>
    <x v="63"/>
    <x v="412"/>
    <x v="0"/>
    <x v="0"/>
    <x v="1"/>
    <x v="1"/>
  </r>
  <r>
    <x v="418"/>
    <x v="0"/>
    <x v="0"/>
    <x v="0"/>
    <n v="83.3"/>
    <x v="5"/>
    <x v="413"/>
    <x v="1"/>
    <x v="0"/>
    <x v="2"/>
    <x v="2"/>
  </r>
  <r>
    <x v="419"/>
    <x v="0"/>
    <x v="0"/>
    <x v="2"/>
    <n v="75.3"/>
    <x v="0"/>
    <x v="414"/>
    <x v="1"/>
    <x v="0"/>
    <x v="0"/>
    <x v="0"/>
  </r>
  <r>
    <x v="420"/>
    <x v="0"/>
    <x v="0"/>
    <x v="1"/>
    <n v="24.3"/>
    <x v="24"/>
    <x v="104"/>
    <x v="0"/>
    <x v="0"/>
    <x v="0"/>
    <x v="0"/>
  </r>
  <r>
    <x v="421"/>
    <x v="0"/>
    <x v="0"/>
    <x v="2"/>
    <n v="69.849999999999994"/>
    <x v="40"/>
    <x v="415"/>
    <x v="0"/>
    <x v="0"/>
    <x v="0"/>
    <x v="0"/>
  </r>
  <r>
    <x v="422"/>
    <x v="1"/>
    <x v="1"/>
    <x v="3"/>
    <n v="100.55"/>
    <x v="44"/>
    <x v="416"/>
    <x v="0"/>
    <x v="1"/>
    <x v="1"/>
    <x v="1"/>
  </r>
  <r>
    <x v="423"/>
    <x v="1"/>
    <x v="1"/>
    <x v="1"/>
    <n v="25.7"/>
    <x v="66"/>
    <x v="417"/>
    <x v="0"/>
    <x v="0"/>
    <x v="1"/>
    <x v="1"/>
  </r>
  <r>
    <x v="424"/>
    <x v="0"/>
    <x v="0"/>
    <x v="2"/>
    <n v="40.700000000000003"/>
    <x v="6"/>
    <x v="418"/>
    <x v="0"/>
    <x v="0"/>
    <x v="0"/>
    <x v="0"/>
  </r>
  <r>
    <x v="425"/>
    <x v="0"/>
    <x v="0"/>
    <x v="2"/>
    <n v="51.65"/>
    <x v="49"/>
    <x v="419"/>
    <x v="0"/>
    <x v="1"/>
    <x v="1"/>
    <x v="3"/>
  </r>
  <r>
    <x v="426"/>
    <x v="1"/>
    <x v="1"/>
    <x v="2"/>
    <n v="105.1"/>
    <x v="15"/>
    <x v="420"/>
    <x v="0"/>
    <x v="2"/>
    <x v="1"/>
    <x v="3"/>
  </r>
  <r>
    <x v="427"/>
    <x v="0"/>
    <x v="0"/>
    <x v="0"/>
    <n v="85.95"/>
    <x v="6"/>
    <x v="421"/>
    <x v="0"/>
    <x v="0"/>
    <x v="0"/>
    <x v="0"/>
  </r>
  <r>
    <x v="428"/>
    <x v="1"/>
    <x v="0"/>
    <x v="2"/>
    <n v="75.599999999999994"/>
    <x v="32"/>
    <x v="422"/>
    <x v="0"/>
    <x v="0"/>
    <x v="2"/>
    <x v="2"/>
  </r>
  <r>
    <x v="429"/>
    <x v="0"/>
    <x v="1"/>
    <x v="2"/>
    <n v="58.25"/>
    <x v="47"/>
    <x v="423"/>
    <x v="0"/>
    <x v="1"/>
    <x v="1"/>
    <x v="3"/>
  </r>
  <r>
    <x v="430"/>
    <x v="0"/>
    <x v="0"/>
    <x v="1"/>
    <n v="19.399999999999999"/>
    <x v="59"/>
    <x v="424"/>
    <x v="1"/>
    <x v="0"/>
    <x v="1"/>
    <x v="3"/>
  </r>
  <r>
    <x v="431"/>
    <x v="0"/>
    <x v="2"/>
    <x v="3"/>
    <n v="65.2"/>
    <x v="21"/>
    <x v="425"/>
    <x v="0"/>
    <x v="1"/>
    <x v="1"/>
    <x v="3"/>
  </r>
  <r>
    <x v="432"/>
    <x v="1"/>
    <x v="0"/>
    <x v="0"/>
    <n v="53.45"/>
    <x v="2"/>
    <x v="426"/>
    <x v="0"/>
    <x v="0"/>
    <x v="0"/>
    <x v="0"/>
  </r>
  <r>
    <x v="433"/>
    <x v="1"/>
    <x v="0"/>
    <x v="2"/>
    <n v="45.4"/>
    <x v="18"/>
    <x v="427"/>
    <x v="1"/>
    <x v="0"/>
    <x v="2"/>
    <x v="0"/>
  </r>
  <r>
    <x v="434"/>
    <x v="1"/>
    <x v="2"/>
    <x v="0"/>
    <n v="19.75"/>
    <x v="52"/>
    <x v="428"/>
    <x v="0"/>
    <x v="0"/>
    <x v="1"/>
    <x v="1"/>
  </r>
  <r>
    <x v="435"/>
    <x v="0"/>
    <x v="0"/>
    <x v="3"/>
    <n v="44.45"/>
    <x v="70"/>
    <x v="429"/>
    <x v="0"/>
    <x v="0"/>
    <x v="1"/>
    <x v="1"/>
  </r>
  <r>
    <x v="436"/>
    <x v="1"/>
    <x v="1"/>
    <x v="2"/>
    <n v="20.85"/>
    <x v="51"/>
    <x v="430"/>
    <x v="0"/>
    <x v="0"/>
    <x v="1"/>
    <x v="1"/>
  </r>
  <r>
    <x v="437"/>
    <x v="1"/>
    <x v="2"/>
    <x v="3"/>
    <n v="114.05"/>
    <x v="21"/>
    <x v="431"/>
    <x v="0"/>
    <x v="2"/>
    <x v="1"/>
    <x v="3"/>
  </r>
  <r>
    <x v="438"/>
    <x v="1"/>
    <x v="0"/>
    <x v="2"/>
    <n v="89.85"/>
    <x v="42"/>
    <x v="432"/>
    <x v="0"/>
    <x v="1"/>
    <x v="1"/>
    <x v="1"/>
  </r>
  <r>
    <x v="439"/>
    <x v="1"/>
    <x v="0"/>
    <x v="1"/>
    <n v="55.05"/>
    <x v="0"/>
    <x v="433"/>
    <x v="0"/>
    <x v="0"/>
    <x v="0"/>
    <x v="0"/>
  </r>
  <r>
    <x v="440"/>
    <x v="0"/>
    <x v="0"/>
    <x v="0"/>
    <n v="112.95"/>
    <x v="10"/>
    <x v="434"/>
    <x v="0"/>
    <x v="0"/>
    <x v="2"/>
    <x v="2"/>
  </r>
  <r>
    <x v="441"/>
    <x v="0"/>
    <x v="0"/>
    <x v="3"/>
    <n v="101.55"/>
    <x v="12"/>
    <x v="435"/>
    <x v="0"/>
    <x v="1"/>
    <x v="1"/>
    <x v="3"/>
  </r>
  <r>
    <x v="442"/>
    <x v="0"/>
    <x v="1"/>
    <x v="1"/>
    <n v="114.65"/>
    <x v="68"/>
    <x v="436"/>
    <x v="0"/>
    <x v="2"/>
    <x v="1"/>
    <x v="3"/>
  </r>
  <r>
    <x v="443"/>
    <x v="0"/>
    <x v="0"/>
    <x v="0"/>
    <n v="64.8"/>
    <x v="32"/>
    <x v="437"/>
    <x v="0"/>
    <x v="0"/>
    <x v="2"/>
    <x v="2"/>
  </r>
  <r>
    <x v="444"/>
    <x v="0"/>
    <x v="0"/>
    <x v="0"/>
    <n v="80.400000000000006"/>
    <x v="51"/>
    <x v="438"/>
    <x v="0"/>
    <x v="1"/>
    <x v="1"/>
    <x v="1"/>
  </r>
  <r>
    <x v="445"/>
    <x v="0"/>
    <x v="0"/>
    <x v="0"/>
    <n v="105.9"/>
    <x v="31"/>
    <x v="439"/>
    <x v="1"/>
    <x v="2"/>
    <x v="1"/>
    <x v="3"/>
  </r>
  <r>
    <x v="446"/>
    <x v="0"/>
    <x v="0"/>
    <x v="1"/>
    <n v="69.55"/>
    <x v="0"/>
    <x v="440"/>
    <x v="1"/>
    <x v="0"/>
    <x v="0"/>
    <x v="0"/>
  </r>
  <r>
    <x v="447"/>
    <x v="0"/>
    <x v="2"/>
    <x v="2"/>
    <n v="25.05"/>
    <x v="15"/>
    <x v="441"/>
    <x v="0"/>
    <x v="0"/>
    <x v="1"/>
    <x v="3"/>
  </r>
  <r>
    <x v="448"/>
    <x v="1"/>
    <x v="0"/>
    <x v="0"/>
    <n v="94.75"/>
    <x v="4"/>
    <x v="442"/>
    <x v="0"/>
    <x v="0"/>
    <x v="0"/>
    <x v="0"/>
  </r>
  <r>
    <x v="449"/>
    <x v="1"/>
    <x v="2"/>
    <x v="2"/>
    <n v="105.5"/>
    <x v="21"/>
    <x v="443"/>
    <x v="0"/>
    <x v="2"/>
    <x v="1"/>
    <x v="3"/>
  </r>
  <r>
    <x v="450"/>
    <x v="0"/>
    <x v="1"/>
    <x v="1"/>
    <n v="24.7"/>
    <x v="38"/>
    <x v="444"/>
    <x v="0"/>
    <x v="0"/>
    <x v="1"/>
    <x v="3"/>
  </r>
  <r>
    <x v="451"/>
    <x v="0"/>
    <x v="0"/>
    <x v="1"/>
    <n v="69.75"/>
    <x v="5"/>
    <x v="445"/>
    <x v="0"/>
    <x v="0"/>
    <x v="2"/>
    <x v="2"/>
  </r>
  <r>
    <x v="452"/>
    <x v="1"/>
    <x v="0"/>
    <x v="2"/>
    <n v="60.2"/>
    <x v="31"/>
    <x v="446"/>
    <x v="0"/>
    <x v="1"/>
    <x v="1"/>
    <x v="3"/>
  </r>
  <r>
    <x v="453"/>
    <x v="0"/>
    <x v="0"/>
    <x v="0"/>
    <n v="81.05"/>
    <x v="7"/>
    <x v="447"/>
    <x v="1"/>
    <x v="1"/>
    <x v="1"/>
    <x v="1"/>
  </r>
  <r>
    <x v="454"/>
    <x v="0"/>
    <x v="2"/>
    <x v="1"/>
    <n v="24.4"/>
    <x v="59"/>
    <x v="448"/>
    <x v="0"/>
    <x v="0"/>
    <x v="1"/>
    <x v="3"/>
  </r>
  <r>
    <x v="455"/>
    <x v="0"/>
    <x v="0"/>
    <x v="0"/>
    <n v="104.15"/>
    <x v="65"/>
    <x v="449"/>
    <x v="0"/>
    <x v="1"/>
    <x v="1"/>
    <x v="2"/>
  </r>
  <r>
    <x v="456"/>
    <x v="1"/>
    <x v="1"/>
    <x v="2"/>
    <n v="92.9"/>
    <x v="7"/>
    <x v="450"/>
    <x v="0"/>
    <x v="1"/>
    <x v="1"/>
    <x v="1"/>
  </r>
  <r>
    <x v="457"/>
    <x v="0"/>
    <x v="2"/>
    <x v="2"/>
    <n v="80.8"/>
    <x v="19"/>
    <x v="451"/>
    <x v="0"/>
    <x v="1"/>
    <x v="1"/>
    <x v="1"/>
  </r>
  <r>
    <x v="458"/>
    <x v="1"/>
    <x v="0"/>
    <x v="1"/>
    <n v="20"/>
    <x v="2"/>
    <x v="452"/>
    <x v="0"/>
    <x v="0"/>
    <x v="0"/>
    <x v="0"/>
  </r>
  <r>
    <x v="459"/>
    <x v="1"/>
    <x v="0"/>
    <x v="0"/>
    <n v="75.099999999999994"/>
    <x v="0"/>
    <x v="453"/>
    <x v="0"/>
    <x v="0"/>
    <x v="0"/>
    <x v="0"/>
  </r>
  <r>
    <x v="460"/>
    <x v="1"/>
    <x v="0"/>
    <x v="1"/>
    <n v="19.649999999999999"/>
    <x v="53"/>
    <x v="454"/>
    <x v="0"/>
    <x v="0"/>
    <x v="0"/>
    <x v="0"/>
  </r>
  <r>
    <x v="461"/>
    <x v="0"/>
    <x v="0"/>
    <x v="2"/>
    <n v="69.45"/>
    <x v="65"/>
    <x v="455"/>
    <x v="0"/>
    <x v="0"/>
    <x v="1"/>
    <x v="2"/>
  </r>
  <r>
    <x v="462"/>
    <x v="1"/>
    <x v="0"/>
    <x v="0"/>
    <n v="101.15"/>
    <x v="54"/>
    <x v="456"/>
    <x v="1"/>
    <x v="0"/>
    <x v="0"/>
    <x v="0"/>
  </r>
  <r>
    <x v="463"/>
    <x v="1"/>
    <x v="0"/>
    <x v="0"/>
    <n v="99.8"/>
    <x v="40"/>
    <x v="457"/>
    <x v="1"/>
    <x v="0"/>
    <x v="0"/>
    <x v="0"/>
  </r>
  <r>
    <x v="464"/>
    <x v="1"/>
    <x v="2"/>
    <x v="2"/>
    <n v="116.05"/>
    <x v="21"/>
    <x v="458"/>
    <x v="0"/>
    <x v="2"/>
    <x v="1"/>
    <x v="3"/>
  </r>
  <r>
    <x v="465"/>
    <x v="1"/>
    <x v="2"/>
    <x v="1"/>
    <n v="40.049999999999997"/>
    <x v="27"/>
    <x v="459"/>
    <x v="0"/>
    <x v="1"/>
    <x v="1"/>
    <x v="3"/>
  </r>
  <r>
    <x v="466"/>
    <x v="1"/>
    <x v="2"/>
    <x v="0"/>
    <n v="102.1"/>
    <x v="38"/>
    <x v="460"/>
    <x v="0"/>
    <x v="2"/>
    <x v="1"/>
    <x v="3"/>
  </r>
  <r>
    <x v="467"/>
    <x v="1"/>
    <x v="1"/>
    <x v="0"/>
    <n v="89.7"/>
    <x v="21"/>
    <x v="461"/>
    <x v="0"/>
    <x v="2"/>
    <x v="1"/>
    <x v="3"/>
  </r>
  <r>
    <x v="468"/>
    <x v="0"/>
    <x v="2"/>
    <x v="1"/>
    <n v="19.899999999999999"/>
    <x v="66"/>
    <x v="462"/>
    <x v="0"/>
    <x v="0"/>
    <x v="1"/>
    <x v="1"/>
  </r>
  <r>
    <x v="469"/>
    <x v="0"/>
    <x v="0"/>
    <x v="0"/>
    <n v="55.95"/>
    <x v="9"/>
    <x v="463"/>
    <x v="1"/>
    <x v="0"/>
    <x v="2"/>
    <x v="2"/>
  </r>
  <r>
    <x v="470"/>
    <x v="0"/>
    <x v="1"/>
    <x v="1"/>
    <n v="20.65"/>
    <x v="22"/>
    <x v="464"/>
    <x v="0"/>
    <x v="0"/>
    <x v="2"/>
    <x v="2"/>
  </r>
  <r>
    <x v="471"/>
    <x v="1"/>
    <x v="0"/>
    <x v="0"/>
    <n v="55"/>
    <x v="0"/>
    <x v="465"/>
    <x v="1"/>
    <x v="0"/>
    <x v="0"/>
    <x v="0"/>
  </r>
  <r>
    <x v="472"/>
    <x v="1"/>
    <x v="0"/>
    <x v="1"/>
    <n v="70.05"/>
    <x v="34"/>
    <x v="466"/>
    <x v="0"/>
    <x v="0"/>
    <x v="0"/>
    <x v="0"/>
  </r>
  <r>
    <x v="473"/>
    <x v="1"/>
    <x v="0"/>
    <x v="1"/>
    <n v="53.6"/>
    <x v="65"/>
    <x v="467"/>
    <x v="0"/>
    <x v="0"/>
    <x v="1"/>
    <x v="2"/>
  </r>
  <r>
    <x v="474"/>
    <x v="0"/>
    <x v="0"/>
    <x v="0"/>
    <n v="74.7"/>
    <x v="0"/>
    <x v="91"/>
    <x v="1"/>
    <x v="0"/>
    <x v="0"/>
    <x v="0"/>
  </r>
  <r>
    <x v="475"/>
    <x v="1"/>
    <x v="0"/>
    <x v="0"/>
    <n v="80.25"/>
    <x v="65"/>
    <x v="468"/>
    <x v="1"/>
    <x v="0"/>
    <x v="1"/>
    <x v="2"/>
  </r>
  <r>
    <x v="476"/>
    <x v="1"/>
    <x v="0"/>
    <x v="0"/>
    <n v="76.05"/>
    <x v="42"/>
    <x v="469"/>
    <x v="0"/>
    <x v="1"/>
    <x v="1"/>
    <x v="1"/>
  </r>
  <r>
    <x v="477"/>
    <x v="0"/>
    <x v="0"/>
    <x v="0"/>
    <n v="75.7"/>
    <x v="40"/>
    <x v="470"/>
    <x v="0"/>
    <x v="0"/>
    <x v="0"/>
    <x v="0"/>
  </r>
  <r>
    <x v="478"/>
    <x v="1"/>
    <x v="0"/>
    <x v="0"/>
    <n v="96.1"/>
    <x v="24"/>
    <x v="471"/>
    <x v="1"/>
    <x v="0"/>
    <x v="0"/>
    <x v="0"/>
  </r>
  <r>
    <x v="479"/>
    <x v="0"/>
    <x v="0"/>
    <x v="2"/>
    <n v="69"/>
    <x v="30"/>
    <x v="472"/>
    <x v="1"/>
    <x v="0"/>
    <x v="2"/>
    <x v="2"/>
  </r>
  <r>
    <x v="480"/>
    <x v="1"/>
    <x v="2"/>
    <x v="1"/>
    <n v="19.649999999999999"/>
    <x v="26"/>
    <x v="473"/>
    <x v="0"/>
    <x v="0"/>
    <x v="0"/>
    <x v="0"/>
  </r>
  <r>
    <x v="481"/>
    <x v="0"/>
    <x v="0"/>
    <x v="2"/>
    <n v="45.3"/>
    <x v="43"/>
    <x v="474"/>
    <x v="1"/>
    <x v="1"/>
    <x v="1"/>
    <x v="1"/>
  </r>
  <r>
    <x v="482"/>
    <x v="0"/>
    <x v="0"/>
    <x v="0"/>
    <n v="81.45"/>
    <x v="61"/>
    <x v="475"/>
    <x v="0"/>
    <x v="0"/>
    <x v="2"/>
    <x v="2"/>
  </r>
  <r>
    <x v="483"/>
    <x v="0"/>
    <x v="1"/>
    <x v="2"/>
    <n v="108.5"/>
    <x v="21"/>
    <x v="476"/>
    <x v="0"/>
    <x v="2"/>
    <x v="1"/>
    <x v="3"/>
  </r>
  <r>
    <x v="484"/>
    <x v="0"/>
    <x v="0"/>
    <x v="0"/>
    <n v="83.55"/>
    <x v="4"/>
    <x v="477"/>
    <x v="1"/>
    <x v="0"/>
    <x v="0"/>
    <x v="0"/>
  </r>
  <r>
    <x v="485"/>
    <x v="1"/>
    <x v="2"/>
    <x v="3"/>
    <n v="84.5"/>
    <x v="21"/>
    <x v="478"/>
    <x v="0"/>
    <x v="2"/>
    <x v="1"/>
    <x v="3"/>
  </r>
  <r>
    <x v="486"/>
    <x v="0"/>
    <x v="0"/>
    <x v="0"/>
    <n v="100.15"/>
    <x v="30"/>
    <x v="479"/>
    <x v="0"/>
    <x v="0"/>
    <x v="2"/>
    <x v="2"/>
  </r>
  <r>
    <x v="487"/>
    <x v="1"/>
    <x v="2"/>
    <x v="2"/>
    <n v="88.6"/>
    <x v="21"/>
    <x v="480"/>
    <x v="0"/>
    <x v="2"/>
    <x v="1"/>
    <x v="3"/>
  </r>
  <r>
    <x v="488"/>
    <x v="1"/>
    <x v="0"/>
    <x v="0"/>
    <n v="74.349999999999994"/>
    <x v="0"/>
    <x v="481"/>
    <x v="1"/>
    <x v="0"/>
    <x v="0"/>
    <x v="0"/>
  </r>
  <r>
    <x v="489"/>
    <x v="1"/>
    <x v="2"/>
    <x v="2"/>
    <n v="104.8"/>
    <x v="28"/>
    <x v="482"/>
    <x v="0"/>
    <x v="2"/>
    <x v="1"/>
    <x v="3"/>
  </r>
  <r>
    <x v="490"/>
    <x v="0"/>
    <x v="0"/>
    <x v="0"/>
    <n v="59"/>
    <x v="2"/>
    <x v="483"/>
    <x v="0"/>
    <x v="0"/>
    <x v="0"/>
    <x v="0"/>
  </r>
  <r>
    <x v="491"/>
    <x v="0"/>
    <x v="0"/>
    <x v="0"/>
    <n v="74.400000000000006"/>
    <x v="2"/>
    <x v="484"/>
    <x v="1"/>
    <x v="0"/>
    <x v="0"/>
    <x v="0"/>
  </r>
  <r>
    <x v="492"/>
    <x v="1"/>
    <x v="1"/>
    <x v="2"/>
    <n v="64.05"/>
    <x v="59"/>
    <x v="485"/>
    <x v="0"/>
    <x v="1"/>
    <x v="1"/>
    <x v="3"/>
  </r>
  <r>
    <x v="493"/>
    <x v="1"/>
    <x v="0"/>
    <x v="1"/>
    <n v="20.399999999999999"/>
    <x v="0"/>
    <x v="486"/>
    <x v="0"/>
    <x v="0"/>
    <x v="0"/>
    <x v="0"/>
  </r>
  <r>
    <x v="494"/>
    <x v="1"/>
    <x v="1"/>
    <x v="2"/>
    <n v="43.75"/>
    <x v="5"/>
    <x v="487"/>
    <x v="1"/>
    <x v="0"/>
    <x v="2"/>
    <x v="2"/>
  </r>
  <r>
    <x v="495"/>
    <x v="1"/>
    <x v="0"/>
    <x v="1"/>
    <n v="60.9"/>
    <x v="7"/>
    <x v="488"/>
    <x v="0"/>
    <x v="0"/>
    <x v="1"/>
    <x v="1"/>
  </r>
  <r>
    <x v="496"/>
    <x v="0"/>
    <x v="2"/>
    <x v="2"/>
    <n v="19.8"/>
    <x v="27"/>
    <x v="489"/>
    <x v="0"/>
    <x v="0"/>
    <x v="1"/>
    <x v="3"/>
  </r>
  <r>
    <x v="497"/>
    <x v="0"/>
    <x v="0"/>
    <x v="0"/>
    <n v="28.45"/>
    <x v="24"/>
    <x v="490"/>
    <x v="1"/>
    <x v="0"/>
    <x v="0"/>
    <x v="0"/>
  </r>
  <r>
    <x v="498"/>
    <x v="0"/>
    <x v="0"/>
    <x v="2"/>
    <n v="99.7"/>
    <x v="18"/>
    <x v="491"/>
    <x v="1"/>
    <x v="0"/>
    <x v="2"/>
    <x v="0"/>
  </r>
  <r>
    <x v="499"/>
    <x v="1"/>
    <x v="1"/>
    <x v="3"/>
    <n v="116.25"/>
    <x v="1"/>
    <x v="492"/>
    <x v="0"/>
    <x v="1"/>
    <x v="1"/>
    <x v="1"/>
  </r>
  <r>
    <x v="500"/>
    <x v="0"/>
    <x v="2"/>
    <x v="3"/>
    <n v="80.7"/>
    <x v="16"/>
    <x v="493"/>
    <x v="0"/>
    <x v="2"/>
    <x v="1"/>
    <x v="3"/>
  </r>
  <r>
    <x v="501"/>
    <x v="0"/>
    <x v="1"/>
    <x v="2"/>
    <n v="65.2"/>
    <x v="27"/>
    <x v="494"/>
    <x v="0"/>
    <x v="1"/>
    <x v="1"/>
    <x v="3"/>
  </r>
  <r>
    <x v="502"/>
    <x v="0"/>
    <x v="0"/>
    <x v="2"/>
    <n v="84.05"/>
    <x v="15"/>
    <x v="495"/>
    <x v="0"/>
    <x v="1"/>
    <x v="1"/>
    <x v="3"/>
  </r>
  <r>
    <x v="503"/>
    <x v="1"/>
    <x v="2"/>
    <x v="3"/>
    <n v="79.45"/>
    <x v="14"/>
    <x v="496"/>
    <x v="0"/>
    <x v="2"/>
    <x v="1"/>
    <x v="3"/>
  </r>
  <r>
    <x v="504"/>
    <x v="0"/>
    <x v="0"/>
    <x v="0"/>
    <n v="94.1"/>
    <x v="61"/>
    <x v="497"/>
    <x v="1"/>
    <x v="0"/>
    <x v="2"/>
    <x v="2"/>
  </r>
  <r>
    <x v="505"/>
    <x v="1"/>
    <x v="0"/>
    <x v="1"/>
    <n v="78"/>
    <x v="26"/>
    <x v="367"/>
    <x v="0"/>
    <x v="0"/>
    <x v="0"/>
    <x v="0"/>
  </r>
  <r>
    <x v="506"/>
    <x v="1"/>
    <x v="0"/>
    <x v="0"/>
    <n v="94.2"/>
    <x v="2"/>
    <x v="498"/>
    <x v="1"/>
    <x v="0"/>
    <x v="0"/>
    <x v="0"/>
  </r>
  <r>
    <x v="507"/>
    <x v="0"/>
    <x v="0"/>
    <x v="0"/>
    <n v="80.5"/>
    <x v="53"/>
    <x v="499"/>
    <x v="1"/>
    <x v="0"/>
    <x v="0"/>
    <x v="0"/>
  </r>
  <r>
    <x v="508"/>
    <x v="0"/>
    <x v="0"/>
    <x v="1"/>
    <n v="19.850000000000001"/>
    <x v="0"/>
    <x v="500"/>
    <x v="0"/>
    <x v="0"/>
    <x v="0"/>
    <x v="0"/>
  </r>
  <r>
    <x v="509"/>
    <x v="1"/>
    <x v="1"/>
    <x v="3"/>
    <n v="94.3"/>
    <x v="61"/>
    <x v="501"/>
    <x v="0"/>
    <x v="0"/>
    <x v="2"/>
    <x v="2"/>
  </r>
  <r>
    <x v="510"/>
    <x v="1"/>
    <x v="0"/>
    <x v="0"/>
    <n v="106.45"/>
    <x v="59"/>
    <x v="502"/>
    <x v="0"/>
    <x v="2"/>
    <x v="1"/>
    <x v="3"/>
  </r>
  <r>
    <x v="511"/>
    <x v="0"/>
    <x v="0"/>
    <x v="0"/>
    <n v="74.349999999999994"/>
    <x v="24"/>
    <x v="503"/>
    <x v="1"/>
    <x v="0"/>
    <x v="0"/>
    <x v="0"/>
  </r>
  <r>
    <x v="512"/>
    <x v="0"/>
    <x v="0"/>
    <x v="2"/>
    <n v="105.45"/>
    <x v="39"/>
    <x v="504"/>
    <x v="0"/>
    <x v="2"/>
    <x v="1"/>
    <x v="3"/>
  </r>
  <r>
    <x v="513"/>
    <x v="1"/>
    <x v="0"/>
    <x v="3"/>
    <n v="95"/>
    <x v="19"/>
    <x v="505"/>
    <x v="0"/>
    <x v="1"/>
    <x v="1"/>
    <x v="1"/>
  </r>
  <r>
    <x v="514"/>
    <x v="1"/>
    <x v="0"/>
    <x v="2"/>
    <n v="104.8"/>
    <x v="63"/>
    <x v="506"/>
    <x v="1"/>
    <x v="1"/>
    <x v="1"/>
    <x v="1"/>
  </r>
  <r>
    <x v="515"/>
    <x v="0"/>
    <x v="1"/>
    <x v="1"/>
    <n v="54.3"/>
    <x v="7"/>
    <x v="507"/>
    <x v="0"/>
    <x v="0"/>
    <x v="1"/>
    <x v="1"/>
  </r>
  <r>
    <x v="516"/>
    <x v="0"/>
    <x v="0"/>
    <x v="0"/>
    <n v="70.05"/>
    <x v="24"/>
    <x v="508"/>
    <x v="0"/>
    <x v="0"/>
    <x v="0"/>
    <x v="0"/>
  </r>
  <r>
    <x v="517"/>
    <x v="0"/>
    <x v="0"/>
    <x v="2"/>
    <n v="75.2"/>
    <x v="23"/>
    <x v="509"/>
    <x v="1"/>
    <x v="1"/>
    <x v="1"/>
    <x v="1"/>
  </r>
  <r>
    <x v="518"/>
    <x v="1"/>
    <x v="0"/>
    <x v="3"/>
    <n v="20.05"/>
    <x v="18"/>
    <x v="510"/>
    <x v="0"/>
    <x v="0"/>
    <x v="2"/>
    <x v="0"/>
  </r>
  <r>
    <x v="519"/>
    <x v="1"/>
    <x v="1"/>
    <x v="0"/>
    <n v="105.4"/>
    <x v="56"/>
    <x v="511"/>
    <x v="0"/>
    <x v="2"/>
    <x v="1"/>
    <x v="3"/>
  </r>
  <r>
    <x v="520"/>
    <x v="1"/>
    <x v="0"/>
    <x v="0"/>
    <n v="51.6"/>
    <x v="44"/>
    <x v="512"/>
    <x v="0"/>
    <x v="0"/>
    <x v="1"/>
    <x v="1"/>
  </r>
  <r>
    <x v="521"/>
    <x v="1"/>
    <x v="0"/>
    <x v="2"/>
    <n v="85.5"/>
    <x v="49"/>
    <x v="513"/>
    <x v="0"/>
    <x v="1"/>
    <x v="1"/>
    <x v="3"/>
  </r>
  <r>
    <x v="522"/>
    <x v="0"/>
    <x v="0"/>
    <x v="2"/>
    <n v="75.599999999999994"/>
    <x v="57"/>
    <x v="514"/>
    <x v="1"/>
    <x v="0"/>
    <x v="2"/>
    <x v="2"/>
  </r>
  <r>
    <x v="523"/>
    <x v="1"/>
    <x v="0"/>
    <x v="0"/>
    <n v="100.05"/>
    <x v="1"/>
    <x v="515"/>
    <x v="1"/>
    <x v="1"/>
    <x v="1"/>
    <x v="1"/>
  </r>
  <r>
    <x v="524"/>
    <x v="1"/>
    <x v="1"/>
    <x v="0"/>
    <n v="91.25"/>
    <x v="15"/>
    <x v="516"/>
    <x v="0"/>
    <x v="1"/>
    <x v="1"/>
    <x v="3"/>
  </r>
  <r>
    <x v="525"/>
    <x v="1"/>
    <x v="2"/>
    <x v="3"/>
    <n v="115.75"/>
    <x v="21"/>
    <x v="517"/>
    <x v="0"/>
    <x v="2"/>
    <x v="1"/>
    <x v="3"/>
  </r>
  <r>
    <x v="526"/>
    <x v="1"/>
    <x v="1"/>
    <x v="3"/>
    <n v="94.7"/>
    <x v="11"/>
    <x v="518"/>
    <x v="0"/>
    <x v="2"/>
    <x v="1"/>
    <x v="3"/>
  </r>
  <r>
    <x v="527"/>
    <x v="1"/>
    <x v="2"/>
    <x v="1"/>
    <n v="19.600000000000001"/>
    <x v="42"/>
    <x v="519"/>
    <x v="0"/>
    <x v="0"/>
    <x v="1"/>
    <x v="1"/>
  </r>
  <r>
    <x v="528"/>
    <x v="0"/>
    <x v="2"/>
    <x v="2"/>
    <n v="99.9"/>
    <x v="39"/>
    <x v="520"/>
    <x v="0"/>
    <x v="2"/>
    <x v="1"/>
    <x v="3"/>
  </r>
  <r>
    <x v="529"/>
    <x v="0"/>
    <x v="2"/>
    <x v="3"/>
    <n v="21.1"/>
    <x v="65"/>
    <x v="521"/>
    <x v="0"/>
    <x v="0"/>
    <x v="1"/>
    <x v="2"/>
  </r>
  <r>
    <x v="530"/>
    <x v="1"/>
    <x v="2"/>
    <x v="3"/>
    <n v="20.05"/>
    <x v="27"/>
    <x v="522"/>
    <x v="0"/>
    <x v="0"/>
    <x v="1"/>
    <x v="3"/>
  </r>
  <r>
    <x v="531"/>
    <x v="1"/>
    <x v="0"/>
    <x v="0"/>
    <n v="79.95"/>
    <x v="2"/>
    <x v="523"/>
    <x v="0"/>
    <x v="0"/>
    <x v="0"/>
    <x v="0"/>
  </r>
  <r>
    <x v="532"/>
    <x v="1"/>
    <x v="1"/>
    <x v="3"/>
    <n v="107.15"/>
    <x v="47"/>
    <x v="524"/>
    <x v="0"/>
    <x v="2"/>
    <x v="1"/>
    <x v="3"/>
  </r>
  <r>
    <x v="533"/>
    <x v="0"/>
    <x v="0"/>
    <x v="0"/>
    <n v="85"/>
    <x v="0"/>
    <x v="525"/>
    <x v="1"/>
    <x v="0"/>
    <x v="0"/>
    <x v="0"/>
  </r>
  <r>
    <x v="534"/>
    <x v="1"/>
    <x v="0"/>
    <x v="0"/>
    <n v="89.55"/>
    <x v="18"/>
    <x v="526"/>
    <x v="0"/>
    <x v="0"/>
    <x v="2"/>
    <x v="0"/>
  </r>
  <r>
    <x v="535"/>
    <x v="0"/>
    <x v="0"/>
    <x v="2"/>
    <n v="81.55"/>
    <x v="28"/>
    <x v="527"/>
    <x v="0"/>
    <x v="2"/>
    <x v="1"/>
    <x v="3"/>
  </r>
  <r>
    <x v="536"/>
    <x v="0"/>
    <x v="1"/>
    <x v="1"/>
    <n v="58.45"/>
    <x v="55"/>
    <x v="528"/>
    <x v="0"/>
    <x v="0"/>
    <x v="1"/>
    <x v="1"/>
  </r>
  <r>
    <x v="537"/>
    <x v="0"/>
    <x v="1"/>
    <x v="3"/>
    <n v="95.65"/>
    <x v="14"/>
    <x v="529"/>
    <x v="0"/>
    <x v="2"/>
    <x v="1"/>
    <x v="3"/>
  </r>
  <r>
    <x v="538"/>
    <x v="0"/>
    <x v="2"/>
    <x v="2"/>
    <n v="80.599999999999994"/>
    <x v="31"/>
    <x v="530"/>
    <x v="0"/>
    <x v="1"/>
    <x v="1"/>
    <x v="3"/>
  </r>
  <r>
    <x v="539"/>
    <x v="0"/>
    <x v="2"/>
    <x v="2"/>
    <n v="113.1"/>
    <x v="21"/>
    <x v="531"/>
    <x v="0"/>
    <x v="2"/>
    <x v="1"/>
    <x v="3"/>
  </r>
  <r>
    <x v="540"/>
    <x v="0"/>
    <x v="0"/>
    <x v="1"/>
    <n v="58.95"/>
    <x v="26"/>
    <x v="532"/>
    <x v="0"/>
    <x v="0"/>
    <x v="0"/>
    <x v="0"/>
  </r>
  <r>
    <x v="541"/>
    <x v="0"/>
    <x v="0"/>
    <x v="1"/>
    <n v="19.55"/>
    <x v="0"/>
    <x v="533"/>
    <x v="0"/>
    <x v="0"/>
    <x v="0"/>
    <x v="0"/>
  </r>
  <r>
    <x v="542"/>
    <x v="1"/>
    <x v="0"/>
    <x v="2"/>
    <n v="86.05"/>
    <x v="6"/>
    <x v="534"/>
    <x v="1"/>
    <x v="0"/>
    <x v="0"/>
    <x v="0"/>
  </r>
  <r>
    <x v="543"/>
    <x v="1"/>
    <x v="0"/>
    <x v="3"/>
    <n v="45.55"/>
    <x v="9"/>
    <x v="535"/>
    <x v="1"/>
    <x v="0"/>
    <x v="2"/>
    <x v="2"/>
  </r>
  <r>
    <x v="544"/>
    <x v="1"/>
    <x v="1"/>
    <x v="2"/>
    <n v="78.95"/>
    <x v="1"/>
    <x v="536"/>
    <x v="0"/>
    <x v="1"/>
    <x v="1"/>
    <x v="1"/>
  </r>
  <r>
    <x v="545"/>
    <x v="1"/>
    <x v="0"/>
    <x v="1"/>
    <n v="86.3"/>
    <x v="71"/>
    <x v="537"/>
    <x v="1"/>
    <x v="1"/>
    <x v="1"/>
    <x v="1"/>
  </r>
  <r>
    <x v="546"/>
    <x v="0"/>
    <x v="1"/>
    <x v="2"/>
    <n v="105.05"/>
    <x v="45"/>
    <x v="538"/>
    <x v="0"/>
    <x v="2"/>
    <x v="1"/>
    <x v="3"/>
  </r>
  <r>
    <x v="547"/>
    <x v="1"/>
    <x v="1"/>
    <x v="2"/>
    <n v="101.9"/>
    <x v="37"/>
    <x v="539"/>
    <x v="0"/>
    <x v="2"/>
    <x v="1"/>
    <x v="3"/>
  </r>
  <r>
    <x v="548"/>
    <x v="1"/>
    <x v="0"/>
    <x v="1"/>
    <n v="19.75"/>
    <x v="30"/>
    <x v="540"/>
    <x v="0"/>
    <x v="0"/>
    <x v="2"/>
    <x v="2"/>
  </r>
  <r>
    <x v="549"/>
    <x v="1"/>
    <x v="2"/>
    <x v="2"/>
    <n v="110.3"/>
    <x v="21"/>
    <x v="541"/>
    <x v="0"/>
    <x v="2"/>
    <x v="1"/>
    <x v="3"/>
  </r>
  <r>
    <x v="550"/>
    <x v="0"/>
    <x v="2"/>
    <x v="2"/>
    <n v="115.6"/>
    <x v="21"/>
    <x v="542"/>
    <x v="0"/>
    <x v="2"/>
    <x v="1"/>
    <x v="3"/>
  </r>
  <r>
    <x v="551"/>
    <x v="1"/>
    <x v="2"/>
    <x v="2"/>
    <n v="19.350000000000001"/>
    <x v="49"/>
    <x v="543"/>
    <x v="0"/>
    <x v="0"/>
    <x v="1"/>
    <x v="3"/>
  </r>
  <r>
    <x v="552"/>
    <x v="0"/>
    <x v="2"/>
    <x v="3"/>
    <n v="25.6"/>
    <x v="57"/>
    <x v="544"/>
    <x v="0"/>
    <x v="0"/>
    <x v="2"/>
    <x v="2"/>
  </r>
  <r>
    <x v="553"/>
    <x v="1"/>
    <x v="0"/>
    <x v="2"/>
    <n v="80.349999999999994"/>
    <x v="48"/>
    <x v="545"/>
    <x v="1"/>
    <x v="1"/>
    <x v="1"/>
    <x v="1"/>
  </r>
  <r>
    <x v="554"/>
    <x v="0"/>
    <x v="1"/>
    <x v="2"/>
    <n v="68.75"/>
    <x v="39"/>
    <x v="546"/>
    <x v="0"/>
    <x v="1"/>
    <x v="1"/>
    <x v="3"/>
  </r>
  <r>
    <x v="555"/>
    <x v="0"/>
    <x v="0"/>
    <x v="2"/>
    <n v="19.899999999999999"/>
    <x v="0"/>
    <x v="403"/>
    <x v="0"/>
    <x v="0"/>
    <x v="0"/>
    <x v="0"/>
  </r>
  <r>
    <x v="556"/>
    <x v="1"/>
    <x v="1"/>
    <x v="1"/>
    <n v="70.599999999999994"/>
    <x v="46"/>
    <x v="547"/>
    <x v="0"/>
    <x v="1"/>
    <x v="1"/>
    <x v="1"/>
  </r>
  <r>
    <x v="557"/>
    <x v="1"/>
    <x v="0"/>
    <x v="0"/>
    <n v="70.2"/>
    <x v="26"/>
    <x v="548"/>
    <x v="0"/>
    <x v="0"/>
    <x v="0"/>
    <x v="0"/>
  </r>
  <r>
    <x v="558"/>
    <x v="1"/>
    <x v="0"/>
    <x v="0"/>
    <n v="49.3"/>
    <x v="0"/>
    <x v="549"/>
    <x v="0"/>
    <x v="0"/>
    <x v="0"/>
    <x v="0"/>
  </r>
  <r>
    <x v="559"/>
    <x v="1"/>
    <x v="1"/>
    <x v="0"/>
    <n v="107.25"/>
    <x v="39"/>
    <x v="550"/>
    <x v="0"/>
    <x v="2"/>
    <x v="1"/>
    <x v="3"/>
  </r>
  <r>
    <x v="560"/>
    <x v="1"/>
    <x v="0"/>
    <x v="1"/>
    <n v="23.6"/>
    <x v="35"/>
    <x v="551"/>
    <x v="0"/>
    <x v="0"/>
    <x v="0"/>
    <x v="0"/>
  </r>
  <r>
    <x v="561"/>
    <x v="1"/>
    <x v="0"/>
    <x v="3"/>
    <n v="69.7"/>
    <x v="40"/>
    <x v="552"/>
    <x v="0"/>
    <x v="0"/>
    <x v="0"/>
    <x v="0"/>
  </r>
  <r>
    <x v="562"/>
    <x v="1"/>
    <x v="2"/>
    <x v="3"/>
    <n v="99.5"/>
    <x v="64"/>
    <x v="553"/>
    <x v="0"/>
    <x v="2"/>
    <x v="1"/>
    <x v="3"/>
  </r>
  <r>
    <x v="563"/>
    <x v="1"/>
    <x v="0"/>
    <x v="2"/>
    <n v="64.3"/>
    <x v="40"/>
    <x v="554"/>
    <x v="0"/>
    <x v="0"/>
    <x v="0"/>
    <x v="0"/>
  </r>
  <r>
    <x v="564"/>
    <x v="1"/>
    <x v="2"/>
    <x v="3"/>
    <n v="70.849999999999994"/>
    <x v="16"/>
    <x v="555"/>
    <x v="0"/>
    <x v="2"/>
    <x v="1"/>
    <x v="3"/>
  </r>
  <r>
    <x v="565"/>
    <x v="1"/>
    <x v="1"/>
    <x v="0"/>
    <n v="101.9"/>
    <x v="30"/>
    <x v="556"/>
    <x v="0"/>
    <x v="0"/>
    <x v="2"/>
    <x v="2"/>
  </r>
  <r>
    <x v="566"/>
    <x v="1"/>
    <x v="2"/>
    <x v="3"/>
    <n v="73.5"/>
    <x v="16"/>
    <x v="557"/>
    <x v="0"/>
    <x v="2"/>
    <x v="1"/>
    <x v="3"/>
  </r>
  <r>
    <x v="567"/>
    <x v="0"/>
    <x v="0"/>
    <x v="0"/>
    <n v="100.25"/>
    <x v="42"/>
    <x v="558"/>
    <x v="1"/>
    <x v="1"/>
    <x v="1"/>
    <x v="1"/>
  </r>
  <r>
    <x v="568"/>
    <x v="0"/>
    <x v="1"/>
    <x v="3"/>
    <n v="40.4"/>
    <x v="26"/>
    <x v="559"/>
    <x v="0"/>
    <x v="0"/>
    <x v="0"/>
    <x v="0"/>
  </r>
  <r>
    <x v="569"/>
    <x v="0"/>
    <x v="2"/>
    <x v="3"/>
    <n v="19.25"/>
    <x v="31"/>
    <x v="560"/>
    <x v="0"/>
    <x v="0"/>
    <x v="1"/>
    <x v="3"/>
  </r>
  <r>
    <x v="570"/>
    <x v="1"/>
    <x v="2"/>
    <x v="2"/>
    <n v="59.6"/>
    <x v="20"/>
    <x v="561"/>
    <x v="0"/>
    <x v="1"/>
    <x v="1"/>
    <x v="1"/>
  </r>
  <r>
    <x v="571"/>
    <x v="0"/>
    <x v="1"/>
    <x v="3"/>
    <n v="64.900000000000006"/>
    <x v="26"/>
    <x v="562"/>
    <x v="0"/>
    <x v="0"/>
    <x v="0"/>
    <x v="0"/>
  </r>
  <r>
    <x v="572"/>
    <x v="1"/>
    <x v="1"/>
    <x v="3"/>
    <n v="100.3"/>
    <x v="39"/>
    <x v="563"/>
    <x v="1"/>
    <x v="2"/>
    <x v="1"/>
    <x v="3"/>
  </r>
  <r>
    <x v="573"/>
    <x v="0"/>
    <x v="0"/>
    <x v="0"/>
    <n v="110.85"/>
    <x v="7"/>
    <x v="564"/>
    <x v="0"/>
    <x v="1"/>
    <x v="1"/>
    <x v="1"/>
  </r>
  <r>
    <x v="574"/>
    <x v="1"/>
    <x v="2"/>
    <x v="1"/>
    <n v="81.05"/>
    <x v="59"/>
    <x v="565"/>
    <x v="0"/>
    <x v="1"/>
    <x v="1"/>
    <x v="3"/>
  </r>
  <r>
    <x v="575"/>
    <x v="1"/>
    <x v="1"/>
    <x v="2"/>
    <n v="98.05"/>
    <x v="36"/>
    <x v="566"/>
    <x v="0"/>
    <x v="1"/>
    <x v="1"/>
    <x v="1"/>
  </r>
  <r>
    <x v="576"/>
    <x v="1"/>
    <x v="0"/>
    <x v="0"/>
    <n v="70.5"/>
    <x v="34"/>
    <x v="567"/>
    <x v="0"/>
    <x v="0"/>
    <x v="0"/>
    <x v="0"/>
  </r>
  <r>
    <x v="577"/>
    <x v="1"/>
    <x v="0"/>
    <x v="0"/>
    <n v="94.55"/>
    <x v="42"/>
    <x v="568"/>
    <x v="0"/>
    <x v="1"/>
    <x v="1"/>
    <x v="1"/>
  </r>
  <r>
    <x v="578"/>
    <x v="1"/>
    <x v="0"/>
    <x v="1"/>
    <n v="19.649999999999999"/>
    <x v="2"/>
    <x v="569"/>
    <x v="0"/>
    <x v="0"/>
    <x v="0"/>
    <x v="0"/>
  </r>
  <r>
    <x v="579"/>
    <x v="0"/>
    <x v="0"/>
    <x v="1"/>
    <n v="19"/>
    <x v="18"/>
    <x v="570"/>
    <x v="1"/>
    <x v="0"/>
    <x v="2"/>
    <x v="0"/>
  </r>
  <r>
    <x v="580"/>
    <x v="0"/>
    <x v="0"/>
    <x v="1"/>
    <n v="75.3"/>
    <x v="0"/>
    <x v="414"/>
    <x v="1"/>
    <x v="0"/>
    <x v="0"/>
    <x v="0"/>
  </r>
  <r>
    <x v="581"/>
    <x v="0"/>
    <x v="0"/>
    <x v="0"/>
    <n v="89.2"/>
    <x v="54"/>
    <x v="571"/>
    <x v="1"/>
    <x v="0"/>
    <x v="0"/>
    <x v="0"/>
  </r>
  <r>
    <x v="582"/>
    <x v="0"/>
    <x v="0"/>
    <x v="1"/>
    <n v="19"/>
    <x v="0"/>
    <x v="572"/>
    <x v="0"/>
    <x v="0"/>
    <x v="0"/>
    <x v="0"/>
  </r>
  <r>
    <x v="583"/>
    <x v="0"/>
    <x v="0"/>
    <x v="1"/>
    <n v="20"/>
    <x v="35"/>
    <x v="573"/>
    <x v="0"/>
    <x v="0"/>
    <x v="0"/>
    <x v="0"/>
  </r>
  <r>
    <x v="584"/>
    <x v="0"/>
    <x v="0"/>
    <x v="0"/>
    <n v="85.7"/>
    <x v="0"/>
    <x v="574"/>
    <x v="1"/>
    <x v="0"/>
    <x v="0"/>
    <x v="0"/>
  </r>
  <r>
    <x v="585"/>
    <x v="1"/>
    <x v="2"/>
    <x v="3"/>
    <n v="63.25"/>
    <x v="15"/>
    <x v="575"/>
    <x v="0"/>
    <x v="1"/>
    <x v="1"/>
    <x v="3"/>
  </r>
  <r>
    <x v="586"/>
    <x v="1"/>
    <x v="1"/>
    <x v="1"/>
    <n v="20.100000000000001"/>
    <x v="24"/>
    <x v="576"/>
    <x v="0"/>
    <x v="0"/>
    <x v="0"/>
    <x v="0"/>
  </r>
  <r>
    <x v="587"/>
    <x v="1"/>
    <x v="2"/>
    <x v="0"/>
    <n v="99.15"/>
    <x v="21"/>
    <x v="577"/>
    <x v="0"/>
    <x v="2"/>
    <x v="1"/>
    <x v="3"/>
  </r>
  <r>
    <x v="588"/>
    <x v="1"/>
    <x v="2"/>
    <x v="0"/>
    <n v="90.4"/>
    <x v="16"/>
    <x v="578"/>
    <x v="0"/>
    <x v="2"/>
    <x v="1"/>
    <x v="3"/>
  </r>
  <r>
    <x v="589"/>
    <x v="1"/>
    <x v="2"/>
    <x v="3"/>
    <n v="111.9"/>
    <x v="21"/>
    <x v="579"/>
    <x v="0"/>
    <x v="2"/>
    <x v="1"/>
    <x v="3"/>
  </r>
  <r>
    <x v="590"/>
    <x v="1"/>
    <x v="1"/>
    <x v="0"/>
    <n v="24.9"/>
    <x v="25"/>
    <x v="580"/>
    <x v="0"/>
    <x v="0"/>
    <x v="1"/>
    <x v="1"/>
  </r>
  <r>
    <x v="591"/>
    <x v="1"/>
    <x v="2"/>
    <x v="3"/>
    <n v="83.5"/>
    <x v="28"/>
    <x v="581"/>
    <x v="0"/>
    <x v="2"/>
    <x v="1"/>
    <x v="3"/>
  </r>
  <r>
    <x v="592"/>
    <x v="1"/>
    <x v="0"/>
    <x v="3"/>
    <n v="84.3"/>
    <x v="19"/>
    <x v="582"/>
    <x v="0"/>
    <x v="1"/>
    <x v="1"/>
    <x v="1"/>
  </r>
  <r>
    <x v="593"/>
    <x v="1"/>
    <x v="0"/>
    <x v="1"/>
    <n v="45.6"/>
    <x v="0"/>
    <x v="583"/>
    <x v="0"/>
    <x v="0"/>
    <x v="0"/>
    <x v="0"/>
  </r>
  <r>
    <x v="594"/>
    <x v="0"/>
    <x v="0"/>
    <x v="1"/>
    <n v="61.65"/>
    <x v="18"/>
    <x v="584"/>
    <x v="1"/>
    <x v="0"/>
    <x v="2"/>
    <x v="0"/>
  </r>
  <r>
    <x v="595"/>
    <x v="1"/>
    <x v="2"/>
    <x v="1"/>
    <n v="54.85"/>
    <x v="10"/>
    <x v="585"/>
    <x v="0"/>
    <x v="0"/>
    <x v="2"/>
    <x v="2"/>
  </r>
  <r>
    <x v="596"/>
    <x v="1"/>
    <x v="0"/>
    <x v="1"/>
    <n v="65.55"/>
    <x v="54"/>
    <x v="586"/>
    <x v="0"/>
    <x v="0"/>
    <x v="0"/>
    <x v="0"/>
  </r>
  <r>
    <x v="597"/>
    <x v="1"/>
    <x v="1"/>
    <x v="3"/>
    <n v="90.35"/>
    <x v="69"/>
    <x v="587"/>
    <x v="0"/>
    <x v="1"/>
    <x v="1"/>
    <x v="3"/>
  </r>
  <r>
    <x v="598"/>
    <x v="1"/>
    <x v="2"/>
    <x v="3"/>
    <n v="20.399999999999999"/>
    <x v="45"/>
    <x v="588"/>
    <x v="0"/>
    <x v="0"/>
    <x v="1"/>
    <x v="3"/>
  </r>
  <r>
    <x v="599"/>
    <x v="1"/>
    <x v="0"/>
    <x v="3"/>
    <n v="74.55"/>
    <x v="10"/>
    <x v="589"/>
    <x v="0"/>
    <x v="0"/>
    <x v="2"/>
    <x v="2"/>
  </r>
  <r>
    <x v="600"/>
    <x v="1"/>
    <x v="1"/>
    <x v="1"/>
    <n v="19.95"/>
    <x v="2"/>
    <x v="590"/>
    <x v="0"/>
    <x v="0"/>
    <x v="0"/>
    <x v="0"/>
  </r>
  <r>
    <x v="601"/>
    <x v="0"/>
    <x v="1"/>
    <x v="2"/>
    <n v="74.25"/>
    <x v="33"/>
    <x v="591"/>
    <x v="0"/>
    <x v="1"/>
    <x v="1"/>
    <x v="3"/>
  </r>
  <r>
    <x v="602"/>
    <x v="1"/>
    <x v="2"/>
    <x v="0"/>
    <n v="108.65"/>
    <x v="25"/>
    <x v="592"/>
    <x v="0"/>
    <x v="1"/>
    <x v="1"/>
    <x v="1"/>
  </r>
  <r>
    <x v="603"/>
    <x v="0"/>
    <x v="1"/>
    <x v="2"/>
    <n v="109.55"/>
    <x v="48"/>
    <x v="593"/>
    <x v="0"/>
    <x v="1"/>
    <x v="1"/>
    <x v="1"/>
  </r>
  <r>
    <x v="604"/>
    <x v="1"/>
    <x v="2"/>
    <x v="3"/>
    <n v="86.65"/>
    <x v="21"/>
    <x v="594"/>
    <x v="0"/>
    <x v="2"/>
    <x v="1"/>
    <x v="3"/>
  </r>
  <r>
    <x v="605"/>
    <x v="1"/>
    <x v="2"/>
    <x v="3"/>
    <n v="81"/>
    <x v="46"/>
    <x v="595"/>
    <x v="0"/>
    <x v="1"/>
    <x v="1"/>
    <x v="1"/>
  </r>
  <r>
    <x v="606"/>
    <x v="1"/>
    <x v="1"/>
    <x v="3"/>
    <n v="47.85"/>
    <x v="69"/>
    <x v="596"/>
    <x v="0"/>
    <x v="1"/>
    <x v="1"/>
    <x v="3"/>
  </r>
  <r>
    <x v="607"/>
    <x v="1"/>
    <x v="2"/>
    <x v="2"/>
    <n v="114.55"/>
    <x v="21"/>
    <x v="597"/>
    <x v="0"/>
    <x v="2"/>
    <x v="1"/>
    <x v="3"/>
  </r>
  <r>
    <x v="608"/>
    <x v="0"/>
    <x v="0"/>
    <x v="2"/>
    <n v="105.25"/>
    <x v="45"/>
    <x v="598"/>
    <x v="1"/>
    <x v="2"/>
    <x v="1"/>
    <x v="3"/>
  </r>
  <r>
    <x v="609"/>
    <x v="1"/>
    <x v="0"/>
    <x v="0"/>
    <n v="29.95"/>
    <x v="34"/>
    <x v="599"/>
    <x v="1"/>
    <x v="0"/>
    <x v="0"/>
    <x v="0"/>
  </r>
  <r>
    <x v="610"/>
    <x v="0"/>
    <x v="0"/>
    <x v="1"/>
    <n v="65"/>
    <x v="34"/>
    <x v="600"/>
    <x v="1"/>
    <x v="0"/>
    <x v="0"/>
    <x v="0"/>
  </r>
  <r>
    <x v="611"/>
    <x v="1"/>
    <x v="2"/>
    <x v="1"/>
    <n v="20.55"/>
    <x v="33"/>
    <x v="601"/>
    <x v="0"/>
    <x v="0"/>
    <x v="1"/>
    <x v="3"/>
  </r>
  <r>
    <x v="612"/>
    <x v="0"/>
    <x v="1"/>
    <x v="3"/>
    <n v="109.8"/>
    <x v="66"/>
    <x v="602"/>
    <x v="0"/>
    <x v="1"/>
    <x v="1"/>
    <x v="1"/>
  </r>
  <r>
    <x v="613"/>
    <x v="1"/>
    <x v="2"/>
    <x v="2"/>
    <n v="69.5"/>
    <x v="37"/>
    <x v="603"/>
    <x v="0"/>
    <x v="1"/>
    <x v="1"/>
    <x v="3"/>
  </r>
  <r>
    <x v="614"/>
    <x v="0"/>
    <x v="0"/>
    <x v="1"/>
    <n v="48.85"/>
    <x v="30"/>
    <x v="604"/>
    <x v="0"/>
    <x v="0"/>
    <x v="2"/>
    <x v="2"/>
  </r>
  <r>
    <x v="615"/>
    <x v="1"/>
    <x v="0"/>
    <x v="3"/>
    <n v="25.25"/>
    <x v="4"/>
    <x v="605"/>
    <x v="0"/>
    <x v="0"/>
    <x v="0"/>
    <x v="0"/>
  </r>
  <r>
    <x v="616"/>
    <x v="0"/>
    <x v="1"/>
    <x v="3"/>
    <n v="102.85"/>
    <x v="33"/>
    <x v="606"/>
    <x v="0"/>
    <x v="2"/>
    <x v="1"/>
    <x v="3"/>
  </r>
  <r>
    <x v="617"/>
    <x v="0"/>
    <x v="0"/>
    <x v="2"/>
    <n v="87.55"/>
    <x v="58"/>
    <x v="607"/>
    <x v="0"/>
    <x v="1"/>
    <x v="1"/>
    <x v="3"/>
  </r>
  <r>
    <x v="618"/>
    <x v="0"/>
    <x v="0"/>
    <x v="2"/>
    <n v="78.55"/>
    <x v="40"/>
    <x v="608"/>
    <x v="0"/>
    <x v="0"/>
    <x v="0"/>
    <x v="0"/>
  </r>
  <r>
    <x v="619"/>
    <x v="1"/>
    <x v="0"/>
    <x v="2"/>
    <n v="34.549999999999997"/>
    <x v="6"/>
    <x v="609"/>
    <x v="0"/>
    <x v="0"/>
    <x v="0"/>
    <x v="0"/>
  </r>
  <r>
    <x v="620"/>
    <x v="0"/>
    <x v="1"/>
    <x v="0"/>
    <n v="92.05"/>
    <x v="8"/>
    <x v="610"/>
    <x v="0"/>
    <x v="2"/>
    <x v="1"/>
    <x v="3"/>
  </r>
  <r>
    <x v="621"/>
    <x v="1"/>
    <x v="1"/>
    <x v="0"/>
    <n v="85.05"/>
    <x v="63"/>
    <x v="611"/>
    <x v="0"/>
    <x v="1"/>
    <x v="1"/>
    <x v="1"/>
  </r>
  <r>
    <x v="622"/>
    <x v="0"/>
    <x v="2"/>
    <x v="1"/>
    <n v="19.7"/>
    <x v="61"/>
    <x v="399"/>
    <x v="0"/>
    <x v="0"/>
    <x v="2"/>
    <x v="2"/>
  </r>
  <r>
    <x v="623"/>
    <x v="0"/>
    <x v="0"/>
    <x v="2"/>
    <n v="20"/>
    <x v="40"/>
    <x v="612"/>
    <x v="1"/>
    <x v="0"/>
    <x v="0"/>
    <x v="0"/>
  </r>
  <r>
    <x v="624"/>
    <x v="0"/>
    <x v="0"/>
    <x v="0"/>
    <n v="95.15"/>
    <x v="13"/>
    <x v="613"/>
    <x v="0"/>
    <x v="1"/>
    <x v="1"/>
    <x v="1"/>
  </r>
  <r>
    <x v="625"/>
    <x v="1"/>
    <x v="0"/>
    <x v="0"/>
    <n v="84.25"/>
    <x v="57"/>
    <x v="614"/>
    <x v="0"/>
    <x v="0"/>
    <x v="2"/>
    <x v="2"/>
  </r>
  <r>
    <x v="626"/>
    <x v="0"/>
    <x v="1"/>
    <x v="3"/>
    <n v="104.6"/>
    <x v="33"/>
    <x v="615"/>
    <x v="0"/>
    <x v="2"/>
    <x v="1"/>
    <x v="3"/>
  </r>
  <r>
    <x v="627"/>
    <x v="0"/>
    <x v="2"/>
    <x v="0"/>
    <n v="111.65"/>
    <x v="21"/>
    <x v="616"/>
    <x v="0"/>
    <x v="2"/>
    <x v="1"/>
    <x v="3"/>
  </r>
  <r>
    <x v="628"/>
    <x v="1"/>
    <x v="0"/>
    <x v="3"/>
    <n v="90.05"/>
    <x v="12"/>
    <x v="617"/>
    <x v="1"/>
    <x v="1"/>
    <x v="1"/>
    <x v="3"/>
  </r>
  <r>
    <x v="629"/>
    <x v="1"/>
    <x v="0"/>
    <x v="2"/>
    <n v="110.75"/>
    <x v="29"/>
    <x v="618"/>
    <x v="1"/>
    <x v="1"/>
    <x v="1"/>
    <x v="1"/>
  </r>
  <r>
    <x v="630"/>
    <x v="0"/>
    <x v="0"/>
    <x v="2"/>
    <n v="55"/>
    <x v="25"/>
    <x v="619"/>
    <x v="0"/>
    <x v="1"/>
    <x v="1"/>
    <x v="1"/>
  </r>
  <r>
    <x v="631"/>
    <x v="1"/>
    <x v="2"/>
    <x v="3"/>
    <n v="89.85"/>
    <x v="21"/>
    <x v="620"/>
    <x v="0"/>
    <x v="2"/>
    <x v="1"/>
    <x v="3"/>
  </r>
  <r>
    <x v="632"/>
    <x v="1"/>
    <x v="1"/>
    <x v="1"/>
    <n v="20.350000000000001"/>
    <x v="6"/>
    <x v="621"/>
    <x v="0"/>
    <x v="0"/>
    <x v="0"/>
    <x v="0"/>
  </r>
  <r>
    <x v="633"/>
    <x v="0"/>
    <x v="1"/>
    <x v="2"/>
    <n v="54.55"/>
    <x v="63"/>
    <x v="622"/>
    <x v="0"/>
    <x v="1"/>
    <x v="1"/>
    <x v="1"/>
  </r>
  <r>
    <x v="634"/>
    <x v="0"/>
    <x v="0"/>
    <x v="0"/>
    <n v="105.5"/>
    <x v="45"/>
    <x v="623"/>
    <x v="1"/>
    <x v="2"/>
    <x v="1"/>
    <x v="3"/>
  </r>
  <r>
    <x v="635"/>
    <x v="1"/>
    <x v="2"/>
    <x v="2"/>
    <n v="99.45"/>
    <x v="36"/>
    <x v="624"/>
    <x v="0"/>
    <x v="1"/>
    <x v="1"/>
    <x v="1"/>
  </r>
  <r>
    <x v="636"/>
    <x v="0"/>
    <x v="2"/>
    <x v="3"/>
    <n v="70.900000000000006"/>
    <x v="47"/>
    <x v="625"/>
    <x v="0"/>
    <x v="1"/>
    <x v="1"/>
    <x v="3"/>
  </r>
  <r>
    <x v="637"/>
    <x v="1"/>
    <x v="1"/>
    <x v="2"/>
    <n v="104.55"/>
    <x v="39"/>
    <x v="626"/>
    <x v="1"/>
    <x v="2"/>
    <x v="1"/>
    <x v="3"/>
  </r>
  <r>
    <x v="638"/>
    <x v="1"/>
    <x v="0"/>
    <x v="0"/>
    <n v="85.25"/>
    <x v="6"/>
    <x v="627"/>
    <x v="1"/>
    <x v="0"/>
    <x v="0"/>
    <x v="0"/>
  </r>
  <r>
    <x v="639"/>
    <x v="1"/>
    <x v="2"/>
    <x v="2"/>
    <n v="25.4"/>
    <x v="47"/>
    <x v="628"/>
    <x v="0"/>
    <x v="0"/>
    <x v="1"/>
    <x v="3"/>
  </r>
  <r>
    <x v="640"/>
    <x v="0"/>
    <x v="0"/>
    <x v="0"/>
    <n v="56.15"/>
    <x v="29"/>
    <x v="629"/>
    <x v="1"/>
    <x v="1"/>
    <x v="1"/>
    <x v="1"/>
  </r>
  <r>
    <x v="641"/>
    <x v="1"/>
    <x v="0"/>
    <x v="0"/>
    <n v="89.55"/>
    <x v="0"/>
    <x v="630"/>
    <x v="1"/>
    <x v="0"/>
    <x v="0"/>
    <x v="0"/>
  </r>
  <r>
    <x v="642"/>
    <x v="0"/>
    <x v="1"/>
    <x v="2"/>
    <n v="89.85"/>
    <x v="12"/>
    <x v="631"/>
    <x v="0"/>
    <x v="1"/>
    <x v="1"/>
    <x v="3"/>
  </r>
  <r>
    <x v="643"/>
    <x v="0"/>
    <x v="0"/>
    <x v="0"/>
    <n v="25.25"/>
    <x v="30"/>
    <x v="632"/>
    <x v="0"/>
    <x v="0"/>
    <x v="2"/>
    <x v="2"/>
  </r>
  <r>
    <x v="644"/>
    <x v="1"/>
    <x v="0"/>
    <x v="0"/>
    <n v="94.55"/>
    <x v="61"/>
    <x v="633"/>
    <x v="1"/>
    <x v="0"/>
    <x v="2"/>
    <x v="2"/>
  </r>
  <r>
    <x v="645"/>
    <x v="1"/>
    <x v="0"/>
    <x v="1"/>
    <n v="45.7"/>
    <x v="0"/>
    <x v="634"/>
    <x v="1"/>
    <x v="0"/>
    <x v="0"/>
    <x v="0"/>
  </r>
  <r>
    <x v="646"/>
    <x v="1"/>
    <x v="1"/>
    <x v="0"/>
    <n v="69.650000000000006"/>
    <x v="37"/>
    <x v="635"/>
    <x v="0"/>
    <x v="1"/>
    <x v="1"/>
    <x v="3"/>
  </r>
  <r>
    <x v="647"/>
    <x v="0"/>
    <x v="0"/>
    <x v="0"/>
    <n v="89.5"/>
    <x v="2"/>
    <x v="636"/>
    <x v="1"/>
    <x v="0"/>
    <x v="0"/>
    <x v="0"/>
  </r>
  <r>
    <x v="648"/>
    <x v="1"/>
    <x v="0"/>
    <x v="3"/>
    <n v="70"/>
    <x v="65"/>
    <x v="637"/>
    <x v="0"/>
    <x v="0"/>
    <x v="1"/>
    <x v="2"/>
  </r>
  <r>
    <x v="649"/>
    <x v="0"/>
    <x v="0"/>
    <x v="2"/>
    <n v="69.55"/>
    <x v="35"/>
    <x v="638"/>
    <x v="1"/>
    <x v="0"/>
    <x v="0"/>
    <x v="0"/>
  </r>
  <r>
    <x v="650"/>
    <x v="0"/>
    <x v="0"/>
    <x v="1"/>
    <n v="74.599999999999994"/>
    <x v="0"/>
    <x v="639"/>
    <x v="1"/>
    <x v="0"/>
    <x v="0"/>
    <x v="0"/>
  </r>
  <r>
    <x v="651"/>
    <x v="1"/>
    <x v="2"/>
    <x v="1"/>
    <n v="20.100000000000001"/>
    <x v="42"/>
    <x v="640"/>
    <x v="0"/>
    <x v="0"/>
    <x v="1"/>
    <x v="1"/>
  </r>
  <r>
    <x v="652"/>
    <x v="0"/>
    <x v="0"/>
    <x v="1"/>
    <n v="24.8"/>
    <x v="22"/>
    <x v="641"/>
    <x v="0"/>
    <x v="0"/>
    <x v="2"/>
    <x v="2"/>
  </r>
  <r>
    <x v="653"/>
    <x v="0"/>
    <x v="0"/>
    <x v="0"/>
    <n v="19.649999999999999"/>
    <x v="4"/>
    <x v="642"/>
    <x v="1"/>
    <x v="0"/>
    <x v="0"/>
    <x v="0"/>
  </r>
  <r>
    <x v="654"/>
    <x v="1"/>
    <x v="0"/>
    <x v="3"/>
    <n v="95.1"/>
    <x v="6"/>
    <x v="643"/>
    <x v="0"/>
    <x v="0"/>
    <x v="0"/>
    <x v="0"/>
  </r>
  <r>
    <x v="655"/>
    <x v="1"/>
    <x v="2"/>
    <x v="3"/>
    <n v="88.85"/>
    <x v="47"/>
    <x v="644"/>
    <x v="0"/>
    <x v="2"/>
    <x v="1"/>
    <x v="3"/>
  </r>
  <r>
    <x v="656"/>
    <x v="1"/>
    <x v="1"/>
    <x v="2"/>
    <n v="78.8"/>
    <x v="3"/>
    <x v="645"/>
    <x v="0"/>
    <x v="1"/>
    <x v="1"/>
    <x v="1"/>
  </r>
  <r>
    <x v="657"/>
    <x v="1"/>
    <x v="1"/>
    <x v="1"/>
    <n v="19.850000000000001"/>
    <x v="2"/>
    <x v="646"/>
    <x v="1"/>
    <x v="0"/>
    <x v="0"/>
    <x v="0"/>
  </r>
  <r>
    <x v="658"/>
    <x v="1"/>
    <x v="0"/>
    <x v="2"/>
    <n v="20.350000000000001"/>
    <x v="50"/>
    <x v="647"/>
    <x v="0"/>
    <x v="0"/>
    <x v="1"/>
    <x v="1"/>
  </r>
  <r>
    <x v="659"/>
    <x v="0"/>
    <x v="0"/>
    <x v="1"/>
    <n v="24.25"/>
    <x v="54"/>
    <x v="648"/>
    <x v="1"/>
    <x v="0"/>
    <x v="0"/>
    <x v="0"/>
  </r>
  <r>
    <x v="660"/>
    <x v="0"/>
    <x v="0"/>
    <x v="1"/>
    <n v="45.25"/>
    <x v="6"/>
    <x v="649"/>
    <x v="0"/>
    <x v="0"/>
    <x v="0"/>
    <x v="0"/>
  </r>
  <r>
    <x v="661"/>
    <x v="1"/>
    <x v="0"/>
    <x v="1"/>
    <n v="20.05"/>
    <x v="0"/>
    <x v="650"/>
    <x v="0"/>
    <x v="0"/>
    <x v="0"/>
    <x v="0"/>
  </r>
  <r>
    <x v="662"/>
    <x v="1"/>
    <x v="2"/>
    <x v="1"/>
    <n v="69.55"/>
    <x v="45"/>
    <x v="651"/>
    <x v="0"/>
    <x v="1"/>
    <x v="1"/>
    <x v="3"/>
  </r>
  <r>
    <x v="663"/>
    <x v="0"/>
    <x v="2"/>
    <x v="2"/>
    <n v="19.5"/>
    <x v="58"/>
    <x v="652"/>
    <x v="0"/>
    <x v="0"/>
    <x v="1"/>
    <x v="3"/>
  </r>
  <r>
    <x v="664"/>
    <x v="0"/>
    <x v="0"/>
    <x v="1"/>
    <n v="74.75"/>
    <x v="35"/>
    <x v="653"/>
    <x v="0"/>
    <x v="0"/>
    <x v="0"/>
    <x v="0"/>
  </r>
  <r>
    <x v="665"/>
    <x v="0"/>
    <x v="0"/>
    <x v="0"/>
    <n v="69.650000000000006"/>
    <x v="2"/>
    <x v="654"/>
    <x v="1"/>
    <x v="0"/>
    <x v="0"/>
    <x v="0"/>
  </r>
  <r>
    <x v="666"/>
    <x v="1"/>
    <x v="0"/>
    <x v="2"/>
    <n v="30.2"/>
    <x v="12"/>
    <x v="655"/>
    <x v="0"/>
    <x v="0"/>
    <x v="1"/>
    <x v="3"/>
  </r>
  <r>
    <x v="667"/>
    <x v="0"/>
    <x v="0"/>
    <x v="1"/>
    <n v="45.65"/>
    <x v="54"/>
    <x v="656"/>
    <x v="1"/>
    <x v="0"/>
    <x v="0"/>
    <x v="0"/>
  </r>
  <r>
    <x v="668"/>
    <x v="0"/>
    <x v="2"/>
    <x v="2"/>
    <n v="57.8"/>
    <x v="27"/>
    <x v="657"/>
    <x v="0"/>
    <x v="1"/>
    <x v="1"/>
    <x v="3"/>
  </r>
  <r>
    <x v="669"/>
    <x v="0"/>
    <x v="1"/>
    <x v="2"/>
    <n v="19.850000000000001"/>
    <x v="62"/>
    <x v="658"/>
    <x v="0"/>
    <x v="0"/>
    <x v="1"/>
    <x v="3"/>
  </r>
  <r>
    <x v="670"/>
    <x v="1"/>
    <x v="2"/>
    <x v="3"/>
    <n v="25.55"/>
    <x v="62"/>
    <x v="659"/>
    <x v="0"/>
    <x v="0"/>
    <x v="1"/>
    <x v="3"/>
  </r>
  <r>
    <x v="671"/>
    <x v="0"/>
    <x v="0"/>
    <x v="1"/>
    <n v="75.05"/>
    <x v="0"/>
    <x v="660"/>
    <x v="1"/>
    <x v="0"/>
    <x v="0"/>
    <x v="0"/>
  </r>
  <r>
    <x v="672"/>
    <x v="1"/>
    <x v="0"/>
    <x v="3"/>
    <n v="24.85"/>
    <x v="5"/>
    <x v="661"/>
    <x v="0"/>
    <x v="0"/>
    <x v="2"/>
    <x v="2"/>
  </r>
  <r>
    <x v="673"/>
    <x v="1"/>
    <x v="0"/>
    <x v="0"/>
    <n v="49.15"/>
    <x v="15"/>
    <x v="662"/>
    <x v="1"/>
    <x v="1"/>
    <x v="1"/>
    <x v="3"/>
  </r>
  <r>
    <x v="674"/>
    <x v="1"/>
    <x v="2"/>
    <x v="0"/>
    <n v="110.35"/>
    <x v="45"/>
    <x v="663"/>
    <x v="0"/>
    <x v="2"/>
    <x v="1"/>
    <x v="3"/>
  </r>
  <r>
    <x v="675"/>
    <x v="0"/>
    <x v="1"/>
    <x v="2"/>
    <n v="24.55"/>
    <x v="43"/>
    <x v="664"/>
    <x v="0"/>
    <x v="0"/>
    <x v="1"/>
    <x v="1"/>
  </r>
  <r>
    <x v="676"/>
    <x v="0"/>
    <x v="0"/>
    <x v="0"/>
    <n v="34.700000000000003"/>
    <x v="2"/>
    <x v="665"/>
    <x v="1"/>
    <x v="0"/>
    <x v="0"/>
    <x v="0"/>
  </r>
  <r>
    <x v="677"/>
    <x v="1"/>
    <x v="0"/>
    <x v="1"/>
    <n v="107.95"/>
    <x v="35"/>
    <x v="666"/>
    <x v="0"/>
    <x v="0"/>
    <x v="0"/>
    <x v="0"/>
  </r>
  <r>
    <x v="678"/>
    <x v="1"/>
    <x v="0"/>
    <x v="2"/>
    <n v="81.400000000000006"/>
    <x v="3"/>
    <x v="667"/>
    <x v="0"/>
    <x v="1"/>
    <x v="1"/>
    <x v="1"/>
  </r>
  <r>
    <x v="679"/>
    <x v="1"/>
    <x v="0"/>
    <x v="0"/>
    <n v="80"/>
    <x v="0"/>
    <x v="668"/>
    <x v="1"/>
    <x v="0"/>
    <x v="0"/>
    <x v="0"/>
  </r>
  <r>
    <x v="680"/>
    <x v="0"/>
    <x v="2"/>
    <x v="2"/>
    <n v="73.8"/>
    <x v="59"/>
    <x v="669"/>
    <x v="0"/>
    <x v="1"/>
    <x v="1"/>
    <x v="3"/>
  </r>
  <r>
    <x v="681"/>
    <x v="1"/>
    <x v="0"/>
    <x v="3"/>
    <n v="64.400000000000006"/>
    <x v="35"/>
    <x v="670"/>
    <x v="0"/>
    <x v="0"/>
    <x v="0"/>
    <x v="0"/>
  </r>
  <r>
    <x v="682"/>
    <x v="0"/>
    <x v="1"/>
    <x v="3"/>
    <n v="103.75"/>
    <x v="63"/>
    <x v="671"/>
    <x v="0"/>
    <x v="1"/>
    <x v="1"/>
    <x v="1"/>
  </r>
  <r>
    <x v="683"/>
    <x v="0"/>
    <x v="0"/>
    <x v="1"/>
    <n v="71.099999999999994"/>
    <x v="0"/>
    <x v="672"/>
    <x v="0"/>
    <x v="0"/>
    <x v="0"/>
    <x v="0"/>
  </r>
  <r>
    <x v="684"/>
    <x v="0"/>
    <x v="0"/>
    <x v="0"/>
    <n v="49.9"/>
    <x v="0"/>
    <x v="673"/>
    <x v="0"/>
    <x v="0"/>
    <x v="0"/>
    <x v="0"/>
  </r>
  <r>
    <x v="685"/>
    <x v="1"/>
    <x v="1"/>
    <x v="2"/>
    <n v="24.6"/>
    <x v="69"/>
    <x v="674"/>
    <x v="0"/>
    <x v="0"/>
    <x v="1"/>
    <x v="3"/>
  </r>
  <r>
    <x v="686"/>
    <x v="1"/>
    <x v="0"/>
    <x v="0"/>
    <n v="49.25"/>
    <x v="2"/>
    <x v="46"/>
    <x v="1"/>
    <x v="0"/>
    <x v="0"/>
    <x v="0"/>
  </r>
  <r>
    <x v="687"/>
    <x v="1"/>
    <x v="1"/>
    <x v="1"/>
    <n v="30.1"/>
    <x v="15"/>
    <x v="675"/>
    <x v="0"/>
    <x v="0"/>
    <x v="1"/>
    <x v="3"/>
  </r>
  <r>
    <x v="688"/>
    <x v="1"/>
    <x v="0"/>
    <x v="2"/>
    <n v="83.4"/>
    <x v="69"/>
    <x v="676"/>
    <x v="0"/>
    <x v="1"/>
    <x v="1"/>
    <x v="3"/>
  </r>
  <r>
    <x v="689"/>
    <x v="1"/>
    <x v="0"/>
    <x v="1"/>
    <n v="20.45"/>
    <x v="0"/>
    <x v="677"/>
    <x v="0"/>
    <x v="0"/>
    <x v="0"/>
    <x v="0"/>
  </r>
  <r>
    <x v="690"/>
    <x v="1"/>
    <x v="1"/>
    <x v="2"/>
    <n v="75.25"/>
    <x v="36"/>
    <x v="678"/>
    <x v="0"/>
    <x v="1"/>
    <x v="1"/>
    <x v="1"/>
  </r>
  <r>
    <x v="691"/>
    <x v="1"/>
    <x v="1"/>
    <x v="3"/>
    <n v="20.55"/>
    <x v="20"/>
    <x v="358"/>
    <x v="0"/>
    <x v="0"/>
    <x v="1"/>
    <x v="1"/>
  </r>
  <r>
    <x v="692"/>
    <x v="0"/>
    <x v="0"/>
    <x v="3"/>
    <n v="75.099999999999994"/>
    <x v="35"/>
    <x v="679"/>
    <x v="1"/>
    <x v="0"/>
    <x v="0"/>
    <x v="0"/>
  </r>
  <r>
    <x v="693"/>
    <x v="0"/>
    <x v="1"/>
    <x v="1"/>
    <n v="20.05"/>
    <x v="5"/>
    <x v="680"/>
    <x v="0"/>
    <x v="0"/>
    <x v="2"/>
    <x v="2"/>
  </r>
  <r>
    <x v="694"/>
    <x v="0"/>
    <x v="0"/>
    <x v="1"/>
    <n v="20.65"/>
    <x v="0"/>
    <x v="681"/>
    <x v="0"/>
    <x v="0"/>
    <x v="0"/>
    <x v="0"/>
  </r>
  <r>
    <x v="695"/>
    <x v="1"/>
    <x v="2"/>
    <x v="2"/>
    <n v="85.15"/>
    <x v="21"/>
    <x v="682"/>
    <x v="0"/>
    <x v="2"/>
    <x v="1"/>
    <x v="3"/>
  </r>
  <r>
    <x v="696"/>
    <x v="1"/>
    <x v="0"/>
    <x v="0"/>
    <n v="50.15"/>
    <x v="35"/>
    <x v="683"/>
    <x v="1"/>
    <x v="0"/>
    <x v="0"/>
    <x v="0"/>
  </r>
  <r>
    <x v="697"/>
    <x v="1"/>
    <x v="1"/>
    <x v="2"/>
    <n v="84.95"/>
    <x v="20"/>
    <x v="684"/>
    <x v="0"/>
    <x v="1"/>
    <x v="1"/>
    <x v="1"/>
  </r>
  <r>
    <x v="698"/>
    <x v="1"/>
    <x v="2"/>
    <x v="3"/>
    <n v="66.5"/>
    <x v="21"/>
    <x v="685"/>
    <x v="0"/>
    <x v="1"/>
    <x v="1"/>
    <x v="3"/>
  </r>
  <r>
    <x v="699"/>
    <x v="1"/>
    <x v="2"/>
    <x v="2"/>
    <n v="63.3"/>
    <x v="33"/>
    <x v="686"/>
    <x v="0"/>
    <x v="1"/>
    <x v="1"/>
    <x v="3"/>
  </r>
  <r>
    <x v="700"/>
    <x v="1"/>
    <x v="0"/>
    <x v="0"/>
    <n v="83.15"/>
    <x v="42"/>
    <x v="687"/>
    <x v="0"/>
    <x v="1"/>
    <x v="1"/>
    <x v="1"/>
  </r>
  <r>
    <x v="701"/>
    <x v="1"/>
    <x v="0"/>
    <x v="0"/>
    <n v="84.9"/>
    <x v="44"/>
    <x v="688"/>
    <x v="0"/>
    <x v="1"/>
    <x v="1"/>
    <x v="1"/>
  </r>
  <r>
    <x v="702"/>
    <x v="0"/>
    <x v="0"/>
    <x v="1"/>
    <n v="20.55"/>
    <x v="2"/>
    <x v="689"/>
    <x v="0"/>
    <x v="0"/>
    <x v="0"/>
    <x v="0"/>
  </r>
  <r>
    <x v="703"/>
    <x v="1"/>
    <x v="0"/>
    <x v="1"/>
    <n v="49.25"/>
    <x v="54"/>
    <x v="690"/>
    <x v="0"/>
    <x v="0"/>
    <x v="0"/>
    <x v="0"/>
  </r>
  <r>
    <x v="704"/>
    <x v="0"/>
    <x v="0"/>
    <x v="2"/>
    <n v="79.849999999999994"/>
    <x v="13"/>
    <x v="691"/>
    <x v="1"/>
    <x v="0"/>
    <x v="1"/>
    <x v="1"/>
  </r>
  <r>
    <x v="705"/>
    <x v="0"/>
    <x v="2"/>
    <x v="1"/>
    <n v="59.6"/>
    <x v="45"/>
    <x v="692"/>
    <x v="0"/>
    <x v="1"/>
    <x v="1"/>
    <x v="3"/>
  </r>
  <r>
    <x v="706"/>
    <x v="1"/>
    <x v="1"/>
    <x v="2"/>
    <n v="104.65"/>
    <x v="23"/>
    <x v="693"/>
    <x v="0"/>
    <x v="1"/>
    <x v="1"/>
    <x v="1"/>
  </r>
  <r>
    <x v="707"/>
    <x v="1"/>
    <x v="0"/>
    <x v="3"/>
    <n v="75.3"/>
    <x v="44"/>
    <x v="694"/>
    <x v="0"/>
    <x v="1"/>
    <x v="1"/>
    <x v="1"/>
  </r>
  <r>
    <x v="708"/>
    <x v="1"/>
    <x v="0"/>
    <x v="3"/>
    <n v="80.099999999999994"/>
    <x v="44"/>
    <x v="695"/>
    <x v="0"/>
    <x v="1"/>
    <x v="1"/>
    <x v="1"/>
  </r>
  <r>
    <x v="709"/>
    <x v="1"/>
    <x v="0"/>
    <x v="1"/>
    <n v="19.55"/>
    <x v="0"/>
    <x v="533"/>
    <x v="1"/>
    <x v="0"/>
    <x v="0"/>
    <x v="0"/>
  </r>
  <r>
    <x v="710"/>
    <x v="0"/>
    <x v="0"/>
    <x v="1"/>
    <n v="81"/>
    <x v="61"/>
    <x v="696"/>
    <x v="0"/>
    <x v="0"/>
    <x v="2"/>
    <x v="2"/>
  </r>
  <r>
    <x v="711"/>
    <x v="0"/>
    <x v="2"/>
    <x v="3"/>
    <n v="24.7"/>
    <x v="11"/>
    <x v="697"/>
    <x v="0"/>
    <x v="0"/>
    <x v="1"/>
    <x v="3"/>
  </r>
  <r>
    <x v="712"/>
    <x v="0"/>
    <x v="0"/>
    <x v="1"/>
    <n v="86"/>
    <x v="60"/>
    <x v="698"/>
    <x v="0"/>
    <x v="0"/>
    <x v="2"/>
    <x v="2"/>
  </r>
  <r>
    <x v="713"/>
    <x v="1"/>
    <x v="2"/>
    <x v="1"/>
    <n v="25.4"/>
    <x v="21"/>
    <x v="699"/>
    <x v="0"/>
    <x v="0"/>
    <x v="1"/>
    <x v="3"/>
  </r>
  <r>
    <x v="714"/>
    <x v="1"/>
    <x v="0"/>
    <x v="3"/>
    <n v="89.15"/>
    <x v="25"/>
    <x v="700"/>
    <x v="0"/>
    <x v="1"/>
    <x v="1"/>
    <x v="1"/>
  </r>
  <r>
    <x v="715"/>
    <x v="0"/>
    <x v="2"/>
    <x v="2"/>
    <n v="58.25"/>
    <x v="16"/>
    <x v="701"/>
    <x v="0"/>
    <x v="1"/>
    <x v="1"/>
    <x v="3"/>
  </r>
  <r>
    <x v="716"/>
    <x v="1"/>
    <x v="0"/>
    <x v="2"/>
    <n v="85.65"/>
    <x v="48"/>
    <x v="702"/>
    <x v="0"/>
    <x v="1"/>
    <x v="1"/>
    <x v="1"/>
  </r>
  <r>
    <x v="717"/>
    <x v="0"/>
    <x v="0"/>
    <x v="3"/>
    <n v="50.35"/>
    <x v="70"/>
    <x v="703"/>
    <x v="0"/>
    <x v="0"/>
    <x v="1"/>
    <x v="1"/>
  </r>
  <r>
    <x v="718"/>
    <x v="1"/>
    <x v="0"/>
    <x v="3"/>
    <n v="80.349999999999994"/>
    <x v="47"/>
    <x v="704"/>
    <x v="0"/>
    <x v="2"/>
    <x v="1"/>
    <x v="3"/>
  </r>
  <r>
    <x v="719"/>
    <x v="1"/>
    <x v="1"/>
    <x v="1"/>
    <n v="20.2"/>
    <x v="2"/>
    <x v="705"/>
    <x v="0"/>
    <x v="0"/>
    <x v="0"/>
    <x v="0"/>
  </r>
  <r>
    <x v="720"/>
    <x v="1"/>
    <x v="2"/>
    <x v="3"/>
    <n v="20.55"/>
    <x v="59"/>
    <x v="178"/>
    <x v="0"/>
    <x v="0"/>
    <x v="1"/>
    <x v="3"/>
  </r>
  <r>
    <x v="721"/>
    <x v="0"/>
    <x v="0"/>
    <x v="0"/>
    <n v="85.95"/>
    <x v="54"/>
    <x v="706"/>
    <x v="1"/>
    <x v="0"/>
    <x v="0"/>
    <x v="0"/>
  </r>
  <r>
    <x v="722"/>
    <x v="1"/>
    <x v="0"/>
    <x v="0"/>
    <n v="45.35"/>
    <x v="35"/>
    <x v="707"/>
    <x v="1"/>
    <x v="0"/>
    <x v="0"/>
    <x v="0"/>
  </r>
  <r>
    <x v="723"/>
    <x v="1"/>
    <x v="0"/>
    <x v="0"/>
    <n v="94.5"/>
    <x v="55"/>
    <x v="708"/>
    <x v="1"/>
    <x v="1"/>
    <x v="1"/>
    <x v="1"/>
  </r>
  <r>
    <x v="724"/>
    <x v="1"/>
    <x v="0"/>
    <x v="1"/>
    <n v="21.25"/>
    <x v="34"/>
    <x v="709"/>
    <x v="0"/>
    <x v="0"/>
    <x v="0"/>
    <x v="0"/>
  </r>
  <r>
    <x v="725"/>
    <x v="0"/>
    <x v="2"/>
    <x v="1"/>
    <n v="26.25"/>
    <x v="5"/>
    <x v="710"/>
    <x v="0"/>
    <x v="0"/>
    <x v="2"/>
    <x v="2"/>
  </r>
  <r>
    <x v="726"/>
    <x v="0"/>
    <x v="0"/>
    <x v="0"/>
    <n v="80.849999999999994"/>
    <x v="24"/>
    <x v="711"/>
    <x v="0"/>
    <x v="0"/>
    <x v="0"/>
    <x v="0"/>
  </r>
  <r>
    <x v="727"/>
    <x v="0"/>
    <x v="0"/>
    <x v="3"/>
    <n v="91.7"/>
    <x v="19"/>
    <x v="712"/>
    <x v="1"/>
    <x v="1"/>
    <x v="1"/>
    <x v="1"/>
  </r>
  <r>
    <x v="728"/>
    <x v="1"/>
    <x v="2"/>
    <x v="3"/>
    <n v="74.2"/>
    <x v="45"/>
    <x v="713"/>
    <x v="0"/>
    <x v="1"/>
    <x v="1"/>
    <x v="3"/>
  </r>
  <r>
    <x v="729"/>
    <x v="0"/>
    <x v="0"/>
    <x v="0"/>
    <n v="87.25"/>
    <x v="3"/>
    <x v="714"/>
    <x v="1"/>
    <x v="1"/>
    <x v="1"/>
    <x v="1"/>
  </r>
  <r>
    <x v="730"/>
    <x v="1"/>
    <x v="0"/>
    <x v="1"/>
    <n v="20.350000000000001"/>
    <x v="24"/>
    <x v="715"/>
    <x v="0"/>
    <x v="0"/>
    <x v="0"/>
    <x v="0"/>
  </r>
  <r>
    <x v="731"/>
    <x v="1"/>
    <x v="0"/>
    <x v="0"/>
    <n v="75.5"/>
    <x v="13"/>
    <x v="716"/>
    <x v="0"/>
    <x v="0"/>
    <x v="1"/>
    <x v="1"/>
  </r>
  <r>
    <x v="732"/>
    <x v="0"/>
    <x v="2"/>
    <x v="2"/>
    <n v="79.05"/>
    <x v="21"/>
    <x v="717"/>
    <x v="0"/>
    <x v="2"/>
    <x v="1"/>
    <x v="3"/>
  </r>
  <r>
    <x v="733"/>
    <x v="0"/>
    <x v="0"/>
    <x v="2"/>
    <n v="90.15"/>
    <x v="23"/>
    <x v="718"/>
    <x v="0"/>
    <x v="1"/>
    <x v="1"/>
    <x v="1"/>
  </r>
  <r>
    <x v="734"/>
    <x v="1"/>
    <x v="0"/>
    <x v="3"/>
    <n v="50.6"/>
    <x v="48"/>
    <x v="719"/>
    <x v="0"/>
    <x v="0"/>
    <x v="1"/>
    <x v="1"/>
  </r>
  <r>
    <x v="735"/>
    <x v="0"/>
    <x v="1"/>
    <x v="3"/>
    <n v="110.45"/>
    <x v="19"/>
    <x v="720"/>
    <x v="0"/>
    <x v="1"/>
    <x v="1"/>
    <x v="1"/>
  </r>
  <r>
    <x v="736"/>
    <x v="1"/>
    <x v="2"/>
    <x v="3"/>
    <n v="101"/>
    <x v="27"/>
    <x v="721"/>
    <x v="0"/>
    <x v="2"/>
    <x v="1"/>
    <x v="3"/>
  </r>
  <r>
    <x v="737"/>
    <x v="1"/>
    <x v="0"/>
    <x v="2"/>
    <n v="79.349999999999994"/>
    <x v="41"/>
    <x v="722"/>
    <x v="0"/>
    <x v="1"/>
    <x v="1"/>
    <x v="1"/>
  </r>
  <r>
    <x v="738"/>
    <x v="0"/>
    <x v="2"/>
    <x v="2"/>
    <n v="89.85"/>
    <x v="21"/>
    <x v="620"/>
    <x v="0"/>
    <x v="2"/>
    <x v="1"/>
    <x v="3"/>
  </r>
  <r>
    <x v="739"/>
    <x v="0"/>
    <x v="2"/>
    <x v="1"/>
    <n v="65"/>
    <x v="20"/>
    <x v="723"/>
    <x v="0"/>
    <x v="1"/>
    <x v="1"/>
    <x v="1"/>
  </r>
  <r>
    <x v="740"/>
    <x v="0"/>
    <x v="0"/>
    <x v="0"/>
    <n v="80.45"/>
    <x v="2"/>
    <x v="724"/>
    <x v="0"/>
    <x v="0"/>
    <x v="0"/>
    <x v="0"/>
  </r>
  <r>
    <x v="741"/>
    <x v="1"/>
    <x v="0"/>
    <x v="0"/>
    <n v="98.55"/>
    <x v="6"/>
    <x v="725"/>
    <x v="1"/>
    <x v="0"/>
    <x v="0"/>
    <x v="0"/>
  </r>
  <r>
    <x v="742"/>
    <x v="0"/>
    <x v="2"/>
    <x v="1"/>
    <n v="24.1"/>
    <x v="59"/>
    <x v="726"/>
    <x v="0"/>
    <x v="0"/>
    <x v="1"/>
    <x v="3"/>
  </r>
  <r>
    <x v="743"/>
    <x v="0"/>
    <x v="0"/>
    <x v="3"/>
    <n v="44.05"/>
    <x v="24"/>
    <x v="727"/>
    <x v="0"/>
    <x v="0"/>
    <x v="0"/>
    <x v="0"/>
  </r>
  <r>
    <x v="744"/>
    <x v="0"/>
    <x v="2"/>
    <x v="3"/>
    <n v="110.8"/>
    <x v="21"/>
    <x v="728"/>
    <x v="0"/>
    <x v="2"/>
    <x v="1"/>
    <x v="3"/>
  </r>
  <r>
    <x v="745"/>
    <x v="1"/>
    <x v="2"/>
    <x v="2"/>
    <n v="114.95"/>
    <x v="21"/>
    <x v="729"/>
    <x v="0"/>
    <x v="2"/>
    <x v="1"/>
    <x v="3"/>
  </r>
  <r>
    <x v="746"/>
    <x v="0"/>
    <x v="0"/>
    <x v="1"/>
    <n v="75.05"/>
    <x v="35"/>
    <x v="730"/>
    <x v="0"/>
    <x v="0"/>
    <x v="0"/>
    <x v="0"/>
  </r>
  <r>
    <x v="747"/>
    <x v="1"/>
    <x v="2"/>
    <x v="1"/>
    <n v="19.25"/>
    <x v="43"/>
    <x v="731"/>
    <x v="0"/>
    <x v="0"/>
    <x v="1"/>
    <x v="1"/>
  </r>
  <r>
    <x v="748"/>
    <x v="0"/>
    <x v="1"/>
    <x v="3"/>
    <n v="90.05"/>
    <x v="28"/>
    <x v="732"/>
    <x v="0"/>
    <x v="2"/>
    <x v="1"/>
    <x v="3"/>
  </r>
  <r>
    <x v="749"/>
    <x v="0"/>
    <x v="0"/>
    <x v="1"/>
    <n v="56.7"/>
    <x v="23"/>
    <x v="733"/>
    <x v="0"/>
    <x v="0"/>
    <x v="1"/>
    <x v="1"/>
  </r>
  <r>
    <x v="750"/>
    <x v="1"/>
    <x v="2"/>
    <x v="3"/>
    <n v="80.150000000000006"/>
    <x v="27"/>
    <x v="734"/>
    <x v="0"/>
    <x v="2"/>
    <x v="1"/>
    <x v="3"/>
  </r>
  <r>
    <x v="751"/>
    <x v="1"/>
    <x v="0"/>
    <x v="3"/>
    <n v="71.349999999999994"/>
    <x v="40"/>
    <x v="735"/>
    <x v="0"/>
    <x v="0"/>
    <x v="0"/>
    <x v="0"/>
  </r>
  <r>
    <x v="752"/>
    <x v="0"/>
    <x v="0"/>
    <x v="0"/>
    <n v="90.35"/>
    <x v="2"/>
    <x v="736"/>
    <x v="0"/>
    <x v="0"/>
    <x v="0"/>
    <x v="0"/>
  </r>
  <r>
    <x v="753"/>
    <x v="1"/>
    <x v="0"/>
    <x v="0"/>
    <n v="98.55"/>
    <x v="61"/>
    <x v="737"/>
    <x v="1"/>
    <x v="0"/>
    <x v="2"/>
    <x v="2"/>
  </r>
  <r>
    <x v="754"/>
    <x v="1"/>
    <x v="2"/>
    <x v="2"/>
    <n v="19.7"/>
    <x v="33"/>
    <x v="738"/>
    <x v="0"/>
    <x v="0"/>
    <x v="1"/>
    <x v="3"/>
  </r>
  <r>
    <x v="755"/>
    <x v="0"/>
    <x v="0"/>
    <x v="1"/>
    <n v="19.850000000000001"/>
    <x v="35"/>
    <x v="739"/>
    <x v="0"/>
    <x v="0"/>
    <x v="0"/>
    <x v="0"/>
  </r>
  <r>
    <x v="756"/>
    <x v="0"/>
    <x v="0"/>
    <x v="2"/>
    <n v="85.9"/>
    <x v="30"/>
    <x v="740"/>
    <x v="1"/>
    <x v="0"/>
    <x v="2"/>
    <x v="2"/>
  </r>
  <r>
    <x v="757"/>
    <x v="0"/>
    <x v="2"/>
    <x v="2"/>
    <n v="90.35"/>
    <x v="21"/>
    <x v="741"/>
    <x v="0"/>
    <x v="2"/>
    <x v="1"/>
    <x v="3"/>
  </r>
  <r>
    <x v="758"/>
    <x v="1"/>
    <x v="0"/>
    <x v="1"/>
    <n v="20.8"/>
    <x v="0"/>
    <x v="742"/>
    <x v="0"/>
    <x v="0"/>
    <x v="0"/>
    <x v="0"/>
  </r>
  <r>
    <x v="759"/>
    <x v="0"/>
    <x v="0"/>
    <x v="0"/>
    <n v="89.25"/>
    <x v="5"/>
    <x v="743"/>
    <x v="1"/>
    <x v="0"/>
    <x v="2"/>
    <x v="2"/>
  </r>
  <r>
    <x v="760"/>
    <x v="1"/>
    <x v="0"/>
    <x v="0"/>
    <n v="70.3"/>
    <x v="35"/>
    <x v="744"/>
    <x v="1"/>
    <x v="0"/>
    <x v="0"/>
    <x v="0"/>
  </r>
  <r>
    <x v="761"/>
    <x v="0"/>
    <x v="2"/>
    <x v="2"/>
    <n v="66.849999999999994"/>
    <x v="21"/>
    <x v="745"/>
    <x v="0"/>
    <x v="1"/>
    <x v="1"/>
    <x v="3"/>
  </r>
  <r>
    <x v="762"/>
    <x v="1"/>
    <x v="2"/>
    <x v="1"/>
    <n v="19.899999999999999"/>
    <x v="45"/>
    <x v="746"/>
    <x v="0"/>
    <x v="0"/>
    <x v="1"/>
    <x v="3"/>
  </r>
  <r>
    <x v="763"/>
    <x v="0"/>
    <x v="0"/>
    <x v="1"/>
    <n v="35.799999999999997"/>
    <x v="26"/>
    <x v="747"/>
    <x v="0"/>
    <x v="0"/>
    <x v="0"/>
    <x v="0"/>
  </r>
  <r>
    <x v="764"/>
    <x v="1"/>
    <x v="0"/>
    <x v="1"/>
    <n v="78.849999999999994"/>
    <x v="5"/>
    <x v="748"/>
    <x v="0"/>
    <x v="0"/>
    <x v="2"/>
    <x v="2"/>
  </r>
  <r>
    <x v="765"/>
    <x v="1"/>
    <x v="1"/>
    <x v="2"/>
    <n v="20.399999999999999"/>
    <x v="60"/>
    <x v="749"/>
    <x v="0"/>
    <x v="0"/>
    <x v="2"/>
    <x v="2"/>
  </r>
  <r>
    <x v="766"/>
    <x v="1"/>
    <x v="0"/>
    <x v="0"/>
    <n v="74.25"/>
    <x v="52"/>
    <x v="750"/>
    <x v="0"/>
    <x v="1"/>
    <x v="1"/>
    <x v="1"/>
  </r>
  <r>
    <x v="767"/>
    <x v="1"/>
    <x v="1"/>
    <x v="1"/>
    <n v="64.8"/>
    <x v="22"/>
    <x v="751"/>
    <x v="0"/>
    <x v="0"/>
    <x v="2"/>
    <x v="2"/>
  </r>
  <r>
    <x v="768"/>
    <x v="1"/>
    <x v="0"/>
    <x v="3"/>
    <n v="20.45"/>
    <x v="26"/>
    <x v="752"/>
    <x v="0"/>
    <x v="0"/>
    <x v="0"/>
    <x v="0"/>
  </r>
  <r>
    <x v="769"/>
    <x v="1"/>
    <x v="0"/>
    <x v="0"/>
    <n v="93.35"/>
    <x v="30"/>
    <x v="753"/>
    <x v="1"/>
    <x v="0"/>
    <x v="2"/>
    <x v="2"/>
  </r>
  <r>
    <x v="770"/>
    <x v="0"/>
    <x v="0"/>
    <x v="1"/>
    <n v="19.899999999999999"/>
    <x v="0"/>
    <x v="403"/>
    <x v="1"/>
    <x v="0"/>
    <x v="0"/>
    <x v="0"/>
  </r>
  <r>
    <x v="771"/>
    <x v="0"/>
    <x v="0"/>
    <x v="1"/>
    <n v="88.9"/>
    <x v="24"/>
    <x v="754"/>
    <x v="1"/>
    <x v="0"/>
    <x v="0"/>
    <x v="0"/>
  </r>
  <r>
    <x v="772"/>
    <x v="1"/>
    <x v="1"/>
    <x v="0"/>
    <n v="95.8"/>
    <x v="55"/>
    <x v="755"/>
    <x v="1"/>
    <x v="1"/>
    <x v="1"/>
    <x v="1"/>
  </r>
  <r>
    <x v="773"/>
    <x v="0"/>
    <x v="2"/>
    <x v="3"/>
    <n v="110.65"/>
    <x v="21"/>
    <x v="756"/>
    <x v="0"/>
    <x v="2"/>
    <x v="1"/>
    <x v="3"/>
  </r>
  <r>
    <x v="774"/>
    <x v="0"/>
    <x v="0"/>
    <x v="1"/>
    <n v="40.299999999999997"/>
    <x v="35"/>
    <x v="757"/>
    <x v="0"/>
    <x v="0"/>
    <x v="0"/>
    <x v="0"/>
  </r>
  <r>
    <x v="775"/>
    <x v="1"/>
    <x v="0"/>
    <x v="0"/>
    <n v="82"/>
    <x v="2"/>
    <x v="758"/>
    <x v="1"/>
    <x v="0"/>
    <x v="0"/>
    <x v="0"/>
  </r>
  <r>
    <x v="776"/>
    <x v="0"/>
    <x v="1"/>
    <x v="3"/>
    <n v="107"/>
    <x v="64"/>
    <x v="759"/>
    <x v="0"/>
    <x v="2"/>
    <x v="1"/>
    <x v="3"/>
  </r>
  <r>
    <x v="777"/>
    <x v="1"/>
    <x v="0"/>
    <x v="0"/>
    <n v="45.35"/>
    <x v="2"/>
    <x v="760"/>
    <x v="1"/>
    <x v="0"/>
    <x v="0"/>
    <x v="0"/>
  </r>
  <r>
    <x v="778"/>
    <x v="1"/>
    <x v="2"/>
    <x v="3"/>
    <n v="73.349999999999994"/>
    <x v="16"/>
    <x v="761"/>
    <x v="0"/>
    <x v="2"/>
    <x v="1"/>
    <x v="3"/>
  </r>
  <r>
    <x v="779"/>
    <x v="0"/>
    <x v="0"/>
    <x v="1"/>
    <n v="44.8"/>
    <x v="24"/>
    <x v="762"/>
    <x v="0"/>
    <x v="0"/>
    <x v="0"/>
    <x v="0"/>
  </r>
  <r>
    <x v="780"/>
    <x v="1"/>
    <x v="0"/>
    <x v="3"/>
    <n v="54.75"/>
    <x v="23"/>
    <x v="763"/>
    <x v="0"/>
    <x v="0"/>
    <x v="1"/>
    <x v="1"/>
  </r>
  <r>
    <x v="781"/>
    <x v="0"/>
    <x v="0"/>
    <x v="0"/>
    <n v="52.2"/>
    <x v="0"/>
    <x v="764"/>
    <x v="1"/>
    <x v="0"/>
    <x v="0"/>
    <x v="0"/>
  </r>
  <r>
    <x v="782"/>
    <x v="1"/>
    <x v="1"/>
    <x v="2"/>
    <n v="40.6"/>
    <x v="28"/>
    <x v="765"/>
    <x v="0"/>
    <x v="1"/>
    <x v="1"/>
    <x v="3"/>
  </r>
  <r>
    <x v="783"/>
    <x v="0"/>
    <x v="1"/>
    <x v="0"/>
    <n v="110"/>
    <x v="25"/>
    <x v="766"/>
    <x v="1"/>
    <x v="2"/>
    <x v="1"/>
    <x v="1"/>
  </r>
  <r>
    <x v="784"/>
    <x v="1"/>
    <x v="2"/>
    <x v="2"/>
    <n v="55.3"/>
    <x v="21"/>
    <x v="767"/>
    <x v="0"/>
    <x v="1"/>
    <x v="1"/>
    <x v="3"/>
  </r>
  <r>
    <x v="785"/>
    <x v="0"/>
    <x v="0"/>
    <x v="2"/>
    <n v="60.85"/>
    <x v="1"/>
    <x v="768"/>
    <x v="0"/>
    <x v="1"/>
    <x v="1"/>
    <x v="1"/>
  </r>
  <r>
    <x v="786"/>
    <x v="0"/>
    <x v="1"/>
    <x v="0"/>
    <n v="78.400000000000006"/>
    <x v="65"/>
    <x v="769"/>
    <x v="0"/>
    <x v="0"/>
    <x v="1"/>
    <x v="2"/>
  </r>
  <r>
    <x v="787"/>
    <x v="1"/>
    <x v="2"/>
    <x v="2"/>
    <n v="69.650000000000006"/>
    <x v="21"/>
    <x v="770"/>
    <x v="0"/>
    <x v="2"/>
    <x v="1"/>
    <x v="3"/>
  </r>
  <r>
    <x v="788"/>
    <x v="0"/>
    <x v="2"/>
    <x v="3"/>
    <n v="59.85"/>
    <x v="31"/>
    <x v="771"/>
    <x v="0"/>
    <x v="1"/>
    <x v="1"/>
    <x v="3"/>
  </r>
  <r>
    <x v="789"/>
    <x v="1"/>
    <x v="1"/>
    <x v="3"/>
    <n v="76.900000000000006"/>
    <x v="47"/>
    <x v="772"/>
    <x v="0"/>
    <x v="2"/>
    <x v="1"/>
    <x v="3"/>
  </r>
  <r>
    <x v="790"/>
    <x v="0"/>
    <x v="2"/>
    <x v="1"/>
    <n v="19.850000000000001"/>
    <x v="4"/>
    <x v="773"/>
    <x v="0"/>
    <x v="0"/>
    <x v="0"/>
    <x v="0"/>
  </r>
  <r>
    <x v="791"/>
    <x v="0"/>
    <x v="2"/>
    <x v="3"/>
    <n v="67.650000000000006"/>
    <x v="1"/>
    <x v="774"/>
    <x v="0"/>
    <x v="1"/>
    <x v="1"/>
    <x v="1"/>
  </r>
  <r>
    <x v="792"/>
    <x v="0"/>
    <x v="0"/>
    <x v="3"/>
    <n v="45"/>
    <x v="53"/>
    <x v="775"/>
    <x v="0"/>
    <x v="0"/>
    <x v="0"/>
    <x v="0"/>
  </r>
  <r>
    <x v="793"/>
    <x v="1"/>
    <x v="0"/>
    <x v="1"/>
    <n v="64.2"/>
    <x v="2"/>
    <x v="776"/>
    <x v="0"/>
    <x v="0"/>
    <x v="0"/>
    <x v="0"/>
  </r>
  <r>
    <x v="794"/>
    <x v="1"/>
    <x v="1"/>
    <x v="3"/>
    <n v="81.7"/>
    <x v="36"/>
    <x v="777"/>
    <x v="0"/>
    <x v="1"/>
    <x v="1"/>
    <x v="1"/>
  </r>
  <r>
    <x v="795"/>
    <x v="0"/>
    <x v="0"/>
    <x v="2"/>
    <n v="25.55"/>
    <x v="61"/>
    <x v="778"/>
    <x v="0"/>
    <x v="0"/>
    <x v="2"/>
    <x v="2"/>
  </r>
  <r>
    <x v="796"/>
    <x v="0"/>
    <x v="0"/>
    <x v="0"/>
    <n v="20"/>
    <x v="0"/>
    <x v="779"/>
    <x v="0"/>
    <x v="0"/>
    <x v="0"/>
    <x v="0"/>
  </r>
  <r>
    <x v="797"/>
    <x v="1"/>
    <x v="1"/>
    <x v="0"/>
    <n v="96.75"/>
    <x v="8"/>
    <x v="780"/>
    <x v="1"/>
    <x v="2"/>
    <x v="1"/>
    <x v="3"/>
  </r>
  <r>
    <x v="798"/>
    <x v="0"/>
    <x v="2"/>
    <x v="3"/>
    <n v="75.650000000000006"/>
    <x v="27"/>
    <x v="781"/>
    <x v="0"/>
    <x v="2"/>
    <x v="1"/>
    <x v="3"/>
  </r>
  <r>
    <x v="799"/>
    <x v="0"/>
    <x v="0"/>
    <x v="0"/>
    <n v="98.5"/>
    <x v="6"/>
    <x v="782"/>
    <x v="1"/>
    <x v="0"/>
    <x v="0"/>
    <x v="0"/>
  </r>
  <r>
    <x v="800"/>
    <x v="1"/>
    <x v="2"/>
    <x v="1"/>
    <n v="23.8"/>
    <x v="71"/>
    <x v="783"/>
    <x v="0"/>
    <x v="0"/>
    <x v="1"/>
    <x v="1"/>
  </r>
  <r>
    <x v="801"/>
    <x v="0"/>
    <x v="2"/>
    <x v="3"/>
    <n v="64.2"/>
    <x v="25"/>
    <x v="784"/>
    <x v="0"/>
    <x v="1"/>
    <x v="1"/>
    <x v="1"/>
  </r>
  <r>
    <x v="802"/>
    <x v="1"/>
    <x v="0"/>
    <x v="0"/>
    <n v="85.35"/>
    <x v="53"/>
    <x v="785"/>
    <x v="1"/>
    <x v="0"/>
    <x v="0"/>
    <x v="0"/>
  </r>
  <r>
    <x v="803"/>
    <x v="0"/>
    <x v="2"/>
    <x v="2"/>
    <n v="76.8"/>
    <x v="21"/>
    <x v="786"/>
    <x v="0"/>
    <x v="2"/>
    <x v="1"/>
    <x v="3"/>
  </r>
  <r>
    <x v="804"/>
    <x v="1"/>
    <x v="0"/>
    <x v="3"/>
    <n v="55.2"/>
    <x v="32"/>
    <x v="787"/>
    <x v="0"/>
    <x v="0"/>
    <x v="2"/>
    <x v="2"/>
  </r>
  <r>
    <x v="805"/>
    <x v="1"/>
    <x v="2"/>
    <x v="3"/>
    <n v="108.55"/>
    <x v="16"/>
    <x v="788"/>
    <x v="0"/>
    <x v="2"/>
    <x v="1"/>
    <x v="3"/>
  </r>
  <r>
    <x v="806"/>
    <x v="1"/>
    <x v="0"/>
    <x v="0"/>
    <n v="101.3"/>
    <x v="63"/>
    <x v="789"/>
    <x v="1"/>
    <x v="1"/>
    <x v="1"/>
    <x v="1"/>
  </r>
  <r>
    <x v="807"/>
    <x v="1"/>
    <x v="0"/>
    <x v="0"/>
    <n v="69.55"/>
    <x v="0"/>
    <x v="440"/>
    <x v="1"/>
    <x v="0"/>
    <x v="0"/>
    <x v="0"/>
  </r>
  <r>
    <x v="808"/>
    <x v="1"/>
    <x v="1"/>
    <x v="2"/>
    <n v="103.25"/>
    <x v="11"/>
    <x v="790"/>
    <x v="1"/>
    <x v="2"/>
    <x v="1"/>
    <x v="3"/>
  </r>
  <r>
    <x v="809"/>
    <x v="1"/>
    <x v="2"/>
    <x v="3"/>
    <n v="104"/>
    <x v="27"/>
    <x v="791"/>
    <x v="1"/>
    <x v="2"/>
    <x v="1"/>
    <x v="3"/>
  </r>
  <r>
    <x v="810"/>
    <x v="0"/>
    <x v="2"/>
    <x v="0"/>
    <n v="25.25"/>
    <x v="41"/>
    <x v="792"/>
    <x v="0"/>
    <x v="0"/>
    <x v="1"/>
    <x v="1"/>
  </r>
  <r>
    <x v="811"/>
    <x v="1"/>
    <x v="1"/>
    <x v="2"/>
    <n v="30.4"/>
    <x v="1"/>
    <x v="793"/>
    <x v="0"/>
    <x v="0"/>
    <x v="1"/>
    <x v="1"/>
  </r>
  <r>
    <x v="812"/>
    <x v="1"/>
    <x v="0"/>
    <x v="2"/>
    <n v="20.05"/>
    <x v="24"/>
    <x v="794"/>
    <x v="0"/>
    <x v="0"/>
    <x v="0"/>
    <x v="0"/>
  </r>
  <r>
    <x v="813"/>
    <x v="0"/>
    <x v="0"/>
    <x v="1"/>
    <n v="84.6"/>
    <x v="13"/>
    <x v="795"/>
    <x v="0"/>
    <x v="1"/>
    <x v="1"/>
    <x v="1"/>
  </r>
  <r>
    <x v="814"/>
    <x v="0"/>
    <x v="0"/>
    <x v="1"/>
    <n v="86.2"/>
    <x v="2"/>
    <x v="796"/>
    <x v="1"/>
    <x v="0"/>
    <x v="0"/>
    <x v="0"/>
  </r>
  <r>
    <x v="815"/>
    <x v="0"/>
    <x v="1"/>
    <x v="2"/>
    <n v="103.7"/>
    <x v="49"/>
    <x v="797"/>
    <x v="0"/>
    <x v="2"/>
    <x v="1"/>
    <x v="3"/>
  </r>
  <r>
    <x v="816"/>
    <x v="1"/>
    <x v="0"/>
    <x v="0"/>
    <n v="111.2"/>
    <x v="17"/>
    <x v="798"/>
    <x v="1"/>
    <x v="1"/>
    <x v="2"/>
    <x v="2"/>
  </r>
  <r>
    <x v="817"/>
    <x v="1"/>
    <x v="2"/>
    <x v="3"/>
    <n v="88"/>
    <x v="27"/>
    <x v="799"/>
    <x v="0"/>
    <x v="2"/>
    <x v="1"/>
    <x v="3"/>
  </r>
  <r>
    <x v="818"/>
    <x v="0"/>
    <x v="0"/>
    <x v="0"/>
    <n v="106.35"/>
    <x v="59"/>
    <x v="800"/>
    <x v="0"/>
    <x v="2"/>
    <x v="1"/>
    <x v="3"/>
  </r>
  <r>
    <x v="819"/>
    <x v="1"/>
    <x v="2"/>
    <x v="3"/>
    <n v="79.150000000000006"/>
    <x v="29"/>
    <x v="801"/>
    <x v="0"/>
    <x v="1"/>
    <x v="1"/>
    <x v="1"/>
  </r>
  <r>
    <x v="820"/>
    <x v="1"/>
    <x v="1"/>
    <x v="0"/>
    <n v="103.1"/>
    <x v="20"/>
    <x v="802"/>
    <x v="0"/>
    <x v="1"/>
    <x v="1"/>
    <x v="1"/>
  </r>
  <r>
    <x v="821"/>
    <x v="1"/>
    <x v="0"/>
    <x v="3"/>
    <n v="63.95"/>
    <x v="24"/>
    <x v="803"/>
    <x v="0"/>
    <x v="0"/>
    <x v="0"/>
    <x v="0"/>
  </r>
  <r>
    <x v="822"/>
    <x v="0"/>
    <x v="2"/>
    <x v="3"/>
    <n v="25.8"/>
    <x v="8"/>
    <x v="804"/>
    <x v="0"/>
    <x v="0"/>
    <x v="1"/>
    <x v="3"/>
  </r>
  <r>
    <x v="823"/>
    <x v="0"/>
    <x v="0"/>
    <x v="3"/>
    <n v="89.45"/>
    <x v="10"/>
    <x v="805"/>
    <x v="1"/>
    <x v="0"/>
    <x v="2"/>
    <x v="2"/>
  </r>
  <r>
    <x v="824"/>
    <x v="1"/>
    <x v="0"/>
    <x v="2"/>
    <n v="95.6"/>
    <x v="40"/>
    <x v="806"/>
    <x v="1"/>
    <x v="0"/>
    <x v="0"/>
    <x v="0"/>
  </r>
  <r>
    <x v="825"/>
    <x v="0"/>
    <x v="0"/>
    <x v="1"/>
    <n v="25.55"/>
    <x v="60"/>
    <x v="807"/>
    <x v="0"/>
    <x v="0"/>
    <x v="2"/>
    <x v="2"/>
  </r>
  <r>
    <x v="826"/>
    <x v="1"/>
    <x v="1"/>
    <x v="0"/>
    <n v="90.95"/>
    <x v="31"/>
    <x v="808"/>
    <x v="1"/>
    <x v="2"/>
    <x v="1"/>
    <x v="3"/>
  </r>
  <r>
    <x v="827"/>
    <x v="1"/>
    <x v="0"/>
    <x v="0"/>
    <n v="44.85"/>
    <x v="1"/>
    <x v="809"/>
    <x v="0"/>
    <x v="0"/>
    <x v="1"/>
    <x v="1"/>
  </r>
  <r>
    <x v="828"/>
    <x v="0"/>
    <x v="1"/>
    <x v="0"/>
    <n v="108.55"/>
    <x v="37"/>
    <x v="810"/>
    <x v="1"/>
    <x v="2"/>
    <x v="1"/>
    <x v="3"/>
  </r>
  <r>
    <x v="829"/>
    <x v="1"/>
    <x v="2"/>
    <x v="3"/>
    <n v="25.05"/>
    <x v="46"/>
    <x v="811"/>
    <x v="0"/>
    <x v="0"/>
    <x v="1"/>
    <x v="1"/>
  </r>
  <r>
    <x v="830"/>
    <x v="0"/>
    <x v="1"/>
    <x v="3"/>
    <n v="74.099999999999994"/>
    <x v="27"/>
    <x v="812"/>
    <x v="0"/>
    <x v="2"/>
    <x v="1"/>
    <x v="3"/>
  </r>
  <r>
    <x v="831"/>
    <x v="0"/>
    <x v="0"/>
    <x v="0"/>
    <n v="88.8"/>
    <x v="50"/>
    <x v="813"/>
    <x v="0"/>
    <x v="1"/>
    <x v="1"/>
    <x v="1"/>
  </r>
  <r>
    <x v="832"/>
    <x v="0"/>
    <x v="0"/>
    <x v="0"/>
    <n v="78.849999999999994"/>
    <x v="54"/>
    <x v="814"/>
    <x v="1"/>
    <x v="0"/>
    <x v="0"/>
    <x v="0"/>
  </r>
  <r>
    <x v="833"/>
    <x v="1"/>
    <x v="0"/>
    <x v="0"/>
    <n v="93.25"/>
    <x v="31"/>
    <x v="815"/>
    <x v="0"/>
    <x v="2"/>
    <x v="1"/>
    <x v="3"/>
  </r>
  <r>
    <x v="834"/>
    <x v="1"/>
    <x v="1"/>
    <x v="3"/>
    <n v="71.400000000000006"/>
    <x v="8"/>
    <x v="816"/>
    <x v="0"/>
    <x v="1"/>
    <x v="1"/>
    <x v="3"/>
  </r>
  <r>
    <x v="835"/>
    <x v="1"/>
    <x v="0"/>
    <x v="1"/>
    <n v="44.4"/>
    <x v="0"/>
    <x v="817"/>
    <x v="1"/>
    <x v="0"/>
    <x v="0"/>
    <x v="0"/>
  </r>
  <r>
    <x v="836"/>
    <x v="1"/>
    <x v="0"/>
    <x v="3"/>
    <n v="79.2"/>
    <x v="51"/>
    <x v="818"/>
    <x v="0"/>
    <x v="1"/>
    <x v="1"/>
    <x v="1"/>
  </r>
  <r>
    <x v="837"/>
    <x v="1"/>
    <x v="2"/>
    <x v="3"/>
    <n v="20.399999999999999"/>
    <x v="66"/>
    <x v="819"/>
    <x v="0"/>
    <x v="0"/>
    <x v="1"/>
    <x v="1"/>
  </r>
  <r>
    <x v="838"/>
    <x v="0"/>
    <x v="1"/>
    <x v="0"/>
    <n v="100"/>
    <x v="49"/>
    <x v="820"/>
    <x v="1"/>
    <x v="2"/>
    <x v="1"/>
    <x v="3"/>
  </r>
  <r>
    <x v="839"/>
    <x v="0"/>
    <x v="2"/>
    <x v="3"/>
    <n v="105"/>
    <x v="21"/>
    <x v="821"/>
    <x v="0"/>
    <x v="2"/>
    <x v="1"/>
    <x v="3"/>
  </r>
  <r>
    <x v="840"/>
    <x v="0"/>
    <x v="1"/>
    <x v="2"/>
    <n v="19.8"/>
    <x v="18"/>
    <x v="21"/>
    <x v="1"/>
    <x v="0"/>
    <x v="2"/>
    <x v="0"/>
  </r>
  <r>
    <x v="841"/>
    <x v="0"/>
    <x v="0"/>
    <x v="2"/>
    <n v="30.85"/>
    <x v="9"/>
    <x v="822"/>
    <x v="0"/>
    <x v="0"/>
    <x v="2"/>
    <x v="2"/>
  </r>
  <r>
    <x v="842"/>
    <x v="1"/>
    <x v="0"/>
    <x v="0"/>
    <n v="89.9"/>
    <x v="0"/>
    <x v="823"/>
    <x v="1"/>
    <x v="0"/>
    <x v="0"/>
    <x v="0"/>
  </r>
  <r>
    <x v="843"/>
    <x v="0"/>
    <x v="1"/>
    <x v="1"/>
    <n v="20.55"/>
    <x v="30"/>
    <x v="824"/>
    <x v="0"/>
    <x v="0"/>
    <x v="2"/>
    <x v="2"/>
  </r>
  <r>
    <x v="844"/>
    <x v="0"/>
    <x v="2"/>
    <x v="2"/>
    <n v="84.85"/>
    <x v="45"/>
    <x v="825"/>
    <x v="0"/>
    <x v="2"/>
    <x v="1"/>
    <x v="3"/>
  </r>
  <r>
    <x v="845"/>
    <x v="0"/>
    <x v="1"/>
    <x v="3"/>
    <n v="33.15"/>
    <x v="18"/>
    <x v="826"/>
    <x v="0"/>
    <x v="0"/>
    <x v="2"/>
    <x v="0"/>
  </r>
  <r>
    <x v="846"/>
    <x v="1"/>
    <x v="2"/>
    <x v="3"/>
    <n v="92"/>
    <x v="21"/>
    <x v="827"/>
    <x v="0"/>
    <x v="2"/>
    <x v="1"/>
    <x v="3"/>
  </r>
  <r>
    <x v="847"/>
    <x v="0"/>
    <x v="2"/>
    <x v="3"/>
    <n v="89.8"/>
    <x v="21"/>
    <x v="828"/>
    <x v="0"/>
    <x v="2"/>
    <x v="1"/>
    <x v="3"/>
  </r>
  <r>
    <x v="848"/>
    <x v="0"/>
    <x v="2"/>
    <x v="2"/>
    <n v="115.8"/>
    <x v="21"/>
    <x v="829"/>
    <x v="0"/>
    <x v="2"/>
    <x v="1"/>
    <x v="3"/>
  </r>
  <r>
    <x v="849"/>
    <x v="1"/>
    <x v="2"/>
    <x v="1"/>
    <n v="85.15"/>
    <x v="15"/>
    <x v="830"/>
    <x v="0"/>
    <x v="1"/>
    <x v="1"/>
    <x v="3"/>
  </r>
  <r>
    <x v="850"/>
    <x v="1"/>
    <x v="0"/>
    <x v="1"/>
    <n v="24.85"/>
    <x v="2"/>
    <x v="831"/>
    <x v="0"/>
    <x v="0"/>
    <x v="0"/>
    <x v="0"/>
  </r>
  <r>
    <x v="851"/>
    <x v="0"/>
    <x v="0"/>
    <x v="0"/>
    <n v="64.349999999999994"/>
    <x v="24"/>
    <x v="832"/>
    <x v="0"/>
    <x v="0"/>
    <x v="0"/>
    <x v="0"/>
  </r>
  <r>
    <x v="852"/>
    <x v="0"/>
    <x v="2"/>
    <x v="3"/>
    <n v="20.5"/>
    <x v="47"/>
    <x v="833"/>
    <x v="0"/>
    <x v="0"/>
    <x v="1"/>
    <x v="3"/>
  </r>
  <r>
    <x v="853"/>
    <x v="0"/>
    <x v="1"/>
    <x v="0"/>
    <n v="100.15"/>
    <x v="8"/>
    <x v="834"/>
    <x v="1"/>
    <x v="2"/>
    <x v="1"/>
    <x v="3"/>
  </r>
  <r>
    <x v="854"/>
    <x v="1"/>
    <x v="2"/>
    <x v="3"/>
    <n v="86.05"/>
    <x v="21"/>
    <x v="835"/>
    <x v="0"/>
    <x v="2"/>
    <x v="1"/>
    <x v="3"/>
  </r>
  <r>
    <x v="855"/>
    <x v="1"/>
    <x v="0"/>
    <x v="0"/>
    <n v="50.8"/>
    <x v="0"/>
    <x v="836"/>
    <x v="1"/>
    <x v="0"/>
    <x v="0"/>
    <x v="0"/>
  </r>
  <r>
    <x v="856"/>
    <x v="0"/>
    <x v="1"/>
    <x v="0"/>
    <n v="89"/>
    <x v="33"/>
    <x v="837"/>
    <x v="0"/>
    <x v="2"/>
    <x v="1"/>
    <x v="3"/>
  </r>
  <r>
    <x v="857"/>
    <x v="1"/>
    <x v="2"/>
    <x v="3"/>
    <n v="64.8"/>
    <x v="21"/>
    <x v="377"/>
    <x v="0"/>
    <x v="1"/>
    <x v="1"/>
    <x v="3"/>
  </r>
  <r>
    <x v="858"/>
    <x v="1"/>
    <x v="1"/>
    <x v="3"/>
    <n v="19.8"/>
    <x v="70"/>
    <x v="838"/>
    <x v="0"/>
    <x v="0"/>
    <x v="1"/>
    <x v="1"/>
  </r>
  <r>
    <x v="859"/>
    <x v="1"/>
    <x v="2"/>
    <x v="2"/>
    <n v="93.4"/>
    <x v="38"/>
    <x v="839"/>
    <x v="0"/>
    <x v="2"/>
    <x v="1"/>
    <x v="3"/>
  </r>
  <r>
    <x v="860"/>
    <x v="1"/>
    <x v="0"/>
    <x v="0"/>
    <n v="73.650000000000006"/>
    <x v="61"/>
    <x v="840"/>
    <x v="1"/>
    <x v="0"/>
    <x v="2"/>
    <x v="2"/>
  </r>
  <r>
    <x v="861"/>
    <x v="0"/>
    <x v="0"/>
    <x v="0"/>
    <n v="95.1"/>
    <x v="35"/>
    <x v="841"/>
    <x v="1"/>
    <x v="0"/>
    <x v="0"/>
    <x v="0"/>
  </r>
  <r>
    <x v="862"/>
    <x v="1"/>
    <x v="0"/>
    <x v="3"/>
    <n v="94.65"/>
    <x v="5"/>
    <x v="842"/>
    <x v="1"/>
    <x v="1"/>
    <x v="2"/>
    <x v="2"/>
  </r>
  <r>
    <x v="863"/>
    <x v="1"/>
    <x v="0"/>
    <x v="1"/>
    <n v="80.599999999999994"/>
    <x v="54"/>
    <x v="843"/>
    <x v="1"/>
    <x v="0"/>
    <x v="0"/>
    <x v="0"/>
  </r>
  <r>
    <x v="864"/>
    <x v="1"/>
    <x v="2"/>
    <x v="2"/>
    <n v="39"/>
    <x v="8"/>
    <x v="844"/>
    <x v="0"/>
    <x v="1"/>
    <x v="1"/>
    <x v="3"/>
  </r>
  <r>
    <x v="865"/>
    <x v="0"/>
    <x v="0"/>
    <x v="1"/>
    <n v="20.5"/>
    <x v="24"/>
    <x v="845"/>
    <x v="0"/>
    <x v="0"/>
    <x v="0"/>
    <x v="0"/>
  </r>
  <r>
    <x v="866"/>
    <x v="1"/>
    <x v="1"/>
    <x v="0"/>
    <n v="85.55"/>
    <x v="64"/>
    <x v="846"/>
    <x v="1"/>
    <x v="2"/>
    <x v="1"/>
    <x v="3"/>
  </r>
  <r>
    <x v="867"/>
    <x v="1"/>
    <x v="2"/>
    <x v="1"/>
    <n v="26.4"/>
    <x v="35"/>
    <x v="847"/>
    <x v="0"/>
    <x v="0"/>
    <x v="0"/>
    <x v="0"/>
  </r>
  <r>
    <x v="868"/>
    <x v="0"/>
    <x v="2"/>
    <x v="2"/>
    <n v="98.2"/>
    <x v="21"/>
    <x v="848"/>
    <x v="0"/>
    <x v="2"/>
    <x v="1"/>
    <x v="3"/>
  </r>
  <r>
    <x v="869"/>
    <x v="1"/>
    <x v="1"/>
    <x v="3"/>
    <n v="97.55"/>
    <x v="58"/>
    <x v="849"/>
    <x v="0"/>
    <x v="2"/>
    <x v="1"/>
    <x v="3"/>
  </r>
  <r>
    <x v="870"/>
    <x v="1"/>
    <x v="2"/>
    <x v="3"/>
    <n v="19.95"/>
    <x v="33"/>
    <x v="235"/>
    <x v="0"/>
    <x v="0"/>
    <x v="1"/>
    <x v="3"/>
  </r>
  <r>
    <x v="871"/>
    <x v="0"/>
    <x v="0"/>
    <x v="0"/>
    <n v="50.8"/>
    <x v="31"/>
    <x v="850"/>
    <x v="1"/>
    <x v="1"/>
    <x v="1"/>
    <x v="3"/>
  </r>
  <r>
    <x v="872"/>
    <x v="1"/>
    <x v="2"/>
    <x v="2"/>
    <n v="99.7"/>
    <x v="3"/>
    <x v="851"/>
    <x v="0"/>
    <x v="1"/>
    <x v="1"/>
    <x v="1"/>
  </r>
  <r>
    <x v="873"/>
    <x v="0"/>
    <x v="0"/>
    <x v="3"/>
    <n v="34.799999999999997"/>
    <x v="35"/>
    <x v="852"/>
    <x v="0"/>
    <x v="0"/>
    <x v="0"/>
    <x v="0"/>
  </r>
  <r>
    <x v="874"/>
    <x v="0"/>
    <x v="0"/>
    <x v="0"/>
    <n v="105.1"/>
    <x v="30"/>
    <x v="853"/>
    <x v="1"/>
    <x v="0"/>
    <x v="2"/>
    <x v="2"/>
  </r>
  <r>
    <x v="875"/>
    <x v="0"/>
    <x v="1"/>
    <x v="2"/>
    <n v="60.15"/>
    <x v="69"/>
    <x v="854"/>
    <x v="0"/>
    <x v="1"/>
    <x v="1"/>
    <x v="3"/>
  </r>
  <r>
    <x v="876"/>
    <x v="0"/>
    <x v="1"/>
    <x v="0"/>
    <n v="64.75"/>
    <x v="31"/>
    <x v="855"/>
    <x v="0"/>
    <x v="1"/>
    <x v="1"/>
    <x v="3"/>
  </r>
  <r>
    <x v="877"/>
    <x v="1"/>
    <x v="0"/>
    <x v="2"/>
    <n v="54.65"/>
    <x v="55"/>
    <x v="856"/>
    <x v="0"/>
    <x v="0"/>
    <x v="1"/>
    <x v="1"/>
  </r>
  <r>
    <x v="878"/>
    <x v="1"/>
    <x v="0"/>
    <x v="0"/>
    <n v="110.1"/>
    <x v="6"/>
    <x v="857"/>
    <x v="1"/>
    <x v="0"/>
    <x v="0"/>
    <x v="0"/>
  </r>
  <r>
    <x v="879"/>
    <x v="1"/>
    <x v="1"/>
    <x v="3"/>
    <n v="19.3"/>
    <x v="70"/>
    <x v="858"/>
    <x v="0"/>
    <x v="0"/>
    <x v="1"/>
    <x v="1"/>
  </r>
  <r>
    <x v="880"/>
    <x v="0"/>
    <x v="0"/>
    <x v="0"/>
    <n v="83.9"/>
    <x v="53"/>
    <x v="859"/>
    <x v="1"/>
    <x v="0"/>
    <x v="0"/>
    <x v="0"/>
  </r>
  <r>
    <x v="881"/>
    <x v="0"/>
    <x v="1"/>
    <x v="0"/>
    <n v="111.25"/>
    <x v="56"/>
    <x v="860"/>
    <x v="0"/>
    <x v="2"/>
    <x v="1"/>
    <x v="3"/>
  </r>
  <r>
    <x v="882"/>
    <x v="0"/>
    <x v="1"/>
    <x v="3"/>
    <n v="35.799999999999997"/>
    <x v="12"/>
    <x v="861"/>
    <x v="0"/>
    <x v="0"/>
    <x v="1"/>
    <x v="3"/>
  </r>
  <r>
    <x v="883"/>
    <x v="1"/>
    <x v="0"/>
    <x v="1"/>
    <n v="20.05"/>
    <x v="0"/>
    <x v="650"/>
    <x v="0"/>
    <x v="0"/>
    <x v="0"/>
    <x v="0"/>
  </r>
  <r>
    <x v="884"/>
    <x v="0"/>
    <x v="0"/>
    <x v="0"/>
    <n v="84.35"/>
    <x v="40"/>
    <x v="862"/>
    <x v="0"/>
    <x v="0"/>
    <x v="0"/>
    <x v="0"/>
  </r>
  <r>
    <x v="885"/>
    <x v="0"/>
    <x v="1"/>
    <x v="2"/>
    <n v="110.5"/>
    <x v="23"/>
    <x v="863"/>
    <x v="0"/>
    <x v="1"/>
    <x v="1"/>
    <x v="1"/>
  </r>
  <r>
    <x v="886"/>
    <x v="1"/>
    <x v="1"/>
    <x v="3"/>
    <n v="91.2"/>
    <x v="50"/>
    <x v="864"/>
    <x v="0"/>
    <x v="1"/>
    <x v="1"/>
    <x v="1"/>
  </r>
  <r>
    <x v="887"/>
    <x v="0"/>
    <x v="0"/>
    <x v="0"/>
    <n v="100.55"/>
    <x v="28"/>
    <x v="865"/>
    <x v="1"/>
    <x v="2"/>
    <x v="1"/>
    <x v="3"/>
  </r>
  <r>
    <x v="888"/>
    <x v="1"/>
    <x v="0"/>
    <x v="0"/>
    <n v="89.3"/>
    <x v="36"/>
    <x v="866"/>
    <x v="0"/>
    <x v="1"/>
    <x v="1"/>
    <x v="1"/>
  </r>
  <r>
    <x v="889"/>
    <x v="1"/>
    <x v="0"/>
    <x v="2"/>
    <n v="103.85"/>
    <x v="37"/>
    <x v="867"/>
    <x v="1"/>
    <x v="2"/>
    <x v="1"/>
    <x v="3"/>
  </r>
  <r>
    <x v="890"/>
    <x v="1"/>
    <x v="0"/>
    <x v="3"/>
    <n v="81.099999999999994"/>
    <x v="48"/>
    <x v="868"/>
    <x v="0"/>
    <x v="1"/>
    <x v="1"/>
    <x v="1"/>
  </r>
  <r>
    <x v="891"/>
    <x v="0"/>
    <x v="0"/>
    <x v="0"/>
    <n v="24.6"/>
    <x v="0"/>
    <x v="869"/>
    <x v="1"/>
    <x v="0"/>
    <x v="0"/>
    <x v="0"/>
  </r>
  <r>
    <x v="892"/>
    <x v="0"/>
    <x v="1"/>
    <x v="3"/>
    <n v="81.2"/>
    <x v="28"/>
    <x v="870"/>
    <x v="0"/>
    <x v="2"/>
    <x v="1"/>
    <x v="3"/>
  </r>
  <r>
    <x v="893"/>
    <x v="1"/>
    <x v="0"/>
    <x v="3"/>
    <n v="94.3"/>
    <x v="19"/>
    <x v="871"/>
    <x v="0"/>
    <x v="1"/>
    <x v="1"/>
    <x v="1"/>
  </r>
  <r>
    <x v="894"/>
    <x v="1"/>
    <x v="2"/>
    <x v="2"/>
    <n v="116.1"/>
    <x v="16"/>
    <x v="872"/>
    <x v="0"/>
    <x v="2"/>
    <x v="1"/>
    <x v="3"/>
  </r>
  <r>
    <x v="895"/>
    <x v="0"/>
    <x v="2"/>
    <x v="0"/>
    <n v="105.55"/>
    <x v="62"/>
    <x v="873"/>
    <x v="0"/>
    <x v="2"/>
    <x v="1"/>
    <x v="3"/>
  </r>
  <r>
    <x v="896"/>
    <x v="0"/>
    <x v="0"/>
    <x v="2"/>
    <n v="98.9"/>
    <x v="18"/>
    <x v="874"/>
    <x v="1"/>
    <x v="0"/>
    <x v="2"/>
    <x v="0"/>
  </r>
  <r>
    <x v="897"/>
    <x v="1"/>
    <x v="0"/>
    <x v="3"/>
    <n v="94.4"/>
    <x v="37"/>
    <x v="875"/>
    <x v="0"/>
    <x v="1"/>
    <x v="1"/>
    <x v="3"/>
  </r>
  <r>
    <x v="898"/>
    <x v="0"/>
    <x v="0"/>
    <x v="1"/>
    <n v="19.5"/>
    <x v="2"/>
    <x v="876"/>
    <x v="0"/>
    <x v="0"/>
    <x v="0"/>
    <x v="0"/>
  </r>
  <r>
    <x v="899"/>
    <x v="0"/>
    <x v="0"/>
    <x v="3"/>
    <n v="98.3"/>
    <x v="34"/>
    <x v="877"/>
    <x v="1"/>
    <x v="0"/>
    <x v="0"/>
    <x v="0"/>
  </r>
  <r>
    <x v="900"/>
    <x v="1"/>
    <x v="0"/>
    <x v="0"/>
    <n v="93.85"/>
    <x v="22"/>
    <x v="878"/>
    <x v="1"/>
    <x v="0"/>
    <x v="2"/>
    <x v="2"/>
  </r>
  <r>
    <x v="901"/>
    <x v="0"/>
    <x v="1"/>
    <x v="3"/>
    <n v="105.6"/>
    <x v="39"/>
    <x v="879"/>
    <x v="0"/>
    <x v="2"/>
    <x v="1"/>
    <x v="3"/>
  </r>
  <r>
    <x v="902"/>
    <x v="1"/>
    <x v="2"/>
    <x v="3"/>
    <n v="81.349999999999994"/>
    <x v="56"/>
    <x v="880"/>
    <x v="0"/>
    <x v="2"/>
    <x v="1"/>
    <x v="3"/>
  </r>
  <r>
    <x v="903"/>
    <x v="1"/>
    <x v="0"/>
    <x v="0"/>
    <n v="100.5"/>
    <x v="34"/>
    <x v="881"/>
    <x v="1"/>
    <x v="0"/>
    <x v="0"/>
    <x v="0"/>
  </r>
  <r>
    <x v="904"/>
    <x v="1"/>
    <x v="0"/>
    <x v="0"/>
    <n v="56.4"/>
    <x v="54"/>
    <x v="882"/>
    <x v="0"/>
    <x v="0"/>
    <x v="0"/>
    <x v="0"/>
  </r>
  <r>
    <x v="905"/>
    <x v="1"/>
    <x v="1"/>
    <x v="2"/>
    <n v="65.349999999999994"/>
    <x v="67"/>
    <x v="883"/>
    <x v="0"/>
    <x v="0"/>
    <x v="2"/>
    <x v="2"/>
  </r>
  <r>
    <x v="906"/>
    <x v="0"/>
    <x v="0"/>
    <x v="1"/>
    <n v="19.95"/>
    <x v="4"/>
    <x v="884"/>
    <x v="0"/>
    <x v="0"/>
    <x v="0"/>
    <x v="0"/>
  </r>
  <r>
    <x v="907"/>
    <x v="0"/>
    <x v="2"/>
    <x v="0"/>
    <n v="111.25"/>
    <x v="16"/>
    <x v="885"/>
    <x v="0"/>
    <x v="2"/>
    <x v="1"/>
    <x v="3"/>
  </r>
  <r>
    <x v="908"/>
    <x v="1"/>
    <x v="0"/>
    <x v="0"/>
    <n v="72.849999999999994"/>
    <x v="6"/>
    <x v="886"/>
    <x v="1"/>
    <x v="0"/>
    <x v="0"/>
    <x v="0"/>
  </r>
  <r>
    <x v="909"/>
    <x v="0"/>
    <x v="0"/>
    <x v="3"/>
    <n v="89"/>
    <x v="30"/>
    <x v="887"/>
    <x v="0"/>
    <x v="0"/>
    <x v="2"/>
    <x v="2"/>
  </r>
  <r>
    <x v="910"/>
    <x v="1"/>
    <x v="1"/>
    <x v="2"/>
    <n v="106.1"/>
    <x v="21"/>
    <x v="888"/>
    <x v="0"/>
    <x v="2"/>
    <x v="1"/>
    <x v="3"/>
  </r>
  <r>
    <x v="911"/>
    <x v="1"/>
    <x v="1"/>
    <x v="3"/>
    <n v="20.05"/>
    <x v="18"/>
    <x v="510"/>
    <x v="0"/>
    <x v="0"/>
    <x v="2"/>
    <x v="0"/>
  </r>
  <r>
    <x v="912"/>
    <x v="1"/>
    <x v="2"/>
    <x v="2"/>
    <n v="25.2"/>
    <x v="21"/>
    <x v="889"/>
    <x v="0"/>
    <x v="0"/>
    <x v="1"/>
    <x v="3"/>
  </r>
  <r>
    <x v="913"/>
    <x v="1"/>
    <x v="0"/>
    <x v="0"/>
    <n v="73.55"/>
    <x v="0"/>
    <x v="890"/>
    <x v="1"/>
    <x v="0"/>
    <x v="0"/>
    <x v="0"/>
  </r>
  <r>
    <x v="914"/>
    <x v="0"/>
    <x v="0"/>
    <x v="2"/>
    <n v="75.400000000000006"/>
    <x v="57"/>
    <x v="891"/>
    <x v="0"/>
    <x v="0"/>
    <x v="2"/>
    <x v="2"/>
  </r>
  <r>
    <x v="915"/>
    <x v="1"/>
    <x v="2"/>
    <x v="2"/>
    <n v="65.55"/>
    <x v="21"/>
    <x v="892"/>
    <x v="0"/>
    <x v="1"/>
    <x v="1"/>
    <x v="3"/>
  </r>
  <r>
    <x v="916"/>
    <x v="0"/>
    <x v="0"/>
    <x v="0"/>
    <n v="80.7"/>
    <x v="70"/>
    <x v="893"/>
    <x v="0"/>
    <x v="1"/>
    <x v="1"/>
    <x v="1"/>
  </r>
  <r>
    <x v="917"/>
    <x v="0"/>
    <x v="1"/>
    <x v="1"/>
    <n v="104.55"/>
    <x v="17"/>
    <x v="894"/>
    <x v="0"/>
    <x v="1"/>
    <x v="2"/>
    <x v="2"/>
  </r>
  <r>
    <x v="918"/>
    <x v="1"/>
    <x v="1"/>
    <x v="2"/>
    <n v="24.15"/>
    <x v="31"/>
    <x v="895"/>
    <x v="0"/>
    <x v="0"/>
    <x v="1"/>
    <x v="3"/>
  </r>
  <r>
    <x v="919"/>
    <x v="1"/>
    <x v="0"/>
    <x v="1"/>
    <n v="20.45"/>
    <x v="18"/>
    <x v="896"/>
    <x v="0"/>
    <x v="0"/>
    <x v="2"/>
    <x v="0"/>
  </r>
  <r>
    <x v="920"/>
    <x v="1"/>
    <x v="0"/>
    <x v="0"/>
    <n v="75.400000000000006"/>
    <x v="10"/>
    <x v="897"/>
    <x v="0"/>
    <x v="0"/>
    <x v="2"/>
    <x v="2"/>
  </r>
  <r>
    <x v="921"/>
    <x v="0"/>
    <x v="1"/>
    <x v="3"/>
    <n v="79.7"/>
    <x v="28"/>
    <x v="898"/>
    <x v="0"/>
    <x v="2"/>
    <x v="1"/>
    <x v="3"/>
  </r>
  <r>
    <x v="922"/>
    <x v="0"/>
    <x v="0"/>
    <x v="0"/>
    <n v="81.7"/>
    <x v="5"/>
    <x v="899"/>
    <x v="0"/>
    <x v="0"/>
    <x v="2"/>
    <x v="2"/>
  </r>
  <r>
    <x v="923"/>
    <x v="0"/>
    <x v="0"/>
    <x v="2"/>
    <n v="76.3"/>
    <x v="48"/>
    <x v="900"/>
    <x v="0"/>
    <x v="1"/>
    <x v="1"/>
    <x v="1"/>
  </r>
  <r>
    <x v="924"/>
    <x v="0"/>
    <x v="0"/>
    <x v="0"/>
    <n v="79.400000000000006"/>
    <x v="35"/>
    <x v="901"/>
    <x v="1"/>
    <x v="0"/>
    <x v="0"/>
    <x v="0"/>
  </r>
  <r>
    <x v="925"/>
    <x v="0"/>
    <x v="0"/>
    <x v="0"/>
    <n v="81.150000000000006"/>
    <x v="9"/>
    <x v="902"/>
    <x v="1"/>
    <x v="0"/>
    <x v="2"/>
    <x v="2"/>
  </r>
  <r>
    <x v="926"/>
    <x v="0"/>
    <x v="2"/>
    <x v="3"/>
    <n v="103.75"/>
    <x v="47"/>
    <x v="903"/>
    <x v="0"/>
    <x v="2"/>
    <x v="1"/>
    <x v="3"/>
  </r>
  <r>
    <x v="927"/>
    <x v="0"/>
    <x v="1"/>
    <x v="0"/>
    <n v="86.45"/>
    <x v="19"/>
    <x v="904"/>
    <x v="0"/>
    <x v="1"/>
    <x v="1"/>
    <x v="1"/>
  </r>
  <r>
    <x v="928"/>
    <x v="0"/>
    <x v="0"/>
    <x v="2"/>
    <n v="75.099999999999994"/>
    <x v="10"/>
    <x v="905"/>
    <x v="0"/>
    <x v="0"/>
    <x v="2"/>
    <x v="2"/>
  </r>
  <r>
    <x v="929"/>
    <x v="1"/>
    <x v="2"/>
    <x v="2"/>
    <n v="80.599999999999994"/>
    <x v="55"/>
    <x v="906"/>
    <x v="0"/>
    <x v="1"/>
    <x v="1"/>
    <x v="1"/>
  </r>
  <r>
    <x v="930"/>
    <x v="1"/>
    <x v="2"/>
    <x v="3"/>
    <n v="19.3"/>
    <x v="21"/>
    <x v="907"/>
    <x v="0"/>
    <x v="0"/>
    <x v="1"/>
    <x v="3"/>
  </r>
  <r>
    <x v="931"/>
    <x v="0"/>
    <x v="0"/>
    <x v="0"/>
    <n v="84.6"/>
    <x v="54"/>
    <x v="908"/>
    <x v="1"/>
    <x v="0"/>
    <x v="0"/>
    <x v="0"/>
  </r>
  <r>
    <x v="932"/>
    <x v="0"/>
    <x v="1"/>
    <x v="1"/>
    <n v="33.6"/>
    <x v="18"/>
    <x v="909"/>
    <x v="0"/>
    <x v="0"/>
    <x v="2"/>
    <x v="0"/>
  </r>
  <r>
    <x v="933"/>
    <x v="0"/>
    <x v="0"/>
    <x v="0"/>
    <n v="83.25"/>
    <x v="54"/>
    <x v="910"/>
    <x v="0"/>
    <x v="0"/>
    <x v="0"/>
    <x v="0"/>
  </r>
  <r>
    <x v="934"/>
    <x v="0"/>
    <x v="0"/>
    <x v="0"/>
    <n v="79.05"/>
    <x v="53"/>
    <x v="911"/>
    <x v="1"/>
    <x v="0"/>
    <x v="0"/>
    <x v="0"/>
  </r>
  <r>
    <x v="935"/>
    <x v="0"/>
    <x v="1"/>
    <x v="3"/>
    <n v="108.05"/>
    <x v="45"/>
    <x v="912"/>
    <x v="0"/>
    <x v="2"/>
    <x v="1"/>
    <x v="3"/>
  </r>
  <r>
    <x v="936"/>
    <x v="0"/>
    <x v="0"/>
    <x v="1"/>
    <n v="19.899999999999999"/>
    <x v="30"/>
    <x v="913"/>
    <x v="0"/>
    <x v="0"/>
    <x v="2"/>
    <x v="2"/>
  </r>
  <r>
    <x v="937"/>
    <x v="0"/>
    <x v="1"/>
    <x v="2"/>
    <n v="21.05"/>
    <x v="65"/>
    <x v="914"/>
    <x v="0"/>
    <x v="0"/>
    <x v="1"/>
    <x v="2"/>
  </r>
  <r>
    <x v="938"/>
    <x v="0"/>
    <x v="0"/>
    <x v="0"/>
    <n v="30.15"/>
    <x v="9"/>
    <x v="915"/>
    <x v="0"/>
    <x v="0"/>
    <x v="2"/>
    <x v="2"/>
  </r>
  <r>
    <x v="939"/>
    <x v="1"/>
    <x v="0"/>
    <x v="3"/>
    <n v="79.849999999999994"/>
    <x v="65"/>
    <x v="916"/>
    <x v="0"/>
    <x v="0"/>
    <x v="1"/>
    <x v="2"/>
  </r>
  <r>
    <x v="940"/>
    <x v="0"/>
    <x v="2"/>
    <x v="2"/>
    <n v="65.5"/>
    <x v="21"/>
    <x v="917"/>
    <x v="0"/>
    <x v="1"/>
    <x v="1"/>
    <x v="3"/>
  </r>
  <r>
    <x v="941"/>
    <x v="0"/>
    <x v="0"/>
    <x v="2"/>
    <n v="104.1"/>
    <x v="68"/>
    <x v="918"/>
    <x v="0"/>
    <x v="2"/>
    <x v="1"/>
    <x v="3"/>
  </r>
  <r>
    <x v="942"/>
    <x v="0"/>
    <x v="0"/>
    <x v="2"/>
    <n v="74.400000000000006"/>
    <x v="35"/>
    <x v="121"/>
    <x v="1"/>
    <x v="0"/>
    <x v="0"/>
    <x v="0"/>
  </r>
  <r>
    <x v="943"/>
    <x v="1"/>
    <x v="0"/>
    <x v="1"/>
    <n v="20.5"/>
    <x v="54"/>
    <x v="919"/>
    <x v="0"/>
    <x v="0"/>
    <x v="0"/>
    <x v="0"/>
  </r>
  <r>
    <x v="944"/>
    <x v="0"/>
    <x v="0"/>
    <x v="1"/>
    <n v="91.35"/>
    <x v="48"/>
    <x v="920"/>
    <x v="0"/>
    <x v="1"/>
    <x v="1"/>
    <x v="1"/>
  </r>
  <r>
    <x v="945"/>
    <x v="1"/>
    <x v="0"/>
    <x v="0"/>
    <n v="99.05"/>
    <x v="42"/>
    <x v="921"/>
    <x v="1"/>
    <x v="1"/>
    <x v="1"/>
    <x v="1"/>
  </r>
  <r>
    <x v="946"/>
    <x v="1"/>
    <x v="2"/>
    <x v="2"/>
    <n v="20.5"/>
    <x v="42"/>
    <x v="922"/>
    <x v="0"/>
    <x v="0"/>
    <x v="1"/>
    <x v="1"/>
  </r>
  <r>
    <x v="947"/>
    <x v="1"/>
    <x v="0"/>
    <x v="1"/>
    <n v="44.95"/>
    <x v="2"/>
    <x v="823"/>
    <x v="1"/>
    <x v="0"/>
    <x v="0"/>
    <x v="0"/>
  </r>
  <r>
    <x v="948"/>
    <x v="0"/>
    <x v="0"/>
    <x v="0"/>
    <n v="75.599999999999994"/>
    <x v="4"/>
    <x v="923"/>
    <x v="0"/>
    <x v="0"/>
    <x v="0"/>
    <x v="0"/>
  </r>
  <r>
    <x v="949"/>
    <x v="1"/>
    <x v="0"/>
    <x v="1"/>
    <n v="55.1"/>
    <x v="5"/>
    <x v="924"/>
    <x v="0"/>
    <x v="0"/>
    <x v="2"/>
    <x v="2"/>
  </r>
  <r>
    <x v="950"/>
    <x v="0"/>
    <x v="0"/>
    <x v="0"/>
    <n v="58.95"/>
    <x v="30"/>
    <x v="925"/>
    <x v="0"/>
    <x v="0"/>
    <x v="2"/>
    <x v="2"/>
  </r>
  <r>
    <x v="951"/>
    <x v="1"/>
    <x v="0"/>
    <x v="0"/>
    <n v="95.1"/>
    <x v="5"/>
    <x v="926"/>
    <x v="0"/>
    <x v="1"/>
    <x v="2"/>
    <x v="2"/>
  </r>
  <r>
    <x v="952"/>
    <x v="1"/>
    <x v="0"/>
    <x v="3"/>
    <n v="44.7"/>
    <x v="0"/>
    <x v="927"/>
    <x v="1"/>
    <x v="0"/>
    <x v="0"/>
    <x v="0"/>
  </r>
  <r>
    <x v="953"/>
    <x v="0"/>
    <x v="2"/>
    <x v="2"/>
    <n v="25.45"/>
    <x v="16"/>
    <x v="928"/>
    <x v="0"/>
    <x v="0"/>
    <x v="1"/>
    <x v="3"/>
  </r>
  <r>
    <x v="954"/>
    <x v="1"/>
    <x v="0"/>
    <x v="0"/>
    <n v="56.75"/>
    <x v="54"/>
    <x v="929"/>
    <x v="0"/>
    <x v="0"/>
    <x v="0"/>
    <x v="0"/>
  </r>
  <r>
    <x v="955"/>
    <x v="1"/>
    <x v="0"/>
    <x v="2"/>
    <n v="81.75"/>
    <x v="13"/>
    <x v="930"/>
    <x v="0"/>
    <x v="1"/>
    <x v="1"/>
    <x v="1"/>
  </r>
  <r>
    <x v="956"/>
    <x v="0"/>
    <x v="0"/>
    <x v="0"/>
    <n v="86.1"/>
    <x v="48"/>
    <x v="931"/>
    <x v="0"/>
    <x v="1"/>
    <x v="1"/>
    <x v="1"/>
  </r>
  <r>
    <x v="957"/>
    <x v="1"/>
    <x v="0"/>
    <x v="2"/>
    <n v="29.8"/>
    <x v="40"/>
    <x v="932"/>
    <x v="0"/>
    <x v="0"/>
    <x v="0"/>
    <x v="0"/>
  </r>
  <r>
    <x v="958"/>
    <x v="1"/>
    <x v="1"/>
    <x v="1"/>
    <n v="20.5"/>
    <x v="22"/>
    <x v="36"/>
    <x v="0"/>
    <x v="0"/>
    <x v="2"/>
    <x v="2"/>
  </r>
  <r>
    <x v="959"/>
    <x v="1"/>
    <x v="0"/>
    <x v="2"/>
    <n v="60.9"/>
    <x v="4"/>
    <x v="933"/>
    <x v="0"/>
    <x v="0"/>
    <x v="0"/>
    <x v="0"/>
  </r>
  <r>
    <x v="960"/>
    <x v="0"/>
    <x v="2"/>
    <x v="2"/>
    <n v="73.25"/>
    <x v="39"/>
    <x v="934"/>
    <x v="0"/>
    <x v="1"/>
    <x v="1"/>
    <x v="3"/>
  </r>
  <r>
    <x v="961"/>
    <x v="1"/>
    <x v="0"/>
    <x v="1"/>
    <n v="45.7"/>
    <x v="0"/>
    <x v="634"/>
    <x v="1"/>
    <x v="0"/>
    <x v="0"/>
    <x v="0"/>
  </r>
  <r>
    <x v="962"/>
    <x v="1"/>
    <x v="0"/>
    <x v="3"/>
    <n v="100.3"/>
    <x v="4"/>
    <x v="935"/>
    <x v="1"/>
    <x v="0"/>
    <x v="0"/>
    <x v="0"/>
  </r>
  <r>
    <x v="963"/>
    <x v="1"/>
    <x v="0"/>
    <x v="0"/>
    <n v="19.25"/>
    <x v="40"/>
    <x v="936"/>
    <x v="1"/>
    <x v="0"/>
    <x v="0"/>
    <x v="0"/>
  </r>
  <r>
    <x v="964"/>
    <x v="1"/>
    <x v="0"/>
    <x v="1"/>
    <n v="20.85"/>
    <x v="35"/>
    <x v="937"/>
    <x v="0"/>
    <x v="0"/>
    <x v="0"/>
    <x v="0"/>
  </r>
  <r>
    <x v="965"/>
    <x v="0"/>
    <x v="2"/>
    <x v="3"/>
    <n v="77.349999999999994"/>
    <x v="16"/>
    <x v="938"/>
    <x v="0"/>
    <x v="2"/>
    <x v="1"/>
    <x v="3"/>
  </r>
  <r>
    <x v="966"/>
    <x v="0"/>
    <x v="0"/>
    <x v="0"/>
    <n v="96"/>
    <x v="2"/>
    <x v="939"/>
    <x v="1"/>
    <x v="0"/>
    <x v="0"/>
    <x v="0"/>
  </r>
  <r>
    <x v="967"/>
    <x v="0"/>
    <x v="0"/>
    <x v="0"/>
    <n v="90.55"/>
    <x v="0"/>
    <x v="940"/>
    <x v="1"/>
    <x v="0"/>
    <x v="0"/>
    <x v="0"/>
  </r>
  <r>
    <x v="968"/>
    <x v="1"/>
    <x v="0"/>
    <x v="2"/>
    <n v="93.85"/>
    <x v="12"/>
    <x v="941"/>
    <x v="0"/>
    <x v="1"/>
    <x v="1"/>
    <x v="3"/>
  </r>
  <r>
    <x v="969"/>
    <x v="1"/>
    <x v="2"/>
    <x v="2"/>
    <n v="70.099999999999994"/>
    <x v="11"/>
    <x v="942"/>
    <x v="0"/>
    <x v="1"/>
    <x v="1"/>
    <x v="3"/>
  </r>
  <r>
    <x v="970"/>
    <x v="1"/>
    <x v="0"/>
    <x v="0"/>
    <n v="30.35"/>
    <x v="66"/>
    <x v="943"/>
    <x v="1"/>
    <x v="0"/>
    <x v="1"/>
    <x v="1"/>
  </r>
  <r>
    <x v="971"/>
    <x v="0"/>
    <x v="2"/>
    <x v="3"/>
    <n v="75.95"/>
    <x v="64"/>
    <x v="944"/>
    <x v="0"/>
    <x v="1"/>
    <x v="1"/>
    <x v="3"/>
  </r>
  <r>
    <x v="972"/>
    <x v="1"/>
    <x v="2"/>
    <x v="0"/>
    <n v="108.05"/>
    <x v="16"/>
    <x v="945"/>
    <x v="1"/>
    <x v="2"/>
    <x v="1"/>
    <x v="3"/>
  </r>
  <r>
    <x v="973"/>
    <x v="1"/>
    <x v="0"/>
    <x v="0"/>
    <n v="69.900000000000006"/>
    <x v="0"/>
    <x v="946"/>
    <x v="1"/>
    <x v="0"/>
    <x v="0"/>
    <x v="0"/>
  </r>
  <r>
    <x v="974"/>
    <x v="0"/>
    <x v="0"/>
    <x v="0"/>
    <n v="75.25"/>
    <x v="26"/>
    <x v="947"/>
    <x v="0"/>
    <x v="0"/>
    <x v="0"/>
    <x v="0"/>
  </r>
  <r>
    <x v="975"/>
    <x v="1"/>
    <x v="1"/>
    <x v="0"/>
    <n v="103.75"/>
    <x v="8"/>
    <x v="948"/>
    <x v="1"/>
    <x v="2"/>
    <x v="1"/>
    <x v="3"/>
  </r>
  <r>
    <x v="976"/>
    <x v="0"/>
    <x v="1"/>
    <x v="2"/>
    <n v="54.95"/>
    <x v="42"/>
    <x v="949"/>
    <x v="0"/>
    <x v="0"/>
    <x v="1"/>
    <x v="1"/>
  </r>
  <r>
    <x v="977"/>
    <x v="0"/>
    <x v="0"/>
    <x v="2"/>
    <n v="19.5"/>
    <x v="61"/>
    <x v="950"/>
    <x v="0"/>
    <x v="0"/>
    <x v="2"/>
    <x v="2"/>
  </r>
  <r>
    <x v="978"/>
    <x v="1"/>
    <x v="2"/>
    <x v="1"/>
    <n v="19.600000000000001"/>
    <x v="63"/>
    <x v="951"/>
    <x v="0"/>
    <x v="0"/>
    <x v="1"/>
    <x v="1"/>
  </r>
  <r>
    <x v="979"/>
    <x v="0"/>
    <x v="1"/>
    <x v="0"/>
    <n v="47.85"/>
    <x v="71"/>
    <x v="952"/>
    <x v="0"/>
    <x v="0"/>
    <x v="1"/>
    <x v="1"/>
  </r>
  <r>
    <x v="980"/>
    <x v="1"/>
    <x v="0"/>
    <x v="0"/>
    <n v="86.6"/>
    <x v="0"/>
    <x v="953"/>
    <x v="1"/>
    <x v="0"/>
    <x v="0"/>
    <x v="0"/>
  </r>
  <r>
    <x v="981"/>
    <x v="0"/>
    <x v="2"/>
    <x v="2"/>
    <n v="23.75"/>
    <x v="21"/>
    <x v="954"/>
    <x v="0"/>
    <x v="0"/>
    <x v="1"/>
    <x v="3"/>
  </r>
  <r>
    <x v="982"/>
    <x v="0"/>
    <x v="0"/>
    <x v="2"/>
    <n v="80.599999999999994"/>
    <x v="55"/>
    <x v="906"/>
    <x v="1"/>
    <x v="1"/>
    <x v="1"/>
    <x v="1"/>
  </r>
  <r>
    <x v="983"/>
    <x v="0"/>
    <x v="0"/>
    <x v="2"/>
    <n v="43.8"/>
    <x v="18"/>
    <x v="955"/>
    <x v="0"/>
    <x v="0"/>
    <x v="2"/>
    <x v="0"/>
  </r>
  <r>
    <x v="984"/>
    <x v="1"/>
    <x v="0"/>
    <x v="2"/>
    <n v="19.75"/>
    <x v="0"/>
    <x v="127"/>
    <x v="0"/>
    <x v="0"/>
    <x v="0"/>
    <x v="0"/>
  </r>
  <r>
    <x v="985"/>
    <x v="1"/>
    <x v="0"/>
    <x v="1"/>
    <n v="19.149999999999999"/>
    <x v="23"/>
    <x v="956"/>
    <x v="0"/>
    <x v="0"/>
    <x v="1"/>
    <x v="1"/>
  </r>
  <r>
    <x v="986"/>
    <x v="1"/>
    <x v="1"/>
    <x v="3"/>
    <n v="19.600000000000001"/>
    <x v="1"/>
    <x v="957"/>
    <x v="0"/>
    <x v="0"/>
    <x v="1"/>
    <x v="1"/>
  </r>
  <r>
    <x v="987"/>
    <x v="0"/>
    <x v="2"/>
    <x v="2"/>
    <n v="80.3"/>
    <x v="39"/>
    <x v="958"/>
    <x v="0"/>
    <x v="1"/>
    <x v="1"/>
    <x v="3"/>
  </r>
  <r>
    <x v="988"/>
    <x v="0"/>
    <x v="2"/>
    <x v="3"/>
    <n v="24.35"/>
    <x v="11"/>
    <x v="959"/>
    <x v="0"/>
    <x v="0"/>
    <x v="1"/>
    <x v="3"/>
  </r>
  <r>
    <x v="989"/>
    <x v="0"/>
    <x v="2"/>
    <x v="3"/>
    <n v="25.25"/>
    <x v="5"/>
    <x v="960"/>
    <x v="0"/>
    <x v="0"/>
    <x v="2"/>
    <x v="2"/>
  </r>
  <r>
    <x v="990"/>
    <x v="0"/>
    <x v="2"/>
    <x v="3"/>
    <n v="26.1"/>
    <x v="6"/>
    <x v="961"/>
    <x v="0"/>
    <x v="0"/>
    <x v="0"/>
    <x v="0"/>
  </r>
  <r>
    <x v="991"/>
    <x v="1"/>
    <x v="2"/>
    <x v="3"/>
    <n v="20"/>
    <x v="9"/>
    <x v="962"/>
    <x v="0"/>
    <x v="0"/>
    <x v="2"/>
    <x v="2"/>
  </r>
  <r>
    <x v="992"/>
    <x v="0"/>
    <x v="0"/>
    <x v="3"/>
    <n v="85.3"/>
    <x v="42"/>
    <x v="963"/>
    <x v="1"/>
    <x v="1"/>
    <x v="1"/>
    <x v="1"/>
  </r>
  <r>
    <x v="993"/>
    <x v="0"/>
    <x v="0"/>
    <x v="3"/>
    <n v="70"/>
    <x v="1"/>
    <x v="964"/>
    <x v="1"/>
    <x v="1"/>
    <x v="1"/>
    <x v="1"/>
  </r>
  <r>
    <x v="994"/>
    <x v="0"/>
    <x v="0"/>
    <x v="0"/>
    <n v="94.3"/>
    <x v="54"/>
    <x v="965"/>
    <x v="1"/>
    <x v="0"/>
    <x v="0"/>
    <x v="0"/>
  </r>
  <r>
    <x v="995"/>
    <x v="1"/>
    <x v="2"/>
    <x v="2"/>
    <n v="20.7"/>
    <x v="21"/>
    <x v="966"/>
    <x v="0"/>
    <x v="0"/>
    <x v="1"/>
    <x v="3"/>
  </r>
  <r>
    <x v="996"/>
    <x v="1"/>
    <x v="0"/>
    <x v="0"/>
    <n v="70.3"/>
    <x v="2"/>
    <x v="967"/>
    <x v="0"/>
    <x v="0"/>
    <x v="0"/>
    <x v="0"/>
  </r>
  <r>
    <x v="997"/>
    <x v="0"/>
    <x v="0"/>
    <x v="0"/>
    <n v="95.35"/>
    <x v="40"/>
    <x v="968"/>
    <x v="1"/>
    <x v="0"/>
    <x v="0"/>
    <x v="0"/>
  </r>
  <r>
    <x v="998"/>
    <x v="1"/>
    <x v="0"/>
    <x v="0"/>
    <n v="75.5"/>
    <x v="23"/>
    <x v="969"/>
    <x v="1"/>
    <x v="1"/>
    <x v="1"/>
    <x v="1"/>
  </r>
  <r>
    <x v="999"/>
    <x v="1"/>
    <x v="0"/>
    <x v="1"/>
    <n v="69.55"/>
    <x v="54"/>
    <x v="970"/>
    <x v="0"/>
    <x v="0"/>
    <x v="0"/>
    <x v="0"/>
  </r>
  <r>
    <x v="1000"/>
    <x v="0"/>
    <x v="2"/>
    <x v="1"/>
    <n v="19.850000000000001"/>
    <x v="50"/>
    <x v="971"/>
    <x v="0"/>
    <x v="0"/>
    <x v="1"/>
    <x v="1"/>
  </r>
  <r>
    <x v="1001"/>
    <x v="1"/>
    <x v="0"/>
    <x v="1"/>
    <n v="20"/>
    <x v="17"/>
    <x v="972"/>
    <x v="0"/>
    <x v="0"/>
    <x v="2"/>
    <x v="2"/>
  </r>
  <r>
    <x v="1002"/>
    <x v="0"/>
    <x v="1"/>
    <x v="3"/>
    <n v="95.85"/>
    <x v="62"/>
    <x v="973"/>
    <x v="0"/>
    <x v="2"/>
    <x v="1"/>
    <x v="3"/>
  </r>
  <r>
    <x v="1003"/>
    <x v="0"/>
    <x v="0"/>
    <x v="0"/>
    <n v="90.1"/>
    <x v="32"/>
    <x v="974"/>
    <x v="1"/>
    <x v="0"/>
    <x v="2"/>
    <x v="2"/>
  </r>
  <r>
    <x v="1004"/>
    <x v="0"/>
    <x v="0"/>
    <x v="0"/>
    <n v="68.95"/>
    <x v="2"/>
    <x v="975"/>
    <x v="1"/>
    <x v="0"/>
    <x v="0"/>
    <x v="0"/>
  </r>
  <r>
    <x v="1005"/>
    <x v="1"/>
    <x v="0"/>
    <x v="3"/>
    <n v="99.55"/>
    <x v="48"/>
    <x v="976"/>
    <x v="1"/>
    <x v="1"/>
    <x v="1"/>
    <x v="1"/>
  </r>
  <r>
    <x v="1006"/>
    <x v="1"/>
    <x v="1"/>
    <x v="0"/>
    <n v="20.75"/>
    <x v="57"/>
    <x v="977"/>
    <x v="0"/>
    <x v="0"/>
    <x v="2"/>
    <x v="2"/>
  </r>
  <r>
    <x v="1007"/>
    <x v="1"/>
    <x v="0"/>
    <x v="1"/>
    <n v="50.15"/>
    <x v="35"/>
    <x v="683"/>
    <x v="0"/>
    <x v="0"/>
    <x v="0"/>
    <x v="0"/>
  </r>
  <r>
    <x v="1008"/>
    <x v="0"/>
    <x v="2"/>
    <x v="1"/>
    <n v="58.65"/>
    <x v="16"/>
    <x v="978"/>
    <x v="0"/>
    <x v="1"/>
    <x v="1"/>
    <x v="3"/>
  </r>
  <r>
    <x v="1009"/>
    <x v="1"/>
    <x v="0"/>
    <x v="2"/>
    <n v="95.9"/>
    <x v="34"/>
    <x v="979"/>
    <x v="0"/>
    <x v="0"/>
    <x v="0"/>
    <x v="0"/>
  </r>
  <r>
    <x v="1010"/>
    <x v="0"/>
    <x v="0"/>
    <x v="0"/>
    <n v="49.5"/>
    <x v="0"/>
    <x v="980"/>
    <x v="0"/>
    <x v="0"/>
    <x v="0"/>
    <x v="0"/>
  </r>
  <r>
    <x v="1011"/>
    <x v="1"/>
    <x v="0"/>
    <x v="0"/>
    <n v="57.45"/>
    <x v="32"/>
    <x v="981"/>
    <x v="1"/>
    <x v="0"/>
    <x v="2"/>
    <x v="2"/>
  </r>
  <r>
    <x v="1012"/>
    <x v="1"/>
    <x v="1"/>
    <x v="3"/>
    <n v="53.65"/>
    <x v="18"/>
    <x v="982"/>
    <x v="1"/>
    <x v="0"/>
    <x v="2"/>
    <x v="0"/>
  </r>
  <r>
    <x v="1013"/>
    <x v="1"/>
    <x v="2"/>
    <x v="1"/>
    <n v="80.099999999999994"/>
    <x v="16"/>
    <x v="983"/>
    <x v="0"/>
    <x v="2"/>
    <x v="1"/>
    <x v="3"/>
  </r>
  <r>
    <x v="1014"/>
    <x v="0"/>
    <x v="1"/>
    <x v="2"/>
    <n v="24.4"/>
    <x v="38"/>
    <x v="984"/>
    <x v="0"/>
    <x v="0"/>
    <x v="1"/>
    <x v="3"/>
  </r>
  <r>
    <x v="1015"/>
    <x v="1"/>
    <x v="0"/>
    <x v="0"/>
    <n v="40.049999999999997"/>
    <x v="54"/>
    <x v="985"/>
    <x v="0"/>
    <x v="0"/>
    <x v="0"/>
    <x v="0"/>
  </r>
  <r>
    <x v="1016"/>
    <x v="0"/>
    <x v="0"/>
    <x v="1"/>
    <n v="19.5"/>
    <x v="57"/>
    <x v="286"/>
    <x v="0"/>
    <x v="0"/>
    <x v="2"/>
    <x v="2"/>
  </r>
  <r>
    <x v="1017"/>
    <x v="0"/>
    <x v="0"/>
    <x v="3"/>
    <n v="51.05"/>
    <x v="71"/>
    <x v="986"/>
    <x v="0"/>
    <x v="0"/>
    <x v="1"/>
    <x v="1"/>
  </r>
  <r>
    <x v="1018"/>
    <x v="1"/>
    <x v="1"/>
    <x v="1"/>
    <n v="54.35"/>
    <x v="7"/>
    <x v="987"/>
    <x v="0"/>
    <x v="0"/>
    <x v="1"/>
    <x v="1"/>
  </r>
  <r>
    <x v="1019"/>
    <x v="0"/>
    <x v="0"/>
    <x v="0"/>
    <n v="84.7"/>
    <x v="24"/>
    <x v="988"/>
    <x v="0"/>
    <x v="0"/>
    <x v="0"/>
    <x v="0"/>
  </r>
  <r>
    <x v="1020"/>
    <x v="0"/>
    <x v="0"/>
    <x v="0"/>
    <n v="86.1"/>
    <x v="3"/>
    <x v="989"/>
    <x v="0"/>
    <x v="1"/>
    <x v="1"/>
    <x v="1"/>
  </r>
  <r>
    <x v="1021"/>
    <x v="1"/>
    <x v="0"/>
    <x v="1"/>
    <n v="70.349999999999994"/>
    <x v="50"/>
    <x v="990"/>
    <x v="0"/>
    <x v="1"/>
    <x v="1"/>
    <x v="1"/>
  </r>
  <r>
    <x v="1022"/>
    <x v="0"/>
    <x v="2"/>
    <x v="2"/>
    <n v="110"/>
    <x v="31"/>
    <x v="991"/>
    <x v="0"/>
    <x v="2"/>
    <x v="1"/>
    <x v="3"/>
  </r>
  <r>
    <x v="1023"/>
    <x v="1"/>
    <x v="0"/>
    <x v="0"/>
    <n v="100.6"/>
    <x v="4"/>
    <x v="992"/>
    <x v="1"/>
    <x v="0"/>
    <x v="0"/>
    <x v="0"/>
  </r>
  <r>
    <x v="1024"/>
    <x v="0"/>
    <x v="1"/>
    <x v="3"/>
    <n v="94.9"/>
    <x v="20"/>
    <x v="993"/>
    <x v="0"/>
    <x v="1"/>
    <x v="1"/>
    <x v="1"/>
  </r>
  <r>
    <x v="1025"/>
    <x v="1"/>
    <x v="0"/>
    <x v="0"/>
    <n v="83.75"/>
    <x v="70"/>
    <x v="994"/>
    <x v="1"/>
    <x v="1"/>
    <x v="1"/>
    <x v="1"/>
  </r>
  <r>
    <x v="1026"/>
    <x v="0"/>
    <x v="0"/>
    <x v="1"/>
    <n v="88.3"/>
    <x v="35"/>
    <x v="995"/>
    <x v="1"/>
    <x v="0"/>
    <x v="0"/>
    <x v="0"/>
  </r>
  <r>
    <x v="1027"/>
    <x v="0"/>
    <x v="0"/>
    <x v="2"/>
    <n v="69.75"/>
    <x v="37"/>
    <x v="996"/>
    <x v="0"/>
    <x v="1"/>
    <x v="1"/>
    <x v="3"/>
  </r>
  <r>
    <x v="1028"/>
    <x v="1"/>
    <x v="0"/>
    <x v="2"/>
    <n v="71.599999999999994"/>
    <x v="23"/>
    <x v="997"/>
    <x v="0"/>
    <x v="0"/>
    <x v="1"/>
    <x v="1"/>
  </r>
  <r>
    <x v="1029"/>
    <x v="0"/>
    <x v="0"/>
    <x v="0"/>
    <n v="92.1"/>
    <x v="4"/>
    <x v="998"/>
    <x v="1"/>
    <x v="0"/>
    <x v="0"/>
    <x v="0"/>
  </r>
  <r>
    <x v="1030"/>
    <x v="0"/>
    <x v="2"/>
    <x v="2"/>
    <n v="23.65"/>
    <x v="8"/>
    <x v="999"/>
    <x v="0"/>
    <x v="0"/>
    <x v="1"/>
    <x v="3"/>
  </r>
  <r>
    <x v="1031"/>
    <x v="0"/>
    <x v="2"/>
    <x v="2"/>
    <n v="81.849999999999994"/>
    <x v="16"/>
    <x v="1000"/>
    <x v="0"/>
    <x v="2"/>
    <x v="1"/>
    <x v="3"/>
  </r>
  <r>
    <x v="1032"/>
    <x v="1"/>
    <x v="2"/>
    <x v="1"/>
    <n v="25.1"/>
    <x v="33"/>
    <x v="1001"/>
    <x v="0"/>
    <x v="0"/>
    <x v="1"/>
    <x v="3"/>
  </r>
  <r>
    <x v="1033"/>
    <x v="1"/>
    <x v="2"/>
    <x v="2"/>
    <n v="114.7"/>
    <x v="47"/>
    <x v="1002"/>
    <x v="0"/>
    <x v="2"/>
    <x v="1"/>
    <x v="3"/>
  </r>
  <r>
    <x v="1034"/>
    <x v="0"/>
    <x v="0"/>
    <x v="0"/>
    <n v="49.15"/>
    <x v="9"/>
    <x v="1003"/>
    <x v="0"/>
    <x v="0"/>
    <x v="2"/>
    <x v="2"/>
  </r>
  <r>
    <x v="1035"/>
    <x v="1"/>
    <x v="1"/>
    <x v="0"/>
    <n v="80.900000000000006"/>
    <x v="39"/>
    <x v="1004"/>
    <x v="0"/>
    <x v="1"/>
    <x v="1"/>
    <x v="3"/>
  </r>
  <r>
    <x v="1036"/>
    <x v="1"/>
    <x v="0"/>
    <x v="0"/>
    <n v="79.45"/>
    <x v="46"/>
    <x v="1005"/>
    <x v="1"/>
    <x v="1"/>
    <x v="1"/>
    <x v="1"/>
  </r>
  <r>
    <x v="1037"/>
    <x v="1"/>
    <x v="0"/>
    <x v="3"/>
    <n v="90.45"/>
    <x v="60"/>
    <x v="1006"/>
    <x v="1"/>
    <x v="0"/>
    <x v="2"/>
    <x v="2"/>
  </r>
  <r>
    <x v="1038"/>
    <x v="0"/>
    <x v="1"/>
    <x v="2"/>
    <n v="19.3"/>
    <x v="10"/>
    <x v="1007"/>
    <x v="0"/>
    <x v="0"/>
    <x v="2"/>
    <x v="2"/>
  </r>
  <r>
    <x v="1039"/>
    <x v="0"/>
    <x v="0"/>
    <x v="0"/>
    <n v="70.2"/>
    <x v="60"/>
    <x v="1008"/>
    <x v="0"/>
    <x v="0"/>
    <x v="2"/>
    <x v="2"/>
  </r>
  <r>
    <x v="1040"/>
    <x v="1"/>
    <x v="0"/>
    <x v="2"/>
    <n v="69.75"/>
    <x v="48"/>
    <x v="1009"/>
    <x v="1"/>
    <x v="1"/>
    <x v="1"/>
    <x v="1"/>
  </r>
  <r>
    <x v="1041"/>
    <x v="0"/>
    <x v="1"/>
    <x v="2"/>
    <n v="54.25"/>
    <x v="4"/>
    <x v="1010"/>
    <x v="0"/>
    <x v="0"/>
    <x v="0"/>
    <x v="0"/>
  </r>
  <r>
    <x v="1042"/>
    <x v="0"/>
    <x v="0"/>
    <x v="2"/>
    <n v="99.3"/>
    <x v="29"/>
    <x v="1011"/>
    <x v="0"/>
    <x v="1"/>
    <x v="1"/>
    <x v="1"/>
  </r>
  <r>
    <x v="1043"/>
    <x v="0"/>
    <x v="1"/>
    <x v="3"/>
    <n v="74"/>
    <x v="15"/>
    <x v="1012"/>
    <x v="0"/>
    <x v="1"/>
    <x v="1"/>
    <x v="3"/>
  </r>
  <r>
    <x v="1044"/>
    <x v="1"/>
    <x v="0"/>
    <x v="1"/>
    <n v="50.25"/>
    <x v="35"/>
    <x v="1013"/>
    <x v="0"/>
    <x v="0"/>
    <x v="0"/>
    <x v="0"/>
  </r>
  <r>
    <x v="1045"/>
    <x v="1"/>
    <x v="1"/>
    <x v="1"/>
    <n v="19.8"/>
    <x v="44"/>
    <x v="1014"/>
    <x v="0"/>
    <x v="0"/>
    <x v="1"/>
    <x v="1"/>
  </r>
  <r>
    <x v="1046"/>
    <x v="0"/>
    <x v="0"/>
    <x v="1"/>
    <n v="19.649999999999999"/>
    <x v="0"/>
    <x v="1015"/>
    <x v="1"/>
    <x v="0"/>
    <x v="0"/>
    <x v="0"/>
  </r>
  <r>
    <x v="1047"/>
    <x v="1"/>
    <x v="0"/>
    <x v="0"/>
    <n v="43.65"/>
    <x v="18"/>
    <x v="1016"/>
    <x v="1"/>
    <x v="0"/>
    <x v="2"/>
    <x v="0"/>
  </r>
  <r>
    <x v="1048"/>
    <x v="0"/>
    <x v="0"/>
    <x v="3"/>
    <n v="35.5"/>
    <x v="10"/>
    <x v="1017"/>
    <x v="0"/>
    <x v="0"/>
    <x v="2"/>
    <x v="2"/>
  </r>
  <r>
    <x v="1049"/>
    <x v="0"/>
    <x v="1"/>
    <x v="1"/>
    <n v="80.75"/>
    <x v="63"/>
    <x v="1018"/>
    <x v="0"/>
    <x v="1"/>
    <x v="1"/>
    <x v="1"/>
  </r>
  <r>
    <x v="1050"/>
    <x v="0"/>
    <x v="0"/>
    <x v="0"/>
    <n v="39.5"/>
    <x v="24"/>
    <x v="1019"/>
    <x v="1"/>
    <x v="0"/>
    <x v="0"/>
    <x v="0"/>
  </r>
  <r>
    <x v="1051"/>
    <x v="1"/>
    <x v="0"/>
    <x v="2"/>
    <n v="97.1"/>
    <x v="63"/>
    <x v="1020"/>
    <x v="1"/>
    <x v="1"/>
    <x v="1"/>
    <x v="1"/>
  </r>
  <r>
    <x v="1052"/>
    <x v="0"/>
    <x v="1"/>
    <x v="1"/>
    <n v="19.55"/>
    <x v="51"/>
    <x v="1021"/>
    <x v="0"/>
    <x v="0"/>
    <x v="1"/>
    <x v="1"/>
  </r>
  <r>
    <x v="1053"/>
    <x v="0"/>
    <x v="0"/>
    <x v="0"/>
    <n v="80"/>
    <x v="24"/>
    <x v="1022"/>
    <x v="1"/>
    <x v="0"/>
    <x v="0"/>
    <x v="0"/>
  </r>
  <r>
    <x v="1054"/>
    <x v="0"/>
    <x v="0"/>
    <x v="1"/>
    <n v="84.7"/>
    <x v="6"/>
    <x v="1023"/>
    <x v="1"/>
    <x v="0"/>
    <x v="0"/>
    <x v="0"/>
  </r>
  <r>
    <x v="1055"/>
    <x v="1"/>
    <x v="0"/>
    <x v="2"/>
    <n v="89.55"/>
    <x v="2"/>
    <x v="1024"/>
    <x v="1"/>
    <x v="0"/>
    <x v="0"/>
    <x v="0"/>
  </r>
  <r>
    <x v="1056"/>
    <x v="1"/>
    <x v="0"/>
    <x v="0"/>
    <n v="90.6"/>
    <x v="57"/>
    <x v="1025"/>
    <x v="1"/>
    <x v="1"/>
    <x v="2"/>
    <x v="2"/>
  </r>
  <r>
    <x v="1057"/>
    <x v="1"/>
    <x v="1"/>
    <x v="2"/>
    <n v="20.05"/>
    <x v="70"/>
    <x v="1026"/>
    <x v="0"/>
    <x v="0"/>
    <x v="1"/>
    <x v="1"/>
  </r>
  <r>
    <x v="1058"/>
    <x v="0"/>
    <x v="2"/>
    <x v="0"/>
    <n v="112.4"/>
    <x v="21"/>
    <x v="1027"/>
    <x v="0"/>
    <x v="2"/>
    <x v="1"/>
    <x v="3"/>
  </r>
  <r>
    <x v="1059"/>
    <x v="0"/>
    <x v="0"/>
    <x v="2"/>
    <n v="50.2"/>
    <x v="1"/>
    <x v="1028"/>
    <x v="0"/>
    <x v="0"/>
    <x v="1"/>
    <x v="1"/>
  </r>
  <r>
    <x v="1060"/>
    <x v="1"/>
    <x v="0"/>
    <x v="2"/>
    <n v="62.25"/>
    <x v="6"/>
    <x v="1029"/>
    <x v="0"/>
    <x v="0"/>
    <x v="0"/>
    <x v="0"/>
  </r>
  <r>
    <x v="1061"/>
    <x v="0"/>
    <x v="1"/>
    <x v="1"/>
    <n v="55.7"/>
    <x v="60"/>
    <x v="1030"/>
    <x v="0"/>
    <x v="0"/>
    <x v="2"/>
    <x v="2"/>
  </r>
  <r>
    <x v="1062"/>
    <x v="0"/>
    <x v="0"/>
    <x v="2"/>
    <n v="90.05"/>
    <x v="57"/>
    <x v="1031"/>
    <x v="1"/>
    <x v="1"/>
    <x v="2"/>
    <x v="2"/>
  </r>
  <r>
    <x v="1063"/>
    <x v="1"/>
    <x v="2"/>
    <x v="1"/>
    <n v="19.649999999999999"/>
    <x v="20"/>
    <x v="1032"/>
    <x v="0"/>
    <x v="0"/>
    <x v="1"/>
    <x v="1"/>
  </r>
  <r>
    <x v="1064"/>
    <x v="1"/>
    <x v="0"/>
    <x v="0"/>
    <n v="89.25"/>
    <x v="65"/>
    <x v="288"/>
    <x v="0"/>
    <x v="1"/>
    <x v="1"/>
    <x v="2"/>
  </r>
  <r>
    <x v="1065"/>
    <x v="1"/>
    <x v="0"/>
    <x v="2"/>
    <n v="99.05"/>
    <x v="12"/>
    <x v="1033"/>
    <x v="1"/>
    <x v="1"/>
    <x v="1"/>
    <x v="3"/>
  </r>
  <r>
    <x v="1066"/>
    <x v="1"/>
    <x v="1"/>
    <x v="1"/>
    <n v="54"/>
    <x v="61"/>
    <x v="1034"/>
    <x v="0"/>
    <x v="0"/>
    <x v="2"/>
    <x v="2"/>
  </r>
  <r>
    <x v="1067"/>
    <x v="0"/>
    <x v="0"/>
    <x v="2"/>
    <n v="69.75"/>
    <x v="2"/>
    <x v="1035"/>
    <x v="1"/>
    <x v="0"/>
    <x v="0"/>
    <x v="0"/>
  </r>
  <r>
    <x v="1068"/>
    <x v="0"/>
    <x v="0"/>
    <x v="3"/>
    <n v="49.05"/>
    <x v="2"/>
    <x v="1036"/>
    <x v="1"/>
    <x v="0"/>
    <x v="0"/>
    <x v="0"/>
  </r>
  <r>
    <x v="1069"/>
    <x v="1"/>
    <x v="2"/>
    <x v="2"/>
    <n v="56.75"/>
    <x v="5"/>
    <x v="1037"/>
    <x v="0"/>
    <x v="0"/>
    <x v="2"/>
    <x v="2"/>
  </r>
  <r>
    <x v="1070"/>
    <x v="1"/>
    <x v="0"/>
    <x v="2"/>
    <n v="98.05"/>
    <x v="40"/>
    <x v="1038"/>
    <x v="1"/>
    <x v="0"/>
    <x v="0"/>
    <x v="0"/>
  </r>
  <r>
    <x v="1071"/>
    <x v="1"/>
    <x v="0"/>
    <x v="1"/>
    <n v="21.1"/>
    <x v="0"/>
    <x v="1039"/>
    <x v="0"/>
    <x v="0"/>
    <x v="0"/>
    <x v="0"/>
  </r>
  <r>
    <x v="1072"/>
    <x v="0"/>
    <x v="0"/>
    <x v="2"/>
    <n v="96.65"/>
    <x v="64"/>
    <x v="1040"/>
    <x v="0"/>
    <x v="2"/>
    <x v="1"/>
    <x v="3"/>
  </r>
  <r>
    <x v="1073"/>
    <x v="0"/>
    <x v="1"/>
    <x v="3"/>
    <n v="24.5"/>
    <x v="11"/>
    <x v="1041"/>
    <x v="0"/>
    <x v="0"/>
    <x v="1"/>
    <x v="3"/>
  </r>
  <r>
    <x v="1074"/>
    <x v="0"/>
    <x v="0"/>
    <x v="2"/>
    <n v="114.5"/>
    <x v="52"/>
    <x v="1042"/>
    <x v="1"/>
    <x v="1"/>
    <x v="1"/>
    <x v="1"/>
  </r>
  <r>
    <x v="1075"/>
    <x v="0"/>
    <x v="2"/>
    <x v="3"/>
    <n v="79.2"/>
    <x v="64"/>
    <x v="1043"/>
    <x v="0"/>
    <x v="1"/>
    <x v="1"/>
    <x v="3"/>
  </r>
  <r>
    <x v="1076"/>
    <x v="0"/>
    <x v="0"/>
    <x v="0"/>
    <n v="69.55"/>
    <x v="35"/>
    <x v="638"/>
    <x v="0"/>
    <x v="0"/>
    <x v="0"/>
    <x v="0"/>
  </r>
  <r>
    <x v="1077"/>
    <x v="1"/>
    <x v="2"/>
    <x v="2"/>
    <n v="20.05"/>
    <x v="48"/>
    <x v="1044"/>
    <x v="0"/>
    <x v="0"/>
    <x v="1"/>
    <x v="1"/>
  </r>
  <r>
    <x v="1078"/>
    <x v="1"/>
    <x v="0"/>
    <x v="0"/>
    <n v="98.85"/>
    <x v="25"/>
    <x v="1045"/>
    <x v="0"/>
    <x v="1"/>
    <x v="1"/>
    <x v="1"/>
  </r>
  <r>
    <x v="1079"/>
    <x v="1"/>
    <x v="0"/>
    <x v="0"/>
    <n v="80.95"/>
    <x v="2"/>
    <x v="1046"/>
    <x v="1"/>
    <x v="0"/>
    <x v="0"/>
    <x v="0"/>
  </r>
  <r>
    <x v="1080"/>
    <x v="0"/>
    <x v="1"/>
    <x v="3"/>
    <n v="19.600000000000001"/>
    <x v="15"/>
    <x v="1047"/>
    <x v="0"/>
    <x v="0"/>
    <x v="1"/>
    <x v="3"/>
  </r>
  <r>
    <x v="1081"/>
    <x v="0"/>
    <x v="0"/>
    <x v="0"/>
    <n v="74.3"/>
    <x v="9"/>
    <x v="1048"/>
    <x v="1"/>
    <x v="0"/>
    <x v="2"/>
    <x v="2"/>
  </r>
  <r>
    <x v="1082"/>
    <x v="0"/>
    <x v="0"/>
    <x v="2"/>
    <n v="89.7"/>
    <x v="26"/>
    <x v="1049"/>
    <x v="1"/>
    <x v="0"/>
    <x v="0"/>
    <x v="0"/>
  </r>
  <r>
    <x v="1083"/>
    <x v="1"/>
    <x v="0"/>
    <x v="2"/>
    <n v="87.65"/>
    <x v="48"/>
    <x v="1050"/>
    <x v="0"/>
    <x v="1"/>
    <x v="1"/>
    <x v="1"/>
  </r>
  <r>
    <x v="1084"/>
    <x v="1"/>
    <x v="0"/>
    <x v="3"/>
    <n v="100.45"/>
    <x v="22"/>
    <x v="1051"/>
    <x v="1"/>
    <x v="0"/>
    <x v="2"/>
    <x v="2"/>
  </r>
  <r>
    <x v="1085"/>
    <x v="0"/>
    <x v="0"/>
    <x v="3"/>
    <n v="74.75"/>
    <x v="10"/>
    <x v="1052"/>
    <x v="0"/>
    <x v="0"/>
    <x v="2"/>
    <x v="2"/>
  </r>
  <r>
    <x v="1086"/>
    <x v="0"/>
    <x v="1"/>
    <x v="2"/>
    <n v="107.45"/>
    <x v="69"/>
    <x v="1053"/>
    <x v="0"/>
    <x v="2"/>
    <x v="1"/>
    <x v="3"/>
  </r>
  <r>
    <x v="1087"/>
    <x v="1"/>
    <x v="1"/>
    <x v="2"/>
    <n v="75.349999999999994"/>
    <x v="44"/>
    <x v="1054"/>
    <x v="0"/>
    <x v="1"/>
    <x v="1"/>
    <x v="1"/>
  </r>
  <r>
    <x v="1088"/>
    <x v="1"/>
    <x v="2"/>
    <x v="3"/>
    <n v="64.95"/>
    <x v="27"/>
    <x v="1055"/>
    <x v="0"/>
    <x v="1"/>
    <x v="1"/>
    <x v="3"/>
  </r>
  <r>
    <x v="1089"/>
    <x v="0"/>
    <x v="2"/>
    <x v="0"/>
    <n v="100.45"/>
    <x v="16"/>
    <x v="1056"/>
    <x v="0"/>
    <x v="2"/>
    <x v="1"/>
    <x v="3"/>
  </r>
  <r>
    <x v="1090"/>
    <x v="1"/>
    <x v="1"/>
    <x v="2"/>
    <n v="68.5"/>
    <x v="52"/>
    <x v="1057"/>
    <x v="0"/>
    <x v="1"/>
    <x v="1"/>
    <x v="1"/>
  </r>
  <r>
    <x v="1091"/>
    <x v="1"/>
    <x v="0"/>
    <x v="0"/>
    <n v="80.55"/>
    <x v="0"/>
    <x v="1058"/>
    <x v="0"/>
    <x v="0"/>
    <x v="0"/>
    <x v="0"/>
  </r>
  <r>
    <x v="1092"/>
    <x v="0"/>
    <x v="0"/>
    <x v="2"/>
    <n v="81.25"/>
    <x v="40"/>
    <x v="1059"/>
    <x v="0"/>
    <x v="0"/>
    <x v="0"/>
    <x v="0"/>
  </r>
  <r>
    <x v="1093"/>
    <x v="1"/>
    <x v="1"/>
    <x v="0"/>
    <n v="90.4"/>
    <x v="13"/>
    <x v="1060"/>
    <x v="1"/>
    <x v="1"/>
    <x v="1"/>
    <x v="1"/>
  </r>
  <r>
    <x v="1094"/>
    <x v="1"/>
    <x v="1"/>
    <x v="0"/>
    <n v="89.55"/>
    <x v="56"/>
    <x v="1061"/>
    <x v="0"/>
    <x v="2"/>
    <x v="1"/>
    <x v="3"/>
  </r>
  <r>
    <x v="1095"/>
    <x v="1"/>
    <x v="0"/>
    <x v="1"/>
    <n v="55.7"/>
    <x v="24"/>
    <x v="1062"/>
    <x v="0"/>
    <x v="0"/>
    <x v="0"/>
    <x v="0"/>
  </r>
  <r>
    <x v="1096"/>
    <x v="1"/>
    <x v="0"/>
    <x v="0"/>
    <n v="24.8"/>
    <x v="30"/>
    <x v="1063"/>
    <x v="0"/>
    <x v="0"/>
    <x v="2"/>
    <x v="2"/>
  </r>
  <r>
    <x v="1097"/>
    <x v="0"/>
    <x v="0"/>
    <x v="0"/>
    <n v="20"/>
    <x v="61"/>
    <x v="1022"/>
    <x v="0"/>
    <x v="0"/>
    <x v="2"/>
    <x v="2"/>
  </r>
  <r>
    <x v="1098"/>
    <x v="1"/>
    <x v="0"/>
    <x v="1"/>
    <n v="56.15"/>
    <x v="35"/>
    <x v="1064"/>
    <x v="1"/>
    <x v="0"/>
    <x v="0"/>
    <x v="0"/>
  </r>
  <r>
    <x v="1099"/>
    <x v="1"/>
    <x v="1"/>
    <x v="0"/>
    <n v="105.2"/>
    <x v="68"/>
    <x v="1065"/>
    <x v="0"/>
    <x v="2"/>
    <x v="1"/>
    <x v="3"/>
  </r>
  <r>
    <x v="1100"/>
    <x v="1"/>
    <x v="1"/>
    <x v="1"/>
    <n v="19.55"/>
    <x v="41"/>
    <x v="1066"/>
    <x v="0"/>
    <x v="0"/>
    <x v="1"/>
    <x v="1"/>
  </r>
  <r>
    <x v="1101"/>
    <x v="0"/>
    <x v="0"/>
    <x v="0"/>
    <n v="79.75"/>
    <x v="34"/>
    <x v="1067"/>
    <x v="0"/>
    <x v="0"/>
    <x v="0"/>
    <x v="0"/>
  </r>
  <r>
    <x v="1102"/>
    <x v="0"/>
    <x v="2"/>
    <x v="2"/>
    <n v="97.45"/>
    <x v="28"/>
    <x v="1068"/>
    <x v="0"/>
    <x v="2"/>
    <x v="1"/>
    <x v="3"/>
  </r>
  <r>
    <x v="1103"/>
    <x v="0"/>
    <x v="2"/>
    <x v="2"/>
    <n v="24.25"/>
    <x v="14"/>
    <x v="1069"/>
    <x v="0"/>
    <x v="0"/>
    <x v="1"/>
    <x v="3"/>
  </r>
  <r>
    <x v="1104"/>
    <x v="0"/>
    <x v="2"/>
    <x v="3"/>
    <n v="24.6"/>
    <x v="14"/>
    <x v="1070"/>
    <x v="0"/>
    <x v="0"/>
    <x v="1"/>
    <x v="3"/>
  </r>
  <r>
    <x v="1105"/>
    <x v="1"/>
    <x v="0"/>
    <x v="1"/>
    <n v="50.15"/>
    <x v="63"/>
    <x v="1071"/>
    <x v="0"/>
    <x v="1"/>
    <x v="1"/>
    <x v="1"/>
  </r>
  <r>
    <x v="1106"/>
    <x v="1"/>
    <x v="2"/>
    <x v="2"/>
    <n v="39.6"/>
    <x v="31"/>
    <x v="1072"/>
    <x v="0"/>
    <x v="1"/>
    <x v="1"/>
    <x v="3"/>
  </r>
  <r>
    <x v="1107"/>
    <x v="0"/>
    <x v="0"/>
    <x v="2"/>
    <n v="94.4"/>
    <x v="54"/>
    <x v="1073"/>
    <x v="1"/>
    <x v="0"/>
    <x v="0"/>
    <x v="0"/>
  </r>
  <r>
    <x v="1108"/>
    <x v="0"/>
    <x v="2"/>
    <x v="1"/>
    <n v="89.85"/>
    <x v="16"/>
    <x v="1074"/>
    <x v="0"/>
    <x v="2"/>
    <x v="1"/>
    <x v="3"/>
  </r>
  <r>
    <x v="1109"/>
    <x v="0"/>
    <x v="0"/>
    <x v="3"/>
    <n v="78.95"/>
    <x v="50"/>
    <x v="1075"/>
    <x v="1"/>
    <x v="1"/>
    <x v="1"/>
    <x v="1"/>
  </r>
  <r>
    <x v="1110"/>
    <x v="1"/>
    <x v="0"/>
    <x v="3"/>
    <n v="98.85"/>
    <x v="48"/>
    <x v="1076"/>
    <x v="0"/>
    <x v="1"/>
    <x v="1"/>
    <x v="1"/>
  </r>
  <r>
    <x v="1111"/>
    <x v="1"/>
    <x v="2"/>
    <x v="3"/>
    <n v="53.85"/>
    <x v="71"/>
    <x v="1077"/>
    <x v="0"/>
    <x v="1"/>
    <x v="1"/>
    <x v="1"/>
  </r>
  <r>
    <x v="1112"/>
    <x v="0"/>
    <x v="1"/>
    <x v="0"/>
    <n v="24.25"/>
    <x v="46"/>
    <x v="1078"/>
    <x v="0"/>
    <x v="0"/>
    <x v="1"/>
    <x v="1"/>
  </r>
  <r>
    <x v="1113"/>
    <x v="1"/>
    <x v="2"/>
    <x v="3"/>
    <n v="89.45"/>
    <x v="15"/>
    <x v="1079"/>
    <x v="0"/>
    <x v="1"/>
    <x v="1"/>
    <x v="3"/>
  </r>
  <r>
    <x v="1114"/>
    <x v="0"/>
    <x v="0"/>
    <x v="3"/>
    <n v="105.25"/>
    <x v="43"/>
    <x v="1080"/>
    <x v="0"/>
    <x v="2"/>
    <x v="1"/>
    <x v="1"/>
  </r>
  <r>
    <x v="1115"/>
    <x v="1"/>
    <x v="2"/>
    <x v="2"/>
    <n v="59.5"/>
    <x v="27"/>
    <x v="1081"/>
    <x v="0"/>
    <x v="1"/>
    <x v="1"/>
    <x v="3"/>
  </r>
  <r>
    <x v="1116"/>
    <x v="1"/>
    <x v="0"/>
    <x v="3"/>
    <n v="70.55"/>
    <x v="61"/>
    <x v="1082"/>
    <x v="0"/>
    <x v="0"/>
    <x v="2"/>
    <x v="2"/>
  </r>
  <r>
    <x v="1117"/>
    <x v="0"/>
    <x v="1"/>
    <x v="3"/>
    <n v="82.5"/>
    <x v="37"/>
    <x v="1083"/>
    <x v="0"/>
    <x v="1"/>
    <x v="1"/>
    <x v="3"/>
  </r>
  <r>
    <x v="1118"/>
    <x v="0"/>
    <x v="1"/>
    <x v="3"/>
    <n v="44.85"/>
    <x v="67"/>
    <x v="1084"/>
    <x v="1"/>
    <x v="0"/>
    <x v="2"/>
    <x v="2"/>
  </r>
  <r>
    <x v="1119"/>
    <x v="1"/>
    <x v="1"/>
    <x v="2"/>
    <n v="61.6"/>
    <x v="13"/>
    <x v="1085"/>
    <x v="0"/>
    <x v="0"/>
    <x v="1"/>
    <x v="1"/>
  </r>
  <r>
    <x v="1120"/>
    <x v="1"/>
    <x v="0"/>
    <x v="2"/>
    <n v="49.05"/>
    <x v="18"/>
    <x v="1086"/>
    <x v="0"/>
    <x v="0"/>
    <x v="2"/>
    <x v="0"/>
  </r>
  <r>
    <x v="1121"/>
    <x v="1"/>
    <x v="0"/>
    <x v="0"/>
    <n v="105.65"/>
    <x v="71"/>
    <x v="1087"/>
    <x v="1"/>
    <x v="1"/>
    <x v="1"/>
    <x v="1"/>
  </r>
  <r>
    <x v="1122"/>
    <x v="1"/>
    <x v="0"/>
    <x v="1"/>
    <n v="74.650000000000006"/>
    <x v="40"/>
    <x v="1088"/>
    <x v="1"/>
    <x v="0"/>
    <x v="0"/>
    <x v="0"/>
  </r>
  <r>
    <x v="1123"/>
    <x v="0"/>
    <x v="1"/>
    <x v="1"/>
    <n v="66.25"/>
    <x v="57"/>
    <x v="1089"/>
    <x v="0"/>
    <x v="0"/>
    <x v="2"/>
    <x v="2"/>
  </r>
  <r>
    <x v="1124"/>
    <x v="1"/>
    <x v="0"/>
    <x v="0"/>
    <n v="19.399999999999999"/>
    <x v="23"/>
    <x v="1016"/>
    <x v="0"/>
    <x v="0"/>
    <x v="1"/>
    <x v="1"/>
  </r>
  <r>
    <x v="1125"/>
    <x v="1"/>
    <x v="0"/>
    <x v="3"/>
    <n v="86.05"/>
    <x v="20"/>
    <x v="1090"/>
    <x v="0"/>
    <x v="1"/>
    <x v="1"/>
    <x v="1"/>
  </r>
  <r>
    <x v="1126"/>
    <x v="1"/>
    <x v="2"/>
    <x v="3"/>
    <n v="19.149999999999999"/>
    <x v="70"/>
    <x v="1091"/>
    <x v="0"/>
    <x v="0"/>
    <x v="1"/>
    <x v="1"/>
  </r>
  <r>
    <x v="1127"/>
    <x v="0"/>
    <x v="0"/>
    <x v="2"/>
    <n v="64.7"/>
    <x v="60"/>
    <x v="1092"/>
    <x v="1"/>
    <x v="0"/>
    <x v="2"/>
    <x v="2"/>
  </r>
  <r>
    <x v="1128"/>
    <x v="0"/>
    <x v="0"/>
    <x v="2"/>
    <n v="104.05"/>
    <x v="26"/>
    <x v="1093"/>
    <x v="1"/>
    <x v="0"/>
    <x v="0"/>
    <x v="0"/>
  </r>
  <r>
    <x v="1129"/>
    <x v="1"/>
    <x v="0"/>
    <x v="1"/>
    <n v="19.25"/>
    <x v="2"/>
    <x v="1094"/>
    <x v="0"/>
    <x v="0"/>
    <x v="0"/>
    <x v="0"/>
  </r>
  <r>
    <x v="1130"/>
    <x v="0"/>
    <x v="0"/>
    <x v="0"/>
    <n v="81.95"/>
    <x v="70"/>
    <x v="1095"/>
    <x v="0"/>
    <x v="1"/>
    <x v="1"/>
    <x v="1"/>
  </r>
  <r>
    <x v="1131"/>
    <x v="0"/>
    <x v="2"/>
    <x v="2"/>
    <n v="114.65"/>
    <x v="21"/>
    <x v="1096"/>
    <x v="0"/>
    <x v="2"/>
    <x v="1"/>
    <x v="3"/>
  </r>
  <r>
    <x v="1132"/>
    <x v="0"/>
    <x v="2"/>
    <x v="3"/>
    <n v="20"/>
    <x v="28"/>
    <x v="1097"/>
    <x v="0"/>
    <x v="0"/>
    <x v="1"/>
    <x v="3"/>
  </r>
  <r>
    <x v="1133"/>
    <x v="1"/>
    <x v="2"/>
    <x v="1"/>
    <n v="19.8"/>
    <x v="16"/>
    <x v="1098"/>
    <x v="0"/>
    <x v="0"/>
    <x v="1"/>
    <x v="3"/>
  </r>
  <r>
    <x v="1134"/>
    <x v="1"/>
    <x v="0"/>
    <x v="2"/>
    <n v="65.150000000000006"/>
    <x v="26"/>
    <x v="1099"/>
    <x v="0"/>
    <x v="0"/>
    <x v="0"/>
    <x v="0"/>
  </r>
  <r>
    <x v="1135"/>
    <x v="1"/>
    <x v="1"/>
    <x v="1"/>
    <n v="19.649999999999999"/>
    <x v="60"/>
    <x v="1100"/>
    <x v="0"/>
    <x v="0"/>
    <x v="2"/>
    <x v="2"/>
  </r>
  <r>
    <x v="1136"/>
    <x v="0"/>
    <x v="2"/>
    <x v="3"/>
    <n v="88.95"/>
    <x v="9"/>
    <x v="1101"/>
    <x v="0"/>
    <x v="0"/>
    <x v="2"/>
    <x v="2"/>
  </r>
  <r>
    <x v="1137"/>
    <x v="1"/>
    <x v="0"/>
    <x v="1"/>
    <n v="20.2"/>
    <x v="53"/>
    <x v="1102"/>
    <x v="0"/>
    <x v="0"/>
    <x v="0"/>
    <x v="0"/>
  </r>
  <r>
    <x v="1138"/>
    <x v="1"/>
    <x v="0"/>
    <x v="3"/>
    <n v="75.2"/>
    <x v="26"/>
    <x v="1103"/>
    <x v="0"/>
    <x v="0"/>
    <x v="0"/>
    <x v="0"/>
  </r>
  <r>
    <x v="1139"/>
    <x v="1"/>
    <x v="0"/>
    <x v="3"/>
    <n v="56.8"/>
    <x v="32"/>
    <x v="1104"/>
    <x v="0"/>
    <x v="0"/>
    <x v="2"/>
    <x v="2"/>
  </r>
  <r>
    <x v="1140"/>
    <x v="1"/>
    <x v="0"/>
    <x v="0"/>
    <n v="35.549999999999997"/>
    <x v="0"/>
    <x v="1105"/>
    <x v="1"/>
    <x v="0"/>
    <x v="0"/>
    <x v="0"/>
  </r>
  <r>
    <x v="1141"/>
    <x v="0"/>
    <x v="0"/>
    <x v="2"/>
    <n v="75.5"/>
    <x v="48"/>
    <x v="1106"/>
    <x v="0"/>
    <x v="1"/>
    <x v="1"/>
    <x v="1"/>
  </r>
  <r>
    <x v="1142"/>
    <x v="1"/>
    <x v="1"/>
    <x v="1"/>
    <n v="35.6"/>
    <x v="44"/>
    <x v="1107"/>
    <x v="0"/>
    <x v="0"/>
    <x v="1"/>
    <x v="1"/>
  </r>
  <r>
    <x v="1143"/>
    <x v="0"/>
    <x v="0"/>
    <x v="0"/>
    <n v="60.25"/>
    <x v="35"/>
    <x v="1108"/>
    <x v="0"/>
    <x v="0"/>
    <x v="0"/>
    <x v="0"/>
  </r>
  <r>
    <x v="1144"/>
    <x v="0"/>
    <x v="0"/>
    <x v="0"/>
    <n v="95.15"/>
    <x v="2"/>
    <x v="1109"/>
    <x v="1"/>
    <x v="0"/>
    <x v="0"/>
    <x v="0"/>
  </r>
  <r>
    <x v="1145"/>
    <x v="1"/>
    <x v="0"/>
    <x v="1"/>
    <n v="96.65"/>
    <x v="9"/>
    <x v="1110"/>
    <x v="1"/>
    <x v="0"/>
    <x v="2"/>
    <x v="2"/>
  </r>
  <r>
    <x v="1146"/>
    <x v="0"/>
    <x v="0"/>
    <x v="0"/>
    <n v="40.35"/>
    <x v="52"/>
    <x v="1111"/>
    <x v="0"/>
    <x v="0"/>
    <x v="1"/>
    <x v="1"/>
  </r>
  <r>
    <x v="1147"/>
    <x v="0"/>
    <x v="0"/>
    <x v="0"/>
    <n v="18.850000000000001"/>
    <x v="0"/>
    <x v="1112"/>
    <x v="0"/>
    <x v="0"/>
    <x v="0"/>
    <x v="0"/>
  </r>
  <r>
    <x v="1148"/>
    <x v="1"/>
    <x v="0"/>
    <x v="1"/>
    <n v="54.85"/>
    <x v="40"/>
    <x v="1113"/>
    <x v="0"/>
    <x v="0"/>
    <x v="0"/>
    <x v="0"/>
  </r>
  <r>
    <x v="1149"/>
    <x v="0"/>
    <x v="1"/>
    <x v="1"/>
    <n v="64.3"/>
    <x v="15"/>
    <x v="1114"/>
    <x v="0"/>
    <x v="1"/>
    <x v="1"/>
    <x v="3"/>
  </r>
  <r>
    <x v="1150"/>
    <x v="0"/>
    <x v="2"/>
    <x v="2"/>
    <n v="24.65"/>
    <x v="3"/>
    <x v="1115"/>
    <x v="0"/>
    <x v="0"/>
    <x v="1"/>
    <x v="1"/>
  </r>
  <r>
    <x v="1151"/>
    <x v="1"/>
    <x v="2"/>
    <x v="3"/>
    <n v="76.099999999999994"/>
    <x v="27"/>
    <x v="1116"/>
    <x v="0"/>
    <x v="2"/>
    <x v="1"/>
    <x v="3"/>
  </r>
  <r>
    <x v="1152"/>
    <x v="0"/>
    <x v="2"/>
    <x v="1"/>
    <n v="18.7"/>
    <x v="62"/>
    <x v="1117"/>
    <x v="0"/>
    <x v="0"/>
    <x v="1"/>
    <x v="3"/>
  </r>
  <r>
    <x v="1153"/>
    <x v="0"/>
    <x v="1"/>
    <x v="3"/>
    <n v="97.95"/>
    <x v="8"/>
    <x v="1118"/>
    <x v="0"/>
    <x v="2"/>
    <x v="1"/>
    <x v="3"/>
  </r>
  <r>
    <x v="1154"/>
    <x v="0"/>
    <x v="0"/>
    <x v="3"/>
    <n v="94.1"/>
    <x v="31"/>
    <x v="1119"/>
    <x v="0"/>
    <x v="2"/>
    <x v="1"/>
    <x v="3"/>
  </r>
  <r>
    <x v="1155"/>
    <x v="0"/>
    <x v="0"/>
    <x v="0"/>
    <n v="80.400000000000006"/>
    <x v="35"/>
    <x v="1120"/>
    <x v="1"/>
    <x v="0"/>
    <x v="0"/>
    <x v="0"/>
  </r>
  <r>
    <x v="1156"/>
    <x v="0"/>
    <x v="0"/>
    <x v="0"/>
    <n v="95.1"/>
    <x v="57"/>
    <x v="1121"/>
    <x v="0"/>
    <x v="1"/>
    <x v="2"/>
    <x v="2"/>
  </r>
  <r>
    <x v="1157"/>
    <x v="1"/>
    <x v="0"/>
    <x v="1"/>
    <n v="31.35"/>
    <x v="0"/>
    <x v="1122"/>
    <x v="1"/>
    <x v="0"/>
    <x v="0"/>
    <x v="0"/>
  </r>
  <r>
    <x v="1158"/>
    <x v="0"/>
    <x v="1"/>
    <x v="2"/>
    <n v="72.349999999999994"/>
    <x v="56"/>
    <x v="1123"/>
    <x v="0"/>
    <x v="1"/>
    <x v="1"/>
    <x v="3"/>
  </r>
  <r>
    <x v="1159"/>
    <x v="0"/>
    <x v="0"/>
    <x v="2"/>
    <n v="89.75"/>
    <x v="18"/>
    <x v="1124"/>
    <x v="1"/>
    <x v="0"/>
    <x v="2"/>
    <x v="0"/>
  </r>
  <r>
    <x v="1160"/>
    <x v="0"/>
    <x v="2"/>
    <x v="2"/>
    <n v="82.7"/>
    <x v="16"/>
    <x v="1125"/>
    <x v="0"/>
    <x v="2"/>
    <x v="1"/>
    <x v="3"/>
  </r>
  <r>
    <x v="1161"/>
    <x v="1"/>
    <x v="1"/>
    <x v="3"/>
    <n v="19.899999999999999"/>
    <x v="13"/>
    <x v="1126"/>
    <x v="0"/>
    <x v="0"/>
    <x v="1"/>
    <x v="1"/>
  </r>
  <r>
    <x v="1162"/>
    <x v="0"/>
    <x v="0"/>
    <x v="0"/>
    <n v="53.8"/>
    <x v="24"/>
    <x v="1127"/>
    <x v="0"/>
    <x v="0"/>
    <x v="0"/>
    <x v="0"/>
  </r>
  <r>
    <x v="1163"/>
    <x v="1"/>
    <x v="1"/>
    <x v="3"/>
    <n v="51.55"/>
    <x v="70"/>
    <x v="1128"/>
    <x v="0"/>
    <x v="0"/>
    <x v="1"/>
    <x v="1"/>
  </r>
  <r>
    <x v="1164"/>
    <x v="1"/>
    <x v="1"/>
    <x v="1"/>
    <n v="19.649999999999999"/>
    <x v="0"/>
    <x v="1015"/>
    <x v="0"/>
    <x v="0"/>
    <x v="0"/>
    <x v="0"/>
  </r>
  <r>
    <x v="1165"/>
    <x v="1"/>
    <x v="1"/>
    <x v="3"/>
    <n v="44.05"/>
    <x v="27"/>
    <x v="1129"/>
    <x v="0"/>
    <x v="1"/>
    <x v="1"/>
    <x v="3"/>
  </r>
  <r>
    <x v="1166"/>
    <x v="1"/>
    <x v="2"/>
    <x v="0"/>
    <n v="114"/>
    <x v="21"/>
    <x v="1130"/>
    <x v="0"/>
    <x v="2"/>
    <x v="1"/>
    <x v="3"/>
  </r>
  <r>
    <x v="1167"/>
    <x v="1"/>
    <x v="1"/>
    <x v="0"/>
    <n v="94.4"/>
    <x v="31"/>
    <x v="1131"/>
    <x v="1"/>
    <x v="2"/>
    <x v="1"/>
    <x v="3"/>
  </r>
  <r>
    <x v="1168"/>
    <x v="0"/>
    <x v="0"/>
    <x v="0"/>
    <n v="100.4"/>
    <x v="48"/>
    <x v="1132"/>
    <x v="0"/>
    <x v="1"/>
    <x v="1"/>
    <x v="1"/>
  </r>
  <r>
    <x v="1169"/>
    <x v="1"/>
    <x v="0"/>
    <x v="0"/>
    <n v="19.850000000000001"/>
    <x v="0"/>
    <x v="500"/>
    <x v="1"/>
    <x v="0"/>
    <x v="0"/>
    <x v="0"/>
  </r>
  <r>
    <x v="1170"/>
    <x v="0"/>
    <x v="1"/>
    <x v="1"/>
    <n v="54.25"/>
    <x v="60"/>
    <x v="1133"/>
    <x v="0"/>
    <x v="0"/>
    <x v="2"/>
    <x v="2"/>
  </r>
  <r>
    <x v="1171"/>
    <x v="0"/>
    <x v="0"/>
    <x v="3"/>
    <n v="80"/>
    <x v="9"/>
    <x v="1134"/>
    <x v="0"/>
    <x v="0"/>
    <x v="2"/>
    <x v="2"/>
  </r>
  <r>
    <x v="1172"/>
    <x v="0"/>
    <x v="0"/>
    <x v="3"/>
    <n v="109.9"/>
    <x v="53"/>
    <x v="1135"/>
    <x v="1"/>
    <x v="0"/>
    <x v="0"/>
    <x v="0"/>
  </r>
  <r>
    <x v="1173"/>
    <x v="0"/>
    <x v="2"/>
    <x v="1"/>
    <n v="79.2"/>
    <x v="25"/>
    <x v="1136"/>
    <x v="0"/>
    <x v="1"/>
    <x v="1"/>
    <x v="1"/>
  </r>
  <r>
    <x v="1174"/>
    <x v="1"/>
    <x v="0"/>
    <x v="0"/>
    <n v="101.35"/>
    <x v="30"/>
    <x v="1137"/>
    <x v="1"/>
    <x v="0"/>
    <x v="2"/>
    <x v="2"/>
  </r>
  <r>
    <x v="1175"/>
    <x v="1"/>
    <x v="0"/>
    <x v="0"/>
    <n v="94.3"/>
    <x v="29"/>
    <x v="1138"/>
    <x v="0"/>
    <x v="1"/>
    <x v="1"/>
    <x v="1"/>
  </r>
  <r>
    <x v="1176"/>
    <x v="1"/>
    <x v="2"/>
    <x v="2"/>
    <n v="49.8"/>
    <x v="71"/>
    <x v="1139"/>
    <x v="0"/>
    <x v="0"/>
    <x v="1"/>
    <x v="1"/>
  </r>
  <r>
    <x v="1177"/>
    <x v="1"/>
    <x v="0"/>
    <x v="2"/>
    <n v="60.05"/>
    <x v="17"/>
    <x v="1140"/>
    <x v="1"/>
    <x v="0"/>
    <x v="2"/>
    <x v="2"/>
  </r>
  <r>
    <x v="1178"/>
    <x v="1"/>
    <x v="0"/>
    <x v="0"/>
    <n v="53.75"/>
    <x v="58"/>
    <x v="1141"/>
    <x v="0"/>
    <x v="1"/>
    <x v="1"/>
    <x v="3"/>
  </r>
  <r>
    <x v="1179"/>
    <x v="0"/>
    <x v="1"/>
    <x v="0"/>
    <n v="93.45"/>
    <x v="62"/>
    <x v="1142"/>
    <x v="0"/>
    <x v="1"/>
    <x v="1"/>
    <x v="3"/>
  </r>
  <r>
    <x v="1180"/>
    <x v="1"/>
    <x v="0"/>
    <x v="1"/>
    <n v="87.9"/>
    <x v="32"/>
    <x v="1143"/>
    <x v="0"/>
    <x v="0"/>
    <x v="2"/>
    <x v="2"/>
  </r>
  <r>
    <x v="1181"/>
    <x v="0"/>
    <x v="0"/>
    <x v="0"/>
    <n v="60.15"/>
    <x v="0"/>
    <x v="1144"/>
    <x v="1"/>
    <x v="0"/>
    <x v="0"/>
    <x v="0"/>
  </r>
  <r>
    <x v="1182"/>
    <x v="0"/>
    <x v="1"/>
    <x v="2"/>
    <n v="61.05"/>
    <x v="11"/>
    <x v="1145"/>
    <x v="0"/>
    <x v="1"/>
    <x v="1"/>
    <x v="3"/>
  </r>
  <r>
    <x v="1183"/>
    <x v="0"/>
    <x v="2"/>
    <x v="2"/>
    <n v="104.05"/>
    <x v="16"/>
    <x v="1146"/>
    <x v="0"/>
    <x v="2"/>
    <x v="1"/>
    <x v="3"/>
  </r>
  <r>
    <x v="1184"/>
    <x v="0"/>
    <x v="1"/>
    <x v="0"/>
    <n v="99.25"/>
    <x v="42"/>
    <x v="1147"/>
    <x v="0"/>
    <x v="1"/>
    <x v="1"/>
    <x v="1"/>
  </r>
  <r>
    <x v="1185"/>
    <x v="1"/>
    <x v="0"/>
    <x v="3"/>
    <n v="85.7"/>
    <x v="35"/>
    <x v="1148"/>
    <x v="0"/>
    <x v="0"/>
    <x v="0"/>
    <x v="0"/>
  </r>
  <r>
    <x v="1186"/>
    <x v="1"/>
    <x v="1"/>
    <x v="0"/>
    <n v="104.85"/>
    <x v="46"/>
    <x v="1149"/>
    <x v="0"/>
    <x v="1"/>
    <x v="1"/>
    <x v="1"/>
  </r>
  <r>
    <x v="1187"/>
    <x v="1"/>
    <x v="2"/>
    <x v="3"/>
    <n v="69.150000000000006"/>
    <x v="42"/>
    <x v="1150"/>
    <x v="0"/>
    <x v="1"/>
    <x v="1"/>
    <x v="1"/>
  </r>
  <r>
    <x v="1188"/>
    <x v="1"/>
    <x v="0"/>
    <x v="0"/>
    <n v="90.45"/>
    <x v="40"/>
    <x v="1151"/>
    <x v="1"/>
    <x v="0"/>
    <x v="0"/>
    <x v="0"/>
  </r>
  <r>
    <x v="1189"/>
    <x v="0"/>
    <x v="2"/>
    <x v="1"/>
    <n v="74.45"/>
    <x v="20"/>
    <x v="1152"/>
    <x v="0"/>
    <x v="1"/>
    <x v="1"/>
    <x v="1"/>
  </r>
  <r>
    <x v="1190"/>
    <x v="0"/>
    <x v="0"/>
    <x v="0"/>
    <n v="50.45"/>
    <x v="60"/>
    <x v="1153"/>
    <x v="0"/>
    <x v="0"/>
    <x v="2"/>
    <x v="2"/>
  </r>
  <r>
    <x v="1191"/>
    <x v="0"/>
    <x v="0"/>
    <x v="0"/>
    <n v="60"/>
    <x v="61"/>
    <x v="1154"/>
    <x v="0"/>
    <x v="0"/>
    <x v="2"/>
    <x v="2"/>
  </r>
  <r>
    <x v="1192"/>
    <x v="1"/>
    <x v="2"/>
    <x v="0"/>
    <n v="85.25"/>
    <x v="33"/>
    <x v="1155"/>
    <x v="0"/>
    <x v="2"/>
    <x v="1"/>
    <x v="3"/>
  </r>
  <r>
    <x v="1193"/>
    <x v="1"/>
    <x v="0"/>
    <x v="3"/>
    <n v="19.45"/>
    <x v="30"/>
    <x v="1156"/>
    <x v="0"/>
    <x v="0"/>
    <x v="2"/>
    <x v="2"/>
  </r>
  <r>
    <x v="1194"/>
    <x v="0"/>
    <x v="2"/>
    <x v="2"/>
    <n v="20.75"/>
    <x v="41"/>
    <x v="1157"/>
    <x v="0"/>
    <x v="0"/>
    <x v="1"/>
    <x v="1"/>
  </r>
  <r>
    <x v="1195"/>
    <x v="0"/>
    <x v="0"/>
    <x v="0"/>
    <n v="78.900000000000006"/>
    <x v="22"/>
    <x v="1158"/>
    <x v="0"/>
    <x v="0"/>
    <x v="2"/>
    <x v="2"/>
  </r>
  <r>
    <x v="1196"/>
    <x v="1"/>
    <x v="1"/>
    <x v="3"/>
    <n v="104.5"/>
    <x v="50"/>
    <x v="1159"/>
    <x v="0"/>
    <x v="1"/>
    <x v="1"/>
    <x v="1"/>
  </r>
  <r>
    <x v="1197"/>
    <x v="0"/>
    <x v="0"/>
    <x v="0"/>
    <n v="49.4"/>
    <x v="18"/>
    <x v="1160"/>
    <x v="0"/>
    <x v="0"/>
    <x v="2"/>
    <x v="0"/>
  </r>
  <r>
    <x v="1198"/>
    <x v="1"/>
    <x v="1"/>
    <x v="2"/>
    <n v="94.25"/>
    <x v="62"/>
    <x v="1161"/>
    <x v="1"/>
    <x v="1"/>
    <x v="1"/>
    <x v="3"/>
  </r>
  <r>
    <x v="1199"/>
    <x v="0"/>
    <x v="2"/>
    <x v="1"/>
    <n v="25"/>
    <x v="31"/>
    <x v="1162"/>
    <x v="0"/>
    <x v="0"/>
    <x v="1"/>
    <x v="3"/>
  </r>
  <r>
    <x v="1200"/>
    <x v="1"/>
    <x v="0"/>
    <x v="3"/>
    <n v="25.55"/>
    <x v="32"/>
    <x v="1163"/>
    <x v="0"/>
    <x v="0"/>
    <x v="2"/>
    <x v="2"/>
  </r>
  <r>
    <x v="1201"/>
    <x v="1"/>
    <x v="0"/>
    <x v="0"/>
    <n v="74.900000000000006"/>
    <x v="0"/>
    <x v="1164"/>
    <x v="1"/>
    <x v="0"/>
    <x v="0"/>
    <x v="0"/>
  </r>
  <r>
    <x v="1202"/>
    <x v="0"/>
    <x v="0"/>
    <x v="0"/>
    <n v="70.150000000000006"/>
    <x v="35"/>
    <x v="1165"/>
    <x v="0"/>
    <x v="0"/>
    <x v="0"/>
    <x v="0"/>
  </r>
  <r>
    <x v="1203"/>
    <x v="0"/>
    <x v="0"/>
    <x v="3"/>
    <n v="69.400000000000006"/>
    <x v="34"/>
    <x v="1166"/>
    <x v="0"/>
    <x v="0"/>
    <x v="0"/>
    <x v="0"/>
  </r>
  <r>
    <x v="1204"/>
    <x v="0"/>
    <x v="0"/>
    <x v="0"/>
    <n v="80.25"/>
    <x v="0"/>
    <x v="1167"/>
    <x v="1"/>
    <x v="0"/>
    <x v="0"/>
    <x v="0"/>
  </r>
  <r>
    <x v="1205"/>
    <x v="1"/>
    <x v="1"/>
    <x v="0"/>
    <n v="93.15"/>
    <x v="39"/>
    <x v="1168"/>
    <x v="0"/>
    <x v="2"/>
    <x v="1"/>
    <x v="3"/>
  </r>
  <r>
    <x v="1206"/>
    <x v="1"/>
    <x v="0"/>
    <x v="0"/>
    <n v="69"/>
    <x v="22"/>
    <x v="1169"/>
    <x v="1"/>
    <x v="0"/>
    <x v="2"/>
    <x v="2"/>
  </r>
  <r>
    <x v="1207"/>
    <x v="0"/>
    <x v="0"/>
    <x v="0"/>
    <n v="66.349999999999994"/>
    <x v="26"/>
    <x v="1170"/>
    <x v="1"/>
    <x v="0"/>
    <x v="0"/>
    <x v="0"/>
  </r>
  <r>
    <x v="1208"/>
    <x v="1"/>
    <x v="0"/>
    <x v="0"/>
    <n v="69.55"/>
    <x v="40"/>
    <x v="1171"/>
    <x v="0"/>
    <x v="0"/>
    <x v="0"/>
    <x v="0"/>
  </r>
  <r>
    <x v="1209"/>
    <x v="0"/>
    <x v="2"/>
    <x v="2"/>
    <n v="20.2"/>
    <x v="14"/>
    <x v="1172"/>
    <x v="0"/>
    <x v="0"/>
    <x v="1"/>
    <x v="3"/>
  </r>
  <r>
    <x v="1210"/>
    <x v="1"/>
    <x v="0"/>
    <x v="2"/>
    <n v="86"/>
    <x v="67"/>
    <x v="1173"/>
    <x v="1"/>
    <x v="0"/>
    <x v="2"/>
    <x v="2"/>
  </r>
  <r>
    <x v="1211"/>
    <x v="0"/>
    <x v="0"/>
    <x v="0"/>
    <n v="80.3"/>
    <x v="35"/>
    <x v="1174"/>
    <x v="1"/>
    <x v="0"/>
    <x v="0"/>
    <x v="0"/>
  </r>
  <r>
    <x v="1212"/>
    <x v="1"/>
    <x v="2"/>
    <x v="3"/>
    <n v="20.399999999999999"/>
    <x v="68"/>
    <x v="751"/>
    <x v="0"/>
    <x v="0"/>
    <x v="1"/>
    <x v="3"/>
  </r>
  <r>
    <x v="1213"/>
    <x v="1"/>
    <x v="1"/>
    <x v="3"/>
    <n v="23.75"/>
    <x v="8"/>
    <x v="1175"/>
    <x v="0"/>
    <x v="0"/>
    <x v="1"/>
    <x v="3"/>
  </r>
  <r>
    <x v="1214"/>
    <x v="1"/>
    <x v="0"/>
    <x v="3"/>
    <n v="90.55"/>
    <x v="65"/>
    <x v="1176"/>
    <x v="1"/>
    <x v="1"/>
    <x v="1"/>
    <x v="2"/>
  </r>
  <r>
    <x v="1215"/>
    <x v="0"/>
    <x v="0"/>
    <x v="3"/>
    <n v="70.45"/>
    <x v="8"/>
    <x v="1177"/>
    <x v="0"/>
    <x v="1"/>
    <x v="1"/>
    <x v="3"/>
  </r>
  <r>
    <x v="1216"/>
    <x v="1"/>
    <x v="0"/>
    <x v="2"/>
    <n v="65.75"/>
    <x v="22"/>
    <x v="1178"/>
    <x v="0"/>
    <x v="0"/>
    <x v="2"/>
    <x v="2"/>
  </r>
  <r>
    <x v="1217"/>
    <x v="1"/>
    <x v="0"/>
    <x v="1"/>
    <n v="24.6"/>
    <x v="34"/>
    <x v="1179"/>
    <x v="0"/>
    <x v="0"/>
    <x v="0"/>
    <x v="0"/>
  </r>
  <r>
    <x v="1218"/>
    <x v="1"/>
    <x v="2"/>
    <x v="1"/>
    <n v="69.25"/>
    <x v="38"/>
    <x v="1180"/>
    <x v="0"/>
    <x v="1"/>
    <x v="1"/>
    <x v="3"/>
  </r>
  <r>
    <x v="1219"/>
    <x v="0"/>
    <x v="0"/>
    <x v="0"/>
    <n v="75.900000000000006"/>
    <x v="2"/>
    <x v="1181"/>
    <x v="1"/>
    <x v="0"/>
    <x v="0"/>
    <x v="0"/>
  </r>
  <r>
    <x v="1220"/>
    <x v="1"/>
    <x v="0"/>
    <x v="1"/>
    <n v="45.85"/>
    <x v="0"/>
    <x v="1182"/>
    <x v="1"/>
    <x v="0"/>
    <x v="0"/>
    <x v="0"/>
  </r>
  <r>
    <x v="1221"/>
    <x v="0"/>
    <x v="0"/>
    <x v="0"/>
    <n v="49.95"/>
    <x v="10"/>
    <x v="1183"/>
    <x v="1"/>
    <x v="0"/>
    <x v="2"/>
    <x v="2"/>
  </r>
  <r>
    <x v="1222"/>
    <x v="0"/>
    <x v="2"/>
    <x v="2"/>
    <n v="24.65"/>
    <x v="21"/>
    <x v="1184"/>
    <x v="0"/>
    <x v="0"/>
    <x v="1"/>
    <x v="3"/>
  </r>
  <r>
    <x v="1223"/>
    <x v="1"/>
    <x v="1"/>
    <x v="2"/>
    <n v="90.4"/>
    <x v="19"/>
    <x v="1185"/>
    <x v="0"/>
    <x v="1"/>
    <x v="1"/>
    <x v="1"/>
  </r>
  <r>
    <x v="1224"/>
    <x v="0"/>
    <x v="0"/>
    <x v="1"/>
    <n v="100.85"/>
    <x v="12"/>
    <x v="1186"/>
    <x v="0"/>
    <x v="1"/>
    <x v="1"/>
    <x v="3"/>
  </r>
  <r>
    <x v="1225"/>
    <x v="1"/>
    <x v="2"/>
    <x v="3"/>
    <n v="75.349999999999994"/>
    <x v="59"/>
    <x v="1187"/>
    <x v="0"/>
    <x v="1"/>
    <x v="1"/>
    <x v="3"/>
  </r>
  <r>
    <x v="1226"/>
    <x v="1"/>
    <x v="0"/>
    <x v="0"/>
    <n v="87.2"/>
    <x v="20"/>
    <x v="1188"/>
    <x v="0"/>
    <x v="1"/>
    <x v="1"/>
    <x v="1"/>
  </r>
  <r>
    <x v="1227"/>
    <x v="1"/>
    <x v="0"/>
    <x v="3"/>
    <n v="64.400000000000006"/>
    <x v="61"/>
    <x v="1189"/>
    <x v="0"/>
    <x v="0"/>
    <x v="2"/>
    <x v="2"/>
  </r>
  <r>
    <x v="1228"/>
    <x v="1"/>
    <x v="0"/>
    <x v="0"/>
    <n v="78.3"/>
    <x v="1"/>
    <x v="1190"/>
    <x v="1"/>
    <x v="1"/>
    <x v="1"/>
    <x v="1"/>
  </r>
  <r>
    <x v="1229"/>
    <x v="0"/>
    <x v="2"/>
    <x v="2"/>
    <n v="24.7"/>
    <x v="27"/>
    <x v="1191"/>
    <x v="0"/>
    <x v="0"/>
    <x v="1"/>
    <x v="3"/>
  </r>
  <r>
    <x v="1230"/>
    <x v="1"/>
    <x v="1"/>
    <x v="0"/>
    <n v="105.85"/>
    <x v="68"/>
    <x v="1192"/>
    <x v="0"/>
    <x v="2"/>
    <x v="1"/>
    <x v="3"/>
  </r>
  <r>
    <x v="1231"/>
    <x v="1"/>
    <x v="1"/>
    <x v="1"/>
    <n v="98.3"/>
    <x v="59"/>
    <x v="1193"/>
    <x v="0"/>
    <x v="2"/>
    <x v="1"/>
    <x v="3"/>
  </r>
  <r>
    <x v="1232"/>
    <x v="1"/>
    <x v="0"/>
    <x v="0"/>
    <n v="76.95"/>
    <x v="35"/>
    <x v="1194"/>
    <x v="1"/>
    <x v="0"/>
    <x v="0"/>
    <x v="0"/>
  </r>
  <r>
    <x v="1233"/>
    <x v="1"/>
    <x v="1"/>
    <x v="1"/>
    <n v="19.45"/>
    <x v="9"/>
    <x v="1195"/>
    <x v="0"/>
    <x v="0"/>
    <x v="2"/>
    <x v="2"/>
  </r>
  <r>
    <x v="1234"/>
    <x v="0"/>
    <x v="0"/>
    <x v="0"/>
    <n v="96.15"/>
    <x v="10"/>
    <x v="1196"/>
    <x v="1"/>
    <x v="0"/>
    <x v="2"/>
    <x v="2"/>
  </r>
  <r>
    <x v="1235"/>
    <x v="0"/>
    <x v="0"/>
    <x v="3"/>
    <n v="58.7"/>
    <x v="35"/>
    <x v="1197"/>
    <x v="0"/>
    <x v="0"/>
    <x v="0"/>
    <x v="0"/>
  </r>
  <r>
    <x v="1236"/>
    <x v="1"/>
    <x v="0"/>
    <x v="1"/>
    <n v="20.149999999999999"/>
    <x v="13"/>
    <x v="1198"/>
    <x v="0"/>
    <x v="0"/>
    <x v="1"/>
    <x v="1"/>
  </r>
  <r>
    <x v="1237"/>
    <x v="1"/>
    <x v="0"/>
    <x v="1"/>
    <n v="64.5"/>
    <x v="19"/>
    <x v="147"/>
    <x v="0"/>
    <x v="0"/>
    <x v="1"/>
    <x v="1"/>
  </r>
  <r>
    <x v="1238"/>
    <x v="0"/>
    <x v="0"/>
    <x v="0"/>
    <n v="28.5"/>
    <x v="17"/>
    <x v="1199"/>
    <x v="0"/>
    <x v="0"/>
    <x v="2"/>
    <x v="2"/>
  </r>
  <r>
    <x v="1239"/>
    <x v="1"/>
    <x v="0"/>
    <x v="0"/>
    <n v="45.3"/>
    <x v="0"/>
    <x v="180"/>
    <x v="1"/>
    <x v="0"/>
    <x v="0"/>
    <x v="0"/>
  </r>
  <r>
    <x v="1240"/>
    <x v="0"/>
    <x v="0"/>
    <x v="2"/>
    <n v="19.399999999999999"/>
    <x v="30"/>
    <x v="1200"/>
    <x v="1"/>
    <x v="0"/>
    <x v="2"/>
    <x v="2"/>
  </r>
  <r>
    <x v="1241"/>
    <x v="1"/>
    <x v="0"/>
    <x v="0"/>
    <n v="90.45"/>
    <x v="57"/>
    <x v="1201"/>
    <x v="0"/>
    <x v="1"/>
    <x v="2"/>
    <x v="2"/>
  </r>
  <r>
    <x v="1242"/>
    <x v="0"/>
    <x v="0"/>
    <x v="0"/>
    <n v="105.15"/>
    <x v="3"/>
    <x v="1202"/>
    <x v="0"/>
    <x v="1"/>
    <x v="1"/>
    <x v="1"/>
  </r>
  <r>
    <x v="1243"/>
    <x v="0"/>
    <x v="1"/>
    <x v="2"/>
    <n v="83.15"/>
    <x v="65"/>
    <x v="1203"/>
    <x v="0"/>
    <x v="0"/>
    <x v="1"/>
    <x v="2"/>
  </r>
  <r>
    <x v="1244"/>
    <x v="0"/>
    <x v="0"/>
    <x v="0"/>
    <n v="90.15"/>
    <x v="26"/>
    <x v="1204"/>
    <x v="1"/>
    <x v="0"/>
    <x v="0"/>
    <x v="0"/>
  </r>
  <r>
    <x v="1245"/>
    <x v="1"/>
    <x v="0"/>
    <x v="1"/>
    <n v="45.05"/>
    <x v="0"/>
    <x v="1205"/>
    <x v="1"/>
    <x v="0"/>
    <x v="0"/>
    <x v="0"/>
  </r>
  <r>
    <x v="1246"/>
    <x v="0"/>
    <x v="2"/>
    <x v="2"/>
    <n v="103.2"/>
    <x v="39"/>
    <x v="1206"/>
    <x v="0"/>
    <x v="2"/>
    <x v="1"/>
    <x v="3"/>
  </r>
  <r>
    <x v="1247"/>
    <x v="0"/>
    <x v="0"/>
    <x v="0"/>
    <n v="75.8"/>
    <x v="0"/>
    <x v="1207"/>
    <x v="1"/>
    <x v="0"/>
    <x v="0"/>
    <x v="0"/>
  </r>
  <r>
    <x v="1248"/>
    <x v="1"/>
    <x v="0"/>
    <x v="0"/>
    <n v="19.45"/>
    <x v="0"/>
    <x v="100"/>
    <x v="0"/>
    <x v="0"/>
    <x v="0"/>
    <x v="0"/>
  </r>
  <r>
    <x v="1249"/>
    <x v="0"/>
    <x v="0"/>
    <x v="0"/>
    <n v="79.3"/>
    <x v="40"/>
    <x v="1208"/>
    <x v="1"/>
    <x v="0"/>
    <x v="0"/>
    <x v="0"/>
  </r>
  <r>
    <x v="1250"/>
    <x v="0"/>
    <x v="2"/>
    <x v="3"/>
    <n v="88.8"/>
    <x v="49"/>
    <x v="1209"/>
    <x v="0"/>
    <x v="1"/>
    <x v="1"/>
    <x v="3"/>
  </r>
  <r>
    <x v="1251"/>
    <x v="0"/>
    <x v="0"/>
    <x v="0"/>
    <n v="30.9"/>
    <x v="2"/>
    <x v="1210"/>
    <x v="1"/>
    <x v="0"/>
    <x v="0"/>
    <x v="0"/>
  </r>
  <r>
    <x v="1252"/>
    <x v="0"/>
    <x v="2"/>
    <x v="3"/>
    <n v="85.9"/>
    <x v="21"/>
    <x v="1211"/>
    <x v="0"/>
    <x v="2"/>
    <x v="1"/>
    <x v="3"/>
  </r>
  <r>
    <x v="1253"/>
    <x v="0"/>
    <x v="1"/>
    <x v="0"/>
    <n v="34.200000000000003"/>
    <x v="3"/>
    <x v="1212"/>
    <x v="0"/>
    <x v="0"/>
    <x v="1"/>
    <x v="1"/>
  </r>
  <r>
    <x v="1254"/>
    <x v="0"/>
    <x v="2"/>
    <x v="1"/>
    <n v="20.149999999999999"/>
    <x v="20"/>
    <x v="1213"/>
    <x v="0"/>
    <x v="0"/>
    <x v="1"/>
    <x v="1"/>
  </r>
  <r>
    <x v="1255"/>
    <x v="0"/>
    <x v="1"/>
    <x v="3"/>
    <n v="95.25"/>
    <x v="25"/>
    <x v="1214"/>
    <x v="1"/>
    <x v="1"/>
    <x v="1"/>
    <x v="1"/>
  </r>
  <r>
    <x v="1256"/>
    <x v="1"/>
    <x v="0"/>
    <x v="1"/>
    <n v="50.3"/>
    <x v="2"/>
    <x v="1215"/>
    <x v="0"/>
    <x v="0"/>
    <x v="0"/>
    <x v="0"/>
  </r>
  <r>
    <x v="1257"/>
    <x v="0"/>
    <x v="0"/>
    <x v="0"/>
    <n v="80.150000000000006"/>
    <x v="2"/>
    <x v="1216"/>
    <x v="0"/>
    <x v="0"/>
    <x v="0"/>
    <x v="0"/>
  </r>
  <r>
    <x v="1258"/>
    <x v="0"/>
    <x v="0"/>
    <x v="0"/>
    <n v="51.25"/>
    <x v="18"/>
    <x v="1217"/>
    <x v="0"/>
    <x v="0"/>
    <x v="2"/>
    <x v="0"/>
  </r>
  <r>
    <x v="1259"/>
    <x v="0"/>
    <x v="0"/>
    <x v="2"/>
    <n v="89.6"/>
    <x v="47"/>
    <x v="1218"/>
    <x v="1"/>
    <x v="2"/>
    <x v="1"/>
    <x v="3"/>
  </r>
  <r>
    <x v="1260"/>
    <x v="1"/>
    <x v="2"/>
    <x v="3"/>
    <n v="95.2"/>
    <x v="14"/>
    <x v="1219"/>
    <x v="0"/>
    <x v="2"/>
    <x v="1"/>
    <x v="3"/>
  </r>
  <r>
    <x v="1261"/>
    <x v="1"/>
    <x v="1"/>
    <x v="3"/>
    <n v="94.8"/>
    <x v="39"/>
    <x v="1220"/>
    <x v="0"/>
    <x v="2"/>
    <x v="1"/>
    <x v="3"/>
  </r>
  <r>
    <x v="1262"/>
    <x v="0"/>
    <x v="0"/>
    <x v="0"/>
    <n v="80.25"/>
    <x v="54"/>
    <x v="1221"/>
    <x v="0"/>
    <x v="0"/>
    <x v="0"/>
    <x v="0"/>
  </r>
  <r>
    <x v="1263"/>
    <x v="1"/>
    <x v="2"/>
    <x v="2"/>
    <n v="76.099999999999994"/>
    <x v="38"/>
    <x v="1222"/>
    <x v="0"/>
    <x v="1"/>
    <x v="1"/>
    <x v="3"/>
  </r>
  <r>
    <x v="1264"/>
    <x v="1"/>
    <x v="1"/>
    <x v="0"/>
    <n v="110.15"/>
    <x v="64"/>
    <x v="1223"/>
    <x v="1"/>
    <x v="2"/>
    <x v="1"/>
    <x v="3"/>
  </r>
  <r>
    <x v="1265"/>
    <x v="1"/>
    <x v="2"/>
    <x v="2"/>
    <n v="115.55"/>
    <x v="8"/>
    <x v="1224"/>
    <x v="0"/>
    <x v="2"/>
    <x v="1"/>
    <x v="3"/>
  </r>
  <r>
    <x v="1266"/>
    <x v="1"/>
    <x v="2"/>
    <x v="3"/>
    <n v="24.65"/>
    <x v="28"/>
    <x v="1225"/>
    <x v="0"/>
    <x v="0"/>
    <x v="1"/>
    <x v="3"/>
  </r>
  <r>
    <x v="1267"/>
    <x v="0"/>
    <x v="1"/>
    <x v="0"/>
    <n v="53.6"/>
    <x v="62"/>
    <x v="1226"/>
    <x v="0"/>
    <x v="1"/>
    <x v="1"/>
    <x v="3"/>
  </r>
  <r>
    <x v="1268"/>
    <x v="1"/>
    <x v="0"/>
    <x v="1"/>
    <n v="19.45"/>
    <x v="24"/>
    <x v="1227"/>
    <x v="0"/>
    <x v="0"/>
    <x v="0"/>
    <x v="0"/>
  </r>
  <r>
    <x v="1269"/>
    <x v="1"/>
    <x v="0"/>
    <x v="0"/>
    <n v="88.2"/>
    <x v="12"/>
    <x v="1228"/>
    <x v="0"/>
    <x v="1"/>
    <x v="1"/>
    <x v="3"/>
  </r>
  <r>
    <x v="1270"/>
    <x v="0"/>
    <x v="2"/>
    <x v="2"/>
    <n v="101.15"/>
    <x v="8"/>
    <x v="1229"/>
    <x v="0"/>
    <x v="2"/>
    <x v="1"/>
    <x v="3"/>
  </r>
  <r>
    <x v="1271"/>
    <x v="0"/>
    <x v="2"/>
    <x v="1"/>
    <n v="56.8"/>
    <x v="49"/>
    <x v="1230"/>
    <x v="0"/>
    <x v="1"/>
    <x v="1"/>
    <x v="3"/>
  </r>
  <r>
    <x v="1272"/>
    <x v="0"/>
    <x v="2"/>
    <x v="0"/>
    <n v="99.4"/>
    <x v="16"/>
    <x v="1231"/>
    <x v="0"/>
    <x v="2"/>
    <x v="1"/>
    <x v="3"/>
  </r>
  <r>
    <x v="1273"/>
    <x v="0"/>
    <x v="2"/>
    <x v="3"/>
    <n v="20.100000000000001"/>
    <x v="21"/>
    <x v="1232"/>
    <x v="0"/>
    <x v="0"/>
    <x v="1"/>
    <x v="3"/>
  </r>
  <r>
    <x v="1274"/>
    <x v="1"/>
    <x v="1"/>
    <x v="3"/>
    <n v="60.7"/>
    <x v="51"/>
    <x v="1233"/>
    <x v="0"/>
    <x v="1"/>
    <x v="1"/>
    <x v="1"/>
  </r>
  <r>
    <x v="1275"/>
    <x v="1"/>
    <x v="1"/>
    <x v="2"/>
    <n v="20.95"/>
    <x v="13"/>
    <x v="1234"/>
    <x v="0"/>
    <x v="0"/>
    <x v="1"/>
    <x v="1"/>
  </r>
  <r>
    <x v="1276"/>
    <x v="0"/>
    <x v="2"/>
    <x v="2"/>
    <n v="114.85"/>
    <x v="21"/>
    <x v="1235"/>
    <x v="0"/>
    <x v="2"/>
    <x v="1"/>
    <x v="3"/>
  </r>
  <r>
    <x v="1277"/>
    <x v="0"/>
    <x v="1"/>
    <x v="2"/>
    <n v="19.25"/>
    <x v="51"/>
    <x v="1236"/>
    <x v="0"/>
    <x v="0"/>
    <x v="1"/>
    <x v="1"/>
  </r>
  <r>
    <x v="1278"/>
    <x v="1"/>
    <x v="0"/>
    <x v="1"/>
    <n v="62.8"/>
    <x v="0"/>
    <x v="1237"/>
    <x v="0"/>
    <x v="0"/>
    <x v="0"/>
    <x v="0"/>
  </r>
  <r>
    <x v="1279"/>
    <x v="0"/>
    <x v="2"/>
    <x v="0"/>
    <n v="105.5"/>
    <x v="21"/>
    <x v="443"/>
    <x v="0"/>
    <x v="2"/>
    <x v="1"/>
    <x v="3"/>
  </r>
  <r>
    <x v="1280"/>
    <x v="1"/>
    <x v="2"/>
    <x v="1"/>
    <n v="19.850000000000001"/>
    <x v="64"/>
    <x v="1238"/>
    <x v="0"/>
    <x v="0"/>
    <x v="1"/>
    <x v="3"/>
  </r>
  <r>
    <x v="1281"/>
    <x v="1"/>
    <x v="0"/>
    <x v="0"/>
    <n v="89.5"/>
    <x v="40"/>
    <x v="1239"/>
    <x v="1"/>
    <x v="0"/>
    <x v="0"/>
    <x v="0"/>
  </r>
  <r>
    <x v="1282"/>
    <x v="0"/>
    <x v="1"/>
    <x v="3"/>
    <n v="74.099999999999994"/>
    <x v="0"/>
    <x v="1240"/>
    <x v="0"/>
    <x v="0"/>
    <x v="0"/>
    <x v="0"/>
  </r>
  <r>
    <x v="1283"/>
    <x v="0"/>
    <x v="0"/>
    <x v="0"/>
    <n v="107.5"/>
    <x v="19"/>
    <x v="1241"/>
    <x v="0"/>
    <x v="1"/>
    <x v="1"/>
    <x v="1"/>
  </r>
  <r>
    <x v="1284"/>
    <x v="1"/>
    <x v="2"/>
    <x v="1"/>
    <n v="19.55"/>
    <x v="38"/>
    <x v="1242"/>
    <x v="0"/>
    <x v="0"/>
    <x v="1"/>
    <x v="3"/>
  </r>
  <r>
    <x v="1285"/>
    <x v="1"/>
    <x v="1"/>
    <x v="2"/>
    <n v="68.8"/>
    <x v="28"/>
    <x v="1243"/>
    <x v="0"/>
    <x v="1"/>
    <x v="1"/>
    <x v="3"/>
  </r>
  <r>
    <x v="1286"/>
    <x v="1"/>
    <x v="2"/>
    <x v="3"/>
    <n v="84.45"/>
    <x v="21"/>
    <x v="1244"/>
    <x v="0"/>
    <x v="2"/>
    <x v="1"/>
    <x v="3"/>
  </r>
  <r>
    <x v="1287"/>
    <x v="1"/>
    <x v="0"/>
    <x v="0"/>
    <n v="75"/>
    <x v="4"/>
    <x v="1245"/>
    <x v="1"/>
    <x v="0"/>
    <x v="0"/>
    <x v="0"/>
  </r>
  <r>
    <x v="1288"/>
    <x v="0"/>
    <x v="2"/>
    <x v="2"/>
    <n v="84.5"/>
    <x v="8"/>
    <x v="1246"/>
    <x v="0"/>
    <x v="2"/>
    <x v="1"/>
    <x v="3"/>
  </r>
  <r>
    <x v="1289"/>
    <x v="1"/>
    <x v="2"/>
    <x v="2"/>
    <n v="111.2"/>
    <x v="56"/>
    <x v="1247"/>
    <x v="0"/>
    <x v="2"/>
    <x v="1"/>
    <x v="3"/>
  </r>
  <r>
    <x v="1290"/>
    <x v="1"/>
    <x v="0"/>
    <x v="0"/>
    <n v="44.75"/>
    <x v="53"/>
    <x v="1248"/>
    <x v="1"/>
    <x v="0"/>
    <x v="0"/>
    <x v="0"/>
  </r>
  <r>
    <x v="1291"/>
    <x v="0"/>
    <x v="2"/>
    <x v="2"/>
    <n v="80.599999999999994"/>
    <x v="27"/>
    <x v="1249"/>
    <x v="0"/>
    <x v="2"/>
    <x v="1"/>
    <x v="3"/>
  </r>
  <r>
    <x v="1292"/>
    <x v="0"/>
    <x v="0"/>
    <x v="2"/>
    <n v="80.7"/>
    <x v="61"/>
    <x v="1250"/>
    <x v="0"/>
    <x v="0"/>
    <x v="2"/>
    <x v="2"/>
  </r>
  <r>
    <x v="1293"/>
    <x v="0"/>
    <x v="0"/>
    <x v="0"/>
    <n v="75.599999999999994"/>
    <x v="24"/>
    <x v="1251"/>
    <x v="0"/>
    <x v="0"/>
    <x v="0"/>
    <x v="0"/>
  </r>
  <r>
    <x v="1294"/>
    <x v="0"/>
    <x v="1"/>
    <x v="0"/>
    <n v="57.6"/>
    <x v="65"/>
    <x v="1252"/>
    <x v="0"/>
    <x v="0"/>
    <x v="1"/>
    <x v="2"/>
  </r>
  <r>
    <x v="1295"/>
    <x v="0"/>
    <x v="0"/>
    <x v="0"/>
    <n v="44.05"/>
    <x v="26"/>
    <x v="1253"/>
    <x v="1"/>
    <x v="0"/>
    <x v="0"/>
    <x v="0"/>
  </r>
  <r>
    <x v="1296"/>
    <x v="1"/>
    <x v="2"/>
    <x v="3"/>
    <n v="110.6"/>
    <x v="21"/>
    <x v="1254"/>
    <x v="0"/>
    <x v="2"/>
    <x v="1"/>
    <x v="3"/>
  </r>
  <r>
    <x v="1297"/>
    <x v="0"/>
    <x v="2"/>
    <x v="3"/>
    <n v="58.2"/>
    <x v="33"/>
    <x v="1255"/>
    <x v="0"/>
    <x v="1"/>
    <x v="1"/>
    <x v="3"/>
  </r>
  <r>
    <x v="1298"/>
    <x v="0"/>
    <x v="2"/>
    <x v="1"/>
    <n v="81"/>
    <x v="3"/>
    <x v="1256"/>
    <x v="0"/>
    <x v="1"/>
    <x v="1"/>
    <x v="1"/>
  </r>
  <r>
    <x v="1299"/>
    <x v="0"/>
    <x v="2"/>
    <x v="2"/>
    <n v="19.7"/>
    <x v="14"/>
    <x v="1257"/>
    <x v="0"/>
    <x v="0"/>
    <x v="1"/>
    <x v="3"/>
  </r>
  <r>
    <x v="1300"/>
    <x v="1"/>
    <x v="0"/>
    <x v="2"/>
    <n v="85.6"/>
    <x v="30"/>
    <x v="1258"/>
    <x v="1"/>
    <x v="0"/>
    <x v="2"/>
    <x v="2"/>
  </r>
  <r>
    <x v="1301"/>
    <x v="0"/>
    <x v="0"/>
    <x v="2"/>
    <n v="59.55"/>
    <x v="7"/>
    <x v="1259"/>
    <x v="0"/>
    <x v="0"/>
    <x v="1"/>
    <x v="1"/>
  </r>
  <r>
    <x v="1302"/>
    <x v="0"/>
    <x v="1"/>
    <x v="3"/>
    <n v="115.55"/>
    <x v="27"/>
    <x v="1260"/>
    <x v="1"/>
    <x v="2"/>
    <x v="1"/>
    <x v="3"/>
  </r>
  <r>
    <x v="1303"/>
    <x v="0"/>
    <x v="1"/>
    <x v="1"/>
    <n v="75.55"/>
    <x v="51"/>
    <x v="1261"/>
    <x v="0"/>
    <x v="1"/>
    <x v="1"/>
    <x v="1"/>
  </r>
  <r>
    <x v="1304"/>
    <x v="1"/>
    <x v="0"/>
    <x v="0"/>
    <n v="86.6"/>
    <x v="10"/>
    <x v="1262"/>
    <x v="1"/>
    <x v="0"/>
    <x v="2"/>
    <x v="2"/>
  </r>
  <r>
    <x v="1305"/>
    <x v="0"/>
    <x v="0"/>
    <x v="0"/>
    <n v="85.2"/>
    <x v="32"/>
    <x v="1263"/>
    <x v="1"/>
    <x v="0"/>
    <x v="2"/>
    <x v="2"/>
  </r>
  <r>
    <x v="1306"/>
    <x v="0"/>
    <x v="0"/>
    <x v="0"/>
    <n v="97.65"/>
    <x v="1"/>
    <x v="1264"/>
    <x v="1"/>
    <x v="1"/>
    <x v="1"/>
    <x v="1"/>
  </r>
  <r>
    <x v="1307"/>
    <x v="1"/>
    <x v="1"/>
    <x v="3"/>
    <n v="45.1"/>
    <x v="41"/>
    <x v="1265"/>
    <x v="0"/>
    <x v="0"/>
    <x v="1"/>
    <x v="1"/>
  </r>
  <r>
    <x v="1308"/>
    <x v="1"/>
    <x v="1"/>
    <x v="2"/>
    <n v="70.95"/>
    <x v="43"/>
    <x v="1266"/>
    <x v="0"/>
    <x v="1"/>
    <x v="1"/>
    <x v="1"/>
  </r>
  <r>
    <x v="1309"/>
    <x v="1"/>
    <x v="0"/>
    <x v="0"/>
    <n v="109.55"/>
    <x v="20"/>
    <x v="1267"/>
    <x v="1"/>
    <x v="2"/>
    <x v="1"/>
    <x v="1"/>
  </r>
  <r>
    <x v="1310"/>
    <x v="0"/>
    <x v="1"/>
    <x v="0"/>
    <n v="89.55"/>
    <x v="71"/>
    <x v="1268"/>
    <x v="1"/>
    <x v="1"/>
    <x v="1"/>
    <x v="1"/>
  </r>
  <r>
    <x v="1311"/>
    <x v="0"/>
    <x v="2"/>
    <x v="3"/>
    <n v="20.9"/>
    <x v="26"/>
    <x v="1269"/>
    <x v="0"/>
    <x v="0"/>
    <x v="0"/>
    <x v="0"/>
  </r>
  <r>
    <x v="1312"/>
    <x v="1"/>
    <x v="0"/>
    <x v="1"/>
    <n v="19.95"/>
    <x v="40"/>
    <x v="1270"/>
    <x v="0"/>
    <x v="0"/>
    <x v="0"/>
    <x v="0"/>
  </r>
  <r>
    <x v="1313"/>
    <x v="0"/>
    <x v="0"/>
    <x v="1"/>
    <n v="24.6"/>
    <x v="35"/>
    <x v="1271"/>
    <x v="0"/>
    <x v="0"/>
    <x v="0"/>
    <x v="0"/>
  </r>
  <r>
    <x v="1314"/>
    <x v="1"/>
    <x v="0"/>
    <x v="0"/>
    <n v="66.7"/>
    <x v="4"/>
    <x v="1272"/>
    <x v="0"/>
    <x v="0"/>
    <x v="0"/>
    <x v="0"/>
  </r>
  <r>
    <x v="1315"/>
    <x v="1"/>
    <x v="0"/>
    <x v="1"/>
    <n v="19.45"/>
    <x v="0"/>
    <x v="100"/>
    <x v="1"/>
    <x v="0"/>
    <x v="0"/>
    <x v="0"/>
  </r>
  <r>
    <x v="1316"/>
    <x v="1"/>
    <x v="1"/>
    <x v="1"/>
    <n v="94.8"/>
    <x v="48"/>
    <x v="1273"/>
    <x v="0"/>
    <x v="1"/>
    <x v="1"/>
    <x v="1"/>
  </r>
  <r>
    <x v="1317"/>
    <x v="1"/>
    <x v="1"/>
    <x v="2"/>
    <n v="65.849999999999994"/>
    <x v="31"/>
    <x v="1274"/>
    <x v="0"/>
    <x v="1"/>
    <x v="1"/>
    <x v="3"/>
  </r>
  <r>
    <x v="1318"/>
    <x v="0"/>
    <x v="0"/>
    <x v="2"/>
    <n v="19.95"/>
    <x v="6"/>
    <x v="1275"/>
    <x v="0"/>
    <x v="0"/>
    <x v="0"/>
    <x v="0"/>
  </r>
  <r>
    <x v="1319"/>
    <x v="0"/>
    <x v="2"/>
    <x v="2"/>
    <n v="24.65"/>
    <x v="16"/>
    <x v="1276"/>
    <x v="0"/>
    <x v="0"/>
    <x v="1"/>
    <x v="3"/>
  </r>
  <r>
    <x v="1320"/>
    <x v="0"/>
    <x v="0"/>
    <x v="1"/>
    <n v="20.350000000000001"/>
    <x v="54"/>
    <x v="1277"/>
    <x v="1"/>
    <x v="0"/>
    <x v="0"/>
    <x v="0"/>
  </r>
  <r>
    <x v="1321"/>
    <x v="0"/>
    <x v="0"/>
    <x v="0"/>
    <n v="69.25"/>
    <x v="0"/>
    <x v="1278"/>
    <x v="1"/>
    <x v="0"/>
    <x v="0"/>
    <x v="0"/>
  </r>
  <r>
    <x v="1322"/>
    <x v="0"/>
    <x v="1"/>
    <x v="2"/>
    <n v="51.25"/>
    <x v="29"/>
    <x v="1279"/>
    <x v="0"/>
    <x v="1"/>
    <x v="1"/>
    <x v="1"/>
  </r>
  <r>
    <x v="1323"/>
    <x v="1"/>
    <x v="1"/>
    <x v="2"/>
    <n v="99.5"/>
    <x v="64"/>
    <x v="553"/>
    <x v="1"/>
    <x v="2"/>
    <x v="1"/>
    <x v="3"/>
  </r>
  <r>
    <x v="1324"/>
    <x v="0"/>
    <x v="0"/>
    <x v="0"/>
    <n v="54.25"/>
    <x v="57"/>
    <x v="1280"/>
    <x v="0"/>
    <x v="0"/>
    <x v="2"/>
    <x v="2"/>
  </r>
  <r>
    <x v="1325"/>
    <x v="0"/>
    <x v="2"/>
    <x v="2"/>
    <n v="19.399999999999999"/>
    <x v="21"/>
    <x v="108"/>
    <x v="0"/>
    <x v="0"/>
    <x v="1"/>
    <x v="3"/>
  </r>
  <r>
    <x v="1326"/>
    <x v="1"/>
    <x v="1"/>
    <x v="3"/>
    <n v="56.25"/>
    <x v="5"/>
    <x v="1281"/>
    <x v="0"/>
    <x v="0"/>
    <x v="2"/>
    <x v="2"/>
  </r>
  <r>
    <x v="1327"/>
    <x v="0"/>
    <x v="0"/>
    <x v="1"/>
    <n v="25.15"/>
    <x v="0"/>
    <x v="1282"/>
    <x v="0"/>
    <x v="0"/>
    <x v="0"/>
    <x v="0"/>
  </r>
  <r>
    <x v="1328"/>
    <x v="1"/>
    <x v="2"/>
    <x v="2"/>
    <n v="23.95"/>
    <x v="14"/>
    <x v="1283"/>
    <x v="0"/>
    <x v="0"/>
    <x v="1"/>
    <x v="3"/>
  </r>
  <r>
    <x v="1329"/>
    <x v="1"/>
    <x v="1"/>
    <x v="1"/>
    <n v="35.4"/>
    <x v="37"/>
    <x v="1284"/>
    <x v="0"/>
    <x v="0"/>
    <x v="1"/>
    <x v="3"/>
  </r>
  <r>
    <x v="1330"/>
    <x v="0"/>
    <x v="0"/>
    <x v="0"/>
    <n v="25.2"/>
    <x v="0"/>
    <x v="1285"/>
    <x v="1"/>
    <x v="0"/>
    <x v="0"/>
    <x v="0"/>
  </r>
  <r>
    <x v="1331"/>
    <x v="1"/>
    <x v="0"/>
    <x v="1"/>
    <n v="45"/>
    <x v="2"/>
    <x v="1286"/>
    <x v="1"/>
    <x v="0"/>
    <x v="0"/>
    <x v="0"/>
  </r>
  <r>
    <x v="1332"/>
    <x v="0"/>
    <x v="0"/>
    <x v="2"/>
    <n v="75.349999999999994"/>
    <x v="30"/>
    <x v="1287"/>
    <x v="0"/>
    <x v="0"/>
    <x v="2"/>
    <x v="2"/>
  </r>
  <r>
    <x v="1333"/>
    <x v="1"/>
    <x v="2"/>
    <x v="2"/>
    <n v="20.399999999999999"/>
    <x v="36"/>
    <x v="1288"/>
    <x v="0"/>
    <x v="0"/>
    <x v="1"/>
    <x v="1"/>
  </r>
  <r>
    <x v="1334"/>
    <x v="1"/>
    <x v="0"/>
    <x v="1"/>
    <n v="20.149999999999999"/>
    <x v="0"/>
    <x v="22"/>
    <x v="1"/>
    <x v="0"/>
    <x v="0"/>
    <x v="0"/>
  </r>
  <r>
    <x v="1335"/>
    <x v="1"/>
    <x v="0"/>
    <x v="3"/>
    <n v="105"/>
    <x v="33"/>
    <x v="1289"/>
    <x v="1"/>
    <x v="2"/>
    <x v="1"/>
    <x v="3"/>
  </r>
  <r>
    <x v="1336"/>
    <x v="1"/>
    <x v="0"/>
    <x v="3"/>
    <n v="54.7"/>
    <x v="35"/>
    <x v="1290"/>
    <x v="1"/>
    <x v="0"/>
    <x v="0"/>
    <x v="0"/>
  </r>
  <r>
    <x v="1337"/>
    <x v="0"/>
    <x v="2"/>
    <x v="1"/>
    <n v="20"/>
    <x v="4"/>
    <x v="1291"/>
    <x v="0"/>
    <x v="0"/>
    <x v="0"/>
    <x v="0"/>
  </r>
  <r>
    <x v="1338"/>
    <x v="1"/>
    <x v="1"/>
    <x v="3"/>
    <n v="73.05"/>
    <x v="38"/>
    <x v="1292"/>
    <x v="0"/>
    <x v="1"/>
    <x v="1"/>
    <x v="3"/>
  </r>
  <r>
    <x v="1339"/>
    <x v="0"/>
    <x v="0"/>
    <x v="1"/>
    <n v="20.5"/>
    <x v="7"/>
    <x v="1293"/>
    <x v="0"/>
    <x v="0"/>
    <x v="1"/>
    <x v="1"/>
  </r>
  <r>
    <x v="1340"/>
    <x v="0"/>
    <x v="1"/>
    <x v="3"/>
    <n v="100.75"/>
    <x v="58"/>
    <x v="1294"/>
    <x v="0"/>
    <x v="2"/>
    <x v="1"/>
    <x v="3"/>
  </r>
  <r>
    <x v="1341"/>
    <x v="0"/>
    <x v="0"/>
    <x v="0"/>
    <n v="87.25"/>
    <x v="60"/>
    <x v="1295"/>
    <x v="1"/>
    <x v="0"/>
    <x v="2"/>
    <x v="2"/>
  </r>
  <r>
    <x v="1342"/>
    <x v="1"/>
    <x v="2"/>
    <x v="1"/>
    <n v="19.95"/>
    <x v="67"/>
    <x v="1296"/>
    <x v="0"/>
    <x v="0"/>
    <x v="2"/>
    <x v="2"/>
  </r>
  <r>
    <x v="1343"/>
    <x v="1"/>
    <x v="0"/>
    <x v="0"/>
    <n v="79.95"/>
    <x v="6"/>
    <x v="1297"/>
    <x v="1"/>
    <x v="0"/>
    <x v="0"/>
    <x v="0"/>
  </r>
  <r>
    <x v="1344"/>
    <x v="0"/>
    <x v="0"/>
    <x v="0"/>
    <n v="49.65"/>
    <x v="69"/>
    <x v="1298"/>
    <x v="0"/>
    <x v="1"/>
    <x v="1"/>
    <x v="3"/>
  </r>
  <r>
    <x v="1345"/>
    <x v="0"/>
    <x v="2"/>
    <x v="1"/>
    <n v="65.650000000000006"/>
    <x v="56"/>
    <x v="1299"/>
    <x v="0"/>
    <x v="1"/>
    <x v="1"/>
    <x v="3"/>
  </r>
  <r>
    <x v="1346"/>
    <x v="1"/>
    <x v="0"/>
    <x v="0"/>
    <n v="20.45"/>
    <x v="26"/>
    <x v="752"/>
    <x v="0"/>
    <x v="0"/>
    <x v="0"/>
    <x v="0"/>
  </r>
  <r>
    <x v="1347"/>
    <x v="1"/>
    <x v="2"/>
    <x v="2"/>
    <n v="60.95"/>
    <x v="21"/>
    <x v="1300"/>
    <x v="0"/>
    <x v="1"/>
    <x v="1"/>
    <x v="3"/>
  </r>
  <r>
    <x v="1348"/>
    <x v="1"/>
    <x v="1"/>
    <x v="0"/>
    <n v="20.350000000000001"/>
    <x v="33"/>
    <x v="1301"/>
    <x v="0"/>
    <x v="0"/>
    <x v="1"/>
    <x v="3"/>
  </r>
  <r>
    <x v="1349"/>
    <x v="0"/>
    <x v="0"/>
    <x v="0"/>
    <n v="88.35"/>
    <x v="32"/>
    <x v="1302"/>
    <x v="1"/>
    <x v="0"/>
    <x v="2"/>
    <x v="2"/>
  </r>
  <r>
    <x v="1350"/>
    <x v="0"/>
    <x v="0"/>
    <x v="0"/>
    <n v="19.5"/>
    <x v="34"/>
    <x v="1303"/>
    <x v="0"/>
    <x v="0"/>
    <x v="0"/>
    <x v="0"/>
  </r>
  <r>
    <x v="1351"/>
    <x v="0"/>
    <x v="0"/>
    <x v="3"/>
    <n v="75.2"/>
    <x v="34"/>
    <x v="1304"/>
    <x v="0"/>
    <x v="0"/>
    <x v="0"/>
    <x v="0"/>
  </r>
  <r>
    <x v="1352"/>
    <x v="1"/>
    <x v="0"/>
    <x v="2"/>
    <n v="111.45"/>
    <x v="43"/>
    <x v="1305"/>
    <x v="0"/>
    <x v="2"/>
    <x v="1"/>
    <x v="1"/>
  </r>
  <r>
    <x v="1353"/>
    <x v="1"/>
    <x v="0"/>
    <x v="1"/>
    <n v="70.150000000000006"/>
    <x v="6"/>
    <x v="1306"/>
    <x v="0"/>
    <x v="0"/>
    <x v="0"/>
    <x v="0"/>
  </r>
  <r>
    <x v="1354"/>
    <x v="0"/>
    <x v="0"/>
    <x v="0"/>
    <n v="94.75"/>
    <x v="34"/>
    <x v="1307"/>
    <x v="1"/>
    <x v="0"/>
    <x v="0"/>
    <x v="0"/>
  </r>
  <r>
    <x v="1355"/>
    <x v="0"/>
    <x v="0"/>
    <x v="0"/>
    <n v="95.05"/>
    <x v="9"/>
    <x v="1308"/>
    <x v="1"/>
    <x v="0"/>
    <x v="2"/>
    <x v="2"/>
  </r>
  <r>
    <x v="1356"/>
    <x v="1"/>
    <x v="0"/>
    <x v="0"/>
    <n v="78.45"/>
    <x v="54"/>
    <x v="1309"/>
    <x v="1"/>
    <x v="0"/>
    <x v="0"/>
    <x v="0"/>
  </r>
  <r>
    <x v="1357"/>
    <x v="1"/>
    <x v="0"/>
    <x v="0"/>
    <n v="70.2"/>
    <x v="54"/>
    <x v="1310"/>
    <x v="1"/>
    <x v="0"/>
    <x v="0"/>
    <x v="0"/>
  </r>
  <r>
    <x v="1358"/>
    <x v="0"/>
    <x v="2"/>
    <x v="2"/>
    <n v="92"/>
    <x v="21"/>
    <x v="827"/>
    <x v="0"/>
    <x v="2"/>
    <x v="1"/>
    <x v="3"/>
  </r>
  <r>
    <x v="1359"/>
    <x v="0"/>
    <x v="2"/>
    <x v="3"/>
    <n v="85.5"/>
    <x v="69"/>
    <x v="1311"/>
    <x v="0"/>
    <x v="1"/>
    <x v="1"/>
    <x v="3"/>
  </r>
  <r>
    <x v="1360"/>
    <x v="1"/>
    <x v="0"/>
    <x v="2"/>
    <n v="41.05"/>
    <x v="64"/>
    <x v="1312"/>
    <x v="1"/>
    <x v="1"/>
    <x v="1"/>
    <x v="3"/>
  </r>
  <r>
    <x v="1361"/>
    <x v="1"/>
    <x v="0"/>
    <x v="0"/>
    <n v="85.6"/>
    <x v="6"/>
    <x v="1313"/>
    <x v="1"/>
    <x v="0"/>
    <x v="0"/>
    <x v="0"/>
  </r>
  <r>
    <x v="1362"/>
    <x v="1"/>
    <x v="0"/>
    <x v="0"/>
    <n v="82.15"/>
    <x v="59"/>
    <x v="1314"/>
    <x v="0"/>
    <x v="2"/>
    <x v="1"/>
    <x v="3"/>
  </r>
  <r>
    <x v="1363"/>
    <x v="1"/>
    <x v="1"/>
    <x v="0"/>
    <n v="84.4"/>
    <x v="68"/>
    <x v="1315"/>
    <x v="0"/>
    <x v="1"/>
    <x v="1"/>
    <x v="3"/>
  </r>
  <r>
    <x v="1364"/>
    <x v="0"/>
    <x v="0"/>
    <x v="1"/>
    <n v="60.9"/>
    <x v="55"/>
    <x v="1316"/>
    <x v="0"/>
    <x v="1"/>
    <x v="1"/>
    <x v="1"/>
  </r>
  <r>
    <x v="1365"/>
    <x v="0"/>
    <x v="2"/>
    <x v="2"/>
    <n v="20.25"/>
    <x v="23"/>
    <x v="1317"/>
    <x v="0"/>
    <x v="0"/>
    <x v="1"/>
    <x v="1"/>
  </r>
  <r>
    <x v="1366"/>
    <x v="0"/>
    <x v="0"/>
    <x v="0"/>
    <n v="79.2"/>
    <x v="0"/>
    <x v="1318"/>
    <x v="1"/>
    <x v="0"/>
    <x v="0"/>
    <x v="0"/>
  </r>
  <r>
    <x v="1367"/>
    <x v="1"/>
    <x v="0"/>
    <x v="1"/>
    <n v="95.3"/>
    <x v="57"/>
    <x v="1319"/>
    <x v="0"/>
    <x v="1"/>
    <x v="2"/>
    <x v="2"/>
  </r>
  <r>
    <x v="1368"/>
    <x v="1"/>
    <x v="0"/>
    <x v="1"/>
    <n v="19.850000000000001"/>
    <x v="0"/>
    <x v="500"/>
    <x v="0"/>
    <x v="0"/>
    <x v="0"/>
    <x v="0"/>
  </r>
  <r>
    <x v="1369"/>
    <x v="1"/>
    <x v="2"/>
    <x v="1"/>
    <n v="84.35"/>
    <x v="3"/>
    <x v="1320"/>
    <x v="0"/>
    <x v="1"/>
    <x v="1"/>
    <x v="1"/>
  </r>
  <r>
    <x v="1370"/>
    <x v="0"/>
    <x v="2"/>
    <x v="2"/>
    <n v="19.850000000000001"/>
    <x v="71"/>
    <x v="1321"/>
    <x v="0"/>
    <x v="0"/>
    <x v="1"/>
    <x v="1"/>
  </r>
  <r>
    <x v="1371"/>
    <x v="1"/>
    <x v="1"/>
    <x v="1"/>
    <n v="70"/>
    <x v="24"/>
    <x v="1322"/>
    <x v="1"/>
    <x v="0"/>
    <x v="0"/>
    <x v="0"/>
  </r>
  <r>
    <x v="1372"/>
    <x v="1"/>
    <x v="2"/>
    <x v="2"/>
    <n v="82.3"/>
    <x v="21"/>
    <x v="1323"/>
    <x v="0"/>
    <x v="2"/>
    <x v="1"/>
    <x v="3"/>
  </r>
  <r>
    <x v="1373"/>
    <x v="0"/>
    <x v="0"/>
    <x v="2"/>
    <n v="66.8"/>
    <x v="11"/>
    <x v="1324"/>
    <x v="0"/>
    <x v="1"/>
    <x v="1"/>
    <x v="3"/>
  </r>
  <r>
    <x v="1374"/>
    <x v="0"/>
    <x v="2"/>
    <x v="2"/>
    <n v="44.6"/>
    <x v="27"/>
    <x v="1325"/>
    <x v="0"/>
    <x v="1"/>
    <x v="1"/>
    <x v="3"/>
  </r>
  <r>
    <x v="1375"/>
    <x v="1"/>
    <x v="1"/>
    <x v="2"/>
    <n v="98.45"/>
    <x v="59"/>
    <x v="1326"/>
    <x v="0"/>
    <x v="2"/>
    <x v="1"/>
    <x v="3"/>
  </r>
  <r>
    <x v="1376"/>
    <x v="1"/>
    <x v="0"/>
    <x v="1"/>
    <n v="70.7"/>
    <x v="2"/>
    <x v="4"/>
    <x v="0"/>
    <x v="0"/>
    <x v="0"/>
    <x v="0"/>
  </r>
  <r>
    <x v="1377"/>
    <x v="0"/>
    <x v="1"/>
    <x v="1"/>
    <n v="24.95"/>
    <x v="25"/>
    <x v="1327"/>
    <x v="0"/>
    <x v="0"/>
    <x v="1"/>
    <x v="1"/>
  </r>
  <r>
    <x v="1378"/>
    <x v="0"/>
    <x v="0"/>
    <x v="2"/>
    <n v="49.95"/>
    <x v="0"/>
    <x v="1328"/>
    <x v="1"/>
    <x v="0"/>
    <x v="0"/>
    <x v="0"/>
  </r>
  <r>
    <x v="1379"/>
    <x v="0"/>
    <x v="0"/>
    <x v="0"/>
    <n v="69.25"/>
    <x v="5"/>
    <x v="1329"/>
    <x v="1"/>
    <x v="0"/>
    <x v="2"/>
    <x v="2"/>
  </r>
  <r>
    <x v="1380"/>
    <x v="0"/>
    <x v="2"/>
    <x v="3"/>
    <n v="102.5"/>
    <x v="43"/>
    <x v="1330"/>
    <x v="0"/>
    <x v="1"/>
    <x v="1"/>
    <x v="1"/>
  </r>
  <r>
    <x v="1381"/>
    <x v="1"/>
    <x v="2"/>
    <x v="3"/>
    <n v="86.55"/>
    <x v="38"/>
    <x v="1331"/>
    <x v="0"/>
    <x v="2"/>
    <x v="1"/>
    <x v="3"/>
  </r>
  <r>
    <x v="1382"/>
    <x v="1"/>
    <x v="2"/>
    <x v="2"/>
    <n v="24.3"/>
    <x v="21"/>
    <x v="1332"/>
    <x v="0"/>
    <x v="0"/>
    <x v="1"/>
    <x v="3"/>
  </r>
  <r>
    <x v="1383"/>
    <x v="0"/>
    <x v="0"/>
    <x v="3"/>
    <n v="58.35"/>
    <x v="18"/>
    <x v="1333"/>
    <x v="0"/>
    <x v="0"/>
    <x v="2"/>
    <x v="0"/>
  </r>
  <r>
    <x v="1384"/>
    <x v="0"/>
    <x v="0"/>
    <x v="0"/>
    <n v="94.25"/>
    <x v="1"/>
    <x v="1334"/>
    <x v="1"/>
    <x v="1"/>
    <x v="1"/>
    <x v="1"/>
  </r>
  <r>
    <x v="1385"/>
    <x v="0"/>
    <x v="2"/>
    <x v="3"/>
    <n v="68.75"/>
    <x v="21"/>
    <x v="1335"/>
    <x v="0"/>
    <x v="1"/>
    <x v="1"/>
    <x v="3"/>
  </r>
  <r>
    <x v="1386"/>
    <x v="1"/>
    <x v="0"/>
    <x v="0"/>
    <n v="85.8"/>
    <x v="44"/>
    <x v="1336"/>
    <x v="0"/>
    <x v="1"/>
    <x v="1"/>
    <x v="1"/>
  </r>
  <r>
    <x v="1387"/>
    <x v="1"/>
    <x v="1"/>
    <x v="3"/>
    <n v="20.100000000000001"/>
    <x v="55"/>
    <x v="1337"/>
    <x v="0"/>
    <x v="0"/>
    <x v="1"/>
    <x v="1"/>
  </r>
  <r>
    <x v="1388"/>
    <x v="0"/>
    <x v="0"/>
    <x v="1"/>
    <n v="20.350000000000001"/>
    <x v="0"/>
    <x v="1338"/>
    <x v="0"/>
    <x v="0"/>
    <x v="0"/>
    <x v="0"/>
  </r>
  <r>
    <x v="1389"/>
    <x v="0"/>
    <x v="1"/>
    <x v="0"/>
    <n v="110.8"/>
    <x v="8"/>
    <x v="1339"/>
    <x v="0"/>
    <x v="2"/>
    <x v="1"/>
    <x v="3"/>
  </r>
  <r>
    <x v="1390"/>
    <x v="1"/>
    <x v="1"/>
    <x v="0"/>
    <n v="73"/>
    <x v="52"/>
    <x v="1340"/>
    <x v="1"/>
    <x v="1"/>
    <x v="1"/>
    <x v="1"/>
  </r>
  <r>
    <x v="1391"/>
    <x v="0"/>
    <x v="1"/>
    <x v="3"/>
    <n v="100.05"/>
    <x v="38"/>
    <x v="1341"/>
    <x v="1"/>
    <x v="2"/>
    <x v="1"/>
    <x v="3"/>
  </r>
  <r>
    <x v="1392"/>
    <x v="0"/>
    <x v="0"/>
    <x v="3"/>
    <n v="82.85"/>
    <x v="54"/>
    <x v="1342"/>
    <x v="0"/>
    <x v="0"/>
    <x v="0"/>
    <x v="0"/>
  </r>
  <r>
    <x v="1393"/>
    <x v="0"/>
    <x v="0"/>
    <x v="0"/>
    <n v="84.35"/>
    <x v="65"/>
    <x v="1343"/>
    <x v="0"/>
    <x v="1"/>
    <x v="1"/>
    <x v="2"/>
  </r>
  <r>
    <x v="1394"/>
    <x v="0"/>
    <x v="1"/>
    <x v="1"/>
    <n v="19.55"/>
    <x v="60"/>
    <x v="1344"/>
    <x v="0"/>
    <x v="0"/>
    <x v="2"/>
    <x v="2"/>
  </r>
  <r>
    <x v="1395"/>
    <x v="1"/>
    <x v="0"/>
    <x v="1"/>
    <n v="19.95"/>
    <x v="35"/>
    <x v="1345"/>
    <x v="0"/>
    <x v="0"/>
    <x v="0"/>
    <x v="0"/>
  </r>
  <r>
    <x v="1396"/>
    <x v="0"/>
    <x v="0"/>
    <x v="3"/>
    <n v="99.8"/>
    <x v="54"/>
    <x v="1346"/>
    <x v="1"/>
    <x v="0"/>
    <x v="0"/>
    <x v="0"/>
  </r>
  <r>
    <x v="1397"/>
    <x v="0"/>
    <x v="0"/>
    <x v="0"/>
    <n v="35"/>
    <x v="32"/>
    <x v="1347"/>
    <x v="1"/>
    <x v="0"/>
    <x v="2"/>
    <x v="2"/>
  </r>
  <r>
    <x v="1398"/>
    <x v="1"/>
    <x v="0"/>
    <x v="0"/>
    <n v="66.25"/>
    <x v="4"/>
    <x v="1348"/>
    <x v="0"/>
    <x v="0"/>
    <x v="0"/>
    <x v="0"/>
  </r>
  <r>
    <x v="1399"/>
    <x v="0"/>
    <x v="2"/>
    <x v="2"/>
    <n v="23.3"/>
    <x v="42"/>
    <x v="1349"/>
    <x v="0"/>
    <x v="0"/>
    <x v="1"/>
    <x v="1"/>
  </r>
  <r>
    <x v="1400"/>
    <x v="0"/>
    <x v="0"/>
    <x v="0"/>
    <n v="76"/>
    <x v="0"/>
    <x v="1350"/>
    <x v="1"/>
    <x v="0"/>
    <x v="0"/>
    <x v="0"/>
  </r>
  <r>
    <x v="1401"/>
    <x v="1"/>
    <x v="2"/>
    <x v="3"/>
    <n v="25.3"/>
    <x v="33"/>
    <x v="1351"/>
    <x v="0"/>
    <x v="0"/>
    <x v="1"/>
    <x v="3"/>
  </r>
  <r>
    <x v="1402"/>
    <x v="1"/>
    <x v="2"/>
    <x v="1"/>
    <n v="44.55"/>
    <x v="4"/>
    <x v="1352"/>
    <x v="0"/>
    <x v="0"/>
    <x v="0"/>
    <x v="0"/>
  </r>
  <r>
    <x v="1403"/>
    <x v="0"/>
    <x v="1"/>
    <x v="3"/>
    <n v="104.1"/>
    <x v="16"/>
    <x v="1353"/>
    <x v="0"/>
    <x v="2"/>
    <x v="1"/>
    <x v="3"/>
  </r>
  <r>
    <x v="1404"/>
    <x v="0"/>
    <x v="0"/>
    <x v="2"/>
    <n v="92.55"/>
    <x v="29"/>
    <x v="1354"/>
    <x v="0"/>
    <x v="1"/>
    <x v="1"/>
    <x v="1"/>
  </r>
  <r>
    <x v="1405"/>
    <x v="0"/>
    <x v="0"/>
    <x v="0"/>
    <n v="93.85"/>
    <x v="2"/>
    <x v="1355"/>
    <x v="1"/>
    <x v="0"/>
    <x v="0"/>
    <x v="0"/>
  </r>
  <r>
    <x v="1406"/>
    <x v="1"/>
    <x v="0"/>
    <x v="2"/>
    <n v="101.45"/>
    <x v="44"/>
    <x v="1356"/>
    <x v="0"/>
    <x v="1"/>
    <x v="1"/>
    <x v="1"/>
  </r>
  <r>
    <x v="1407"/>
    <x v="0"/>
    <x v="0"/>
    <x v="0"/>
    <n v="84.3"/>
    <x v="30"/>
    <x v="1357"/>
    <x v="1"/>
    <x v="0"/>
    <x v="2"/>
    <x v="2"/>
  </r>
  <r>
    <x v="1408"/>
    <x v="1"/>
    <x v="2"/>
    <x v="3"/>
    <n v="94.55"/>
    <x v="45"/>
    <x v="1358"/>
    <x v="0"/>
    <x v="2"/>
    <x v="1"/>
    <x v="3"/>
  </r>
  <r>
    <x v="1409"/>
    <x v="1"/>
    <x v="0"/>
    <x v="0"/>
    <n v="95.5"/>
    <x v="42"/>
    <x v="1359"/>
    <x v="0"/>
    <x v="1"/>
    <x v="1"/>
    <x v="1"/>
  </r>
  <r>
    <x v="1410"/>
    <x v="1"/>
    <x v="1"/>
    <x v="3"/>
    <n v="100.3"/>
    <x v="38"/>
    <x v="1360"/>
    <x v="0"/>
    <x v="2"/>
    <x v="1"/>
    <x v="3"/>
  </r>
  <r>
    <x v="1411"/>
    <x v="0"/>
    <x v="2"/>
    <x v="3"/>
    <n v="55.5"/>
    <x v="11"/>
    <x v="1361"/>
    <x v="0"/>
    <x v="1"/>
    <x v="1"/>
    <x v="3"/>
  </r>
  <r>
    <x v="1412"/>
    <x v="0"/>
    <x v="0"/>
    <x v="3"/>
    <n v="49.85"/>
    <x v="32"/>
    <x v="1362"/>
    <x v="0"/>
    <x v="0"/>
    <x v="2"/>
    <x v="2"/>
  </r>
  <r>
    <x v="1413"/>
    <x v="1"/>
    <x v="0"/>
    <x v="2"/>
    <n v="89.55"/>
    <x v="56"/>
    <x v="1061"/>
    <x v="0"/>
    <x v="2"/>
    <x v="1"/>
    <x v="3"/>
  </r>
  <r>
    <x v="1414"/>
    <x v="1"/>
    <x v="2"/>
    <x v="1"/>
    <n v="19.149999999999999"/>
    <x v="28"/>
    <x v="1363"/>
    <x v="0"/>
    <x v="0"/>
    <x v="1"/>
    <x v="3"/>
  </r>
  <r>
    <x v="1415"/>
    <x v="0"/>
    <x v="0"/>
    <x v="0"/>
    <n v="99.8"/>
    <x v="31"/>
    <x v="1364"/>
    <x v="0"/>
    <x v="2"/>
    <x v="1"/>
    <x v="3"/>
  </r>
  <r>
    <x v="1416"/>
    <x v="1"/>
    <x v="0"/>
    <x v="3"/>
    <n v="84.4"/>
    <x v="34"/>
    <x v="1365"/>
    <x v="1"/>
    <x v="0"/>
    <x v="0"/>
    <x v="0"/>
  </r>
  <r>
    <x v="1417"/>
    <x v="0"/>
    <x v="2"/>
    <x v="3"/>
    <n v="113.05"/>
    <x v="27"/>
    <x v="1366"/>
    <x v="0"/>
    <x v="2"/>
    <x v="1"/>
    <x v="3"/>
  </r>
  <r>
    <x v="1418"/>
    <x v="1"/>
    <x v="0"/>
    <x v="0"/>
    <n v="101.1"/>
    <x v="30"/>
    <x v="1367"/>
    <x v="1"/>
    <x v="0"/>
    <x v="2"/>
    <x v="2"/>
  </r>
  <r>
    <x v="1419"/>
    <x v="0"/>
    <x v="1"/>
    <x v="1"/>
    <n v="19.95"/>
    <x v="43"/>
    <x v="1368"/>
    <x v="0"/>
    <x v="0"/>
    <x v="1"/>
    <x v="1"/>
  </r>
  <r>
    <x v="1420"/>
    <x v="1"/>
    <x v="0"/>
    <x v="0"/>
    <n v="74.150000000000006"/>
    <x v="18"/>
    <x v="1369"/>
    <x v="0"/>
    <x v="0"/>
    <x v="2"/>
    <x v="0"/>
  </r>
  <r>
    <x v="1421"/>
    <x v="1"/>
    <x v="1"/>
    <x v="0"/>
    <n v="92"/>
    <x v="16"/>
    <x v="1370"/>
    <x v="0"/>
    <x v="2"/>
    <x v="1"/>
    <x v="3"/>
  </r>
  <r>
    <x v="1422"/>
    <x v="1"/>
    <x v="0"/>
    <x v="0"/>
    <n v="73.849999999999994"/>
    <x v="66"/>
    <x v="1371"/>
    <x v="0"/>
    <x v="1"/>
    <x v="1"/>
    <x v="1"/>
  </r>
  <r>
    <x v="1423"/>
    <x v="1"/>
    <x v="0"/>
    <x v="0"/>
    <n v="50.45"/>
    <x v="0"/>
    <x v="1372"/>
    <x v="1"/>
    <x v="0"/>
    <x v="0"/>
    <x v="0"/>
  </r>
  <r>
    <x v="1424"/>
    <x v="1"/>
    <x v="2"/>
    <x v="1"/>
    <n v="24.45"/>
    <x v="3"/>
    <x v="1373"/>
    <x v="0"/>
    <x v="0"/>
    <x v="1"/>
    <x v="1"/>
  </r>
  <r>
    <x v="1425"/>
    <x v="0"/>
    <x v="1"/>
    <x v="3"/>
    <n v="24.8"/>
    <x v="57"/>
    <x v="1374"/>
    <x v="0"/>
    <x v="0"/>
    <x v="2"/>
    <x v="2"/>
  </r>
  <r>
    <x v="1426"/>
    <x v="0"/>
    <x v="1"/>
    <x v="2"/>
    <n v="64.849999999999994"/>
    <x v="29"/>
    <x v="1375"/>
    <x v="0"/>
    <x v="1"/>
    <x v="1"/>
    <x v="1"/>
  </r>
  <r>
    <x v="1427"/>
    <x v="1"/>
    <x v="0"/>
    <x v="2"/>
    <n v="20.75"/>
    <x v="42"/>
    <x v="1376"/>
    <x v="0"/>
    <x v="0"/>
    <x v="1"/>
    <x v="1"/>
  </r>
  <r>
    <x v="1428"/>
    <x v="1"/>
    <x v="0"/>
    <x v="1"/>
    <n v="68.95"/>
    <x v="34"/>
    <x v="1377"/>
    <x v="0"/>
    <x v="0"/>
    <x v="0"/>
    <x v="0"/>
  </r>
  <r>
    <x v="1429"/>
    <x v="1"/>
    <x v="0"/>
    <x v="1"/>
    <n v="99.95"/>
    <x v="18"/>
    <x v="1378"/>
    <x v="1"/>
    <x v="0"/>
    <x v="2"/>
    <x v="0"/>
  </r>
  <r>
    <x v="1430"/>
    <x v="0"/>
    <x v="0"/>
    <x v="3"/>
    <n v="109.4"/>
    <x v="45"/>
    <x v="1379"/>
    <x v="0"/>
    <x v="2"/>
    <x v="1"/>
    <x v="3"/>
  </r>
  <r>
    <x v="1431"/>
    <x v="0"/>
    <x v="0"/>
    <x v="0"/>
    <n v="91.4"/>
    <x v="2"/>
    <x v="1380"/>
    <x v="1"/>
    <x v="0"/>
    <x v="0"/>
    <x v="0"/>
  </r>
  <r>
    <x v="1432"/>
    <x v="1"/>
    <x v="0"/>
    <x v="1"/>
    <n v="49"/>
    <x v="23"/>
    <x v="1381"/>
    <x v="0"/>
    <x v="0"/>
    <x v="1"/>
    <x v="1"/>
  </r>
  <r>
    <x v="1433"/>
    <x v="0"/>
    <x v="1"/>
    <x v="1"/>
    <n v="50.25"/>
    <x v="63"/>
    <x v="1382"/>
    <x v="0"/>
    <x v="1"/>
    <x v="1"/>
    <x v="1"/>
  </r>
  <r>
    <x v="1434"/>
    <x v="0"/>
    <x v="0"/>
    <x v="3"/>
    <n v="75.55"/>
    <x v="24"/>
    <x v="1383"/>
    <x v="1"/>
    <x v="0"/>
    <x v="0"/>
    <x v="0"/>
  </r>
  <r>
    <x v="1435"/>
    <x v="1"/>
    <x v="1"/>
    <x v="3"/>
    <n v="19.899999999999999"/>
    <x v="4"/>
    <x v="1384"/>
    <x v="0"/>
    <x v="0"/>
    <x v="0"/>
    <x v="0"/>
  </r>
  <r>
    <x v="1436"/>
    <x v="0"/>
    <x v="1"/>
    <x v="2"/>
    <n v="97.8"/>
    <x v="11"/>
    <x v="1385"/>
    <x v="0"/>
    <x v="2"/>
    <x v="1"/>
    <x v="3"/>
  </r>
  <r>
    <x v="1437"/>
    <x v="0"/>
    <x v="1"/>
    <x v="0"/>
    <n v="100.3"/>
    <x v="15"/>
    <x v="1386"/>
    <x v="0"/>
    <x v="2"/>
    <x v="1"/>
    <x v="3"/>
  </r>
  <r>
    <x v="1438"/>
    <x v="1"/>
    <x v="0"/>
    <x v="1"/>
    <n v="55.8"/>
    <x v="35"/>
    <x v="1387"/>
    <x v="0"/>
    <x v="0"/>
    <x v="0"/>
    <x v="0"/>
  </r>
  <r>
    <x v="1439"/>
    <x v="1"/>
    <x v="2"/>
    <x v="0"/>
    <n v="111.15"/>
    <x v="52"/>
    <x v="1388"/>
    <x v="0"/>
    <x v="1"/>
    <x v="1"/>
    <x v="1"/>
  </r>
  <r>
    <x v="1440"/>
    <x v="1"/>
    <x v="0"/>
    <x v="1"/>
    <n v="98.55"/>
    <x v="61"/>
    <x v="737"/>
    <x v="0"/>
    <x v="0"/>
    <x v="2"/>
    <x v="2"/>
  </r>
  <r>
    <x v="1441"/>
    <x v="1"/>
    <x v="0"/>
    <x v="0"/>
    <n v="50.05"/>
    <x v="0"/>
    <x v="1389"/>
    <x v="0"/>
    <x v="0"/>
    <x v="0"/>
    <x v="0"/>
  </r>
  <r>
    <x v="1442"/>
    <x v="1"/>
    <x v="0"/>
    <x v="3"/>
    <n v="80.8"/>
    <x v="54"/>
    <x v="1390"/>
    <x v="1"/>
    <x v="0"/>
    <x v="0"/>
    <x v="0"/>
  </r>
  <r>
    <x v="1443"/>
    <x v="1"/>
    <x v="0"/>
    <x v="0"/>
    <n v="20.85"/>
    <x v="57"/>
    <x v="1391"/>
    <x v="0"/>
    <x v="0"/>
    <x v="2"/>
    <x v="2"/>
  </r>
  <r>
    <x v="1444"/>
    <x v="0"/>
    <x v="0"/>
    <x v="2"/>
    <n v="19.5"/>
    <x v="53"/>
    <x v="1392"/>
    <x v="0"/>
    <x v="0"/>
    <x v="0"/>
    <x v="0"/>
  </r>
  <r>
    <x v="1445"/>
    <x v="1"/>
    <x v="0"/>
    <x v="1"/>
    <n v="19.350000000000001"/>
    <x v="4"/>
    <x v="1393"/>
    <x v="0"/>
    <x v="0"/>
    <x v="0"/>
    <x v="0"/>
  </r>
  <r>
    <x v="1446"/>
    <x v="1"/>
    <x v="0"/>
    <x v="1"/>
    <n v="69.5"/>
    <x v="32"/>
    <x v="1394"/>
    <x v="0"/>
    <x v="0"/>
    <x v="2"/>
    <x v="2"/>
  </r>
  <r>
    <x v="1447"/>
    <x v="1"/>
    <x v="0"/>
    <x v="3"/>
    <n v="48.8"/>
    <x v="15"/>
    <x v="1395"/>
    <x v="0"/>
    <x v="1"/>
    <x v="1"/>
    <x v="3"/>
  </r>
  <r>
    <x v="1448"/>
    <x v="1"/>
    <x v="0"/>
    <x v="0"/>
    <n v="94.5"/>
    <x v="36"/>
    <x v="1396"/>
    <x v="0"/>
    <x v="1"/>
    <x v="1"/>
    <x v="1"/>
  </r>
  <r>
    <x v="1449"/>
    <x v="1"/>
    <x v="0"/>
    <x v="1"/>
    <n v="20.65"/>
    <x v="44"/>
    <x v="1397"/>
    <x v="0"/>
    <x v="0"/>
    <x v="1"/>
    <x v="1"/>
  </r>
  <r>
    <x v="1450"/>
    <x v="0"/>
    <x v="2"/>
    <x v="3"/>
    <n v="106.05"/>
    <x v="51"/>
    <x v="1398"/>
    <x v="0"/>
    <x v="1"/>
    <x v="1"/>
    <x v="1"/>
  </r>
  <r>
    <x v="1451"/>
    <x v="0"/>
    <x v="0"/>
    <x v="0"/>
    <n v="100"/>
    <x v="10"/>
    <x v="1399"/>
    <x v="1"/>
    <x v="0"/>
    <x v="2"/>
    <x v="2"/>
  </r>
  <r>
    <x v="1452"/>
    <x v="1"/>
    <x v="1"/>
    <x v="0"/>
    <n v="108.3"/>
    <x v="41"/>
    <x v="1400"/>
    <x v="0"/>
    <x v="1"/>
    <x v="1"/>
    <x v="1"/>
  </r>
  <r>
    <x v="1453"/>
    <x v="1"/>
    <x v="0"/>
    <x v="0"/>
    <n v="20.55"/>
    <x v="0"/>
    <x v="1401"/>
    <x v="1"/>
    <x v="0"/>
    <x v="0"/>
    <x v="0"/>
  </r>
  <r>
    <x v="1454"/>
    <x v="0"/>
    <x v="2"/>
    <x v="0"/>
    <n v="99.65"/>
    <x v="31"/>
    <x v="1402"/>
    <x v="0"/>
    <x v="2"/>
    <x v="1"/>
    <x v="3"/>
  </r>
  <r>
    <x v="1455"/>
    <x v="1"/>
    <x v="0"/>
    <x v="0"/>
    <n v="85.3"/>
    <x v="24"/>
    <x v="1403"/>
    <x v="1"/>
    <x v="0"/>
    <x v="0"/>
    <x v="0"/>
  </r>
  <r>
    <x v="1456"/>
    <x v="1"/>
    <x v="0"/>
    <x v="3"/>
    <n v="95.9"/>
    <x v="5"/>
    <x v="1404"/>
    <x v="0"/>
    <x v="1"/>
    <x v="2"/>
    <x v="2"/>
  </r>
  <r>
    <x v="1457"/>
    <x v="1"/>
    <x v="1"/>
    <x v="1"/>
    <n v="20"/>
    <x v="51"/>
    <x v="1405"/>
    <x v="0"/>
    <x v="0"/>
    <x v="1"/>
    <x v="1"/>
  </r>
  <r>
    <x v="1458"/>
    <x v="0"/>
    <x v="0"/>
    <x v="0"/>
    <n v="70.400000000000006"/>
    <x v="54"/>
    <x v="1406"/>
    <x v="1"/>
    <x v="0"/>
    <x v="0"/>
    <x v="0"/>
  </r>
  <r>
    <x v="1459"/>
    <x v="1"/>
    <x v="0"/>
    <x v="1"/>
    <n v="64.95"/>
    <x v="34"/>
    <x v="1407"/>
    <x v="0"/>
    <x v="0"/>
    <x v="0"/>
    <x v="0"/>
  </r>
  <r>
    <x v="1460"/>
    <x v="1"/>
    <x v="0"/>
    <x v="3"/>
    <n v="74.599999999999994"/>
    <x v="0"/>
    <x v="639"/>
    <x v="0"/>
    <x v="0"/>
    <x v="0"/>
    <x v="0"/>
  </r>
  <r>
    <x v="1461"/>
    <x v="1"/>
    <x v="0"/>
    <x v="0"/>
    <n v="49.2"/>
    <x v="18"/>
    <x v="1408"/>
    <x v="0"/>
    <x v="0"/>
    <x v="2"/>
    <x v="0"/>
  </r>
  <r>
    <x v="1462"/>
    <x v="0"/>
    <x v="1"/>
    <x v="1"/>
    <n v="73.75"/>
    <x v="57"/>
    <x v="1409"/>
    <x v="0"/>
    <x v="0"/>
    <x v="2"/>
    <x v="2"/>
  </r>
  <r>
    <x v="1463"/>
    <x v="1"/>
    <x v="1"/>
    <x v="2"/>
    <n v="92.3"/>
    <x v="8"/>
    <x v="1410"/>
    <x v="0"/>
    <x v="2"/>
    <x v="1"/>
    <x v="3"/>
  </r>
  <r>
    <x v="1464"/>
    <x v="1"/>
    <x v="0"/>
    <x v="2"/>
    <n v="98.8"/>
    <x v="50"/>
    <x v="1411"/>
    <x v="1"/>
    <x v="1"/>
    <x v="1"/>
    <x v="1"/>
  </r>
  <r>
    <x v="1465"/>
    <x v="0"/>
    <x v="0"/>
    <x v="1"/>
    <n v="19.2"/>
    <x v="4"/>
    <x v="327"/>
    <x v="0"/>
    <x v="0"/>
    <x v="0"/>
    <x v="0"/>
  </r>
  <r>
    <x v="1466"/>
    <x v="1"/>
    <x v="0"/>
    <x v="3"/>
    <n v="88.65"/>
    <x v="36"/>
    <x v="1412"/>
    <x v="0"/>
    <x v="1"/>
    <x v="1"/>
    <x v="1"/>
  </r>
  <r>
    <x v="1467"/>
    <x v="1"/>
    <x v="0"/>
    <x v="3"/>
    <n v="74.400000000000006"/>
    <x v="9"/>
    <x v="1413"/>
    <x v="1"/>
    <x v="0"/>
    <x v="2"/>
    <x v="2"/>
  </r>
  <r>
    <x v="1468"/>
    <x v="0"/>
    <x v="0"/>
    <x v="0"/>
    <n v="98.75"/>
    <x v="65"/>
    <x v="1414"/>
    <x v="1"/>
    <x v="1"/>
    <x v="1"/>
    <x v="2"/>
  </r>
  <r>
    <x v="1469"/>
    <x v="1"/>
    <x v="0"/>
    <x v="2"/>
    <n v="95.95"/>
    <x v="3"/>
    <x v="1415"/>
    <x v="0"/>
    <x v="1"/>
    <x v="1"/>
    <x v="1"/>
  </r>
  <r>
    <x v="1470"/>
    <x v="0"/>
    <x v="2"/>
    <x v="3"/>
    <n v="105.4"/>
    <x v="14"/>
    <x v="1416"/>
    <x v="0"/>
    <x v="2"/>
    <x v="1"/>
    <x v="3"/>
  </r>
  <r>
    <x v="1471"/>
    <x v="1"/>
    <x v="0"/>
    <x v="1"/>
    <n v="20.25"/>
    <x v="2"/>
    <x v="1417"/>
    <x v="0"/>
    <x v="0"/>
    <x v="0"/>
    <x v="0"/>
  </r>
  <r>
    <x v="1472"/>
    <x v="1"/>
    <x v="1"/>
    <x v="0"/>
    <n v="106"/>
    <x v="59"/>
    <x v="1418"/>
    <x v="1"/>
    <x v="2"/>
    <x v="1"/>
    <x v="3"/>
  </r>
  <r>
    <x v="1473"/>
    <x v="1"/>
    <x v="0"/>
    <x v="0"/>
    <n v="104.7"/>
    <x v="52"/>
    <x v="1419"/>
    <x v="1"/>
    <x v="1"/>
    <x v="1"/>
    <x v="1"/>
  </r>
  <r>
    <x v="1474"/>
    <x v="0"/>
    <x v="1"/>
    <x v="0"/>
    <n v="49.05"/>
    <x v="66"/>
    <x v="1420"/>
    <x v="0"/>
    <x v="1"/>
    <x v="1"/>
    <x v="1"/>
  </r>
  <r>
    <x v="1475"/>
    <x v="1"/>
    <x v="1"/>
    <x v="1"/>
    <n v="35.549999999999997"/>
    <x v="71"/>
    <x v="1421"/>
    <x v="0"/>
    <x v="0"/>
    <x v="1"/>
    <x v="1"/>
  </r>
  <r>
    <x v="1476"/>
    <x v="1"/>
    <x v="2"/>
    <x v="3"/>
    <n v="65.099999999999994"/>
    <x v="21"/>
    <x v="1422"/>
    <x v="0"/>
    <x v="1"/>
    <x v="1"/>
    <x v="3"/>
  </r>
  <r>
    <x v="1477"/>
    <x v="0"/>
    <x v="0"/>
    <x v="0"/>
    <n v="96.85"/>
    <x v="9"/>
    <x v="1423"/>
    <x v="0"/>
    <x v="0"/>
    <x v="2"/>
    <x v="2"/>
  </r>
  <r>
    <x v="1478"/>
    <x v="0"/>
    <x v="1"/>
    <x v="3"/>
    <n v="69.75"/>
    <x v="69"/>
    <x v="1424"/>
    <x v="0"/>
    <x v="1"/>
    <x v="1"/>
    <x v="3"/>
  </r>
  <r>
    <x v="1479"/>
    <x v="0"/>
    <x v="2"/>
    <x v="0"/>
    <n v="99.2"/>
    <x v="16"/>
    <x v="1425"/>
    <x v="0"/>
    <x v="2"/>
    <x v="1"/>
    <x v="3"/>
  </r>
  <r>
    <x v="1480"/>
    <x v="1"/>
    <x v="0"/>
    <x v="0"/>
    <n v="96.7"/>
    <x v="5"/>
    <x v="1426"/>
    <x v="1"/>
    <x v="1"/>
    <x v="2"/>
    <x v="2"/>
  </r>
  <r>
    <x v="1481"/>
    <x v="0"/>
    <x v="0"/>
    <x v="3"/>
    <n v="55.05"/>
    <x v="2"/>
    <x v="1427"/>
    <x v="1"/>
    <x v="0"/>
    <x v="0"/>
    <x v="0"/>
  </r>
  <r>
    <x v="1482"/>
    <x v="0"/>
    <x v="1"/>
    <x v="0"/>
    <n v="106.8"/>
    <x v="39"/>
    <x v="1428"/>
    <x v="0"/>
    <x v="2"/>
    <x v="1"/>
    <x v="3"/>
  </r>
  <r>
    <x v="1483"/>
    <x v="1"/>
    <x v="0"/>
    <x v="1"/>
    <n v="51.25"/>
    <x v="0"/>
    <x v="1429"/>
    <x v="0"/>
    <x v="0"/>
    <x v="0"/>
    <x v="0"/>
  </r>
  <r>
    <x v="1484"/>
    <x v="0"/>
    <x v="1"/>
    <x v="1"/>
    <n v="57.75"/>
    <x v="57"/>
    <x v="1430"/>
    <x v="0"/>
    <x v="0"/>
    <x v="2"/>
    <x v="2"/>
  </r>
  <r>
    <x v="1485"/>
    <x v="0"/>
    <x v="1"/>
    <x v="2"/>
    <n v="70.849999999999994"/>
    <x v="33"/>
    <x v="1431"/>
    <x v="0"/>
    <x v="1"/>
    <x v="1"/>
    <x v="3"/>
  </r>
  <r>
    <x v="1486"/>
    <x v="0"/>
    <x v="0"/>
    <x v="1"/>
    <n v="19.55"/>
    <x v="0"/>
    <x v="533"/>
    <x v="0"/>
    <x v="0"/>
    <x v="0"/>
    <x v="0"/>
  </r>
  <r>
    <x v="1487"/>
    <x v="1"/>
    <x v="0"/>
    <x v="0"/>
    <n v="88.2"/>
    <x v="67"/>
    <x v="1432"/>
    <x v="1"/>
    <x v="0"/>
    <x v="2"/>
    <x v="2"/>
  </r>
  <r>
    <x v="1488"/>
    <x v="1"/>
    <x v="0"/>
    <x v="2"/>
    <n v="79.5"/>
    <x v="26"/>
    <x v="1433"/>
    <x v="0"/>
    <x v="0"/>
    <x v="0"/>
    <x v="0"/>
  </r>
  <r>
    <x v="1489"/>
    <x v="0"/>
    <x v="1"/>
    <x v="1"/>
    <n v="19.75"/>
    <x v="4"/>
    <x v="1434"/>
    <x v="1"/>
    <x v="0"/>
    <x v="0"/>
    <x v="0"/>
  </r>
  <r>
    <x v="1490"/>
    <x v="0"/>
    <x v="0"/>
    <x v="2"/>
    <n v="98.15"/>
    <x v="15"/>
    <x v="1435"/>
    <x v="0"/>
    <x v="2"/>
    <x v="1"/>
    <x v="3"/>
  </r>
  <r>
    <x v="1491"/>
    <x v="1"/>
    <x v="0"/>
    <x v="0"/>
    <n v="20.25"/>
    <x v="35"/>
    <x v="1436"/>
    <x v="0"/>
    <x v="0"/>
    <x v="0"/>
    <x v="0"/>
  </r>
  <r>
    <x v="1492"/>
    <x v="0"/>
    <x v="0"/>
    <x v="2"/>
    <n v="79.150000000000006"/>
    <x v="69"/>
    <x v="1437"/>
    <x v="0"/>
    <x v="1"/>
    <x v="1"/>
    <x v="3"/>
  </r>
  <r>
    <x v="1493"/>
    <x v="1"/>
    <x v="0"/>
    <x v="0"/>
    <n v="75.650000000000006"/>
    <x v="30"/>
    <x v="1438"/>
    <x v="1"/>
    <x v="0"/>
    <x v="2"/>
    <x v="2"/>
  </r>
  <r>
    <x v="1494"/>
    <x v="1"/>
    <x v="0"/>
    <x v="0"/>
    <n v="94.25"/>
    <x v="38"/>
    <x v="1439"/>
    <x v="0"/>
    <x v="2"/>
    <x v="1"/>
    <x v="3"/>
  </r>
  <r>
    <x v="1495"/>
    <x v="0"/>
    <x v="0"/>
    <x v="3"/>
    <n v="40.200000000000003"/>
    <x v="50"/>
    <x v="1440"/>
    <x v="0"/>
    <x v="0"/>
    <x v="1"/>
    <x v="1"/>
  </r>
  <r>
    <x v="1496"/>
    <x v="1"/>
    <x v="2"/>
    <x v="1"/>
    <n v="19.95"/>
    <x v="9"/>
    <x v="1441"/>
    <x v="0"/>
    <x v="0"/>
    <x v="2"/>
    <x v="2"/>
  </r>
  <r>
    <x v="1497"/>
    <x v="1"/>
    <x v="1"/>
    <x v="0"/>
    <n v="55.35"/>
    <x v="12"/>
    <x v="1442"/>
    <x v="0"/>
    <x v="1"/>
    <x v="1"/>
    <x v="3"/>
  </r>
  <r>
    <x v="1498"/>
    <x v="0"/>
    <x v="1"/>
    <x v="2"/>
    <n v="102.15"/>
    <x v="3"/>
    <x v="1443"/>
    <x v="0"/>
    <x v="1"/>
    <x v="1"/>
    <x v="1"/>
  </r>
  <r>
    <x v="1499"/>
    <x v="0"/>
    <x v="0"/>
    <x v="0"/>
    <n v="71.099999999999994"/>
    <x v="32"/>
    <x v="1444"/>
    <x v="0"/>
    <x v="0"/>
    <x v="2"/>
    <x v="2"/>
  </r>
  <r>
    <x v="1500"/>
    <x v="1"/>
    <x v="0"/>
    <x v="0"/>
    <n v="74.7"/>
    <x v="0"/>
    <x v="91"/>
    <x v="1"/>
    <x v="0"/>
    <x v="0"/>
    <x v="0"/>
  </r>
  <r>
    <x v="1501"/>
    <x v="1"/>
    <x v="2"/>
    <x v="2"/>
    <n v="54.1"/>
    <x v="47"/>
    <x v="1445"/>
    <x v="0"/>
    <x v="1"/>
    <x v="1"/>
    <x v="3"/>
  </r>
  <r>
    <x v="1502"/>
    <x v="1"/>
    <x v="2"/>
    <x v="3"/>
    <n v="19.649999999999999"/>
    <x v="68"/>
    <x v="1446"/>
    <x v="0"/>
    <x v="0"/>
    <x v="1"/>
    <x v="3"/>
  </r>
  <r>
    <x v="1503"/>
    <x v="0"/>
    <x v="0"/>
    <x v="2"/>
    <n v="88.45"/>
    <x v="57"/>
    <x v="1447"/>
    <x v="0"/>
    <x v="1"/>
    <x v="2"/>
    <x v="2"/>
  </r>
  <r>
    <x v="1504"/>
    <x v="1"/>
    <x v="0"/>
    <x v="0"/>
    <n v="76.650000000000006"/>
    <x v="22"/>
    <x v="1448"/>
    <x v="1"/>
    <x v="0"/>
    <x v="2"/>
    <x v="2"/>
  </r>
  <r>
    <x v="1505"/>
    <x v="1"/>
    <x v="2"/>
    <x v="3"/>
    <n v="80.400000000000006"/>
    <x v="16"/>
    <x v="1449"/>
    <x v="0"/>
    <x v="2"/>
    <x v="1"/>
    <x v="3"/>
  </r>
  <r>
    <x v="1506"/>
    <x v="0"/>
    <x v="2"/>
    <x v="2"/>
    <n v="19.25"/>
    <x v="56"/>
    <x v="1450"/>
    <x v="0"/>
    <x v="0"/>
    <x v="1"/>
    <x v="3"/>
  </r>
  <r>
    <x v="1507"/>
    <x v="0"/>
    <x v="0"/>
    <x v="0"/>
    <n v="84.8"/>
    <x v="60"/>
    <x v="1451"/>
    <x v="0"/>
    <x v="0"/>
    <x v="2"/>
    <x v="2"/>
  </r>
  <r>
    <x v="1508"/>
    <x v="0"/>
    <x v="0"/>
    <x v="1"/>
    <n v="25.8"/>
    <x v="0"/>
    <x v="1452"/>
    <x v="1"/>
    <x v="0"/>
    <x v="0"/>
    <x v="0"/>
  </r>
  <r>
    <x v="1509"/>
    <x v="0"/>
    <x v="2"/>
    <x v="3"/>
    <n v="19.5"/>
    <x v="28"/>
    <x v="1453"/>
    <x v="0"/>
    <x v="0"/>
    <x v="1"/>
    <x v="3"/>
  </r>
  <r>
    <x v="1510"/>
    <x v="0"/>
    <x v="1"/>
    <x v="0"/>
    <n v="68.599999999999994"/>
    <x v="52"/>
    <x v="1454"/>
    <x v="0"/>
    <x v="1"/>
    <x v="1"/>
    <x v="1"/>
  </r>
  <r>
    <x v="1511"/>
    <x v="0"/>
    <x v="0"/>
    <x v="0"/>
    <n v="92.6"/>
    <x v="22"/>
    <x v="1455"/>
    <x v="0"/>
    <x v="0"/>
    <x v="2"/>
    <x v="2"/>
  </r>
  <r>
    <x v="1512"/>
    <x v="1"/>
    <x v="1"/>
    <x v="0"/>
    <n v="100.55"/>
    <x v="39"/>
    <x v="1456"/>
    <x v="0"/>
    <x v="2"/>
    <x v="1"/>
    <x v="3"/>
  </r>
  <r>
    <x v="1513"/>
    <x v="0"/>
    <x v="0"/>
    <x v="3"/>
    <n v="20.55"/>
    <x v="24"/>
    <x v="1457"/>
    <x v="0"/>
    <x v="0"/>
    <x v="0"/>
    <x v="0"/>
  </r>
  <r>
    <x v="1514"/>
    <x v="0"/>
    <x v="0"/>
    <x v="0"/>
    <n v="42.6"/>
    <x v="2"/>
    <x v="1458"/>
    <x v="1"/>
    <x v="0"/>
    <x v="0"/>
    <x v="0"/>
  </r>
  <r>
    <x v="1515"/>
    <x v="0"/>
    <x v="0"/>
    <x v="1"/>
    <n v="19.600000000000001"/>
    <x v="35"/>
    <x v="145"/>
    <x v="0"/>
    <x v="0"/>
    <x v="0"/>
    <x v="0"/>
  </r>
  <r>
    <x v="1516"/>
    <x v="1"/>
    <x v="1"/>
    <x v="0"/>
    <n v="67.45"/>
    <x v="50"/>
    <x v="1459"/>
    <x v="0"/>
    <x v="1"/>
    <x v="1"/>
    <x v="1"/>
  </r>
  <r>
    <x v="1517"/>
    <x v="0"/>
    <x v="0"/>
    <x v="2"/>
    <n v="68.849999999999994"/>
    <x v="44"/>
    <x v="1460"/>
    <x v="1"/>
    <x v="0"/>
    <x v="1"/>
    <x v="1"/>
  </r>
  <r>
    <x v="1518"/>
    <x v="1"/>
    <x v="0"/>
    <x v="1"/>
    <n v="43.55"/>
    <x v="4"/>
    <x v="1461"/>
    <x v="0"/>
    <x v="0"/>
    <x v="0"/>
    <x v="0"/>
  </r>
  <r>
    <x v="1519"/>
    <x v="0"/>
    <x v="0"/>
    <x v="3"/>
    <n v="109.85"/>
    <x v="28"/>
    <x v="1462"/>
    <x v="0"/>
    <x v="2"/>
    <x v="1"/>
    <x v="3"/>
  </r>
  <r>
    <x v="1520"/>
    <x v="0"/>
    <x v="0"/>
    <x v="1"/>
    <n v="20.65"/>
    <x v="40"/>
    <x v="1463"/>
    <x v="0"/>
    <x v="0"/>
    <x v="0"/>
    <x v="0"/>
  </r>
  <r>
    <x v="1521"/>
    <x v="0"/>
    <x v="0"/>
    <x v="0"/>
    <n v="95.4"/>
    <x v="35"/>
    <x v="1464"/>
    <x v="0"/>
    <x v="0"/>
    <x v="0"/>
    <x v="0"/>
  </r>
  <r>
    <x v="1522"/>
    <x v="1"/>
    <x v="2"/>
    <x v="2"/>
    <n v="21"/>
    <x v="21"/>
    <x v="1465"/>
    <x v="0"/>
    <x v="0"/>
    <x v="1"/>
    <x v="3"/>
  </r>
  <r>
    <x v="1523"/>
    <x v="0"/>
    <x v="0"/>
    <x v="0"/>
    <n v="56.2"/>
    <x v="67"/>
    <x v="1466"/>
    <x v="0"/>
    <x v="0"/>
    <x v="2"/>
    <x v="2"/>
  </r>
  <r>
    <x v="1524"/>
    <x v="0"/>
    <x v="2"/>
    <x v="2"/>
    <n v="18.399999999999999"/>
    <x v="64"/>
    <x v="1467"/>
    <x v="0"/>
    <x v="0"/>
    <x v="1"/>
    <x v="3"/>
  </r>
  <r>
    <x v="1525"/>
    <x v="1"/>
    <x v="0"/>
    <x v="3"/>
    <n v="90"/>
    <x v="2"/>
    <x v="1468"/>
    <x v="1"/>
    <x v="0"/>
    <x v="0"/>
    <x v="0"/>
  </r>
  <r>
    <x v="1526"/>
    <x v="0"/>
    <x v="0"/>
    <x v="0"/>
    <n v="25.75"/>
    <x v="42"/>
    <x v="1469"/>
    <x v="0"/>
    <x v="0"/>
    <x v="1"/>
    <x v="1"/>
  </r>
  <r>
    <x v="1527"/>
    <x v="1"/>
    <x v="0"/>
    <x v="3"/>
    <n v="19.600000000000001"/>
    <x v="60"/>
    <x v="1470"/>
    <x v="0"/>
    <x v="0"/>
    <x v="2"/>
    <x v="2"/>
  </r>
  <r>
    <x v="1528"/>
    <x v="0"/>
    <x v="0"/>
    <x v="0"/>
    <n v="75.349999999999994"/>
    <x v="60"/>
    <x v="1471"/>
    <x v="1"/>
    <x v="0"/>
    <x v="2"/>
    <x v="2"/>
  </r>
  <r>
    <x v="1529"/>
    <x v="0"/>
    <x v="2"/>
    <x v="3"/>
    <n v="19.8"/>
    <x v="14"/>
    <x v="359"/>
    <x v="0"/>
    <x v="0"/>
    <x v="1"/>
    <x v="3"/>
  </r>
  <r>
    <x v="1530"/>
    <x v="1"/>
    <x v="0"/>
    <x v="0"/>
    <n v="64.2"/>
    <x v="40"/>
    <x v="1472"/>
    <x v="0"/>
    <x v="0"/>
    <x v="0"/>
    <x v="0"/>
  </r>
  <r>
    <x v="1531"/>
    <x v="1"/>
    <x v="2"/>
    <x v="2"/>
    <n v="75.75"/>
    <x v="14"/>
    <x v="1473"/>
    <x v="0"/>
    <x v="2"/>
    <x v="1"/>
    <x v="3"/>
  </r>
  <r>
    <x v="1532"/>
    <x v="0"/>
    <x v="2"/>
    <x v="0"/>
    <n v="78.95"/>
    <x v="21"/>
    <x v="1474"/>
    <x v="0"/>
    <x v="2"/>
    <x v="1"/>
    <x v="3"/>
  </r>
  <r>
    <x v="1533"/>
    <x v="1"/>
    <x v="0"/>
    <x v="0"/>
    <n v="100.85"/>
    <x v="4"/>
    <x v="1475"/>
    <x v="1"/>
    <x v="0"/>
    <x v="0"/>
    <x v="0"/>
  </r>
  <r>
    <x v="1534"/>
    <x v="0"/>
    <x v="0"/>
    <x v="0"/>
    <n v="50.3"/>
    <x v="54"/>
    <x v="1476"/>
    <x v="0"/>
    <x v="0"/>
    <x v="0"/>
    <x v="0"/>
  </r>
  <r>
    <x v="1535"/>
    <x v="1"/>
    <x v="0"/>
    <x v="3"/>
    <n v="80.3"/>
    <x v="28"/>
    <x v="1477"/>
    <x v="0"/>
    <x v="2"/>
    <x v="1"/>
    <x v="3"/>
  </r>
  <r>
    <x v="1536"/>
    <x v="1"/>
    <x v="2"/>
    <x v="2"/>
    <n v="19.850000000000001"/>
    <x v="21"/>
    <x v="1478"/>
    <x v="0"/>
    <x v="0"/>
    <x v="1"/>
    <x v="3"/>
  </r>
  <r>
    <x v="1537"/>
    <x v="0"/>
    <x v="2"/>
    <x v="0"/>
    <n v="21.1"/>
    <x v="25"/>
    <x v="1479"/>
    <x v="0"/>
    <x v="0"/>
    <x v="1"/>
    <x v="1"/>
  </r>
  <r>
    <x v="1538"/>
    <x v="0"/>
    <x v="0"/>
    <x v="0"/>
    <n v="69.95"/>
    <x v="24"/>
    <x v="1480"/>
    <x v="1"/>
    <x v="0"/>
    <x v="0"/>
    <x v="0"/>
  </r>
  <r>
    <x v="1539"/>
    <x v="1"/>
    <x v="0"/>
    <x v="1"/>
    <n v="50"/>
    <x v="19"/>
    <x v="1162"/>
    <x v="0"/>
    <x v="0"/>
    <x v="1"/>
    <x v="1"/>
  </r>
  <r>
    <x v="1540"/>
    <x v="1"/>
    <x v="2"/>
    <x v="2"/>
    <n v="104.75"/>
    <x v="28"/>
    <x v="1481"/>
    <x v="0"/>
    <x v="2"/>
    <x v="1"/>
    <x v="3"/>
  </r>
  <r>
    <x v="1541"/>
    <x v="0"/>
    <x v="2"/>
    <x v="2"/>
    <n v="19.850000000000001"/>
    <x v="31"/>
    <x v="1482"/>
    <x v="0"/>
    <x v="0"/>
    <x v="1"/>
    <x v="3"/>
  </r>
  <r>
    <x v="1542"/>
    <x v="0"/>
    <x v="1"/>
    <x v="0"/>
    <n v="107.5"/>
    <x v="28"/>
    <x v="1483"/>
    <x v="1"/>
    <x v="2"/>
    <x v="1"/>
    <x v="3"/>
  </r>
  <r>
    <x v="1543"/>
    <x v="1"/>
    <x v="0"/>
    <x v="0"/>
    <n v="85.9"/>
    <x v="13"/>
    <x v="1484"/>
    <x v="0"/>
    <x v="1"/>
    <x v="1"/>
    <x v="1"/>
  </r>
  <r>
    <x v="1544"/>
    <x v="1"/>
    <x v="0"/>
    <x v="1"/>
    <n v="45.85"/>
    <x v="0"/>
    <x v="1182"/>
    <x v="1"/>
    <x v="0"/>
    <x v="0"/>
    <x v="0"/>
  </r>
  <r>
    <x v="1545"/>
    <x v="1"/>
    <x v="0"/>
    <x v="0"/>
    <n v="80.8"/>
    <x v="53"/>
    <x v="1485"/>
    <x v="0"/>
    <x v="0"/>
    <x v="0"/>
    <x v="0"/>
  </r>
  <r>
    <x v="1546"/>
    <x v="1"/>
    <x v="2"/>
    <x v="1"/>
    <n v="25.25"/>
    <x v="5"/>
    <x v="960"/>
    <x v="0"/>
    <x v="0"/>
    <x v="2"/>
    <x v="2"/>
  </r>
  <r>
    <x v="1547"/>
    <x v="0"/>
    <x v="2"/>
    <x v="2"/>
    <n v="80.55"/>
    <x v="36"/>
    <x v="1486"/>
    <x v="0"/>
    <x v="1"/>
    <x v="1"/>
    <x v="1"/>
  </r>
  <r>
    <x v="1548"/>
    <x v="0"/>
    <x v="0"/>
    <x v="2"/>
    <n v="81.5"/>
    <x v="71"/>
    <x v="1487"/>
    <x v="0"/>
    <x v="1"/>
    <x v="1"/>
    <x v="1"/>
  </r>
  <r>
    <x v="1549"/>
    <x v="1"/>
    <x v="0"/>
    <x v="1"/>
    <n v="20.9"/>
    <x v="70"/>
    <x v="1488"/>
    <x v="0"/>
    <x v="0"/>
    <x v="1"/>
    <x v="1"/>
  </r>
  <r>
    <x v="1550"/>
    <x v="0"/>
    <x v="1"/>
    <x v="2"/>
    <n v="106.1"/>
    <x v="62"/>
    <x v="1489"/>
    <x v="1"/>
    <x v="2"/>
    <x v="1"/>
    <x v="3"/>
  </r>
  <r>
    <x v="1551"/>
    <x v="0"/>
    <x v="0"/>
    <x v="0"/>
    <n v="91.7"/>
    <x v="0"/>
    <x v="1490"/>
    <x v="1"/>
    <x v="0"/>
    <x v="0"/>
    <x v="0"/>
  </r>
  <r>
    <x v="1552"/>
    <x v="1"/>
    <x v="0"/>
    <x v="0"/>
    <n v="67.25"/>
    <x v="18"/>
    <x v="1491"/>
    <x v="0"/>
    <x v="0"/>
    <x v="2"/>
    <x v="0"/>
  </r>
  <r>
    <x v="1553"/>
    <x v="0"/>
    <x v="0"/>
    <x v="3"/>
    <n v="95.6"/>
    <x v="10"/>
    <x v="1492"/>
    <x v="1"/>
    <x v="0"/>
    <x v="2"/>
    <x v="2"/>
  </r>
  <r>
    <x v="1554"/>
    <x v="0"/>
    <x v="0"/>
    <x v="1"/>
    <n v="20.350000000000001"/>
    <x v="2"/>
    <x v="1493"/>
    <x v="0"/>
    <x v="0"/>
    <x v="0"/>
    <x v="0"/>
  </r>
  <r>
    <x v="1555"/>
    <x v="1"/>
    <x v="1"/>
    <x v="2"/>
    <n v="45.05"/>
    <x v="71"/>
    <x v="1494"/>
    <x v="0"/>
    <x v="0"/>
    <x v="1"/>
    <x v="1"/>
  </r>
  <r>
    <x v="1556"/>
    <x v="1"/>
    <x v="0"/>
    <x v="0"/>
    <n v="74.95"/>
    <x v="0"/>
    <x v="1495"/>
    <x v="1"/>
    <x v="0"/>
    <x v="0"/>
    <x v="0"/>
  </r>
  <r>
    <x v="1557"/>
    <x v="0"/>
    <x v="0"/>
    <x v="1"/>
    <n v="34.65"/>
    <x v="40"/>
    <x v="1496"/>
    <x v="0"/>
    <x v="0"/>
    <x v="0"/>
    <x v="0"/>
  </r>
  <r>
    <x v="1558"/>
    <x v="1"/>
    <x v="0"/>
    <x v="0"/>
    <n v="69.349999999999994"/>
    <x v="54"/>
    <x v="1497"/>
    <x v="0"/>
    <x v="0"/>
    <x v="0"/>
    <x v="0"/>
  </r>
  <r>
    <x v="1559"/>
    <x v="1"/>
    <x v="0"/>
    <x v="0"/>
    <n v="95.35"/>
    <x v="6"/>
    <x v="1498"/>
    <x v="1"/>
    <x v="0"/>
    <x v="0"/>
    <x v="0"/>
  </r>
  <r>
    <x v="1560"/>
    <x v="0"/>
    <x v="0"/>
    <x v="0"/>
    <n v="81.55"/>
    <x v="49"/>
    <x v="1499"/>
    <x v="0"/>
    <x v="1"/>
    <x v="1"/>
    <x v="3"/>
  </r>
  <r>
    <x v="1561"/>
    <x v="1"/>
    <x v="2"/>
    <x v="2"/>
    <n v="75.400000000000006"/>
    <x v="21"/>
    <x v="1500"/>
    <x v="0"/>
    <x v="2"/>
    <x v="1"/>
    <x v="3"/>
  </r>
  <r>
    <x v="1562"/>
    <x v="0"/>
    <x v="0"/>
    <x v="3"/>
    <n v="67.8"/>
    <x v="6"/>
    <x v="1501"/>
    <x v="0"/>
    <x v="0"/>
    <x v="0"/>
    <x v="0"/>
  </r>
  <r>
    <x v="1563"/>
    <x v="1"/>
    <x v="0"/>
    <x v="0"/>
    <n v="111.4"/>
    <x v="26"/>
    <x v="1502"/>
    <x v="0"/>
    <x v="0"/>
    <x v="0"/>
    <x v="0"/>
  </r>
  <r>
    <x v="1564"/>
    <x v="0"/>
    <x v="0"/>
    <x v="0"/>
    <n v="46.3"/>
    <x v="30"/>
    <x v="1503"/>
    <x v="0"/>
    <x v="0"/>
    <x v="2"/>
    <x v="2"/>
  </r>
  <r>
    <x v="1565"/>
    <x v="0"/>
    <x v="2"/>
    <x v="2"/>
    <n v="20.399999999999999"/>
    <x v="57"/>
    <x v="1504"/>
    <x v="0"/>
    <x v="0"/>
    <x v="2"/>
    <x v="2"/>
  </r>
  <r>
    <x v="1566"/>
    <x v="1"/>
    <x v="0"/>
    <x v="1"/>
    <n v="20.05"/>
    <x v="0"/>
    <x v="650"/>
    <x v="0"/>
    <x v="0"/>
    <x v="0"/>
    <x v="0"/>
  </r>
  <r>
    <x v="1567"/>
    <x v="0"/>
    <x v="0"/>
    <x v="0"/>
    <n v="45"/>
    <x v="35"/>
    <x v="1505"/>
    <x v="1"/>
    <x v="0"/>
    <x v="0"/>
    <x v="0"/>
  </r>
  <r>
    <x v="1568"/>
    <x v="1"/>
    <x v="1"/>
    <x v="0"/>
    <n v="96.1"/>
    <x v="20"/>
    <x v="1506"/>
    <x v="0"/>
    <x v="1"/>
    <x v="1"/>
    <x v="1"/>
  </r>
  <r>
    <x v="1569"/>
    <x v="0"/>
    <x v="1"/>
    <x v="1"/>
    <n v="19.649999999999999"/>
    <x v="30"/>
    <x v="1507"/>
    <x v="0"/>
    <x v="0"/>
    <x v="2"/>
    <x v="2"/>
  </r>
  <r>
    <x v="1570"/>
    <x v="1"/>
    <x v="0"/>
    <x v="0"/>
    <n v="99.5"/>
    <x v="33"/>
    <x v="1508"/>
    <x v="1"/>
    <x v="2"/>
    <x v="1"/>
    <x v="3"/>
  </r>
  <r>
    <x v="1571"/>
    <x v="0"/>
    <x v="1"/>
    <x v="2"/>
    <n v="60.65"/>
    <x v="47"/>
    <x v="1509"/>
    <x v="0"/>
    <x v="1"/>
    <x v="1"/>
    <x v="3"/>
  </r>
  <r>
    <x v="1572"/>
    <x v="0"/>
    <x v="1"/>
    <x v="2"/>
    <n v="98.6"/>
    <x v="22"/>
    <x v="1510"/>
    <x v="1"/>
    <x v="0"/>
    <x v="2"/>
    <x v="2"/>
  </r>
  <r>
    <x v="1573"/>
    <x v="0"/>
    <x v="0"/>
    <x v="1"/>
    <n v="59.5"/>
    <x v="40"/>
    <x v="1511"/>
    <x v="1"/>
    <x v="0"/>
    <x v="0"/>
    <x v="0"/>
  </r>
  <r>
    <x v="1574"/>
    <x v="1"/>
    <x v="0"/>
    <x v="0"/>
    <n v="80.45"/>
    <x v="18"/>
    <x v="1512"/>
    <x v="1"/>
    <x v="0"/>
    <x v="2"/>
    <x v="0"/>
  </r>
  <r>
    <x v="1575"/>
    <x v="0"/>
    <x v="1"/>
    <x v="2"/>
    <n v="71.7"/>
    <x v="17"/>
    <x v="1513"/>
    <x v="0"/>
    <x v="0"/>
    <x v="2"/>
    <x v="2"/>
  </r>
  <r>
    <x v="1576"/>
    <x v="1"/>
    <x v="0"/>
    <x v="1"/>
    <n v="36"/>
    <x v="17"/>
    <x v="1514"/>
    <x v="0"/>
    <x v="0"/>
    <x v="2"/>
    <x v="2"/>
  </r>
  <r>
    <x v="1577"/>
    <x v="0"/>
    <x v="1"/>
    <x v="2"/>
    <n v="65.2"/>
    <x v="39"/>
    <x v="1515"/>
    <x v="0"/>
    <x v="1"/>
    <x v="1"/>
    <x v="3"/>
  </r>
  <r>
    <x v="1578"/>
    <x v="0"/>
    <x v="0"/>
    <x v="3"/>
    <n v="48.95"/>
    <x v="53"/>
    <x v="1516"/>
    <x v="0"/>
    <x v="0"/>
    <x v="0"/>
    <x v="0"/>
  </r>
  <r>
    <x v="1579"/>
    <x v="0"/>
    <x v="2"/>
    <x v="2"/>
    <n v="53.5"/>
    <x v="45"/>
    <x v="1517"/>
    <x v="0"/>
    <x v="1"/>
    <x v="1"/>
    <x v="3"/>
  </r>
  <r>
    <x v="1580"/>
    <x v="1"/>
    <x v="1"/>
    <x v="3"/>
    <n v="80.45"/>
    <x v="41"/>
    <x v="1518"/>
    <x v="0"/>
    <x v="1"/>
    <x v="1"/>
    <x v="1"/>
  </r>
  <r>
    <x v="1581"/>
    <x v="0"/>
    <x v="2"/>
    <x v="2"/>
    <n v="109.05"/>
    <x v="47"/>
    <x v="1519"/>
    <x v="0"/>
    <x v="2"/>
    <x v="1"/>
    <x v="3"/>
  </r>
  <r>
    <x v="1582"/>
    <x v="1"/>
    <x v="2"/>
    <x v="2"/>
    <n v="26.3"/>
    <x v="43"/>
    <x v="1520"/>
    <x v="0"/>
    <x v="0"/>
    <x v="1"/>
    <x v="1"/>
  </r>
  <r>
    <x v="1583"/>
    <x v="0"/>
    <x v="1"/>
    <x v="0"/>
    <n v="106.8"/>
    <x v="37"/>
    <x v="1521"/>
    <x v="0"/>
    <x v="2"/>
    <x v="1"/>
    <x v="3"/>
  </r>
  <r>
    <x v="1584"/>
    <x v="0"/>
    <x v="0"/>
    <x v="0"/>
    <n v="64.95"/>
    <x v="40"/>
    <x v="1522"/>
    <x v="0"/>
    <x v="0"/>
    <x v="0"/>
    <x v="0"/>
  </r>
  <r>
    <x v="1585"/>
    <x v="0"/>
    <x v="2"/>
    <x v="0"/>
    <n v="19.350000000000001"/>
    <x v="28"/>
    <x v="1523"/>
    <x v="0"/>
    <x v="0"/>
    <x v="1"/>
    <x v="3"/>
  </r>
  <r>
    <x v="1586"/>
    <x v="1"/>
    <x v="0"/>
    <x v="3"/>
    <n v="21.1"/>
    <x v="22"/>
    <x v="1524"/>
    <x v="0"/>
    <x v="0"/>
    <x v="2"/>
    <x v="2"/>
  </r>
  <r>
    <x v="1587"/>
    <x v="0"/>
    <x v="0"/>
    <x v="3"/>
    <n v="77.95"/>
    <x v="41"/>
    <x v="1525"/>
    <x v="1"/>
    <x v="1"/>
    <x v="1"/>
    <x v="1"/>
  </r>
  <r>
    <x v="1588"/>
    <x v="1"/>
    <x v="0"/>
    <x v="1"/>
    <n v="18.850000000000001"/>
    <x v="54"/>
    <x v="1526"/>
    <x v="0"/>
    <x v="0"/>
    <x v="0"/>
    <x v="0"/>
  </r>
  <r>
    <x v="1589"/>
    <x v="0"/>
    <x v="2"/>
    <x v="2"/>
    <n v="26"/>
    <x v="8"/>
    <x v="1527"/>
    <x v="0"/>
    <x v="0"/>
    <x v="1"/>
    <x v="3"/>
  </r>
  <r>
    <x v="1590"/>
    <x v="1"/>
    <x v="0"/>
    <x v="0"/>
    <n v="74.7"/>
    <x v="2"/>
    <x v="1528"/>
    <x v="1"/>
    <x v="0"/>
    <x v="0"/>
    <x v="0"/>
  </r>
  <r>
    <x v="1591"/>
    <x v="0"/>
    <x v="0"/>
    <x v="0"/>
    <n v="70.349999999999994"/>
    <x v="2"/>
    <x v="323"/>
    <x v="0"/>
    <x v="0"/>
    <x v="0"/>
    <x v="0"/>
  </r>
  <r>
    <x v="1592"/>
    <x v="1"/>
    <x v="2"/>
    <x v="2"/>
    <n v="96.9"/>
    <x v="43"/>
    <x v="1529"/>
    <x v="0"/>
    <x v="1"/>
    <x v="1"/>
    <x v="1"/>
  </r>
  <r>
    <x v="1593"/>
    <x v="1"/>
    <x v="2"/>
    <x v="2"/>
    <n v="19.55"/>
    <x v="23"/>
    <x v="1530"/>
    <x v="0"/>
    <x v="0"/>
    <x v="1"/>
    <x v="1"/>
  </r>
  <r>
    <x v="1594"/>
    <x v="0"/>
    <x v="2"/>
    <x v="2"/>
    <n v="80.400000000000006"/>
    <x v="27"/>
    <x v="1531"/>
    <x v="0"/>
    <x v="2"/>
    <x v="1"/>
    <x v="3"/>
  </r>
  <r>
    <x v="1595"/>
    <x v="1"/>
    <x v="0"/>
    <x v="0"/>
    <n v="88.8"/>
    <x v="0"/>
    <x v="1532"/>
    <x v="1"/>
    <x v="0"/>
    <x v="0"/>
    <x v="0"/>
  </r>
  <r>
    <x v="1596"/>
    <x v="1"/>
    <x v="1"/>
    <x v="0"/>
    <n v="94.65"/>
    <x v="25"/>
    <x v="1533"/>
    <x v="0"/>
    <x v="1"/>
    <x v="1"/>
    <x v="1"/>
  </r>
  <r>
    <x v="1597"/>
    <x v="1"/>
    <x v="0"/>
    <x v="0"/>
    <n v="90.25"/>
    <x v="19"/>
    <x v="1534"/>
    <x v="1"/>
    <x v="1"/>
    <x v="1"/>
    <x v="1"/>
  </r>
  <r>
    <x v="1598"/>
    <x v="0"/>
    <x v="0"/>
    <x v="2"/>
    <n v="64.650000000000006"/>
    <x v="30"/>
    <x v="1535"/>
    <x v="1"/>
    <x v="0"/>
    <x v="2"/>
    <x v="2"/>
  </r>
  <r>
    <x v="1599"/>
    <x v="1"/>
    <x v="1"/>
    <x v="3"/>
    <n v="95.75"/>
    <x v="14"/>
    <x v="1536"/>
    <x v="0"/>
    <x v="2"/>
    <x v="1"/>
    <x v="3"/>
  </r>
  <r>
    <x v="1600"/>
    <x v="1"/>
    <x v="2"/>
    <x v="3"/>
    <n v="19.55"/>
    <x v="45"/>
    <x v="1537"/>
    <x v="0"/>
    <x v="0"/>
    <x v="1"/>
    <x v="3"/>
  </r>
  <r>
    <x v="1601"/>
    <x v="1"/>
    <x v="2"/>
    <x v="3"/>
    <n v="104.1"/>
    <x v="21"/>
    <x v="1538"/>
    <x v="0"/>
    <x v="2"/>
    <x v="1"/>
    <x v="3"/>
  </r>
  <r>
    <x v="1602"/>
    <x v="1"/>
    <x v="0"/>
    <x v="2"/>
    <n v="89.05"/>
    <x v="9"/>
    <x v="1539"/>
    <x v="1"/>
    <x v="0"/>
    <x v="2"/>
    <x v="2"/>
  </r>
  <r>
    <x v="1603"/>
    <x v="1"/>
    <x v="1"/>
    <x v="1"/>
    <n v="20.100000000000001"/>
    <x v="22"/>
    <x v="1540"/>
    <x v="0"/>
    <x v="0"/>
    <x v="2"/>
    <x v="2"/>
  </r>
  <r>
    <x v="1604"/>
    <x v="1"/>
    <x v="1"/>
    <x v="0"/>
    <n v="111.55"/>
    <x v="69"/>
    <x v="1541"/>
    <x v="0"/>
    <x v="2"/>
    <x v="1"/>
    <x v="3"/>
  </r>
  <r>
    <x v="1605"/>
    <x v="1"/>
    <x v="2"/>
    <x v="3"/>
    <n v="60.5"/>
    <x v="69"/>
    <x v="1542"/>
    <x v="0"/>
    <x v="1"/>
    <x v="1"/>
    <x v="3"/>
  </r>
  <r>
    <x v="1606"/>
    <x v="0"/>
    <x v="2"/>
    <x v="2"/>
    <n v="90.95"/>
    <x v="21"/>
    <x v="1543"/>
    <x v="0"/>
    <x v="2"/>
    <x v="1"/>
    <x v="3"/>
  </r>
  <r>
    <x v="1607"/>
    <x v="1"/>
    <x v="1"/>
    <x v="0"/>
    <n v="87.4"/>
    <x v="56"/>
    <x v="1544"/>
    <x v="1"/>
    <x v="2"/>
    <x v="1"/>
    <x v="3"/>
  </r>
  <r>
    <x v="1608"/>
    <x v="1"/>
    <x v="0"/>
    <x v="1"/>
    <n v="19.7"/>
    <x v="1"/>
    <x v="1545"/>
    <x v="0"/>
    <x v="0"/>
    <x v="1"/>
    <x v="1"/>
  </r>
  <r>
    <x v="1609"/>
    <x v="1"/>
    <x v="2"/>
    <x v="2"/>
    <n v="50.95"/>
    <x v="56"/>
    <x v="1546"/>
    <x v="0"/>
    <x v="1"/>
    <x v="1"/>
    <x v="3"/>
  </r>
  <r>
    <x v="1610"/>
    <x v="0"/>
    <x v="1"/>
    <x v="2"/>
    <n v="20.05"/>
    <x v="12"/>
    <x v="1547"/>
    <x v="0"/>
    <x v="0"/>
    <x v="1"/>
    <x v="3"/>
  </r>
  <r>
    <x v="1611"/>
    <x v="1"/>
    <x v="2"/>
    <x v="1"/>
    <n v="19.399999999999999"/>
    <x v="62"/>
    <x v="1548"/>
    <x v="0"/>
    <x v="0"/>
    <x v="1"/>
    <x v="3"/>
  </r>
  <r>
    <x v="1612"/>
    <x v="1"/>
    <x v="0"/>
    <x v="0"/>
    <n v="59.45"/>
    <x v="23"/>
    <x v="1549"/>
    <x v="0"/>
    <x v="0"/>
    <x v="1"/>
    <x v="1"/>
  </r>
  <r>
    <x v="1613"/>
    <x v="0"/>
    <x v="0"/>
    <x v="0"/>
    <n v="94.75"/>
    <x v="57"/>
    <x v="1550"/>
    <x v="1"/>
    <x v="1"/>
    <x v="2"/>
    <x v="2"/>
  </r>
  <r>
    <x v="1614"/>
    <x v="1"/>
    <x v="2"/>
    <x v="3"/>
    <n v="81.5"/>
    <x v="14"/>
    <x v="1551"/>
    <x v="0"/>
    <x v="2"/>
    <x v="1"/>
    <x v="3"/>
  </r>
  <r>
    <x v="1615"/>
    <x v="0"/>
    <x v="0"/>
    <x v="2"/>
    <n v="29.05"/>
    <x v="2"/>
    <x v="1552"/>
    <x v="0"/>
    <x v="0"/>
    <x v="0"/>
    <x v="0"/>
  </r>
  <r>
    <x v="1616"/>
    <x v="0"/>
    <x v="0"/>
    <x v="0"/>
    <n v="86.45"/>
    <x v="42"/>
    <x v="1553"/>
    <x v="1"/>
    <x v="1"/>
    <x v="1"/>
    <x v="1"/>
  </r>
  <r>
    <x v="1617"/>
    <x v="0"/>
    <x v="1"/>
    <x v="1"/>
    <n v="70.599999999999994"/>
    <x v="25"/>
    <x v="1554"/>
    <x v="0"/>
    <x v="1"/>
    <x v="1"/>
    <x v="1"/>
  </r>
  <r>
    <x v="1618"/>
    <x v="0"/>
    <x v="2"/>
    <x v="2"/>
    <n v="97.2"/>
    <x v="68"/>
    <x v="1555"/>
    <x v="0"/>
    <x v="2"/>
    <x v="1"/>
    <x v="3"/>
  </r>
  <r>
    <x v="1619"/>
    <x v="0"/>
    <x v="1"/>
    <x v="0"/>
    <n v="98.25"/>
    <x v="39"/>
    <x v="1556"/>
    <x v="1"/>
    <x v="2"/>
    <x v="1"/>
    <x v="3"/>
  </r>
  <r>
    <x v="1620"/>
    <x v="0"/>
    <x v="0"/>
    <x v="2"/>
    <n v="75.75"/>
    <x v="34"/>
    <x v="1557"/>
    <x v="1"/>
    <x v="0"/>
    <x v="0"/>
    <x v="0"/>
  </r>
  <r>
    <x v="1621"/>
    <x v="1"/>
    <x v="0"/>
    <x v="2"/>
    <n v="59.2"/>
    <x v="61"/>
    <x v="1558"/>
    <x v="0"/>
    <x v="0"/>
    <x v="2"/>
    <x v="2"/>
  </r>
  <r>
    <x v="1622"/>
    <x v="1"/>
    <x v="0"/>
    <x v="1"/>
    <n v="75.900000000000006"/>
    <x v="26"/>
    <x v="1559"/>
    <x v="0"/>
    <x v="0"/>
    <x v="0"/>
    <x v="0"/>
  </r>
  <r>
    <x v="1623"/>
    <x v="0"/>
    <x v="0"/>
    <x v="0"/>
    <n v="90.05"/>
    <x v="19"/>
    <x v="1560"/>
    <x v="0"/>
    <x v="1"/>
    <x v="1"/>
    <x v="1"/>
  </r>
  <r>
    <x v="1624"/>
    <x v="1"/>
    <x v="2"/>
    <x v="2"/>
    <n v="70.95"/>
    <x v="47"/>
    <x v="1561"/>
    <x v="0"/>
    <x v="1"/>
    <x v="1"/>
    <x v="3"/>
  </r>
  <r>
    <x v="1625"/>
    <x v="1"/>
    <x v="0"/>
    <x v="0"/>
    <n v="102.6"/>
    <x v="46"/>
    <x v="1562"/>
    <x v="0"/>
    <x v="1"/>
    <x v="1"/>
    <x v="1"/>
  </r>
  <r>
    <x v="1626"/>
    <x v="0"/>
    <x v="0"/>
    <x v="2"/>
    <n v="85.35"/>
    <x v="22"/>
    <x v="1563"/>
    <x v="1"/>
    <x v="0"/>
    <x v="2"/>
    <x v="2"/>
  </r>
  <r>
    <x v="1627"/>
    <x v="1"/>
    <x v="1"/>
    <x v="3"/>
    <n v="106.1"/>
    <x v="43"/>
    <x v="1564"/>
    <x v="1"/>
    <x v="2"/>
    <x v="1"/>
    <x v="1"/>
  </r>
  <r>
    <x v="1628"/>
    <x v="0"/>
    <x v="0"/>
    <x v="0"/>
    <n v="43.8"/>
    <x v="0"/>
    <x v="1565"/>
    <x v="0"/>
    <x v="0"/>
    <x v="0"/>
    <x v="0"/>
  </r>
  <r>
    <x v="1629"/>
    <x v="1"/>
    <x v="2"/>
    <x v="0"/>
    <n v="59"/>
    <x v="28"/>
    <x v="1566"/>
    <x v="0"/>
    <x v="1"/>
    <x v="1"/>
    <x v="3"/>
  </r>
  <r>
    <x v="1630"/>
    <x v="0"/>
    <x v="1"/>
    <x v="0"/>
    <n v="69.95"/>
    <x v="35"/>
    <x v="1567"/>
    <x v="0"/>
    <x v="0"/>
    <x v="0"/>
    <x v="0"/>
  </r>
  <r>
    <x v="1631"/>
    <x v="0"/>
    <x v="1"/>
    <x v="2"/>
    <n v="24.35"/>
    <x v="43"/>
    <x v="1568"/>
    <x v="0"/>
    <x v="0"/>
    <x v="1"/>
    <x v="1"/>
  </r>
  <r>
    <x v="1632"/>
    <x v="1"/>
    <x v="1"/>
    <x v="3"/>
    <n v="29.45"/>
    <x v="33"/>
    <x v="1569"/>
    <x v="0"/>
    <x v="0"/>
    <x v="1"/>
    <x v="3"/>
  </r>
  <r>
    <x v="1633"/>
    <x v="0"/>
    <x v="2"/>
    <x v="3"/>
    <n v="84.4"/>
    <x v="47"/>
    <x v="1570"/>
    <x v="0"/>
    <x v="2"/>
    <x v="1"/>
    <x v="3"/>
  </r>
  <r>
    <x v="1634"/>
    <x v="1"/>
    <x v="0"/>
    <x v="0"/>
    <n v="45.05"/>
    <x v="22"/>
    <x v="1571"/>
    <x v="1"/>
    <x v="0"/>
    <x v="2"/>
    <x v="2"/>
  </r>
  <r>
    <x v="1635"/>
    <x v="0"/>
    <x v="1"/>
    <x v="1"/>
    <n v="20.65"/>
    <x v="40"/>
    <x v="1463"/>
    <x v="0"/>
    <x v="0"/>
    <x v="0"/>
    <x v="0"/>
  </r>
  <r>
    <x v="1636"/>
    <x v="1"/>
    <x v="2"/>
    <x v="2"/>
    <n v="87.1"/>
    <x v="21"/>
    <x v="1572"/>
    <x v="0"/>
    <x v="2"/>
    <x v="1"/>
    <x v="3"/>
  </r>
  <r>
    <x v="1637"/>
    <x v="0"/>
    <x v="0"/>
    <x v="1"/>
    <n v="19.850000000000001"/>
    <x v="44"/>
    <x v="1573"/>
    <x v="0"/>
    <x v="0"/>
    <x v="1"/>
    <x v="1"/>
  </r>
  <r>
    <x v="1638"/>
    <x v="1"/>
    <x v="0"/>
    <x v="0"/>
    <n v="90.35"/>
    <x v="50"/>
    <x v="1574"/>
    <x v="0"/>
    <x v="1"/>
    <x v="1"/>
    <x v="1"/>
  </r>
  <r>
    <x v="1639"/>
    <x v="0"/>
    <x v="0"/>
    <x v="1"/>
    <n v="109.8"/>
    <x v="1"/>
    <x v="1575"/>
    <x v="1"/>
    <x v="1"/>
    <x v="1"/>
    <x v="1"/>
  </r>
  <r>
    <x v="1640"/>
    <x v="0"/>
    <x v="0"/>
    <x v="0"/>
    <n v="84.65"/>
    <x v="41"/>
    <x v="1576"/>
    <x v="1"/>
    <x v="1"/>
    <x v="1"/>
    <x v="1"/>
  </r>
  <r>
    <x v="1641"/>
    <x v="0"/>
    <x v="1"/>
    <x v="1"/>
    <n v="65.5"/>
    <x v="64"/>
    <x v="1577"/>
    <x v="0"/>
    <x v="1"/>
    <x v="1"/>
    <x v="3"/>
  </r>
  <r>
    <x v="1642"/>
    <x v="1"/>
    <x v="0"/>
    <x v="2"/>
    <n v="79.5"/>
    <x v="26"/>
    <x v="1433"/>
    <x v="1"/>
    <x v="0"/>
    <x v="0"/>
    <x v="0"/>
  </r>
  <r>
    <x v="1643"/>
    <x v="1"/>
    <x v="0"/>
    <x v="0"/>
    <n v="80.95"/>
    <x v="31"/>
    <x v="1578"/>
    <x v="0"/>
    <x v="1"/>
    <x v="1"/>
    <x v="3"/>
  </r>
  <r>
    <x v="1644"/>
    <x v="0"/>
    <x v="0"/>
    <x v="1"/>
    <n v="56.15"/>
    <x v="23"/>
    <x v="1579"/>
    <x v="0"/>
    <x v="0"/>
    <x v="1"/>
    <x v="1"/>
  </r>
  <r>
    <x v="1645"/>
    <x v="0"/>
    <x v="0"/>
    <x v="1"/>
    <n v="85.8"/>
    <x v="0"/>
    <x v="1580"/>
    <x v="1"/>
    <x v="0"/>
    <x v="0"/>
    <x v="0"/>
  </r>
  <r>
    <x v="1646"/>
    <x v="1"/>
    <x v="0"/>
    <x v="0"/>
    <n v="79.099999999999994"/>
    <x v="0"/>
    <x v="1581"/>
    <x v="1"/>
    <x v="0"/>
    <x v="0"/>
    <x v="0"/>
  </r>
  <r>
    <x v="1647"/>
    <x v="1"/>
    <x v="0"/>
    <x v="1"/>
    <n v="34.4"/>
    <x v="22"/>
    <x v="1582"/>
    <x v="0"/>
    <x v="0"/>
    <x v="2"/>
    <x v="2"/>
  </r>
  <r>
    <x v="1648"/>
    <x v="1"/>
    <x v="2"/>
    <x v="1"/>
    <n v="20.75"/>
    <x v="11"/>
    <x v="1583"/>
    <x v="0"/>
    <x v="0"/>
    <x v="1"/>
    <x v="3"/>
  </r>
  <r>
    <x v="1649"/>
    <x v="1"/>
    <x v="1"/>
    <x v="1"/>
    <n v="18.8"/>
    <x v="0"/>
    <x v="1584"/>
    <x v="0"/>
    <x v="0"/>
    <x v="0"/>
    <x v="0"/>
  </r>
  <r>
    <x v="1650"/>
    <x v="0"/>
    <x v="0"/>
    <x v="1"/>
    <n v="44.3"/>
    <x v="35"/>
    <x v="1585"/>
    <x v="1"/>
    <x v="0"/>
    <x v="0"/>
    <x v="0"/>
  </r>
  <r>
    <x v="1651"/>
    <x v="0"/>
    <x v="0"/>
    <x v="0"/>
    <n v="90.8"/>
    <x v="62"/>
    <x v="1586"/>
    <x v="0"/>
    <x v="1"/>
    <x v="1"/>
    <x v="3"/>
  </r>
  <r>
    <x v="1652"/>
    <x v="1"/>
    <x v="0"/>
    <x v="0"/>
    <n v="25.6"/>
    <x v="42"/>
    <x v="1587"/>
    <x v="0"/>
    <x v="0"/>
    <x v="1"/>
    <x v="1"/>
  </r>
  <r>
    <x v="1653"/>
    <x v="1"/>
    <x v="0"/>
    <x v="3"/>
    <n v="105.95"/>
    <x v="37"/>
    <x v="1588"/>
    <x v="1"/>
    <x v="2"/>
    <x v="1"/>
    <x v="3"/>
  </r>
  <r>
    <x v="1654"/>
    <x v="1"/>
    <x v="2"/>
    <x v="3"/>
    <n v="70.8"/>
    <x v="47"/>
    <x v="1589"/>
    <x v="0"/>
    <x v="1"/>
    <x v="1"/>
    <x v="3"/>
  </r>
  <r>
    <x v="1655"/>
    <x v="1"/>
    <x v="0"/>
    <x v="0"/>
    <n v="25.4"/>
    <x v="20"/>
    <x v="1590"/>
    <x v="0"/>
    <x v="0"/>
    <x v="1"/>
    <x v="1"/>
  </r>
  <r>
    <x v="1656"/>
    <x v="0"/>
    <x v="0"/>
    <x v="2"/>
    <n v="108.8"/>
    <x v="45"/>
    <x v="1591"/>
    <x v="0"/>
    <x v="2"/>
    <x v="1"/>
    <x v="3"/>
  </r>
  <r>
    <x v="1657"/>
    <x v="1"/>
    <x v="0"/>
    <x v="0"/>
    <n v="69.75"/>
    <x v="24"/>
    <x v="1592"/>
    <x v="1"/>
    <x v="0"/>
    <x v="0"/>
    <x v="0"/>
  </r>
  <r>
    <x v="1658"/>
    <x v="1"/>
    <x v="0"/>
    <x v="0"/>
    <n v="94.65"/>
    <x v="69"/>
    <x v="1593"/>
    <x v="1"/>
    <x v="1"/>
    <x v="1"/>
    <x v="3"/>
  </r>
  <r>
    <x v="1659"/>
    <x v="0"/>
    <x v="0"/>
    <x v="2"/>
    <n v="96.05"/>
    <x v="25"/>
    <x v="1594"/>
    <x v="1"/>
    <x v="1"/>
    <x v="1"/>
    <x v="1"/>
  </r>
  <r>
    <x v="1660"/>
    <x v="0"/>
    <x v="0"/>
    <x v="0"/>
    <n v="76.849999999999994"/>
    <x v="34"/>
    <x v="1595"/>
    <x v="0"/>
    <x v="0"/>
    <x v="0"/>
    <x v="0"/>
  </r>
  <r>
    <x v="1661"/>
    <x v="0"/>
    <x v="2"/>
    <x v="1"/>
    <n v="20.25"/>
    <x v="4"/>
    <x v="1596"/>
    <x v="0"/>
    <x v="0"/>
    <x v="0"/>
    <x v="0"/>
  </r>
  <r>
    <x v="1662"/>
    <x v="1"/>
    <x v="1"/>
    <x v="3"/>
    <n v="24.8"/>
    <x v="60"/>
    <x v="1597"/>
    <x v="0"/>
    <x v="0"/>
    <x v="2"/>
    <x v="2"/>
  </r>
  <r>
    <x v="1663"/>
    <x v="0"/>
    <x v="0"/>
    <x v="0"/>
    <n v="115.65"/>
    <x v="3"/>
    <x v="1598"/>
    <x v="0"/>
    <x v="2"/>
    <x v="1"/>
    <x v="1"/>
  </r>
  <r>
    <x v="1664"/>
    <x v="0"/>
    <x v="0"/>
    <x v="3"/>
    <n v="74.599999999999994"/>
    <x v="4"/>
    <x v="1599"/>
    <x v="0"/>
    <x v="0"/>
    <x v="0"/>
    <x v="0"/>
  </r>
  <r>
    <x v="1665"/>
    <x v="1"/>
    <x v="0"/>
    <x v="1"/>
    <n v="50.15"/>
    <x v="0"/>
    <x v="1600"/>
    <x v="1"/>
    <x v="0"/>
    <x v="0"/>
    <x v="0"/>
  </r>
  <r>
    <x v="1666"/>
    <x v="1"/>
    <x v="1"/>
    <x v="2"/>
    <n v="103.15"/>
    <x v="33"/>
    <x v="1601"/>
    <x v="0"/>
    <x v="2"/>
    <x v="1"/>
    <x v="3"/>
  </r>
  <r>
    <x v="1667"/>
    <x v="1"/>
    <x v="2"/>
    <x v="3"/>
    <n v="72.099999999999994"/>
    <x v="21"/>
    <x v="1602"/>
    <x v="0"/>
    <x v="2"/>
    <x v="1"/>
    <x v="3"/>
  </r>
  <r>
    <x v="1668"/>
    <x v="0"/>
    <x v="0"/>
    <x v="2"/>
    <n v="113.6"/>
    <x v="52"/>
    <x v="1603"/>
    <x v="1"/>
    <x v="1"/>
    <x v="1"/>
    <x v="1"/>
  </r>
  <r>
    <x v="1669"/>
    <x v="0"/>
    <x v="2"/>
    <x v="1"/>
    <n v="25.1"/>
    <x v="57"/>
    <x v="1604"/>
    <x v="0"/>
    <x v="0"/>
    <x v="2"/>
    <x v="2"/>
  </r>
  <r>
    <x v="1670"/>
    <x v="0"/>
    <x v="0"/>
    <x v="0"/>
    <n v="78.900000000000006"/>
    <x v="44"/>
    <x v="1605"/>
    <x v="1"/>
    <x v="1"/>
    <x v="1"/>
    <x v="1"/>
  </r>
  <r>
    <x v="1671"/>
    <x v="0"/>
    <x v="0"/>
    <x v="0"/>
    <n v="80.150000000000006"/>
    <x v="54"/>
    <x v="1606"/>
    <x v="0"/>
    <x v="0"/>
    <x v="0"/>
    <x v="0"/>
  </r>
  <r>
    <x v="1672"/>
    <x v="1"/>
    <x v="2"/>
    <x v="1"/>
    <n v="25.4"/>
    <x v="53"/>
    <x v="1607"/>
    <x v="0"/>
    <x v="0"/>
    <x v="0"/>
    <x v="0"/>
  </r>
  <r>
    <x v="1673"/>
    <x v="0"/>
    <x v="1"/>
    <x v="3"/>
    <n v="105.4"/>
    <x v="56"/>
    <x v="511"/>
    <x v="0"/>
    <x v="2"/>
    <x v="1"/>
    <x v="3"/>
  </r>
  <r>
    <x v="1674"/>
    <x v="1"/>
    <x v="0"/>
    <x v="1"/>
    <n v="45.75"/>
    <x v="40"/>
    <x v="1608"/>
    <x v="0"/>
    <x v="0"/>
    <x v="0"/>
    <x v="0"/>
  </r>
  <r>
    <x v="1675"/>
    <x v="1"/>
    <x v="1"/>
    <x v="1"/>
    <n v="24.45"/>
    <x v="39"/>
    <x v="1609"/>
    <x v="0"/>
    <x v="0"/>
    <x v="1"/>
    <x v="3"/>
  </r>
  <r>
    <x v="1676"/>
    <x v="0"/>
    <x v="2"/>
    <x v="3"/>
    <n v="25"/>
    <x v="21"/>
    <x v="1610"/>
    <x v="0"/>
    <x v="0"/>
    <x v="1"/>
    <x v="3"/>
  </r>
  <r>
    <x v="1677"/>
    <x v="1"/>
    <x v="2"/>
    <x v="0"/>
    <n v="85.25"/>
    <x v="21"/>
    <x v="1611"/>
    <x v="0"/>
    <x v="2"/>
    <x v="1"/>
    <x v="3"/>
  </r>
  <r>
    <x v="1678"/>
    <x v="1"/>
    <x v="2"/>
    <x v="3"/>
    <n v="19.600000000000001"/>
    <x v="57"/>
    <x v="1612"/>
    <x v="0"/>
    <x v="0"/>
    <x v="2"/>
    <x v="2"/>
  </r>
  <r>
    <x v="1679"/>
    <x v="0"/>
    <x v="0"/>
    <x v="1"/>
    <n v="50.15"/>
    <x v="42"/>
    <x v="1613"/>
    <x v="0"/>
    <x v="0"/>
    <x v="1"/>
    <x v="1"/>
  </r>
  <r>
    <x v="1680"/>
    <x v="1"/>
    <x v="0"/>
    <x v="0"/>
    <n v="70.55"/>
    <x v="23"/>
    <x v="1614"/>
    <x v="0"/>
    <x v="0"/>
    <x v="1"/>
    <x v="1"/>
  </r>
  <r>
    <x v="1681"/>
    <x v="0"/>
    <x v="0"/>
    <x v="0"/>
    <n v="60.05"/>
    <x v="70"/>
    <x v="1615"/>
    <x v="1"/>
    <x v="0"/>
    <x v="1"/>
    <x v="1"/>
  </r>
  <r>
    <x v="1682"/>
    <x v="1"/>
    <x v="1"/>
    <x v="1"/>
    <n v="26.4"/>
    <x v="18"/>
    <x v="1616"/>
    <x v="0"/>
    <x v="0"/>
    <x v="2"/>
    <x v="0"/>
  </r>
  <r>
    <x v="1683"/>
    <x v="0"/>
    <x v="2"/>
    <x v="1"/>
    <n v="20.149999999999999"/>
    <x v="63"/>
    <x v="1617"/>
    <x v="0"/>
    <x v="0"/>
    <x v="1"/>
    <x v="1"/>
  </r>
  <r>
    <x v="1684"/>
    <x v="1"/>
    <x v="0"/>
    <x v="1"/>
    <n v="58.85"/>
    <x v="40"/>
    <x v="1618"/>
    <x v="0"/>
    <x v="0"/>
    <x v="0"/>
    <x v="0"/>
  </r>
  <r>
    <x v="1685"/>
    <x v="1"/>
    <x v="0"/>
    <x v="3"/>
    <n v="97.55"/>
    <x v="27"/>
    <x v="1619"/>
    <x v="0"/>
    <x v="2"/>
    <x v="1"/>
    <x v="3"/>
  </r>
  <r>
    <x v="1686"/>
    <x v="1"/>
    <x v="2"/>
    <x v="3"/>
    <n v="19.649999999999999"/>
    <x v="31"/>
    <x v="1620"/>
    <x v="0"/>
    <x v="0"/>
    <x v="1"/>
    <x v="3"/>
  </r>
  <r>
    <x v="1687"/>
    <x v="1"/>
    <x v="1"/>
    <x v="3"/>
    <n v="25.25"/>
    <x v="71"/>
    <x v="1621"/>
    <x v="0"/>
    <x v="0"/>
    <x v="1"/>
    <x v="1"/>
  </r>
  <r>
    <x v="1688"/>
    <x v="1"/>
    <x v="2"/>
    <x v="3"/>
    <n v="114.45"/>
    <x v="21"/>
    <x v="1622"/>
    <x v="0"/>
    <x v="2"/>
    <x v="1"/>
    <x v="3"/>
  </r>
  <r>
    <x v="1689"/>
    <x v="0"/>
    <x v="0"/>
    <x v="0"/>
    <n v="34.700000000000003"/>
    <x v="0"/>
    <x v="1623"/>
    <x v="1"/>
    <x v="0"/>
    <x v="0"/>
    <x v="0"/>
  </r>
  <r>
    <x v="1690"/>
    <x v="1"/>
    <x v="1"/>
    <x v="0"/>
    <n v="70.7"/>
    <x v="68"/>
    <x v="1624"/>
    <x v="0"/>
    <x v="1"/>
    <x v="1"/>
    <x v="3"/>
  </r>
  <r>
    <x v="1691"/>
    <x v="1"/>
    <x v="0"/>
    <x v="0"/>
    <n v="85.3"/>
    <x v="35"/>
    <x v="1625"/>
    <x v="1"/>
    <x v="0"/>
    <x v="0"/>
    <x v="0"/>
  </r>
  <r>
    <x v="1692"/>
    <x v="0"/>
    <x v="2"/>
    <x v="3"/>
    <n v="75.55"/>
    <x v="28"/>
    <x v="1626"/>
    <x v="0"/>
    <x v="1"/>
    <x v="1"/>
    <x v="3"/>
  </r>
  <r>
    <x v="1693"/>
    <x v="1"/>
    <x v="2"/>
    <x v="0"/>
    <n v="84.8"/>
    <x v="16"/>
    <x v="1627"/>
    <x v="0"/>
    <x v="2"/>
    <x v="1"/>
    <x v="3"/>
  </r>
  <r>
    <x v="1694"/>
    <x v="0"/>
    <x v="1"/>
    <x v="1"/>
    <n v="20.65"/>
    <x v="41"/>
    <x v="1628"/>
    <x v="0"/>
    <x v="0"/>
    <x v="1"/>
    <x v="1"/>
  </r>
  <r>
    <x v="1695"/>
    <x v="1"/>
    <x v="2"/>
    <x v="2"/>
    <n v="20.45"/>
    <x v="20"/>
    <x v="1629"/>
    <x v="0"/>
    <x v="0"/>
    <x v="1"/>
    <x v="1"/>
  </r>
  <r>
    <x v="1696"/>
    <x v="0"/>
    <x v="1"/>
    <x v="3"/>
    <n v="102.45"/>
    <x v="33"/>
    <x v="1630"/>
    <x v="1"/>
    <x v="2"/>
    <x v="1"/>
    <x v="3"/>
  </r>
  <r>
    <x v="1697"/>
    <x v="0"/>
    <x v="0"/>
    <x v="2"/>
    <n v="104.4"/>
    <x v="17"/>
    <x v="1631"/>
    <x v="1"/>
    <x v="1"/>
    <x v="2"/>
    <x v="2"/>
  </r>
  <r>
    <x v="1698"/>
    <x v="1"/>
    <x v="0"/>
    <x v="0"/>
    <n v="35.65"/>
    <x v="26"/>
    <x v="1632"/>
    <x v="0"/>
    <x v="0"/>
    <x v="0"/>
    <x v="0"/>
  </r>
  <r>
    <x v="1699"/>
    <x v="1"/>
    <x v="0"/>
    <x v="0"/>
    <n v="99.75"/>
    <x v="0"/>
    <x v="1633"/>
    <x v="1"/>
    <x v="0"/>
    <x v="0"/>
    <x v="0"/>
  </r>
  <r>
    <x v="1700"/>
    <x v="0"/>
    <x v="0"/>
    <x v="0"/>
    <n v="90.45"/>
    <x v="49"/>
    <x v="1634"/>
    <x v="0"/>
    <x v="1"/>
    <x v="1"/>
    <x v="3"/>
  </r>
  <r>
    <x v="1701"/>
    <x v="1"/>
    <x v="2"/>
    <x v="3"/>
    <n v="97.65"/>
    <x v="14"/>
    <x v="1635"/>
    <x v="0"/>
    <x v="2"/>
    <x v="1"/>
    <x v="3"/>
  </r>
  <r>
    <x v="1702"/>
    <x v="0"/>
    <x v="0"/>
    <x v="0"/>
    <n v="73.849999999999994"/>
    <x v="35"/>
    <x v="1636"/>
    <x v="0"/>
    <x v="0"/>
    <x v="0"/>
    <x v="0"/>
  </r>
  <r>
    <x v="1703"/>
    <x v="1"/>
    <x v="0"/>
    <x v="0"/>
    <n v="74.400000000000006"/>
    <x v="54"/>
    <x v="1637"/>
    <x v="1"/>
    <x v="0"/>
    <x v="0"/>
    <x v="0"/>
  </r>
  <r>
    <x v="1704"/>
    <x v="1"/>
    <x v="2"/>
    <x v="3"/>
    <n v="69.099999999999994"/>
    <x v="19"/>
    <x v="1638"/>
    <x v="0"/>
    <x v="1"/>
    <x v="1"/>
    <x v="1"/>
  </r>
  <r>
    <x v="1705"/>
    <x v="0"/>
    <x v="0"/>
    <x v="0"/>
    <n v="82.75"/>
    <x v="24"/>
    <x v="1639"/>
    <x v="0"/>
    <x v="0"/>
    <x v="0"/>
    <x v="0"/>
  </r>
  <r>
    <x v="1706"/>
    <x v="0"/>
    <x v="2"/>
    <x v="3"/>
    <n v="24.4"/>
    <x v="16"/>
    <x v="1640"/>
    <x v="0"/>
    <x v="0"/>
    <x v="1"/>
    <x v="3"/>
  </r>
  <r>
    <x v="1707"/>
    <x v="0"/>
    <x v="1"/>
    <x v="0"/>
    <n v="55.25"/>
    <x v="44"/>
    <x v="1641"/>
    <x v="0"/>
    <x v="0"/>
    <x v="1"/>
    <x v="1"/>
  </r>
  <r>
    <x v="1708"/>
    <x v="1"/>
    <x v="0"/>
    <x v="2"/>
    <n v="61.35"/>
    <x v="15"/>
    <x v="1642"/>
    <x v="0"/>
    <x v="1"/>
    <x v="1"/>
    <x v="3"/>
  </r>
  <r>
    <x v="1709"/>
    <x v="1"/>
    <x v="1"/>
    <x v="3"/>
    <n v="76.75"/>
    <x v="47"/>
    <x v="1643"/>
    <x v="0"/>
    <x v="2"/>
    <x v="1"/>
    <x v="3"/>
  </r>
  <r>
    <x v="1710"/>
    <x v="0"/>
    <x v="2"/>
    <x v="1"/>
    <n v="19.399999999999999"/>
    <x v="25"/>
    <x v="1644"/>
    <x v="0"/>
    <x v="0"/>
    <x v="1"/>
    <x v="1"/>
  </r>
  <r>
    <x v="1711"/>
    <x v="1"/>
    <x v="0"/>
    <x v="3"/>
    <n v="54.75"/>
    <x v="4"/>
    <x v="1645"/>
    <x v="0"/>
    <x v="0"/>
    <x v="0"/>
    <x v="0"/>
  </r>
  <r>
    <x v="1712"/>
    <x v="1"/>
    <x v="2"/>
    <x v="3"/>
    <n v="19.7"/>
    <x v="21"/>
    <x v="1646"/>
    <x v="0"/>
    <x v="0"/>
    <x v="1"/>
    <x v="3"/>
  </r>
  <r>
    <x v="1713"/>
    <x v="0"/>
    <x v="1"/>
    <x v="2"/>
    <n v="19.899999999999999"/>
    <x v="22"/>
    <x v="1647"/>
    <x v="0"/>
    <x v="0"/>
    <x v="2"/>
    <x v="2"/>
  </r>
  <r>
    <x v="1714"/>
    <x v="1"/>
    <x v="0"/>
    <x v="0"/>
    <n v="107.95"/>
    <x v="35"/>
    <x v="666"/>
    <x v="0"/>
    <x v="0"/>
    <x v="0"/>
    <x v="0"/>
  </r>
  <r>
    <x v="1715"/>
    <x v="0"/>
    <x v="0"/>
    <x v="2"/>
    <n v="83.8"/>
    <x v="2"/>
    <x v="1648"/>
    <x v="0"/>
    <x v="0"/>
    <x v="0"/>
    <x v="0"/>
  </r>
  <r>
    <x v="1716"/>
    <x v="0"/>
    <x v="0"/>
    <x v="3"/>
    <n v="74.25"/>
    <x v="34"/>
    <x v="1649"/>
    <x v="1"/>
    <x v="0"/>
    <x v="0"/>
    <x v="0"/>
  </r>
  <r>
    <x v="1717"/>
    <x v="0"/>
    <x v="1"/>
    <x v="3"/>
    <n v="56.4"/>
    <x v="69"/>
    <x v="1650"/>
    <x v="0"/>
    <x v="1"/>
    <x v="1"/>
    <x v="3"/>
  </r>
  <r>
    <x v="1718"/>
    <x v="0"/>
    <x v="2"/>
    <x v="1"/>
    <n v="20.100000000000001"/>
    <x v="53"/>
    <x v="1651"/>
    <x v="0"/>
    <x v="0"/>
    <x v="0"/>
    <x v="0"/>
  </r>
  <r>
    <x v="1719"/>
    <x v="0"/>
    <x v="0"/>
    <x v="0"/>
    <n v="94.9"/>
    <x v="35"/>
    <x v="1652"/>
    <x v="0"/>
    <x v="0"/>
    <x v="0"/>
    <x v="0"/>
  </r>
  <r>
    <x v="1720"/>
    <x v="0"/>
    <x v="0"/>
    <x v="0"/>
    <n v="94.2"/>
    <x v="22"/>
    <x v="1653"/>
    <x v="0"/>
    <x v="0"/>
    <x v="2"/>
    <x v="2"/>
  </r>
  <r>
    <x v="1721"/>
    <x v="1"/>
    <x v="0"/>
    <x v="0"/>
    <n v="49.9"/>
    <x v="19"/>
    <x v="1654"/>
    <x v="0"/>
    <x v="0"/>
    <x v="1"/>
    <x v="1"/>
  </r>
  <r>
    <x v="1722"/>
    <x v="1"/>
    <x v="0"/>
    <x v="0"/>
    <n v="71.05"/>
    <x v="36"/>
    <x v="1655"/>
    <x v="0"/>
    <x v="1"/>
    <x v="1"/>
    <x v="1"/>
  </r>
  <r>
    <x v="1723"/>
    <x v="0"/>
    <x v="2"/>
    <x v="2"/>
    <n v="81.650000000000006"/>
    <x v="3"/>
    <x v="1656"/>
    <x v="0"/>
    <x v="1"/>
    <x v="1"/>
    <x v="1"/>
  </r>
  <r>
    <x v="1724"/>
    <x v="1"/>
    <x v="1"/>
    <x v="2"/>
    <n v="89.45"/>
    <x v="38"/>
    <x v="1657"/>
    <x v="0"/>
    <x v="2"/>
    <x v="1"/>
    <x v="3"/>
  </r>
  <r>
    <x v="1725"/>
    <x v="1"/>
    <x v="0"/>
    <x v="0"/>
    <n v="59.85"/>
    <x v="0"/>
    <x v="1658"/>
    <x v="1"/>
    <x v="0"/>
    <x v="0"/>
    <x v="0"/>
  </r>
  <r>
    <x v="1726"/>
    <x v="0"/>
    <x v="0"/>
    <x v="0"/>
    <n v="69.599999999999994"/>
    <x v="0"/>
    <x v="1659"/>
    <x v="1"/>
    <x v="0"/>
    <x v="0"/>
    <x v="0"/>
  </r>
  <r>
    <x v="1727"/>
    <x v="1"/>
    <x v="1"/>
    <x v="0"/>
    <n v="99"/>
    <x v="59"/>
    <x v="1660"/>
    <x v="0"/>
    <x v="2"/>
    <x v="1"/>
    <x v="3"/>
  </r>
  <r>
    <x v="1728"/>
    <x v="1"/>
    <x v="0"/>
    <x v="1"/>
    <n v="19.05"/>
    <x v="0"/>
    <x v="1661"/>
    <x v="0"/>
    <x v="0"/>
    <x v="0"/>
    <x v="0"/>
  </r>
  <r>
    <x v="1729"/>
    <x v="1"/>
    <x v="0"/>
    <x v="0"/>
    <n v="45.4"/>
    <x v="34"/>
    <x v="1662"/>
    <x v="1"/>
    <x v="0"/>
    <x v="0"/>
    <x v="0"/>
  </r>
  <r>
    <x v="1730"/>
    <x v="1"/>
    <x v="2"/>
    <x v="2"/>
    <n v="114.45"/>
    <x v="21"/>
    <x v="1622"/>
    <x v="0"/>
    <x v="2"/>
    <x v="1"/>
    <x v="3"/>
  </r>
  <r>
    <x v="1731"/>
    <x v="0"/>
    <x v="0"/>
    <x v="1"/>
    <n v="19.5"/>
    <x v="0"/>
    <x v="1663"/>
    <x v="1"/>
    <x v="0"/>
    <x v="0"/>
    <x v="0"/>
  </r>
  <r>
    <x v="1732"/>
    <x v="0"/>
    <x v="0"/>
    <x v="1"/>
    <n v="44.25"/>
    <x v="40"/>
    <x v="1664"/>
    <x v="0"/>
    <x v="0"/>
    <x v="0"/>
    <x v="0"/>
  </r>
  <r>
    <x v="1733"/>
    <x v="0"/>
    <x v="1"/>
    <x v="2"/>
    <n v="90.55"/>
    <x v="33"/>
    <x v="1665"/>
    <x v="0"/>
    <x v="2"/>
    <x v="1"/>
    <x v="3"/>
  </r>
  <r>
    <x v="1734"/>
    <x v="1"/>
    <x v="0"/>
    <x v="0"/>
    <n v="69.900000000000006"/>
    <x v="0"/>
    <x v="946"/>
    <x v="1"/>
    <x v="0"/>
    <x v="0"/>
    <x v="0"/>
  </r>
  <r>
    <x v="1735"/>
    <x v="1"/>
    <x v="0"/>
    <x v="2"/>
    <n v="20.399999999999999"/>
    <x v="63"/>
    <x v="1666"/>
    <x v="0"/>
    <x v="0"/>
    <x v="1"/>
    <x v="1"/>
  </r>
  <r>
    <x v="1736"/>
    <x v="1"/>
    <x v="0"/>
    <x v="2"/>
    <n v="71.400000000000006"/>
    <x v="10"/>
    <x v="1667"/>
    <x v="0"/>
    <x v="0"/>
    <x v="2"/>
    <x v="2"/>
  </r>
  <r>
    <x v="1737"/>
    <x v="0"/>
    <x v="0"/>
    <x v="2"/>
    <n v="87.15"/>
    <x v="2"/>
    <x v="1668"/>
    <x v="1"/>
    <x v="0"/>
    <x v="0"/>
    <x v="0"/>
  </r>
  <r>
    <x v="1738"/>
    <x v="1"/>
    <x v="2"/>
    <x v="3"/>
    <n v="24.85"/>
    <x v="56"/>
    <x v="1669"/>
    <x v="0"/>
    <x v="0"/>
    <x v="1"/>
    <x v="3"/>
  </r>
  <r>
    <x v="1739"/>
    <x v="0"/>
    <x v="1"/>
    <x v="2"/>
    <n v="104.45"/>
    <x v="52"/>
    <x v="1670"/>
    <x v="0"/>
    <x v="1"/>
    <x v="1"/>
    <x v="1"/>
  </r>
  <r>
    <x v="1740"/>
    <x v="0"/>
    <x v="2"/>
    <x v="3"/>
    <n v="19.8"/>
    <x v="39"/>
    <x v="1671"/>
    <x v="0"/>
    <x v="0"/>
    <x v="1"/>
    <x v="3"/>
  </r>
  <r>
    <x v="1741"/>
    <x v="0"/>
    <x v="2"/>
    <x v="2"/>
    <n v="116.45"/>
    <x v="21"/>
    <x v="1672"/>
    <x v="0"/>
    <x v="2"/>
    <x v="1"/>
    <x v="3"/>
  </r>
  <r>
    <x v="1742"/>
    <x v="0"/>
    <x v="0"/>
    <x v="2"/>
    <n v="84.75"/>
    <x v="35"/>
    <x v="1673"/>
    <x v="1"/>
    <x v="0"/>
    <x v="0"/>
    <x v="0"/>
  </r>
  <r>
    <x v="1743"/>
    <x v="0"/>
    <x v="2"/>
    <x v="3"/>
    <n v="20.05"/>
    <x v="68"/>
    <x v="1674"/>
    <x v="0"/>
    <x v="0"/>
    <x v="1"/>
    <x v="3"/>
  </r>
  <r>
    <x v="1744"/>
    <x v="1"/>
    <x v="0"/>
    <x v="0"/>
    <n v="110.75"/>
    <x v="15"/>
    <x v="1675"/>
    <x v="0"/>
    <x v="2"/>
    <x v="1"/>
    <x v="3"/>
  </r>
  <r>
    <x v="1745"/>
    <x v="0"/>
    <x v="2"/>
    <x v="2"/>
    <n v="89.7"/>
    <x v="37"/>
    <x v="1676"/>
    <x v="0"/>
    <x v="1"/>
    <x v="1"/>
    <x v="3"/>
  </r>
  <r>
    <x v="1746"/>
    <x v="1"/>
    <x v="0"/>
    <x v="0"/>
    <n v="89.95"/>
    <x v="60"/>
    <x v="1677"/>
    <x v="1"/>
    <x v="0"/>
    <x v="2"/>
    <x v="2"/>
  </r>
  <r>
    <x v="1747"/>
    <x v="1"/>
    <x v="1"/>
    <x v="3"/>
    <n v="48.7"/>
    <x v="23"/>
    <x v="1678"/>
    <x v="0"/>
    <x v="0"/>
    <x v="1"/>
    <x v="1"/>
  </r>
  <r>
    <x v="1748"/>
    <x v="0"/>
    <x v="2"/>
    <x v="2"/>
    <n v="96.6"/>
    <x v="21"/>
    <x v="1679"/>
    <x v="0"/>
    <x v="2"/>
    <x v="1"/>
    <x v="3"/>
  </r>
  <r>
    <x v="1749"/>
    <x v="1"/>
    <x v="1"/>
    <x v="3"/>
    <n v="74.3"/>
    <x v="8"/>
    <x v="1680"/>
    <x v="0"/>
    <x v="1"/>
    <x v="1"/>
    <x v="3"/>
  </r>
  <r>
    <x v="1750"/>
    <x v="0"/>
    <x v="0"/>
    <x v="0"/>
    <n v="54.3"/>
    <x v="18"/>
    <x v="1681"/>
    <x v="0"/>
    <x v="0"/>
    <x v="2"/>
    <x v="0"/>
  </r>
  <r>
    <x v="1751"/>
    <x v="0"/>
    <x v="1"/>
    <x v="2"/>
    <n v="74.849999999999994"/>
    <x v="66"/>
    <x v="1682"/>
    <x v="0"/>
    <x v="1"/>
    <x v="1"/>
    <x v="1"/>
  </r>
  <r>
    <x v="1752"/>
    <x v="1"/>
    <x v="2"/>
    <x v="2"/>
    <n v="79.95"/>
    <x v="68"/>
    <x v="1683"/>
    <x v="0"/>
    <x v="1"/>
    <x v="1"/>
    <x v="3"/>
  </r>
  <r>
    <x v="1753"/>
    <x v="0"/>
    <x v="2"/>
    <x v="2"/>
    <n v="20.05"/>
    <x v="47"/>
    <x v="1684"/>
    <x v="0"/>
    <x v="0"/>
    <x v="1"/>
    <x v="3"/>
  </r>
  <r>
    <x v="1754"/>
    <x v="1"/>
    <x v="0"/>
    <x v="1"/>
    <n v="19.399999999999999"/>
    <x v="61"/>
    <x v="1685"/>
    <x v="0"/>
    <x v="0"/>
    <x v="2"/>
    <x v="2"/>
  </r>
  <r>
    <x v="1755"/>
    <x v="1"/>
    <x v="1"/>
    <x v="2"/>
    <n v="54.9"/>
    <x v="37"/>
    <x v="1686"/>
    <x v="0"/>
    <x v="1"/>
    <x v="1"/>
    <x v="3"/>
  </r>
  <r>
    <x v="1756"/>
    <x v="1"/>
    <x v="2"/>
    <x v="3"/>
    <n v="24.45"/>
    <x v="11"/>
    <x v="1687"/>
    <x v="0"/>
    <x v="0"/>
    <x v="1"/>
    <x v="3"/>
  </r>
  <r>
    <x v="1757"/>
    <x v="1"/>
    <x v="0"/>
    <x v="2"/>
    <n v="89.65"/>
    <x v="42"/>
    <x v="1688"/>
    <x v="0"/>
    <x v="1"/>
    <x v="1"/>
    <x v="1"/>
  </r>
  <r>
    <x v="1758"/>
    <x v="0"/>
    <x v="0"/>
    <x v="0"/>
    <n v="45.4"/>
    <x v="2"/>
    <x v="1689"/>
    <x v="0"/>
    <x v="0"/>
    <x v="0"/>
    <x v="0"/>
  </r>
  <r>
    <x v="1759"/>
    <x v="1"/>
    <x v="2"/>
    <x v="1"/>
    <n v="75.7"/>
    <x v="28"/>
    <x v="1690"/>
    <x v="0"/>
    <x v="1"/>
    <x v="1"/>
    <x v="3"/>
  </r>
  <r>
    <x v="1760"/>
    <x v="0"/>
    <x v="1"/>
    <x v="3"/>
    <n v="110.65"/>
    <x v="11"/>
    <x v="1691"/>
    <x v="0"/>
    <x v="2"/>
    <x v="1"/>
    <x v="3"/>
  </r>
  <r>
    <x v="1761"/>
    <x v="0"/>
    <x v="1"/>
    <x v="1"/>
    <n v="20.55"/>
    <x v="23"/>
    <x v="1692"/>
    <x v="0"/>
    <x v="0"/>
    <x v="1"/>
    <x v="1"/>
  </r>
  <r>
    <x v="1762"/>
    <x v="0"/>
    <x v="2"/>
    <x v="3"/>
    <n v="115.15"/>
    <x v="16"/>
    <x v="1693"/>
    <x v="0"/>
    <x v="2"/>
    <x v="1"/>
    <x v="3"/>
  </r>
  <r>
    <x v="1763"/>
    <x v="0"/>
    <x v="1"/>
    <x v="3"/>
    <n v="58.55"/>
    <x v="28"/>
    <x v="1694"/>
    <x v="0"/>
    <x v="1"/>
    <x v="1"/>
    <x v="3"/>
  </r>
  <r>
    <x v="1764"/>
    <x v="1"/>
    <x v="0"/>
    <x v="2"/>
    <n v="93.25"/>
    <x v="16"/>
    <x v="1695"/>
    <x v="0"/>
    <x v="2"/>
    <x v="1"/>
    <x v="3"/>
  </r>
  <r>
    <x v="1765"/>
    <x v="0"/>
    <x v="0"/>
    <x v="0"/>
    <n v="113.2"/>
    <x v="52"/>
    <x v="1696"/>
    <x v="1"/>
    <x v="1"/>
    <x v="1"/>
    <x v="1"/>
  </r>
  <r>
    <x v="1766"/>
    <x v="1"/>
    <x v="0"/>
    <x v="0"/>
    <n v="90.5"/>
    <x v="9"/>
    <x v="1697"/>
    <x v="1"/>
    <x v="0"/>
    <x v="2"/>
    <x v="2"/>
  </r>
  <r>
    <x v="1767"/>
    <x v="1"/>
    <x v="0"/>
    <x v="0"/>
    <n v="79"/>
    <x v="2"/>
    <x v="1434"/>
    <x v="1"/>
    <x v="0"/>
    <x v="0"/>
    <x v="0"/>
  </r>
  <r>
    <x v="1768"/>
    <x v="0"/>
    <x v="2"/>
    <x v="2"/>
    <n v="19.350000000000001"/>
    <x v="47"/>
    <x v="1698"/>
    <x v="0"/>
    <x v="0"/>
    <x v="1"/>
    <x v="3"/>
  </r>
  <r>
    <x v="1769"/>
    <x v="1"/>
    <x v="0"/>
    <x v="1"/>
    <n v="48.75"/>
    <x v="0"/>
    <x v="1699"/>
    <x v="0"/>
    <x v="0"/>
    <x v="0"/>
    <x v="0"/>
  </r>
  <r>
    <x v="1770"/>
    <x v="1"/>
    <x v="2"/>
    <x v="0"/>
    <n v="109.05"/>
    <x v="45"/>
    <x v="1700"/>
    <x v="0"/>
    <x v="2"/>
    <x v="1"/>
    <x v="3"/>
  </r>
  <r>
    <x v="1771"/>
    <x v="1"/>
    <x v="2"/>
    <x v="2"/>
    <n v="25"/>
    <x v="21"/>
    <x v="1610"/>
    <x v="0"/>
    <x v="0"/>
    <x v="1"/>
    <x v="3"/>
  </r>
  <r>
    <x v="1772"/>
    <x v="0"/>
    <x v="0"/>
    <x v="3"/>
    <n v="54.9"/>
    <x v="7"/>
    <x v="1701"/>
    <x v="0"/>
    <x v="0"/>
    <x v="1"/>
    <x v="1"/>
  </r>
  <r>
    <x v="1773"/>
    <x v="1"/>
    <x v="2"/>
    <x v="3"/>
    <n v="24.75"/>
    <x v="21"/>
    <x v="1702"/>
    <x v="0"/>
    <x v="0"/>
    <x v="1"/>
    <x v="3"/>
  </r>
  <r>
    <x v="1774"/>
    <x v="0"/>
    <x v="0"/>
    <x v="0"/>
    <n v="91.15"/>
    <x v="2"/>
    <x v="1703"/>
    <x v="0"/>
    <x v="0"/>
    <x v="0"/>
    <x v="0"/>
  </r>
  <r>
    <x v="1775"/>
    <x v="0"/>
    <x v="1"/>
    <x v="2"/>
    <n v="20.149999999999999"/>
    <x v="32"/>
    <x v="1704"/>
    <x v="1"/>
    <x v="0"/>
    <x v="2"/>
    <x v="2"/>
  </r>
  <r>
    <x v="1776"/>
    <x v="1"/>
    <x v="1"/>
    <x v="0"/>
    <n v="104.35"/>
    <x v="31"/>
    <x v="1705"/>
    <x v="0"/>
    <x v="2"/>
    <x v="1"/>
    <x v="3"/>
  </r>
  <r>
    <x v="1777"/>
    <x v="0"/>
    <x v="0"/>
    <x v="0"/>
    <n v="66.05"/>
    <x v="70"/>
    <x v="1706"/>
    <x v="0"/>
    <x v="0"/>
    <x v="1"/>
    <x v="1"/>
  </r>
  <r>
    <x v="1778"/>
    <x v="1"/>
    <x v="0"/>
    <x v="0"/>
    <n v="71.650000000000006"/>
    <x v="0"/>
    <x v="1707"/>
    <x v="1"/>
    <x v="0"/>
    <x v="0"/>
    <x v="0"/>
  </r>
  <r>
    <x v="1779"/>
    <x v="0"/>
    <x v="0"/>
    <x v="1"/>
    <n v="20.350000000000001"/>
    <x v="54"/>
    <x v="1277"/>
    <x v="1"/>
    <x v="0"/>
    <x v="0"/>
    <x v="0"/>
  </r>
  <r>
    <x v="1780"/>
    <x v="1"/>
    <x v="2"/>
    <x v="3"/>
    <n v="92.2"/>
    <x v="47"/>
    <x v="1708"/>
    <x v="0"/>
    <x v="2"/>
    <x v="1"/>
    <x v="3"/>
  </r>
  <r>
    <x v="1781"/>
    <x v="0"/>
    <x v="0"/>
    <x v="3"/>
    <n v="84.25"/>
    <x v="46"/>
    <x v="1709"/>
    <x v="1"/>
    <x v="1"/>
    <x v="1"/>
    <x v="1"/>
  </r>
  <r>
    <x v="1782"/>
    <x v="0"/>
    <x v="1"/>
    <x v="2"/>
    <n v="105.2"/>
    <x v="41"/>
    <x v="1710"/>
    <x v="0"/>
    <x v="1"/>
    <x v="1"/>
    <x v="1"/>
  </r>
  <r>
    <x v="1783"/>
    <x v="0"/>
    <x v="2"/>
    <x v="2"/>
    <n v="19.600000000000001"/>
    <x v="58"/>
    <x v="137"/>
    <x v="0"/>
    <x v="0"/>
    <x v="1"/>
    <x v="3"/>
  </r>
  <r>
    <x v="1784"/>
    <x v="1"/>
    <x v="0"/>
    <x v="0"/>
    <n v="30.4"/>
    <x v="68"/>
    <x v="1711"/>
    <x v="0"/>
    <x v="0"/>
    <x v="1"/>
    <x v="3"/>
  </r>
  <r>
    <x v="1785"/>
    <x v="0"/>
    <x v="0"/>
    <x v="2"/>
    <n v="78.099999999999994"/>
    <x v="18"/>
    <x v="1712"/>
    <x v="1"/>
    <x v="0"/>
    <x v="2"/>
    <x v="0"/>
  </r>
  <r>
    <x v="1786"/>
    <x v="0"/>
    <x v="1"/>
    <x v="1"/>
    <n v="61.5"/>
    <x v="66"/>
    <x v="1713"/>
    <x v="0"/>
    <x v="1"/>
    <x v="1"/>
    <x v="1"/>
  </r>
  <r>
    <x v="1787"/>
    <x v="1"/>
    <x v="0"/>
    <x v="2"/>
    <n v="69.400000000000006"/>
    <x v="41"/>
    <x v="1714"/>
    <x v="0"/>
    <x v="1"/>
    <x v="1"/>
    <x v="1"/>
  </r>
  <r>
    <x v="1788"/>
    <x v="1"/>
    <x v="2"/>
    <x v="2"/>
    <n v="24.75"/>
    <x v="21"/>
    <x v="1702"/>
    <x v="0"/>
    <x v="0"/>
    <x v="1"/>
    <x v="3"/>
  </r>
  <r>
    <x v="1789"/>
    <x v="0"/>
    <x v="2"/>
    <x v="1"/>
    <n v="91.05"/>
    <x v="16"/>
    <x v="1715"/>
    <x v="0"/>
    <x v="2"/>
    <x v="1"/>
    <x v="3"/>
  </r>
  <r>
    <x v="1790"/>
    <x v="0"/>
    <x v="0"/>
    <x v="1"/>
    <n v="89.65"/>
    <x v="67"/>
    <x v="1716"/>
    <x v="1"/>
    <x v="0"/>
    <x v="2"/>
    <x v="2"/>
  </r>
  <r>
    <x v="1791"/>
    <x v="0"/>
    <x v="0"/>
    <x v="3"/>
    <n v="73.650000000000006"/>
    <x v="57"/>
    <x v="1717"/>
    <x v="0"/>
    <x v="0"/>
    <x v="2"/>
    <x v="2"/>
  </r>
  <r>
    <x v="1792"/>
    <x v="0"/>
    <x v="2"/>
    <x v="3"/>
    <n v="19.399999999999999"/>
    <x v="19"/>
    <x v="1718"/>
    <x v="0"/>
    <x v="0"/>
    <x v="1"/>
    <x v="1"/>
  </r>
  <r>
    <x v="1793"/>
    <x v="1"/>
    <x v="1"/>
    <x v="2"/>
    <n v="26.2"/>
    <x v="42"/>
    <x v="1719"/>
    <x v="0"/>
    <x v="0"/>
    <x v="1"/>
    <x v="1"/>
  </r>
  <r>
    <x v="1794"/>
    <x v="0"/>
    <x v="0"/>
    <x v="0"/>
    <n v="98.7"/>
    <x v="6"/>
    <x v="1720"/>
    <x v="1"/>
    <x v="0"/>
    <x v="0"/>
    <x v="0"/>
  </r>
  <r>
    <x v="1795"/>
    <x v="1"/>
    <x v="0"/>
    <x v="2"/>
    <n v="43.85"/>
    <x v="0"/>
    <x v="1721"/>
    <x v="0"/>
    <x v="0"/>
    <x v="0"/>
    <x v="0"/>
  </r>
  <r>
    <x v="1796"/>
    <x v="1"/>
    <x v="0"/>
    <x v="1"/>
    <n v="69.7"/>
    <x v="5"/>
    <x v="1722"/>
    <x v="0"/>
    <x v="0"/>
    <x v="2"/>
    <x v="2"/>
  </r>
  <r>
    <x v="1797"/>
    <x v="1"/>
    <x v="2"/>
    <x v="1"/>
    <n v="38.549999999999997"/>
    <x v="40"/>
    <x v="1723"/>
    <x v="0"/>
    <x v="0"/>
    <x v="0"/>
    <x v="0"/>
  </r>
  <r>
    <x v="1798"/>
    <x v="0"/>
    <x v="2"/>
    <x v="1"/>
    <n v="53.1"/>
    <x v="51"/>
    <x v="1724"/>
    <x v="0"/>
    <x v="0"/>
    <x v="1"/>
    <x v="1"/>
  </r>
  <r>
    <x v="1799"/>
    <x v="0"/>
    <x v="0"/>
    <x v="1"/>
    <n v="20.65"/>
    <x v="1"/>
    <x v="1725"/>
    <x v="0"/>
    <x v="0"/>
    <x v="1"/>
    <x v="1"/>
  </r>
  <r>
    <x v="1800"/>
    <x v="1"/>
    <x v="2"/>
    <x v="3"/>
    <n v="64.45"/>
    <x v="21"/>
    <x v="1726"/>
    <x v="0"/>
    <x v="1"/>
    <x v="1"/>
    <x v="3"/>
  </r>
  <r>
    <x v="1801"/>
    <x v="1"/>
    <x v="2"/>
    <x v="3"/>
    <n v="25.1"/>
    <x v="51"/>
    <x v="1727"/>
    <x v="0"/>
    <x v="0"/>
    <x v="1"/>
    <x v="1"/>
  </r>
  <r>
    <x v="1802"/>
    <x v="0"/>
    <x v="0"/>
    <x v="0"/>
    <n v="76.349999999999994"/>
    <x v="0"/>
    <x v="1728"/>
    <x v="1"/>
    <x v="0"/>
    <x v="0"/>
    <x v="0"/>
  </r>
  <r>
    <x v="1803"/>
    <x v="0"/>
    <x v="0"/>
    <x v="0"/>
    <n v="79.150000000000006"/>
    <x v="57"/>
    <x v="1729"/>
    <x v="1"/>
    <x v="0"/>
    <x v="2"/>
    <x v="2"/>
  </r>
  <r>
    <x v="1804"/>
    <x v="1"/>
    <x v="0"/>
    <x v="0"/>
    <n v="85"/>
    <x v="48"/>
    <x v="1730"/>
    <x v="1"/>
    <x v="1"/>
    <x v="1"/>
    <x v="1"/>
  </r>
  <r>
    <x v="1805"/>
    <x v="0"/>
    <x v="1"/>
    <x v="3"/>
    <n v="95.15"/>
    <x v="16"/>
    <x v="1731"/>
    <x v="0"/>
    <x v="2"/>
    <x v="1"/>
    <x v="3"/>
  </r>
  <r>
    <x v="1806"/>
    <x v="0"/>
    <x v="0"/>
    <x v="1"/>
    <n v="79.349999999999994"/>
    <x v="57"/>
    <x v="1732"/>
    <x v="0"/>
    <x v="0"/>
    <x v="2"/>
    <x v="2"/>
  </r>
  <r>
    <x v="1807"/>
    <x v="1"/>
    <x v="1"/>
    <x v="2"/>
    <n v="96.65"/>
    <x v="22"/>
    <x v="1733"/>
    <x v="0"/>
    <x v="0"/>
    <x v="2"/>
    <x v="2"/>
  </r>
  <r>
    <x v="1808"/>
    <x v="1"/>
    <x v="0"/>
    <x v="0"/>
    <n v="75.5"/>
    <x v="0"/>
    <x v="1734"/>
    <x v="0"/>
    <x v="0"/>
    <x v="0"/>
    <x v="0"/>
  </r>
  <r>
    <x v="1809"/>
    <x v="1"/>
    <x v="2"/>
    <x v="1"/>
    <n v="19.7"/>
    <x v="18"/>
    <x v="290"/>
    <x v="0"/>
    <x v="0"/>
    <x v="2"/>
    <x v="0"/>
  </r>
  <r>
    <x v="1810"/>
    <x v="0"/>
    <x v="2"/>
    <x v="3"/>
    <n v="20.5"/>
    <x v="21"/>
    <x v="1735"/>
    <x v="0"/>
    <x v="0"/>
    <x v="1"/>
    <x v="3"/>
  </r>
  <r>
    <x v="1811"/>
    <x v="1"/>
    <x v="0"/>
    <x v="1"/>
    <n v="19.2"/>
    <x v="0"/>
    <x v="1736"/>
    <x v="0"/>
    <x v="0"/>
    <x v="0"/>
    <x v="0"/>
  </r>
  <r>
    <x v="1812"/>
    <x v="1"/>
    <x v="2"/>
    <x v="2"/>
    <n v="98.35"/>
    <x v="21"/>
    <x v="1737"/>
    <x v="0"/>
    <x v="2"/>
    <x v="1"/>
    <x v="3"/>
  </r>
  <r>
    <x v="1813"/>
    <x v="1"/>
    <x v="0"/>
    <x v="2"/>
    <n v="74.349999999999994"/>
    <x v="31"/>
    <x v="1738"/>
    <x v="0"/>
    <x v="1"/>
    <x v="1"/>
    <x v="3"/>
  </r>
  <r>
    <x v="1814"/>
    <x v="0"/>
    <x v="2"/>
    <x v="3"/>
    <n v="51.35"/>
    <x v="59"/>
    <x v="1739"/>
    <x v="0"/>
    <x v="1"/>
    <x v="1"/>
    <x v="3"/>
  </r>
  <r>
    <x v="1815"/>
    <x v="0"/>
    <x v="0"/>
    <x v="1"/>
    <n v="45.65"/>
    <x v="53"/>
    <x v="1740"/>
    <x v="0"/>
    <x v="0"/>
    <x v="0"/>
    <x v="0"/>
  </r>
  <r>
    <x v="1816"/>
    <x v="1"/>
    <x v="0"/>
    <x v="0"/>
    <n v="85.3"/>
    <x v="48"/>
    <x v="1741"/>
    <x v="1"/>
    <x v="1"/>
    <x v="1"/>
    <x v="1"/>
  </r>
  <r>
    <x v="1817"/>
    <x v="0"/>
    <x v="0"/>
    <x v="3"/>
    <n v="86.55"/>
    <x v="36"/>
    <x v="1742"/>
    <x v="1"/>
    <x v="1"/>
    <x v="1"/>
    <x v="1"/>
  </r>
  <r>
    <x v="1818"/>
    <x v="1"/>
    <x v="0"/>
    <x v="3"/>
    <n v="73.849999999999994"/>
    <x v="67"/>
    <x v="1743"/>
    <x v="1"/>
    <x v="0"/>
    <x v="2"/>
    <x v="2"/>
  </r>
  <r>
    <x v="1819"/>
    <x v="1"/>
    <x v="2"/>
    <x v="2"/>
    <n v="20.3"/>
    <x v="21"/>
    <x v="1744"/>
    <x v="0"/>
    <x v="0"/>
    <x v="1"/>
    <x v="3"/>
  </r>
  <r>
    <x v="1820"/>
    <x v="0"/>
    <x v="0"/>
    <x v="0"/>
    <n v="54.2"/>
    <x v="48"/>
    <x v="1745"/>
    <x v="0"/>
    <x v="0"/>
    <x v="1"/>
    <x v="1"/>
  </r>
  <r>
    <x v="1821"/>
    <x v="1"/>
    <x v="0"/>
    <x v="0"/>
    <n v="90.65"/>
    <x v="45"/>
    <x v="1746"/>
    <x v="0"/>
    <x v="2"/>
    <x v="1"/>
    <x v="3"/>
  </r>
  <r>
    <x v="1822"/>
    <x v="0"/>
    <x v="0"/>
    <x v="2"/>
    <n v="50.9"/>
    <x v="3"/>
    <x v="1747"/>
    <x v="0"/>
    <x v="1"/>
    <x v="1"/>
    <x v="1"/>
  </r>
  <r>
    <x v="1823"/>
    <x v="1"/>
    <x v="1"/>
    <x v="0"/>
    <n v="25.05"/>
    <x v="41"/>
    <x v="1748"/>
    <x v="0"/>
    <x v="0"/>
    <x v="1"/>
    <x v="1"/>
  </r>
  <r>
    <x v="1824"/>
    <x v="1"/>
    <x v="0"/>
    <x v="0"/>
    <n v="74.849999999999994"/>
    <x v="4"/>
    <x v="1749"/>
    <x v="0"/>
    <x v="0"/>
    <x v="0"/>
    <x v="0"/>
  </r>
  <r>
    <x v="1825"/>
    <x v="1"/>
    <x v="2"/>
    <x v="1"/>
    <n v="20.5"/>
    <x v="48"/>
    <x v="1750"/>
    <x v="0"/>
    <x v="0"/>
    <x v="1"/>
    <x v="1"/>
  </r>
  <r>
    <x v="1826"/>
    <x v="0"/>
    <x v="0"/>
    <x v="1"/>
    <n v="63.55"/>
    <x v="5"/>
    <x v="1751"/>
    <x v="0"/>
    <x v="0"/>
    <x v="2"/>
    <x v="2"/>
  </r>
  <r>
    <x v="1827"/>
    <x v="1"/>
    <x v="0"/>
    <x v="0"/>
    <n v="44.85"/>
    <x v="58"/>
    <x v="1752"/>
    <x v="1"/>
    <x v="1"/>
    <x v="1"/>
    <x v="3"/>
  </r>
  <r>
    <x v="1828"/>
    <x v="1"/>
    <x v="0"/>
    <x v="0"/>
    <n v="47.95"/>
    <x v="0"/>
    <x v="1753"/>
    <x v="0"/>
    <x v="0"/>
    <x v="0"/>
    <x v="0"/>
  </r>
  <r>
    <x v="1829"/>
    <x v="1"/>
    <x v="0"/>
    <x v="0"/>
    <n v="45.1"/>
    <x v="0"/>
    <x v="1754"/>
    <x v="1"/>
    <x v="0"/>
    <x v="0"/>
    <x v="0"/>
  </r>
  <r>
    <x v="1830"/>
    <x v="0"/>
    <x v="0"/>
    <x v="0"/>
    <n v="45"/>
    <x v="0"/>
    <x v="1755"/>
    <x v="0"/>
    <x v="0"/>
    <x v="0"/>
    <x v="0"/>
  </r>
  <r>
    <x v="1831"/>
    <x v="1"/>
    <x v="0"/>
    <x v="0"/>
    <n v="96"/>
    <x v="65"/>
    <x v="1756"/>
    <x v="1"/>
    <x v="1"/>
    <x v="1"/>
    <x v="2"/>
  </r>
  <r>
    <x v="1832"/>
    <x v="1"/>
    <x v="0"/>
    <x v="2"/>
    <n v="20.05"/>
    <x v="0"/>
    <x v="650"/>
    <x v="1"/>
    <x v="0"/>
    <x v="0"/>
    <x v="0"/>
  </r>
  <r>
    <x v="1833"/>
    <x v="1"/>
    <x v="0"/>
    <x v="0"/>
    <n v="90.05"/>
    <x v="68"/>
    <x v="1757"/>
    <x v="0"/>
    <x v="1"/>
    <x v="1"/>
    <x v="3"/>
  </r>
  <r>
    <x v="1834"/>
    <x v="0"/>
    <x v="2"/>
    <x v="3"/>
    <n v="25.3"/>
    <x v="54"/>
    <x v="1758"/>
    <x v="0"/>
    <x v="0"/>
    <x v="0"/>
    <x v="0"/>
  </r>
  <r>
    <x v="1835"/>
    <x v="1"/>
    <x v="2"/>
    <x v="2"/>
    <n v="108.65"/>
    <x v="45"/>
    <x v="1759"/>
    <x v="1"/>
    <x v="2"/>
    <x v="1"/>
    <x v="3"/>
  </r>
  <r>
    <x v="1836"/>
    <x v="0"/>
    <x v="1"/>
    <x v="0"/>
    <n v="24.3"/>
    <x v="39"/>
    <x v="422"/>
    <x v="0"/>
    <x v="0"/>
    <x v="1"/>
    <x v="3"/>
  </r>
  <r>
    <x v="1837"/>
    <x v="1"/>
    <x v="0"/>
    <x v="0"/>
    <n v="75.95"/>
    <x v="3"/>
    <x v="1760"/>
    <x v="0"/>
    <x v="1"/>
    <x v="1"/>
    <x v="1"/>
  </r>
  <r>
    <x v="1838"/>
    <x v="0"/>
    <x v="2"/>
    <x v="3"/>
    <n v="19.7"/>
    <x v="16"/>
    <x v="1761"/>
    <x v="0"/>
    <x v="0"/>
    <x v="1"/>
    <x v="3"/>
  </r>
  <r>
    <x v="1839"/>
    <x v="1"/>
    <x v="1"/>
    <x v="3"/>
    <n v="66.400000000000006"/>
    <x v="64"/>
    <x v="1762"/>
    <x v="0"/>
    <x v="1"/>
    <x v="1"/>
    <x v="3"/>
  </r>
  <r>
    <x v="1840"/>
    <x v="1"/>
    <x v="1"/>
    <x v="2"/>
    <n v="35.75"/>
    <x v="14"/>
    <x v="182"/>
    <x v="0"/>
    <x v="1"/>
    <x v="1"/>
    <x v="3"/>
  </r>
  <r>
    <x v="1841"/>
    <x v="1"/>
    <x v="1"/>
    <x v="1"/>
    <n v="18.8"/>
    <x v="67"/>
    <x v="1763"/>
    <x v="0"/>
    <x v="0"/>
    <x v="2"/>
    <x v="2"/>
  </r>
  <r>
    <x v="1842"/>
    <x v="0"/>
    <x v="2"/>
    <x v="3"/>
    <n v="19.399999999999999"/>
    <x v="49"/>
    <x v="1764"/>
    <x v="0"/>
    <x v="0"/>
    <x v="1"/>
    <x v="3"/>
  </r>
  <r>
    <x v="1843"/>
    <x v="0"/>
    <x v="1"/>
    <x v="1"/>
    <n v="19.3"/>
    <x v="46"/>
    <x v="1765"/>
    <x v="0"/>
    <x v="0"/>
    <x v="1"/>
    <x v="1"/>
  </r>
  <r>
    <x v="1844"/>
    <x v="1"/>
    <x v="0"/>
    <x v="0"/>
    <n v="45.55"/>
    <x v="6"/>
    <x v="1766"/>
    <x v="1"/>
    <x v="0"/>
    <x v="0"/>
    <x v="0"/>
  </r>
  <r>
    <x v="1845"/>
    <x v="0"/>
    <x v="0"/>
    <x v="3"/>
    <n v="67.45"/>
    <x v="20"/>
    <x v="1767"/>
    <x v="0"/>
    <x v="1"/>
    <x v="1"/>
    <x v="1"/>
  </r>
  <r>
    <x v="1846"/>
    <x v="0"/>
    <x v="0"/>
    <x v="0"/>
    <n v="35.1"/>
    <x v="2"/>
    <x v="1768"/>
    <x v="1"/>
    <x v="0"/>
    <x v="0"/>
    <x v="0"/>
  </r>
  <r>
    <x v="1847"/>
    <x v="1"/>
    <x v="0"/>
    <x v="3"/>
    <n v="46.2"/>
    <x v="0"/>
    <x v="1769"/>
    <x v="1"/>
    <x v="0"/>
    <x v="0"/>
    <x v="0"/>
  </r>
  <r>
    <x v="1848"/>
    <x v="0"/>
    <x v="0"/>
    <x v="0"/>
    <n v="45.15"/>
    <x v="0"/>
    <x v="1770"/>
    <x v="1"/>
    <x v="0"/>
    <x v="0"/>
    <x v="0"/>
  </r>
  <r>
    <x v="1849"/>
    <x v="1"/>
    <x v="0"/>
    <x v="0"/>
    <n v="43.3"/>
    <x v="0"/>
    <x v="1771"/>
    <x v="1"/>
    <x v="0"/>
    <x v="0"/>
    <x v="0"/>
  </r>
  <r>
    <x v="1850"/>
    <x v="1"/>
    <x v="2"/>
    <x v="1"/>
    <n v="20.100000000000001"/>
    <x v="25"/>
    <x v="1772"/>
    <x v="0"/>
    <x v="0"/>
    <x v="1"/>
    <x v="1"/>
  </r>
  <r>
    <x v="1851"/>
    <x v="0"/>
    <x v="0"/>
    <x v="3"/>
    <n v="57.15"/>
    <x v="46"/>
    <x v="1773"/>
    <x v="1"/>
    <x v="1"/>
    <x v="1"/>
    <x v="1"/>
  </r>
  <r>
    <x v="1852"/>
    <x v="0"/>
    <x v="2"/>
    <x v="3"/>
    <n v="58.9"/>
    <x v="45"/>
    <x v="1774"/>
    <x v="0"/>
    <x v="1"/>
    <x v="1"/>
    <x v="3"/>
  </r>
  <r>
    <x v="1853"/>
    <x v="0"/>
    <x v="0"/>
    <x v="0"/>
    <n v="73.2"/>
    <x v="67"/>
    <x v="1775"/>
    <x v="1"/>
    <x v="0"/>
    <x v="2"/>
    <x v="2"/>
  </r>
  <r>
    <x v="1854"/>
    <x v="1"/>
    <x v="0"/>
    <x v="0"/>
    <n v="85.35"/>
    <x v="15"/>
    <x v="1776"/>
    <x v="1"/>
    <x v="1"/>
    <x v="1"/>
    <x v="3"/>
  </r>
  <r>
    <x v="1855"/>
    <x v="1"/>
    <x v="2"/>
    <x v="1"/>
    <n v="19.45"/>
    <x v="16"/>
    <x v="1777"/>
    <x v="0"/>
    <x v="0"/>
    <x v="1"/>
    <x v="3"/>
  </r>
  <r>
    <x v="1856"/>
    <x v="0"/>
    <x v="0"/>
    <x v="1"/>
    <n v="45.95"/>
    <x v="0"/>
    <x v="1778"/>
    <x v="1"/>
    <x v="0"/>
    <x v="0"/>
    <x v="0"/>
  </r>
  <r>
    <x v="1857"/>
    <x v="0"/>
    <x v="0"/>
    <x v="0"/>
    <n v="50.5"/>
    <x v="15"/>
    <x v="1779"/>
    <x v="0"/>
    <x v="1"/>
    <x v="1"/>
    <x v="3"/>
  </r>
  <r>
    <x v="1858"/>
    <x v="1"/>
    <x v="1"/>
    <x v="1"/>
    <n v="25.1"/>
    <x v="53"/>
    <x v="1780"/>
    <x v="0"/>
    <x v="0"/>
    <x v="0"/>
    <x v="0"/>
  </r>
  <r>
    <x v="1859"/>
    <x v="0"/>
    <x v="1"/>
    <x v="1"/>
    <n v="60.7"/>
    <x v="70"/>
    <x v="1781"/>
    <x v="0"/>
    <x v="0"/>
    <x v="1"/>
    <x v="1"/>
  </r>
  <r>
    <x v="1860"/>
    <x v="1"/>
    <x v="1"/>
    <x v="0"/>
    <n v="99"/>
    <x v="43"/>
    <x v="1782"/>
    <x v="0"/>
    <x v="1"/>
    <x v="1"/>
    <x v="1"/>
  </r>
  <r>
    <x v="1861"/>
    <x v="0"/>
    <x v="1"/>
    <x v="2"/>
    <n v="104.4"/>
    <x v="38"/>
    <x v="1783"/>
    <x v="0"/>
    <x v="2"/>
    <x v="1"/>
    <x v="3"/>
  </r>
  <r>
    <x v="1862"/>
    <x v="0"/>
    <x v="0"/>
    <x v="0"/>
    <n v="83.75"/>
    <x v="35"/>
    <x v="1784"/>
    <x v="1"/>
    <x v="0"/>
    <x v="0"/>
    <x v="0"/>
  </r>
  <r>
    <x v="1863"/>
    <x v="1"/>
    <x v="0"/>
    <x v="2"/>
    <n v="44.05"/>
    <x v="0"/>
    <x v="1785"/>
    <x v="0"/>
    <x v="0"/>
    <x v="0"/>
    <x v="0"/>
  </r>
  <r>
    <x v="1864"/>
    <x v="1"/>
    <x v="2"/>
    <x v="3"/>
    <n v="24.1"/>
    <x v="21"/>
    <x v="1786"/>
    <x v="0"/>
    <x v="0"/>
    <x v="1"/>
    <x v="3"/>
  </r>
  <r>
    <x v="1865"/>
    <x v="1"/>
    <x v="0"/>
    <x v="1"/>
    <n v="45.55"/>
    <x v="0"/>
    <x v="1787"/>
    <x v="0"/>
    <x v="0"/>
    <x v="0"/>
    <x v="0"/>
  </r>
  <r>
    <x v="1866"/>
    <x v="0"/>
    <x v="0"/>
    <x v="0"/>
    <n v="93.8"/>
    <x v="69"/>
    <x v="1788"/>
    <x v="0"/>
    <x v="1"/>
    <x v="1"/>
    <x v="3"/>
  </r>
  <r>
    <x v="1867"/>
    <x v="0"/>
    <x v="2"/>
    <x v="2"/>
    <n v="19.7"/>
    <x v="52"/>
    <x v="1789"/>
    <x v="0"/>
    <x v="0"/>
    <x v="1"/>
    <x v="1"/>
  </r>
  <r>
    <x v="1868"/>
    <x v="0"/>
    <x v="2"/>
    <x v="3"/>
    <n v="70.650000000000006"/>
    <x v="21"/>
    <x v="1790"/>
    <x v="0"/>
    <x v="2"/>
    <x v="1"/>
    <x v="3"/>
  </r>
  <r>
    <x v="1869"/>
    <x v="0"/>
    <x v="2"/>
    <x v="3"/>
    <n v="86.45"/>
    <x v="29"/>
    <x v="1791"/>
    <x v="0"/>
    <x v="1"/>
    <x v="1"/>
    <x v="1"/>
  </r>
  <r>
    <x v="1870"/>
    <x v="1"/>
    <x v="2"/>
    <x v="3"/>
    <n v="114.1"/>
    <x v="21"/>
    <x v="1792"/>
    <x v="0"/>
    <x v="2"/>
    <x v="1"/>
    <x v="3"/>
  </r>
  <r>
    <x v="1871"/>
    <x v="1"/>
    <x v="1"/>
    <x v="3"/>
    <n v="95.2"/>
    <x v="20"/>
    <x v="1793"/>
    <x v="0"/>
    <x v="1"/>
    <x v="1"/>
    <x v="1"/>
  </r>
  <r>
    <x v="1872"/>
    <x v="1"/>
    <x v="2"/>
    <x v="3"/>
    <n v="88.55"/>
    <x v="21"/>
    <x v="1794"/>
    <x v="0"/>
    <x v="2"/>
    <x v="1"/>
    <x v="3"/>
  </r>
  <r>
    <x v="1873"/>
    <x v="1"/>
    <x v="0"/>
    <x v="3"/>
    <n v="20.75"/>
    <x v="35"/>
    <x v="1795"/>
    <x v="0"/>
    <x v="0"/>
    <x v="0"/>
    <x v="0"/>
  </r>
  <r>
    <x v="1874"/>
    <x v="1"/>
    <x v="0"/>
    <x v="0"/>
    <n v="70.05"/>
    <x v="0"/>
    <x v="1796"/>
    <x v="1"/>
    <x v="0"/>
    <x v="0"/>
    <x v="0"/>
  </r>
  <r>
    <x v="1875"/>
    <x v="1"/>
    <x v="0"/>
    <x v="0"/>
    <n v="86"/>
    <x v="2"/>
    <x v="1797"/>
    <x v="1"/>
    <x v="0"/>
    <x v="0"/>
    <x v="0"/>
  </r>
  <r>
    <x v="1876"/>
    <x v="1"/>
    <x v="0"/>
    <x v="2"/>
    <n v="44.65"/>
    <x v="70"/>
    <x v="1798"/>
    <x v="0"/>
    <x v="0"/>
    <x v="1"/>
    <x v="1"/>
  </r>
  <r>
    <x v="1877"/>
    <x v="1"/>
    <x v="0"/>
    <x v="1"/>
    <n v="60.2"/>
    <x v="44"/>
    <x v="1799"/>
    <x v="0"/>
    <x v="0"/>
    <x v="1"/>
    <x v="1"/>
  </r>
  <r>
    <x v="1878"/>
    <x v="0"/>
    <x v="0"/>
    <x v="2"/>
    <n v="100.5"/>
    <x v="42"/>
    <x v="1800"/>
    <x v="1"/>
    <x v="1"/>
    <x v="1"/>
    <x v="1"/>
  </r>
  <r>
    <x v="1879"/>
    <x v="1"/>
    <x v="1"/>
    <x v="2"/>
    <n v="55.45"/>
    <x v="23"/>
    <x v="1801"/>
    <x v="0"/>
    <x v="0"/>
    <x v="1"/>
    <x v="1"/>
  </r>
  <r>
    <x v="1880"/>
    <x v="1"/>
    <x v="0"/>
    <x v="3"/>
    <n v="70.3"/>
    <x v="65"/>
    <x v="1802"/>
    <x v="0"/>
    <x v="0"/>
    <x v="1"/>
    <x v="2"/>
  </r>
  <r>
    <x v="1881"/>
    <x v="1"/>
    <x v="2"/>
    <x v="2"/>
    <n v="60.4"/>
    <x v="56"/>
    <x v="1803"/>
    <x v="0"/>
    <x v="1"/>
    <x v="1"/>
    <x v="3"/>
  </r>
  <r>
    <x v="1882"/>
    <x v="0"/>
    <x v="0"/>
    <x v="0"/>
    <n v="72.650000000000006"/>
    <x v="10"/>
    <x v="1804"/>
    <x v="1"/>
    <x v="0"/>
    <x v="2"/>
    <x v="2"/>
  </r>
  <r>
    <x v="1883"/>
    <x v="0"/>
    <x v="1"/>
    <x v="2"/>
    <n v="55.8"/>
    <x v="57"/>
    <x v="1805"/>
    <x v="0"/>
    <x v="0"/>
    <x v="2"/>
    <x v="2"/>
  </r>
  <r>
    <x v="1884"/>
    <x v="1"/>
    <x v="0"/>
    <x v="1"/>
    <n v="31.1"/>
    <x v="60"/>
    <x v="1806"/>
    <x v="0"/>
    <x v="0"/>
    <x v="2"/>
    <x v="2"/>
  </r>
  <r>
    <x v="1885"/>
    <x v="0"/>
    <x v="0"/>
    <x v="0"/>
    <n v="21"/>
    <x v="0"/>
    <x v="1807"/>
    <x v="1"/>
    <x v="0"/>
    <x v="0"/>
    <x v="0"/>
  </r>
  <r>
    <x v="1886"/>
    <x v="0"/>
    <x v="0"/>
    <x v="1"/>
    <n v="45.1"/>
    <x v="0"/>
    <x v="1754"/>
    <x v="1"/>
    <x v="0"/>
    <x v="0"/>
    <x v="0"/>
  </r>
  <r>
    <x v="1887"/>
    <x v="1"/>
    <x v="0"/>
    <x v="3"/>
    <n v="50.95"/>
    <x v="54"/>
    <x v="1808"/>
    <x v="0"/>
    <x v="0"/>
    <x v="0"/>
    <x v="0"/>
  </r>
  <r>
    <x v="1888"/>
    <x v="1"/>
    <x v="0"/>
    <x v="0"/>
    <n v="69.099999999999994"/>
    <x v="10"/>
    <x v="1809"/>
    <x v="0"/>
    <x v="0"/>
    <x v="2"/>
    <x v="2"/>
  </r>
  <r>
    <x v="1889"/>
    <x v="0"/>
    <x v="0"/>
    <x v="0"/>
    <n v="43.95"/>
    <x v="25"/>
    <x v="1810"/>
    <x v="0"/>
    <x v="1"/>
    <x v="1"/>
    <x v="1"/>
  </r>
  <r>
    <x v="1890"/>
    <x v="1"/>
    <x v="2"/>
    <x v="2"/>
    <n v="86.5"/>
    <x v="47"/>
    <x v="1811"/>
    <x v="0"/>
    <x v="2"/>
    <x v="1"/>
    <x v="3"/>
  </r>
  <r>
    <x v="1891"/>
    <x v="1"/>
    <x v="0"/>
    <x v="0"/>
    <n v="69.95"/>
    <x v="46"/>
    <x v="1812"/>
    <x v="0"/>
    <x v="1"/>
    <x v="1"/>
    <x v="1"/>
  </r>
  <r>
    <x v="1892"/>
    <x v="1"/>
    <x v="0"/>
    <x v="2"/>
    <n v="50.4"/>
    <x v="19"/>
    <x v="1465"/>
    <x v="1"/>
    <x v="0"/>
    <x v="1"/>
    <x v="1"/>
  </r>
  <r>
    <x v="1893"/>
    <x v="0"/>
    <x v="0"/>
    <x v="0"/>
    <n v="78.95"/>
    <x v="24"/>
    <x v="1813"/>
    <x v="1"/>
    <x v="0"/>
    <x v="0"/>
    <x v="0"/>
  </r>
  <r>
    <x v="1894"/>
    <x v="1"/>
    <x v="0"/>
    <x v="3"/>
    <n v="90.95"/>
    <x v="22"/>
    <x v="1814"/>
    <x v="0"/>
    <x v="0"/>
    <x v="2"/>
    <x v="2"/>
  </r>
  <r>
    <x v="1895"/>
    <x v="1"/>
    <x v="2"/>
    <x v="1"/>
    <n v="19.899999999999999"/>
    <x v="54"/>
    <x v="1815"/>
    <x v="0"/>
    <x v="0"/>
    <x v="0"/>
    <x v="0"/>
  </r>
  <r>
    <x v="1896"/>
    <x v="0"/>
    <x v="1"/>
    <x v="0"/>
    <n v="20.149999999999999"/>
    <x v="18"/>
    <x v="1816"/>
    <x v="0"/>
    <x v="0"/>
    <x v="2"/>
    <x v="0"/>
  </r>
  <r>
    <x v="1897"/>
    <x v="1"/>
    <x v="2"/>
    <x v="3"/>
    <n v="90.6"/>
    <x v="21"/>
    <x v="1817"/>
    <x v="0"/>
    <x v="2"/>
    <x v="1"/>
    <x v="3"/>
  </r>
  <r>
    <x v="1898"/>
    <x v="1"/>
    <x v="0"/>
    <x v="0"/>
    <n v="92"/>
    <x v="35"/>
    <x v="1818"/>
    <x v="0"/>
    <x v="0"/>
    <x v="0"/>
    <x v="0"/>
  </r>
  <r>
    <x v="1899"/>
    <x v="1"/>
    <x v="0"/>
    <x v="0"/>
    <n v="94.45"/>
    <x v="39"/>
    <x v="1819"/>
    <x v="1"/>
    <x v="2"/>
    <x v="1"/>
    <x v="3"/>
  </r>
  <r>
    <x v="1900"/>
    <x v="0"/>
    <x v="1"/>
    <x v="1"/>
    <n v="24.85"/>
    <x v="52"/>
    <x v="1820"/>
    <x v="0"/>
    <x v="0"/>
    <x v="1"/>
    <x v="1"/>
  </r>
  <r>
    <x v="1901"/>
    <x v="1"/>
    <x v="1"/>
    <x v="3"/>
    <n v="36"/>
    <x v="63"/>
    <x v="1821"/>
    <x v="0"/>
    <x v="0"/>
    <x v="1"/>
    <x v="1"/>
  </r>
  <r>
    <x v="1902"/>
    <x v="0"/>
    <x v="0"/>
    <x v="0"/>
    <n v="78.5"/>
    <x v="40"/>
    <x v="1822"/>
    <x v="0"/>
    <x v="0"/>
    <x v="0"/>
    <x v="0"/>
  </r>
  <r>
    <x v="1903"/>
    <x v="1"/>
    <x v="2"/>
    <x v="3"/>
    <n v="19.95"/>
    <x v="14"/>
    <x v="1823"/>
    <x v="0"/>
    <x v="0"/>
    <x v="1"/>
    <x v="3"/>
  </r>
  <r>
    <x v="1904"/>
    <x v="1"/>
    <x v="1"/>
    <x v="1"/>
    <n v="20.65"/>
    <x v="40"/>
    <x v="1463"/>
    <x v="0"/>
    <x v="0"/>
    <x v="0"/>
    <x v="0"/>
  </r>
  <r>
    <x v="1905"/>
    <x v="0"/>
    <x v="0"/>
    <x v="0"/>
    <n v="30.5"/>
    <x v="24"/>
    <x v="1824"/>
    <x v="0"/>
    <x v="0"/>
    <x v="0"/>
    <x v="0"/>
  </r>
  <r>
    <x v="1906"/>
    <x v="0"/>
    <x v="2"/>
    <x v="3"/>
    <n v="106.1"/>
    <x v="21"/>
    <x v="888"/>
    <x v="0"/>
    <x v="2"/>
    <x v="1"/>
    <x v="3"/>
  </r>
  <r>
    <x v="1907"/>
    <x v="1"/>
    <x v="1"/>
    <x v="2"/>
    <n v="20.5"/>
    <x v="66"/>
    <x v="1825"/>
    <x v="0"/>
    <x v="0"/>
    <x v="1"/>
    <x v="1"/>
  </r>
  <r>
    <x v="1908"/>
    <x v="0"/>
    <x v="1"/>
    <x v="0"/>
    <n v="95.5"/>
    <x v="45"/>
    <x v="1826"/>
    <x v="0"/>
    <x v="2"/>
    <x v="1"/>
    <x v="3"/>
  </r>
  <r>
    <x v="1909"/>
    <x v="0"/>
    <x v="0"/>
    <x v="0"/>
    <n v="64.599999999999994"/>
    <x v="35"/>
    <x v="1827"/>
    <x v="0"/>
    <x v="0"/>
    <x v="0"/>
    <x v="0"/>
  </r>
  <r>
    <x v="1910"/>
    <x v="1"/>
    <x v="0"/>
    <x v="3"/>
    <n v="51.1"/>
    <x v="65"/>
    <x v="1828"/>
    <x v="0"/>
    <x v="0"/>
    <x v="1"/>
    <x v="2"/>
  </r>
  <r>
    <x v="1911"/>
    <x v="0"/>
    <x v="0"/>
    <x v="2"/>
    <n v="84.8"/>
    <x v="66"/>
    <x v="1829"/>
    <x v="1"/>
    <x v="1"/>
    <x v="1"/>
    <x v="1"/>
  </r>
  <r>
    <x v="1912"/>
    <x v="0"/>
    <x v="2"/>
    <x v="3"/>
    <n v="89.1"/>
    <x v="21"/>
    <x v="1830"/>
    <x v="0"/>
    <x v="2"/>
    <x v="1"/>
    <x v="3"/>
  </r>
  <r>
    <x v="1913"/>
    <x v="1"/>
    <x v="0"/>
    <x v="0"/>
    <n v="54.95"/>
    <x v="65"/>
    <x v="1831"/>
    <x v="0"/>
    <x v="0"/>
    <x v="1"/>
    <x v="2"/>
  </r>
  <r>
    <x v="1914"/>
    <x v="1"/>
    <x v="0"/>
    <x v="1"/>
    <n v="50.9"/>
    <x v="0"/>
    <x v="1832"/>
    <x v="1"/>
    <x v="0"/>
    <x v="0"/>
    <x v="0"/>
  </r>
  <r>
    <x v="1915"/>
    <x v="1"/>
    <x v="0"/>
    <x v="2"/>
    <n v="20.45"/>
    <x v="5"/>
    <x v="1833"/>
    <x v="0"/>
    <x v="0"/>
    <x v="2"/>
    <x v="2"/>
  </r>
  <r>
    <x v="1916"/>
    <x v="1"/>
    <x v="2"/>
    <x v="3"/>
    <n v="85.95"/>
    <x v="27"/>
    <x v="1834"/>
    <x v="0"/>
    <x v="2"/>
    <x v="1"/>
    <x v="3"/>
  </r>
  <r>
    <x v="1917"/>
    <x v="1"/>
    <x v="0"/>
    <x v="0"/>
    <n v="60.35"/>
    <x v="13"/>
    <x v="1835"/>
    <x v="0"/>
    <x v="0"/>
    <x v="1"/>
    <x v="1"/>
  </r>
  <r>
    <x v="1918"/>
    <x v="1"/>
    <x v="2"/>
    <x v="2"/>
    <n v="19.8"/>
    <x v="50"/>
    <x v="1836"/>
    <x v="0"/>
    <x v="0"/>
    <x v="1"/>
    <x v="1"/>
  </r>
  <r>
    <x v="1919"/>
    <x v="0"/>
    <x v="0"/>
    <x v="2"/>
    <n v="85.35"/>
    <x v="5"/>
    <x v="1837"/>
    <x v="0"/>
    <x v="0"/>
    <x v="2"/>
    <x v="2"/>
  </r>
  <r>
    <x v="1920"/>
    <x v="0"/>
    <x v="2"/>
    <x v="2"/>
    <n v="72.099999999999994"/>
    <x v="64"/>
    <x v="1838"/>
    <x v="0"/>
    <x v="1"/>
    <x v="1"/>
    <x v="3"/>
  </r>
  <r>
    <x v="1921"/>
    <x v="1"/>
    <x v="0"/>
    <x v="0"/>
    <n v="99.8"/>
    <x v="12"/>
    <x v="1839"/>
    <x v="1"/>
    <x v="1"/>
    <x v="1"/>
    <x v="3"/>
  </r>
  <r>
    <x v="1922"/>
    <x v="1"/>
    <x v="0"/>
    <x v="2"/>
    <n v="107.35"/>
    <x v="20"/>
    <x v="1840"/>
    <x v="1"/>
    <x v="2"/>
    <x v="1"/>
    <x v="1"/>
  </r>
  <r>
    <x v="1923"/>
    <x v="0"/>
    <x v="0"/>
    <x v="1"/>
    <n v="19.55"/>
    <x v="36"/>
    <x v="1841"/>
    <x v="1"/>
    <x v="0"/>
    <x v="1"/>
    <x v="1"/>
  </r>
  <r>
    <x v="1924"/>
    <x v="1"/>
    <x v="0"/>
    <x v="0"/>
    <n v="81.05"/>
    <x v="0"/>
    <x v="1842"/>
    <x v="0"/>
    <x v="0"/>
    <x v="0"/>
    <x v="0"/>
  </r>
  <r>
    <x v="1925"/>
    <x v="1"/>
    <x v="0"/>
    <x v="0"/>
    <n v="20.5"/>
    <x v="35"/>
    <x v="1843"/>
    <x v="0"/>
    <x v="0"/>
    <x v="0"/>
    <x v="0"/>
  </r>
  <r>
    <x v="1926"/>
    <x v="0"/>
    <x v="1"/>
    <x v="2"/>
    <n v="111.8"/>
    <x v="62"/>
    <x v="1844"/>
    <x v="0"/>
    <x v="2"/>
    <x v="1"/>
    <x v="3"/>
  </r>
  <r>
    <x v="1927"/>
    <x v="1"/>
    <x v="0"/>
    <x v="1"/>
    <n v="20.2"/>
    <x v="0"/>
    <x v="33"/>
    <x v="0"/>
    <x v="0"/>
    <x v="0"/>
    <x v="0"/>
  </r>
  <r>
    <x v="1928"/>
    <x v="1"/>
    <x v="1"/>
    <x v="1"/>
    <n v="19.7"/>
    <x v="61"/>
    <x v="399"/>
    <x v="0"/>
    <x v="0"/>
    <x v="2"/>
    <x v="2"/>
  </r>
  <r>
    <x v="1929"/>
    <x v="0"/>
    <x v="0"/>
    <x v="0"/>
    <n v="79.099999999999994"/>
    <x v="35"/>
    <x v="1845"/>
    <x v="1"/>
    <x v="0"/>
    <x v="0"/>
    <x v="0"/>
  </r>
  <r>
    <x v="1930"/>
    <x v="0"/>
    <x v="1"/>
    <x v="2"/>
    <n v="19.850000000000001"/>
    <x v="69"/>
    <x v="1846"/>
    <x v="0"/>
    <x v="0"/>
    <x v="1"/>
    <x v="3"/>
  </r>
  <r>
    <x v="1931"/>
    <x v="0"/>
    <x v="1"/>
    <x v="2"/>
    <n v="60.5"/>
    <x v="69"/>
    <x v="1542"/>
    <x v="0"/>
    <x v="1"/>
    <x v="1"/>
    <x v="3"/>
  </r>
  <r>
    <x v="1932"/>
    <x v="0"/>
    <x v="2"/>
    <x v="1"/>
    <n v="19.55"/>
    <x v="9"/>
    <x v="1847"/>
    <x v="0"/>
    <x v="0"/>
    <x v="2"/>
    <x v="2"/>
  </r>
  <r>
    <x v="1933"/>
    <x v="0"/>
    <x v="0"/>
    <x v="1"/>
    <n v="20.9"/>
    <x v="0"/>
    <x v="1848"/>
    <x v="0"/>
    <x v="0"/>
    <x v="0"/>
    <x v="0"/>
  </r>
  <r>
    <x v="1934"/>
    <x v="1"/>
    <x v="0"/>
    <x v="1"/>
    <n v="21.05"/>
    <x v="0"/>
    <x v="1849"/>
    <x v="0"/>
    <x v="0"/>
    <x v="0"/>
    <x v="0"/>
  </r>
  <r>
    <x v="1935"/>
    <x v="1"/>
    <x v="1"/>
    <x v="0"/>
    <n v="71.5"/>
    <x v="28"/>
    <x v="1850"/>
    <x v="0"/>
    <x v="1"/>
    <x v="1"/>
    <x v="3"/>
  </r>
  <r>
    <x v="1936"/>
    <x v="1"/>
    <x v="0"/>
    <x v="1"/>
    <n v="54.65"/>
    <x v="35"/>
    <x v="1851"/>
    <x v="0"/>
    <x v="0"/>
    <x v="0"/>
    <x v="0"/>
  </r>
  <r>
    <x v="1937"/>
    <x v="1"/>
    <x v="2"/>
    <x v="3"/>
    <n v="19.2"/>
    <x v="25"/>
    <x v="1852"/>
    <x v="0"/>
    <x v="0"/>
    <x v="1"/>
    <x v="1"/>
  </r>
  <r>
    <x v="1938"/>
    <x v="1"/>
    <x v="0"/>
    <x v="3"/>
    <n v="49.8"/>
    <x v="0"/>
    <x v="1853"/>
    <x v="0"/>
    <x v="0"/>
    <x v="0"/>
    <x v="0"/>
  </r>
  <r>
    <x v="1939"/>
    <x v="1"/>
    <x v="0"/>
    <x v="1"/>
    <n v="25.5"/>
    <x v="4"/>
    <x v="1854"/>
    <x v="1"/>
    <x v="0"/>
    <x v="0"/>
    <x v="0"/>
  </r>
  <r>
    <x v="1940"/>
    <x v="0"/>
    <x v="2"/>
    <x v="2"/>
    <n v="20.5"/>
    <x v="16"/>
    <x v="1855"/>
    <x v="0"/>
    <x v="0"/>
    <x v="1"/>
    <x v="3"/>
  </r>
  <r>
    <x v="1941"/>
    <x v="1"/>
    <x v="0"/>
    <x v="3"/>
    <n v="90.4"/>
    <x v="49"/>
    <x v="1856"/>
    <x v="0"/>
    <x v="1"/>
    <x v="1"/>
    <x v="3"/>
  </r>
  <r>
    <x v="1942"/>
    <x v="0"/>
    <x v="1"/>
    <x v="2"/>
    <n v="90.25"/>
    <x v="27"/>
    <x v="1857"/>
    <x v="0"/>
    <x v="2"/>
    <x v="1"/>
    <x v="3"/>
  </r>
  <r>
    <x v="1943"/>
    <x v="0"/>
    <x v="0"/>
    <x v="0"/>
    <n v="80.75"/>
    <x v="2"/>
    <x v="1858"/>
    <x v="1"/>
    <x v="0"/>
    <x v="0"/>
    <x v="0"/>
  </r>
  <r>
    <x v="1944"/>
    <x v="1"/>
    <x v="2"/>
    <x v="2"/>
    <n v="104.6"/>
    <x v="56"/>
    <x v="1859"/>
    <x v="0"/>
    <x v="2"/>
    <x v="1"/>
    <x v="3"/>
  </r>
  <r>
    <x v="1945"/>
    <x v="1"/>
    <x v="0"/>
    <x v="2"/>
    <n v="91.85"/>
    <x v="45"/>
    <x v="1860"/>
    <x v="1"/>
    <x v="2"/>
    <x v="1"/>
    <x v="3"/>
  </r>
  <r>
    <x v="1946"/>
    <x v="1"/>
    <x v="0"/>
    <x v="3"/>
    <n v="50.2"/>
    <x v="60"/>
    <x v="1861"/>
    <x v="0"/>
    <x v="0"/>
    <x v="2"/>
    <x v="2"/>
  </r>
  <r>
    <x v="1947"/>
    <x v="0"/>
    <x v="0"/>
    <x v="2"/>
    <n v="95.5"/>
    <x v="61"/>
    <x v="1862"/>
    <x v="0"/>
    <x v="0"/>
    <x v="2"/>
    <x v="2"/>
  </r>
  <r>
    <x v="1948"/>
    <x v="1"/>
    <x v="0"/>
    <x v="0"/>
    <n v="75.349999999999994"/>
    <x v="0"/>
    <x v="1863"/>
    <x v="1"/>
    <x v="0"/>
    <x v="0"/>
    <x v="0"/>
  </r>
  <r>
    <x v="1949"/>
    <x v="1"/>
    <x v="0"/>
    <x v="0"/>
    <n v="75.45"/>
    <x v="0"/>
    <x v="1864"/>
    <x v="1"/>
    <x v="0"/>
    <x v="0"/>
    <x v="0"/>
  </r>
  <r>
    <x v="1950"/>
    <x v="0"/>
    <x v="0"/>
    <x v="2"/>
    <n v="95.4"/>
    <x v="12"/>
    <x v="1865"/>
    <x v="0"/>
    <x v="1"/>
    <x v="1"/>
    <x v="3"/>
  </r>
  <r>
    <x v="1951"/>
    <x v="0"/>
    <x v="2"/>
    <x v="2"/>
    <n v="101.3"/>
    <x v="21"/>
    <x v="1866"/>
    <x v="0"/>
    <x v="2"/>
    <x v="1"/>
    <x v="3"/>
  </r>
  <r>
    <x v="1952"/>
    <x v="0"/>
    <x v="0"/>
    <x v="0"/>
    <n v="53.1"/>
    <x v="25"/>
    <x v="1867"/>
    <x v="0"/>
    <x v="1"/>
    <x v="1"/>
    <x v="1"/>
  </r>
  <r>
    <x v="1953"/>
    <x v="1"/>
    <x v="0"/>
    <x v="2"/>
    <n v="84.85"/>
    <x v="65"/>
    <x v="1868"/>
    <x v="0"/>
    <x v="1"/>
    <x v="1"/>
    <x v="2"/>
  </r>
  <r>
    <x v="1954"/>
    <x v="0"/>
    <x v="0"/>
    <x v="0"/>
    <n v="34.25"/>
    <x v="24"/>
    <x v="1869"/>
    <x v="0"/>
    <x v="0"/>
    <x v="0"/>
    <x v="0"/>
  </r>
  <r>
    <x v="1955"/>
    <x v="0"/>
    <x v="0"/>
    <x v="3"/>
    <n v="88.6"/>
    <x v="55"/>
    <x v="1870"/>
    <x v="0"/>
    <x v="1"/>
    <x v="1"/>
    <x v="1"/>
  </r>
  <r>
    <x v="1956"/>
    <x v="0"/>
    <x v="1"/>
    <x v="2"/>
    <n v="60.15"/>
    <x v="41"/>
    <x v="1871"/>
    <x v="0"/>
    <x v="1"/>
    <x v="1"/>
    <x v="1"/>
  </r>
  <r>
    <x v="1957"/>
    <x v="1"/>
    <x v="1"/>
    <x v="3"/>
    <n v="99.95"/>
    <x v="57"/>
    <x v="1872"/>
    <x v="0"/>
    <x v="1"/>
    <x v="2"/>
    <x v="2"/>
  </r>
  <r>
    <x v="1958"/>
    <x v="1"/>
    <x v="0"/>
    <x v="2"/>
    <n v="70.7"/>
    <x v="4"/>
    <x v="1873"/>
    <x v="0"/>
    <x v="0"/>
    <x v="0"/>
    <x v="0"/>
  </r>
  <r>
    <x v="1959"/>
    <x v="1"/>
    <x v="1"/>
    <x v="1"/>
    <n v="54.8"/>
    <x v="33"/>
    <x v="1874"/>
    <x v="0"/>
    <x v="1"/>
    <x v="1"/>
    <x v="3"/>
  </r>
  <r>
    <x v="1960"/>
    <x v="1"/>
    <x v="0"/>
    <x v="2"/>
    <n v="49.55"/>
    <x v="65"/>
    <x v="1875"/>
    <x v="1"/>
    <x v="0"/>
    <x v="1"/>
    <x v="2"/>
  </r>
  <r>
    <x v="1961"/>
    <x v="1"/>
    <x v="0"/>
    <x v="3"/>
    <n v="54.8"/>
    <x v="65"/>
    <x v="1876"/>
    <x v="0"/>
    <x v="0"/>
    <x v="1"/>
    <x v="2"/>
  </r>
  <r>
    <x v="1962"/>
    <x v="1"/>
    <x v="1"/>
    <x v="3"/>
    <n v="78.599999999999994"/>
    <x v="14"/>
    <x v="1877"/>
    <x v="1"/>
    <x v="2"/>
    <x v="1"/>
    <x v="3"/>
  </r>
  <r>
    <x v="1963"/>
    <x v="0"/>
    <x v="1"/>
    <x v="1"/>
    <n v="100.3"/>
    <x v="62"/>
    <x v="1878"/>
    <x v="0"/>
    <x v="2"/>
    <x v="1"/>
    <x v="3"/>
  </r>
  <r>
    <x v="1964"/>
    <x v="0"/>
    <x v="2"/>
    <x v="0"/>
    <n v="53.6"/>
    <x v="31"/>
    <x v="1879"/>
    <x v="0"/>
    <x v="1"/>
    <x v="1"/>
    <x v="3"/>
  </r>
  <r>
    <x v="1965"/>
    <x v="0"/>
    <x v="0"/>
    <x v="0"/>
    <n v="81.099999999999994"/>
    <x v="40"/>
    <x v="1880"/>
    <x v="1"/>
    <x v="0"/>
    <x v="0"/>
    <x v="0"/>
  </r>
  <r>
    <x v="1966"/>
    <x v="0"/>
    <x v="1"/>
    <x v="3"/>
    <n v="19.350000000000001"/>
    <x v="61"/>
    <x v="1881"/>
    <x v="0"/>
    <x v="0"/>
    <x v="2"/>
    <x v="2"/>
  </r>
  <r>
    <x v="1967"/>
    <x v="0"/>
    <x v="0"/>
    <x v="0"/>
    <n v="85.6"/>
    <x v="57"/>
    <x v="1882"/>
    <x v="0"/>
    <x v="0"/>
    <x v="2"/>
    <x v="2"/>
  </r>
  <r>
    <x v="1968"/>
    <x v="1"/>
    <x v="2"/>
    <x v="0"/>
    <n v="80.8"/>
    <x v="21"/>
    <x v="1883"/>
    <x v="0"/>
    <x v="2"/>
    <x v="1"/>
    <x v="3"/>
  </r>
  <r>
    <x v="1969"/>
    <x v="1"/>
    <x v="0"/>
    <x v="0"/>
    <n v="74.95"/>
    <x v="26"/>
    <x v="1884"/>
    <x v="1"/>
    <x v="0"/>
    <x v="0"/>
    <x v="0"/>
  </r>
  <r>
    <x v="1970"/>
    <x v="1"/>
    <x v="2"/>
    <x v="1"/>
    <n v="19.600000000000001"/>
    <x v="17"/>
    <x v="1885"/>
    <x v="0"/>
    <x v="0"/>
    <x v="2"/>
    <x v="2"/>
  </r>
  <r>
    <x v="1971"/>
    <x v="1"/>
    <x v="0"/>
    <x v="0"/>
    <n v="93.55"/>
    <x v="0"/>
    <x v="1886"/>
    <x v="1"/>
    <x v="0"/>
    <x v="0"/>
    <x v="0"/>
  </r>
  <r>
    <x v="1972"/>
    <x v="1"/>
    <x v="0"/>
    <x v="0"/>
    <n v="90.7"/>
    <x v="36"/>
    <x v="1887"/>
    <x v="0"/>
    <x v="1"/>
    <x v="1"/>
    <x v="1"/>
  </r>
  <r>
    <x v="1973"/>
    <x v="0"/>
    <x v="2"/>
    <x v="1"/>
    <n v="69.75"/>
    <x v="58"/>
    <x v="1888"/>
    <x v="0"/>
    <x v="1"/>
    <x v="1"/>
    <x v="3"/>
  </r>
  <r>
    <x v="1974"/>
    <x v="0"/>
    <x v="2"/>
    <x v="2"/>
    <n v="20"/>
    <x v="3"/>
    <x v="1889"/>
    <x v="0"/>
    <x v="0"/>
    <x v="1"/>
    <x v="1"/>
  </r>
  <r>
    <x v="1975"/>
    <x v="1"/>
    <x v="0"/>
    <x v="0"/>
    <n v="95.25"/>
    <x v="6"/>
    <x v="1890"/>
    <x v="0"/>
    <x v="0"/>
    <x v="0"/>
    <x v="0"/>
  </r>
  <r>
    <x v="1976"/>
    <x v="0"/>
    <x v="0"/>
    <x v="3"/>
    <n v="102.1"/>
    <x v="11"/>
    <x v="1891"/>
    <x v="1"/>
    <x v="2"/>
    <x v="1"/>
    <x v="3"/>
  </r>
  <r>
    <x v="1977"/>
    <x v="1"/>
    <x v="0"/>
    <x v="1"/>
    <n v="19.95"/>
    <x v="60"/>
    <x v="1892"/>
    <x v="0"/>
    <x v="0"/>
    <x v="2"/>
    <x v="2"/>
  </r>
  <r>
    <x v="1978"/>
    <x v="1"/>
    <x v="1"/>
    <x v="1"/>
    <n v="80.849999999999994"/>
    <x v="23"/>
    <x v="1893"/>
    <x v="0"/>
    <x v="1"/>
    <x v="1"/>
    <x v="1"/>
  </r>
  <r>
    <x v="1979"/>
    <x v="0"/>
    <x v="0"/>
    <x v="2"/>
    <n v="90.9"/>
    <x v="60"/>
    <x v="1894"/>
    <x v="1"/>
    <x v="0"/>
    <x v="2"/>
    <x v="2"/>
  </r>
  <r>
    <x v="1980"/>
    <x v="0"/>
    <x v="0"/>
    <x v="1"/>
    <n v="29.2"/>
    <x v="18"/>
    <x v="1895"/>
    <x v="1"/>
    <x v="0"/>
    <x v="2"/>
    <x v="0"/>
  </r>
  <r>
    <x v="1981"/>
    <x v="0"/>
    <x v="2"/>
    <x v="2"/>
    <n v="93.3"/>
    <x v="14"/>
    <x v="1896"/>
    <x v="0"/>
    <x v="2"/>
    <x v="1"/>
    <x v="3"/>
  </r>
  <r>
    <x v="1982"/>
    <x v="0"/>
    <x v="0"/>
    <x v="2"/>
    <n v="89.15"/>
    <x v="13"/>
    <x v="1897"/>
    <x v="1"/>
    <x v="1"/>
    <x v="1"/>
    <x v="1"/>
  </r>
  <r>
    <x v="1983"/>
    <x v="1"/>
    <x v="1"/>
    <x v="0"/>
    <n v="108.85"/>
    <x v="11"/>
    <x v="1898"/>
    <x v="1"/>
    <x v="2"/>
    <x v="1"/>
    <x v="3"/>
  </r>
  <r>
    <x v="1984"/>
    <x v="0"/>
    <x v="2"/>
    <x v="3"/>
    <n v="46.35"/>
    <x v="42"/>
    <x v="1899"/>
    <x v="0"/>
    <x v="0"/>
    <x v="1"/>
    <x v="1"/>
  </r>
  <r>
    <x v="1985"/>
    <x v="0"/>
    <x v="0"/>
    <x v="0"/>
    <n v="84.75"/>
    <x v="10"/>
    <x v="1900"/>
    <x v="1"/>
    <x v="0"/>
    <x v="2"/>
    <x v="2"/>
  </r>
  <r>
    <x v="1986"/>
    <x v="1"/>
    <x v="1"/>
    <x v="3"/>
    <n v="78.75"/>
    <x v="3"/>
    <x v="1901"/>
    <x v="0"/>
    <x v="1"/>
    <x v="1"/>
    <x v="1"/>
  </r>
  <r>
    <x v="1987"/>
    <x v="0"/>
    <x v="0"/>
    <x v="0"/>
    <n v="83.55"/>
    <x v="22"/>
    <x v="1902"/>
    <x v="0"/>
    <x v="0"/>
    <x v="2"/>
    <x v="2"/>
  </r>
  <r>
    <x v="1988"/>
    <x v="0"/>
    <x v="0"/>
    <x v="0"/>
    <n v="45.7"/>
    <x v="0"/>
    <x v="634"/>
    <x v="1"/>
    <x v="0"/>
    <x v="0"/>
    <x v="0"/>
  </r>
  <r>
    <x v="1989"/>
    <x v="1"/>
    <x v="1"/>
    <x v="1"/>
    <n v="19.600000000000001"/>
    <x v="5"/>
    <x v="1903"/>
    <x v="0"/>
    <x v="0"/>
    <x v="2"/>
    <x v="2"/>
  </r>
  <r>
    <x v="1990"/>
    <x v="0"/>
    <x v="0"/>
    <x v="0"/>
    <n v="69.95"/>
    <x v="0"/>
    <x v="1904"/>
    <x v="1"/>
    <x v="0"/>
    <x v="0"/>
    <x v="0"/>
  </r>
  <r>
    <x v="1991"/>
    <x v="1"/>
    <x v="2"/>
    <x v="1"/>
    <n v="67.849999999999994"/>
    <x v="56"/>
    <x v="1905"/>
    <x v="0"/>
    <x v="1"/>
    <x v="1"/>
    <x v="3"/>
  </r>
  <r>
    <x v="1992"/>
    <x v="0"/>
    <x v="2"/>
    <x v="2"/>
    <n v="105.65"/>
    <x v="56"/>
    <x v="1906"/>
    <x v="0"/>
    <x v="2"/>
    <x v="1"/>
    <x v="3"/>
  </r>
  <r>
    <x v="1993"/>
    <x v="0"/>
    <x v="0"/>
    <x v="0"/>
    <n v="44.6"/>
    <x v="2"/>
    <x v="256"/>
    <x v="1"/>
    <x v="0"/>
    <x v="0"/>
    <x v="0"/>
  </r>
  <r>
    <x v="1994"/>
    <x v="1"/>
    <x v="0"/>
    <x v="0"/>
    <n v="74.95"/>
    <x v="57"/>
    <x v="1907"/>
    <x v="1"/>
    <x v="0"/>
    <x v="2"/>
    <x v="2"/>
  </r>
  <r>
    <x v="1995"/>
    <x v="0"/>
    <x v="0"/>
    <x v="3"/>
    <n v="75.5"/>
    <x v="34"/>
    <x v="1908"/>
    <x v="0"/>
    <x v="0"/>
    <x v="0"/>
    <x v="0"/>
  </r>
  <r>
    <x v="1996"/>
    <x v="0"/>
    <x v="0"/>
    <x v="1"/>
    <n v="20.149999999999999"/>
    <x v="24"/>
    <x v="1909"/>
    <x v="0"/>
    <x v="0"/>
    <x v="0"/>
    <x v="0"/>
  </r>
  <r>
    <x v="1997"/>
    <x v="1"/>
    <x v="2"/>
    <x v="3"/>
    <n v="45.2"/>
    <x v="68"/>
    <x v="1910"/>
    <x v="0"/>
    <x v="1"/>
    <x v="1"/>
    <x v="3"/>
  </r>
  <r>
    <x v="1998"/>
    <x v="0"/>
    <x v="2"/>
    <x v="0"/>
    <n v="95.25"/>
    <x v="58"/>
    <x v="1911"/>
    <x v="1"/>
    <x v="2"/>
    <x v="1"/>
    <x v="3"/>
  </r>
  <r>
    <x v="1999"/>
    <x v="1"/>
    <x v="0"/>
    <x v="1"/>
    <n v="89.85"/>
    <x v="65"/>
    <x v="1912"/>
    <x v="1"/>
    <x v="1"/>
    <x v="1"/>
    <x v="2"/>
  </r>
  <r>
    <x v="2000"/>
    <x v="0"/>
    <x v="1"/>
    <x v="1"/>
    <n v="100.45"/>
    <x v="12"/>
    <x v="1913"/>
    <x v="1"/>
    <x v="1"/>
    <x v="1"/>
    <x v="3"/>
  </r>
  <r>
    <x v="2001"/>
    <x v="1"/>
    <x v="0"/>
    <x v="0"/>
    <n v="47.15"/>
    <x v="24"/>
    <x v="1914"/>
    <x v="1"/>
    <x v="0"/>
    <x v="0"/>
    <x v="0"/>
  </r>
  <r>
    <x v="2002"/>
    <x v="1"/>
    <x v="0"/>
    <x v="0"/>
    <n v="80.2"/>
    <x v="2"/>
    <x v="1915"/>
    <x v="1"/>
    <x v="0"/>
    <x v="0"/>
    <x v="0"/>
  </r>
  <r>
    <x v="2003"/>
    <x v="0"/>
    <x v="0"/>
    <x v="1"/>
    <n v="87.1"/>
    <x v="54"/>
    <x v="1461"/>
    <x v="1"/>
    <x v="0"/>
    <x v="0"/>
    <x v="0"/>
  </r>
  <r>
    <x v="2004"/>
    <x v="1"/>
    <x v="2"/>
    <x v="2"/>
    <n v="79.25"/>
    <x v="27"/>
    <x v="1916"/>
    <x v="0"/>
    <x v="2"/>
    <x v="1"/>
    <x v="3"/>
  </r>
  <r>
    <x v="2005"/>
    <x v="1"/>
    <x v="0"/>
    <x v="2"/>
    <n v="75.900000000000006"/>
    <x v="24"/>
    <x v="1917"/>
    <x v="1"/>
    <x v="0"/>
    <x v="0"/>
    <x v="0"/>
  </r>
  <r>
    <x v="2006"/>
    <x v="1"/>
    <x v="0"/>
    <x v="0"/>
    <n v="85.7"/>
    <x v="62"/>
    <x v="1918"/>
    <x v="0"/>
    <x v="1"/>
    <x v="1"/>
    <x v="3"/>
  </r>
  <r>
    <x v="2007"/>
    <x v="0"/>
    <x v="0"/>
    <x v="0"/>
    <n v="98.75"/>
    <x v="20"/>
    <x v="1919"/>
    <x v="1"/>
    <x v="1"/>
    <x v="1"/>
    <x v="1"/>
  </r>
  <r>
    <x v="2008"/>
    <x v="0"/>
    <x v="1"/>
    <x v="3"/>
    <n v="20.100000000000001"/>
    <x v="36"/>
    <x v="1920"/>
    <x v="0"/>
    <x v="0"/>
    <x v="1"/>
    <x v="1"/>
  </r>
  <r>
    <x v="2009"/>
    <x v="1"/>
    <x v="0"/>
    <x v="2"/>
    <n v="61.8"/>
    <x v="9"/>
    <x v="1921"/>
    <x v="0"/>
    <x v="0"/>
    <x v="2"/>
    <x v="2"/>
  </r>
  <r>
    <x v="2010"/>
    <x v="0"/>
    <x v="0"/>
    <x v="1"/>
    <n v="49.9"/>
    <x v="7"/>
    <x v="1922"/>
    <x v="0"/>
    <x v="0"/>
    <x v="1"/>
    <x v="1"/>
  </r>
  <r>
    <x v="2011"/>
    <x v="0"/>
    <x v="0"/>
    <x v="0"/>
    <n v="86.45"/>
    <x v="6"/>
    <x v="1923"/>
    <x v="1"/>
    <x v="0"/>
    <x v="0"/>
    <x v="0"/>
  </r>
  <r>
    <x v="2012"/>
    <x v="1"/>
    <x v="2"/>
    <x v="2"/>
    <n v="20.399999999999999"/>
    <x v="46"/>
    <x v="1924"/>
    <x v="0"/>
    <x v="0"/>
    <x v="1"/>
    <x v="1"/>
  </r>
  <r>
    <x v="2013"/>
    <x v="0"/>
    <x v="0"/>
    <x v="1"/>
    <n v="45.3"/>
    <x v="0"/>
    <x v="180"/>
    <x v="1"/>
    <x v="0"/>
    <x v="0"/>
    <x v="0"/>
  </r>
  <r>
    <x v="2014"/>
    <x v="1"/>
    <x v="1"/>
    <x v="0"/>
    <n v="104.1"/>
    <x v="56"/>
    <x v="1925"/>
    <x v="1"/>
    <x v="2"/>
    <x v="1"/>
    <x v="3"/>
  </r>
  <r>
    <x v="2015"/>
    <x v="1"/>
    <x v="1"/>
    <x v="1"/>
    <n v="75.400000000000006"/>
    <x v="15"/>
    <x v="1926"/>
    <x v="0"/>
    <x v="1"/>
    <x v="1"/>
    <x v="3"/>
  </r>
  <r>
    <x v="2016"/>
    <x v="1"/>
    <x v="2"/>
    <x v="1"/>
    <n v="108.15"/>
    <x v="8"/>
    <x v="1927"/>
    <x v="0"/>
    <x v="2"/>
    <x v="1"/>
    <x v="3"/>
  </r>
  <r>
    <x v="2017"/>
    <x v="0"/>
    <x v="0"/>
    <x v="0"/>
    <n v="86.25"/>
    <x v="10"/>
    <x v="1928"/>
    <x v="0"/>
    <x v="0"/>
    <x v="2"/>
    <x v="2"/>
  </r>
  <r>
    <x v="2018"/>
    <x v="0"/>
    <x v="0"/>
    <x v="0"/>
    <n v="81"/>
    <x v="24"/>
    <x v="1929"/>
    <x v="1"/>
    <x v="0"/>
    <x v="0"/>
    <x v="0"/>
  </r>
  <r>
    <x v="2019"/>
    <x v="1"/>
    <x v="1"/>
    <x v="0"/>
    <n v="95.7"/>
    <x v="18"/>
    <x v="1930"/>
    <x v="0"/>
    <x v="0"/>
    <x v="2"/>
    <x v="0"/>
  </r>
  <r>
    <x v="2020"/>
    <x v="0"/>
    <x v="2"/>
    <x v="2"/>
    <n v="116.85"/>
    <x v="21"/>
    <x v="1931"/>
    <x v="0"/>
    <x v="2"/>
    <x v="1"/>
    <x v="3"/>
  </r>
  <r>
    <x v="2021"/>
    <x v="1"/>
    <x v="1"/>
    <x v="2"/>
    <n v="105.75"/>
    <x v="16"/>
    <x v="1932"/>
    <x v="0"/>
    <x v="2"/>
    <x v="1"/>
    <x v="3"/>
  </r>
  <r>
    <x v="2022"/>
    <x v="0"/>
    <x v="1"/>
    <x v="1"/>
    <n v="20.149999999999999"/>
    <x v="65"/>
    <x v="1933"/>
    <x v="0"/>
    <x v="0"/>
    <x v="1"/>
    <x v="2"/>
  </r>
  <r>
    <x v="2023"/>
    <x v="0"/>
    <x v="2"/>
    <x v="1"/>
    <n v="19.600000000000001"/>
    <x v="30"/>
    <x v="1934"/>
    <x v="0"/>
    <x v="0"/>
    <x v="2"/>
    <x v="2"/>
  </r>
  <r>
    <x v="2024"/>
    <x v="1"/>
    <x v="1"/>
    <x v="3"/>
    <n v="90.6"/>
    <x v="56"/>
    <x v="1935"/>
    <x v="1"/>
    <x v="2"/>
    <x v="1"/>
    <x v="3"/>
  </r>
  <r>
    <x v="2025"/>
    <x v="1"/>
    <x v="0"/>
    <x v="2"/>
    <n v="60.95"/>
    <x v="2"/>
    <x v="1936"/>
    <x v="0"/>
    <x v="0"/>
    <x v="0"/>
    <x v="0"/>
  </r>
  <r>
    <x v="2026"/>
    <x v="0"/>
    <x v="0"/>
    <x v="1"/>
    <n v="25.05"/>
    <x v="24"/>
    <x v="1937"/>
    <x v="0"/>
    <x v="0"/>
    <x v="0"/>
    <x v="0"/>
  </r>
  <r>
    <x v="2027"/>
    <x v="0"/>
    <x v="0"/>
    <x v="0"/>
    <n v="88.15"/>
    <x v="30"/>
    <x v="1938"/>
    <x v="1"/>
    <x v="0"/>
    <x v="2"/>
    <x v="2"/>
  </r>
  <r>
    <x v="2028"/>
    <x v="1"/>
    <x v="0"/>
    <x v="1"/>
    <n v="20.2"/>
    <x v="0"/>
    <x v="33"/>
    <x v="1"/>
    <x v="0"/>
    <x v="0"/>
    <x v="0"/>
  </r>
  <r>
    <x v="2029"/>
    <x v="1"/>
    <x v="1"/>
    <x v="2"/>
    <n v="60.3"/>
    <x v="52"/>
    <x v="1939"/>
    <x v="0"/>
    <x v="1"/>
    <x v="1"/>
    <x v="1"/>
  </r>
  <r>
    <x v="2030"/>
    <x v="0"/>
    <x v="0"/>
    <x v="0"/>
    <n v="63.95"/>
    <x v="29"/>
    <x v="1940"/>
    <x v="0"/>
    <x v="1"/>
    <x v="1"/>
    <x v="1"/>
  </r>
  <r>
    <x v="2031"/>
    <x v="1"/>
    <x v="0"/>
    <x v="0"/>
    <n v="74.3"/>
    <x v="0"/>
    <x v="1941"/>
    <x v="0"/>
    <x v="0"/>
    <x v="0"/>
    <x v="0"/>
  </r>
  <r>
    <x v="2032"/>
    <x v="0"/>
    <x v="0"/>
    <x v="1"/>
    <n v="70.599999999999994"/>
    <x v="0"/>
    <x v="271"/>
    <x v="0"/>
    <x v="0"/>
    <x v="0"/>
    <x v="0"/>
  </r>
  <r>
    <x v="2033"/>
    <x v="0"/>
    <x v="0"/>
    <x v="0"/>
    <n v="90.8"/>
    <x v="70"/>
    <x v="1942"/>
    <x v="1"/>
    <x v="1"/>
    <x v="1"/>
    <x v="1"/>
  </r>
  <r>
    <x v="2034"/>
    <x v="1"/>
    <x v="0"/>
    <x v="0"/>
    <n v="79.349999999999994"/>
    <x v="5"/>
    <x v="1943"/>
    <x v="1"/>
    <x v="0"/>
    <x v="2"/>
    <x v="2"/>
  </r>
  <r>
    <x v="2035"/>
    <x v="1"/>
    <x v="2"/>
    <x v="2"/>
    <n v="90.55"/>
    <x v="16"/>
    <x v="1944"/>
    <x v="0"/>
    <x v="2"/>
    <x v="1"/>
    <x v="3"/>
  </r>
  <r>
    <x v="2036"/>
    <x v="1"/>
    <x v="2"/>
    <x v="1"/>
    <n v="19.45"/>
    <x v="40"/>
    <x v="1945"/>
    <x v="0"/>
    <x v="0"/>
    <x v="0"/>
    <x v="0"/>
  </r>
  <r>
    <x v="2037"/>
    <x v="0"/>
    <x v="0"/>
    <x v="2"/>
    <n v="64.45"/>
    <x v="7"/>
    <x v="1946"/>
    <x v="0"/>
    <x v="0"/>
    <x v="1"/>
    <x v="1"/>
  </r>
  <r>
    <x v="2038"/>
    <x v="1"/>
    <x v="0"/>
    <x v="0"/>
    <n v="69.650000000000006"/>
    <x v="10"/>
    <x v="1947"/>
    <x v="0"/>
    <x v="0"/>
    <x v="2"/>
    <x v="2"/>
  </r>
  <r>
    <x v="2039"/>
    <x v="1"/>
    <x v="1"/>
    <x v="1"/>
    <n v="19.5"/>
    <x v="40"/>
    <x v="1948"/>
    <x v="0"/>
    <x v="0"/>
    <x v="0"/>
    <x v="0"/>
  </r>
  <r>
    <x v="2040"/>
    <x v="0"/>
    <x v="2"/>
    <x v="2"/>
    <n v="110.5"/>
    <x v="14"/>
    <x v="1949"/>
    <x v="0"/>
    <x v="2"/>
    <x v="1"/>
    <x v="3"/>
  </r>
  <r>
    <x v="2041"/>
    <x v="0"/>
    <x v="0"/>
    <x v="1"/>
    <n v="24.7"/>
    <x v="0"/>
    <x v="1950"/>
    <x v="0"/>
    <x v="0"/>
    <x v="0"/>
    <x v="0"/>
  </r>
  <r>
    <x v="2042"/>
    <x v="1"/>
    <x v="0"/>
    <x v="0"/>
    <n v="77.400000000000006"/>
    <x v="35"/>
    <x v="222"/>
    <x v="0"/>
    <x v="0"/>
    <x v="0"/>
    <x v="0"/>
  </r>
  <r>
    <x v="2043"/>
    <x v="1"/>
    <x v="0"/>
    <x v="2"/>
    <n v="96.8"/>
    <x v="17"/>
    <x v="1951"/>
    <x v="1"/>
    <x v="1"/>
    <x v="2"/>
    <x v="2"/>
  </r>
  <r>
    <x v="2044"/>
    <x v="0"/>
    <x v="0"/>
    <x v="2"/>
    <n v="85.4"/>
    <x v="14"/>
    <x v="1952"/>
    <x v="0"/>
    <x v="2"/>
    <x v="1"/>
    <x v="3"/>
  </r>
  <r>
    <x v="2045"/>
    <x v="0"/>
    <x v="2"/>
    <x v="2"/>
    <n v="47.6"/>
    <x v="16"/>
    <x v="1953"/>
    <x v="0"/>
    <x v="1"/>
    <x v="1"/>
    <x v="3"/>
  </r>
  <r>
    <x v="2046"/>
    <x v="0"/>
    <x v="2"/>
    <x v="1"/>
    <n v="19.399999999999999"/>
    <x v="14"/>
    <x v="1954"/>
    <x v="0"/>
    <x v="0"/>
    <x v="1"/>
    <x v="3"/>
  </r>
  <r>
    <x v="2047"/>
    <x v="0"/>
    <x v="0"/>
    <x v="0"/>
    <n v="103.85"/>
    <x v="43"/>
    <x v="1955"/>
    <x v="0"/>
    <x v="1"/>
    <x v="1"/>
    <x v="1"/>
  </r>
  <r>
    <x v="2048"/>
    <x v="1"/>
    <x v="0"/>
    <x v="2"/>
    <n v="83.35"/>
    <x v="20"/>
    <x v="1956"/>
    <x v="1"/>
    <x v="1"/>
    <x v="1"/>
    <x v="1"/>
  </r>
  <r>
    <x v="2049"/>
    <x v="0"/>
    <x v="0"/>
    <x v="0"/>
    <n v="49.4"/>
    <x v="2"/>
    <x v="1957"/>
    <x v="1"/>
    <x v="0"/>
    <x v="0"/>
    <x v="0"/>
  </r>
  <r>
    <x v="2050"/>
    <x v="1"/>
    <x v="0"/>
    <x v="3"/>
    <n v="108.45"/>
    <x v="3"/>
    <x v="1958"/>
    <x v="0"/>
    <x v="1"/>
    <x v="1"/>
    <x v="1"/>
  </r>
  <r>
    <x v="2051"/>
    <x v="1"/>
    <x v="0"/>
    <x v="2"/>
    <n v="81"/>
    <x v="69"/>
    <x v="1959"/>
    <x v="0"/>
    <x v="1"/>
    <x v="1"/>
    <x v="3"/>
  </r>
  <r>
    <x v="2052"/>
    <x v="0"/>
    <x v="0"/>
    <x v="0"/>
    <n v="79.2"/>
    <x v="5"/>
    <x v="1960"/>
    <x v="1"/>
    <x v="0"/>
    <x v="2"/>
    <x v="2"/>
  </r>
  <r>
    <x v="2053"/>
    <x v="1"/>
    <x v="2"/>
    <x v="2"/>
    <n v="86.65"/>
    <x v="21"/>
    <x v="594"/>
    <x v="0"/>
    <x v="2"/>
    <x v="1"/>
    <x v="3"/>
  </r>
  <r>
    <x v="2054"/>
    <x v="1"/>
    <x v="0"/>
    <x v="0"/>
    <n v="92.95"/>
    <x v="50"/>
    <x v="1961"/>
    <x v="0"/>
    <x v="1"/>
    <x v="1"/>
    <x v="1"/>
  </r>
  <r>
    <x v="2055"/>
    <x v="1"/>
    <x v="2"/>
    <x v="0"/>
    <n v="90.35"/>
    <x v="16"/>
    <x v="1962"/>
    <x v="0"/>
    <x v="2"/>
    <x v="1"/>
    <x v="3"/>
  </r>
  <r>
    <x v="2056"/>
    <x v="1"/>
    <x v="0"/>
    <x v="0"/>
    <n v="48.7"/>
    <x v="40"/>
    <x v="1963"/>
    <x v="1"/>
    <x v="0"/>
    <x v="0"/>
    <x v="0"/>
  </r>
  <r>
    <x v="2057"/>
    <x v="0"/>
    <x v="2"/>
    <x v="3"/>
    <n v="25.15"/>
    <x v="33"/>
    <x v="1964"/>
    <x v="0"/>
    <x v="0"/>
    <x v="1"/>
    <x v="3"/>
  </r>
  <r>
    <x v="2058"/>
    <x v="1"/>
    <x v="1"/>
    <x v="2"/>
    <n v="76.400000000000006"/>
    <x v="69"/>
    <x v="1965"/>
    <x v="0"/>
    <x v="1"/>
    <x v="1"/>
    <x v="3"/>
  </r>
  <r>
    <x v="2059"/>
    <x v="0"/>
    <x v="1"/>
    <x v="2"/>
    <n v="19.55"/>
    <x v="19"/>
    <x v="1966"/>
    <x v="0"/>
    <x v="0"/>
    <x v="1"/>
    <x v="1"/>
  </r>
  <r>
    <x v="2060"/>
    <x v="0"/>
    <x v="0"/>
    <x v="0"/>
    <n v="85.35"/>
    <x v="1"/>
    <x v="1967"/>
    <x v="0"/>
    <x v="1"/>
    <x v="1"/>
    <x v="1"/>
  </r>
  <r>
    <x v="2061"/>
    <x v="1"/>
    <x v="2"/>
    <x v="1"/>
    <n v="24.8"/>
    <x v="38"/>
    <x v="1968"/>
    <x v="0"/>
    <x v="0"/>
    <x v="1"/>
    <x v="3"/>
  </r>
  <r>
    <x v="2062"/>
    <x v="1"/>
    <x v="1"/>
    <x v="2"/>
    <n v="103.15"/>
    <x v="45"/>
    <x v="1969"/>
    <x v="0"/>
    <x v="2"/>
    <x v="1"/>
    <x v="3"/>
  </r>
  <r>
    <x v="2063"/>
    <x v="1"/>
    <x v="0"/>
    <x v="1"/>
    <n v="100.75"/>
    <x v="20"/>
    <x v="1970"/>
    <x v="0"/>
    <x v="1"/>
    <x v="1"/>
    <x v="1"/>
  </r>
  <r>
    <x v="2064"/>
    <x v="0"/>
    <x v="0"/>
    <x v="0"/>
    <n v="95.6"/>
    <x v="0"/>
    <x v="1971"/>
    <x v="1"/>
    <x v="0"/>
    <x v="0"/>
    <x v="0"/>
  </r>
  <r>
    <x v="2065"/>
    <x v="0"/>
    <x v="0"/>
    <x v="3"/>
    <n v="59.75"/>
    <x v="12"/>
    <x v="1972"/>
    <x v="1"/>
    <x v="1"/>
    <x v="1"/>
    <x v="3"/>
  </r>
  <r>
    <x v="2066"/>
    <x v="0"/>
    <x v="2"/>
    <x v="3"/>
    <n v="94.1"/>
    <x v="56"/>
    <x v="1973"/>
    <x v="0"/>
    <x v="2"/>
    <x v="1"/>
    <x v="3"/>
  </r>
  <r>
    <x v="2067"/>
    <x v="1"/>
    <x v="1"/>
    <x v="2"/>
    <n v="19.350000000000001"/>
    <x v="71"/>
    <x v="1974"/>
    <x v="0"/>
    <x v="0"/>
    <x v="1"/>
    <x v="1"/>
  </r>
  <r>
    <x v="2068"/>
    <x v="1"/>
    <x v="0"/>
    <x v="1"/>
    <n v="19.899999999999999"/>
    <x v="60"/>
    <x v="1975"/>
    <x v="0"/>
    <x v="0"/>
    <x v="2"/>
    <x v="2"/>
  </r>
  <r>
    <x v="2069"/>
    <x v="0"/>
    <x v="0"/>
    <x v="3"/>
    <n v="108.15"/>
    <x v="29"/>
    <x v="1976"/>
    <x v="1"/>
    <x v="1"/>
    <x v="1"/>
    <x v="1"/>
  </r>
  <r>
    <x v="2070"/>
    <x v="1"/>
    <x v="0"/>
    <x v="0"/>
    <n v="101.05"/>
    <x v="39"/>
    <x v="1977"/>
    <x v="0"/>
    <x v="2"/>
    <x v="1"/>
    <x v="3"/>
  </r>
  <r>
    <x v="2071"/>
    <x v="0"/>
    <x v="1"/>
    <x v="3"/>
    <n v="59.1"/>
    <x v="60"/>
    <x v="1978"/>
    <x v="0"/>
    <x v="0"/>
    <x v="2"/>
    <x v="2"/>
  </r>
  <r>
    <x v="2072"/>
    <x v="0"/>
    <x v="0"/>
    <x v="0"/>
    <n v="71.349999999999994"/>
    <x v="0"/>
    <x v="1979"/>
    <x v="1"/>
    <x v="0"/>
    <x v="0"/>
    <x v="0"/>
  </r>
  <r>
    <x v="2073"/>
    <x v="1"/>
    <x v="1"/>
    <x v="1"/>
    <n v="55.85"/>
    <x v="10"/>
    <x v="1980"/>
    <x v="0"/>
    <x v="0"/>
    <x v="2"/>
    <x v="2"/>
  </r>
  <r>
    <x v="2074"/>
    <x v="1"/>
    <x v="0"/>
    <x v="0"/>
    <n v="106.05"/>
    <x v="27"/>
    <x v="1981"/>
    <x v="0"/>
    <x v="2"/>
    <x v="1"/>
    <x v="3"/>
  </r>
  <r>
    <x v="2075"/>
    <x v="1"/>
    <x v="2"/>
    <x v="3"/>
    <n v="84.1"/>
    <x v="21"/>
    <x v="1982"/>
    <x v="0"/>
    <x v="2"/>
    <x v="1"/>
    <x v="3"/>
  </r>
  <r>
    <x v="2076"/>
    <x v="0"/>
    <x v="0"/>
    <x v="3"/>
    <n v="75.3"/>
    <x v="57"/>
    <x v="1983"/>
    <x v="0"/>
    <x v="0"/>
    <x v="2"/>
    <x v="2"/>
  </r>
  <r>
    <x v="2077"/>
    <x v="1"/>
    <x v="0"/>
    <x v="1"/>
    <n v="24.7"/>
    <x v="17"/>
    <x v="1984"/>
    <x v="0"/>
    <x v="0"/>
    <x v="2"/>
    <x v="2"/>
  </r>
  <r>
    <x v="2078"/>
    <x v="0"/>
    <x v="0"/>
    <x v="1"/>
    <n v="20.149999999999999"/>
    <x v="0"/>
    <x v="22"/>
    <x v="1"/>
    <x v="0"/>
    <x v="0"/>
    <x v="0"/>
  </r>
  <r>
    <x v="2079"/>
    <x v="1"/>
    <x v="0"/>
    <x v="2"/>
    <n v="69.75"/>
    <x v="0"/>
    <x v="1985"/>
    <x v="1"/>
    <x v="0"/>
    <x v="0"/>
    <x v="0"/>
  </r>
  <r>
    <x v="2080"/>
    <x v="0"/>
    <x v="0"/>
    <x v="0"/>
    <n v="93.2"/>
    <x v="48"/>
    <x v="1986"/>
    <x v="1"/>
    <x v="1"/>
    <x v="1"/>
    <x v="1"/>
  </r>
  <r>
    <x v="2081"/>
    <x v="1"/>
    <x v="0"/>
    <x v="0"/>
    <n v="80.849999999999994"/>
    <x v="22"/>
    <x v="1987"/>
    <x v="1"/>
    <x v="0"/>
    <x v="2"/>
    <x v="2"/>
  </r>
  <r>
    <x v="2082"/>
    <x v="0"/>
    <x v="0"/>
    <x v="0"/>
    <n v="33.65"/>
    <x v="54"/>
    <x v="1988"/>
    <x v="1"/>
    <x v="0"/>
    <x v="0"/>
    <x v="0"/>
  </r>
  <r>
    <x v="2083"/>
    <x v="0"/>
    <x v="1"/>
    <x v="0"/>
    <n v="55.8"/>
    <x v="51"/>
    <x v="1989"/>
    <x v="0"/>
    <x v="1"/>
    <x v="1"/>
    <x v="1"/>
  </r>
  <r>
    <x v="2084"/>
    <x v="0"/>
    <x v="2"/>
    <x v="3"/>
    <n v="39.700000000000003"/>
    <x v="37"/>
    <x v="1990"/>
    <x v="0"/>
    <x v="0"/>
    <x v="1"/>
    <x v="3"/>
  </r>
  <r>
    <x v="2085"/>
    <x v="0"/>
    <x v="0"/>
    <x v="3"/>
    <n v="29.5"/>
    <x v="43"/>
    <x v="1991"/>
    <x v="0"/>
    <x v="0"/>
    <x v="1"/>
    <x v="1"/>
  </r>
  <r>
    <x v="2086"/>
    <x v="0"/>
    <x v="2"/>
    <x v="3"/>
    <n v="20.149999999999999"/>
    <x v="37"/>
    <x v="68"/>
    <x v="0"/>
    <x v="0"/>
    <x v="1"/>
    <x v="3"/>
  </r>
  <r>
    <x v="2087"/>
    <x v="1"/>
    <x v="2"/>
    <x v="3"/>
    <n v="79.55"/>
    <x v="21"/>
    <x v="1992"/>
    <x v="0"/>
    <x v="2"/>
    <x v="1"/>
    <x v="3"/>
  </r>
  <r>
    <x v="2088"/>
    <x v="1"/>
    <x v="0"/>
    <x v="3"/>
    <n v="24.8"/>
    <x v="6"/>
    <x v="1993"/>
    <x v="0"/>
    <x v="0"/>
    <x v="0"/>
    <x v="0"/>
  </r>
  <r>
    <x v="2089"/>
    <x v="0"/>
    <x v="0"/>
    <x v="1"/>
    <n v="19.649999999999999"/>
    <x v="32"/>
    <x v="1994"/>
    <x v="0"/>
    <x v="0"/>
    <x v="2"/>
    <x v="2"/>
  </r>
  <r>
    <x v="2090"/>
    <x v="1"/>
    <x v="0"/>
    <x v="0"/>
    <n v="79.95"/>
    <x v="0"/>
    <x v="1995"/>
    <x v="1"/>
    <x v="0"/>
    <x v="0"/>
    <x v="0"/>
  </r>
  <r>
    <x v="2091"/>
    <x v="0"/>
    <x v="0"/>
    <x v="0"/>
    <n v="19.3"/>
    <x v="0"/>
    <x v="1996"/>
    <x v="1"/>
    <x v="0"/>
    <x v="0"/>
    <x v="0"/>
  </r>
  <r>
    <x v="2092"/>
    <x v="1"/>
    <x v="0"/>
    <x v="0"/>
    <n v="94.05"/>
    <x v="34"/>
    <x v="1997"/>
    <x v="0"/>
    <x v="0"/>
    <x v="0"/>
    <x v="0"/>
  </r>
  <r>
    <x v="2093"/>
    <x v="1"/>
    <x v="0"/>
    <x v="1"/>
    <n v="90.75"/>
    <x v="2"/>
    <x v="1998"/>
    <x v="0"/>
    <x v="0"/>
    <x v="0"/>
    <x v="0"/>
  </r>
  <r>
    <x v="2094"/>
    <x v="0"/>
    <x v="0"/>
    <x v="3"/>
    <n v="78.849999999999994"/>
    <x v="63"/>
    <x v="1999"/>
    <x v="0"/>
    <x v="1"/>
    <x v="1"/>
    <x v="1"/>
  </r>
  <r>
    <x v="2095"/>
    <x v="1"/>
    <x v="1"/>
    <x v="2"/>
    <n v="99.5"/>
    <x v="14"/>
    <x v="2000"/>
    <x v="0"/>
    <x v="2"/>
    <x v="1"/>
    <x v="3"/>
  </r>
  <r>
    <x v="2096"/>
    <x v="0"/>
    <x v="1"/>
    <x v="0"/>
    <n v="99.2"/>
    <x v="50"/>
    <x v="2001"/>
    <x v="1"/>
    <x v="1"/>
    <x v="1"/>
    <x v="1"/>
  </r>
  <r>
    <x v="2097"/>
    <x v="1"/>
    <x v="0"/>
    <x v="3"/>
    <n v="80.55"/>
    <x v="32"/>
    <x v="2002"/>
    <x v="0"/>
    <x v="0"/>
    <x v="2"/>
    <x v="2"/>
  </r>
  <r>
    <x v="2098"/>
    <x v="1"/>
    <x v="0"/>
    <x v="0"/>
    <n v="70.2"/>
    <x v="26"/>
    <x v="548"/>
    <x v="0"/>
    <x v="0"/>
    <x v="0"/>
    <x v="0"/>
  </r>
  <r>
    <x v="2099"/>
    <x v="0"/>
    <x v="0"/>
    <x v="3"/>
    <n v="85.2"/>
    <x v="4"/>
    <x v="2003"/>
    <x v="1"/>
    <x v="0"/>
    <x v="0"/>
    <x v="0"/>
  </r>
  <r>
    <x v="2100"/>
    <x v="0"/>
    <x v="0"/>
    <x v="0"/>
    <n v="75.25"/>
    <x v="35"/>
    <x v="2004"/>
    <x v="1"/>
    <x v="0"/>
    <x v="0"/>
    <x v="0"/>
  </r>
  <r>
    <x v="2101"/>
    <x v="1"/>
    <x v="1"/>
    <x v="3"/>
    <n v="59.45"/>
    <x v="49"/>
    <x v="2005"/>
    <x v="0"/>
    <x v="1"/>
    <x v="1"/>
    <x v="3"/>
  </r>
  <r>
    <x v="2102"/>
    <x v="1"/>
    <x v="0"/>
    <x v="0"/>
    <n v="93.35"/>
    <x v="55"/>
    <x v="2006"/>
    <x v="0"/>
    <x v="1"/>
    <x v="1"/>
    <x v="1"/>
  </r>
  <r>
    <x v="2103"/>
    <x v="0"/>
    <x v="0"/>
    <x v="2"/>
    <n v="44.95"/>
    <x v="25"/>
    <x v="2007"/>
    <x v="0"/>
    <x v="1"/>
    <x v="1"/>
    <x v="1"/>
  </r>
  <r>
    <x v="2104"/>
    <x v="1"/>
    <x v="2"/>
    <x v="2"/>
    <n v="26.1"/>
    <x v="1"/>
    <x v="2008"/>
    <x v="0"/>
    <x v="0"/>
    <x v="1"/>
    <x v="1"/>
  </r>
  <r>
    <x v="2105"/>
    <x v="0"/>
    <x v="0"/>
    <x v="0"/>
    <n v="20.2"/>
    <x v="35"/>
    <x v="2009"/>
    <x v="0"/>
    <x v="0"/>
    <x v="0"/>
    <x v="0"/>
  </r>
  <r>
    <x v="2106"/>
    <x v="1"/>
    <x v="2"/>
    <x v="1"/>
    <n v="21.25"/>
    <x v="19"/>
    <x v="2010"/>
    <x v="0"/>
    <x v="0"/>
    <x v="1"/>
    <x v="1"/>
  </r>
  <r>
    <x v="2107"/>
    <x v="0"/>
    <x v="1"/>
    <x v="0"/>
    <n v="59.4"/>
    <x v="55"/>
    <x v="2011"/>
    <x v="0"/>
    <x v="0"/>
    <x v="1"/>
    <x v="1"/>
  </r>
  <r>
    <x v="2108"/>
    <x v="1"/>
    <x v="1"/>
    <x v="3"/>
    <n v="95"/>
    <x v="3"/>
    <x v="2012"/>
    <x v="0"/>
    <x v="1"/>
    <x v="1"/>
    <x v="1"/>
  </r>
  <r>
    <x v="2109"/>
    <x v="1"/>
    <x v="0"/>
    <x v="1"/>
    <n v="61.9"/>
    <x v="63"/>
    <x v="2013"/>
    <x v="0"/>
    <x v="1"/>
    <x v="1"/>
    <x v="1"/>
  </r>
  <r>
    <x v="2110"/>
    <x v="0"/>
    <x v="2"/>
    <x v="0"/>
    <n v="118.65"/>
    <x v="16"/>
    <x v="2014"/>
    <x v="0"/>
    <x v="2"/>
    <x v="1"/>
    <x v="3"/>
  </r>
  <r>
    <x v="2111"/>
    <x v="1"/>
    <x v="0"/>
    <x v="0"/>
    <n v="54.35"/>
    <x v="0"/>
    <x v="2015"/>
    <x v="1"/>
    <x v="0"/>
    <x v="0"/>
    <x v="0"/>
  </r>
  <r>
    <x v="2112"/>
    <x v="0"/>
    <x v="2"/>
    <x v="2"/>
    <n v="64.45"/>
    <x v="21"/>
    <x v="1726"/>
    <x v="0"/>
    <x v="1"/>
    <x v="1"/>
    <x v="3"/>
  </r>
  <r>
    <x v="2113"/>
    <x v="0"/>
    <x v="0"/>
    <x v="0"/>
    <n v="80.150000000000006"/>
    <x v="5"/>
    <x v="2016"/>
    <x v="0"/>
    <x v="0"/>
    <x v="2"/>
    <x v="2"/>
  </r>
  <r>
    <x v="2114"/>
    <x v="1"/>
    <x v="1"/>
    <x v="2"/>
    <n v="20.2"/>
    <x v="25"/>
    <x v="2017"/>
    <x v="0"/>
    <x v="0"/>
    <x v="1"/>
    <x v="1"/>
  </r>
  <r>
    <x v="2115"/>
    <x v="0"/>
    <x v="2"/>
    <x v="1"/>
    <n v="21"/>
    <x v="49"/>
    <x v="560"/>
    <x v="0"/>
    <x v="0"/>
    <x v="1"/>
    <x v="3"/>
  </r>
  <r>
    <x v="2116"/>
    <x v="1"/>
    <x v="0"/>
    <x v="1"/>
    <n v="20.45"/>
    <x v="0"/>
    <x v="677"/>
    <x v="0"/>
    <x v="0"/>
    <x v="0"/>
    <x v="0"/>
  </r>
  <r>
    <x v="2117"/>
    <x v="0"/>
    <x v="1"/>
    <x v="1"/>
    <n v="75.849999999999994"/>
    <x v="18"/>
    <x v="2018"/>
    <x v="0"/>
    <x v="0"/>
    <x v="2"/>
    <x v="0"/>
  </r>
  <r>
    <x v="2118"/>
    <x v="1"/>
    <x v="0"/>
    <x v="0"/>
    <n v="80.45"/>
    <x v="36"/>
    <x v="2019"/>
    <x v="0"/>
    <x v="1"/>
    <x v="1"/>
    <x v="1"/>
  </r>
  <r>
    <x v="2119"/>
    <x v="1"/>
    <x v="0"/>
    <x v="0"/>
    <n v="24.95"/>
    <x v="24"/>
    <x v="2020"/>
    <x v="1"/>
    <x v="0"/>
    <x v="0"/>
    <x v="0"/>
  </r>
  <r>
    <x v="2120"/>
    <x v="0"/>
    <x v="2"/>
    <x v="0"/>
    <n v="75.5"/>
    <x v="56"/>
    <x v="2021"/>
    <x v="0"/>
    <x v="2"/>
    <x v="1"/>
    <x v="3"/>
  </r>
  <r>
    <x v="2121"/>
    <x v="1"/>
    <x v="0"/>
    <x v="1"/>
    <n v="44.45"/>
    <x v="0"/>
    <x v="2022"/>
    <x v="0"/>
    <x v="0"/>
    <x v="0"/>
    <x v="0"/>
  </r>
  <r>
    <x v="2122"/>
    <x v="1"/>
    <x v="1"/>
    <x v="0"/>
    <n v="42.35"/>
    <x v="63"/>
    <x v="2023"/>
    <x v="1"/>
    <x v="0"/>
    <x v="1"/>
    <x v="1"/>
  </r>
  <r>
    <x v="2123"/>
    <x v="1"/>
    <x v="0"/>
    <x v="3"/>
    <n v="74.55"/>
    <x v="52"/>
    <x v="2024"/>
    <x v="0"/>
    <x v="1"/>
    <x v="1"/>
    <x v="1"/>
  </r>
  <r>
    <x v="2124"/>
    <x v="1"/>
    <x v="0"/>
    <x v="0"/>
    <n v="75.3"/>
    <x v="0"/>
    <x v="414"/>
    <x v="1"/>
    <x v="0"/>
    <x v="0"/>
    <x v="0"/>
  </r>
  <r>
    <x v="2125"/>
    <x v="1"/>
    <x v="1"/>
    <x v="0"/>
    <n v="94.8"/>
    <x v="69"/>
    <x v="2025"/>
    <x v="1"/>
    <x v="1"/>
    <x v="1"/>
    <x v="3"/>
  </r>
  <r>
    <x v="2126"/>
    <x v="1"/>
    <x v="2"/>
    <x v="3"/>
    <n v="48.15"/>
    <x v="41"/>
    <x v="2026"/>
    <x v="0"/>
    <x v="1"/>
    <x v="1"/>
    <x v="1"/>
  </r>
  <r>
    <x v="2127"/>
    <x v="1"/>
    <x v="1"/>
    <x v="1"/>
    <n v="19.649999999999999"/>
    <x v="57"/>
    <x v="2027"/>
    <x v="0"/>
    <x v="0"/>
    <x v="2"/>
    <x v="2"/>
  </r>
  <r>
    <x v="2128"/>
    <x v="0"/>
    <x v="0"/>
    <x v="0"/>
    <n v="70.55"/>
    <x v="0"/>
    <x v="2028"/>
    <x v="1"/>
    <x v="0"/>
    <x v="0"/>
    <x v="0"/>
  </r>
  <r>
    <x v="2129"/>
    <x v="0"/>
    <x v="0"/>
    <x v="1"/>
    <n v="20.149999999999999"/>
    <x v="0"/>
    <x v="22"/>
    <x v="0"/>
    <x v="0"/>
    <x v="0"/>
    <x v="0"/>
  </r>
  <r>
    <x v="2130"/>
    <x v="0"/>
    <x v="0"/>
    <x v="3"/>
    <n v="106.6"/>
    <x v="39"/>
    <x v="2029"/>
    <x v="0"/>
    <x v="2"/>
    <x v="1"/>
    <x v="3"/>
  </r>
  <r>
    <x v="2131"/>
    <x v="1"/>
    <x v="0"/>
    <x v="0"/>
    <n v="91"/>
    <x v="30"/>
    <x v="2030"/>
    <x v="0"/>
    <x v="0"/>
    <x v="2"/>
    <x v="2"/>
  </r>
  <r>
    <x v="2132"/>
    <x v="1"/>
    <x v="2"/>
    <x v="2"/>
    <n v="25.4"/>
    <x v="18"/>
    <x v="2031"/>
    <x v="0"/>
    <x v="0"/>
    <x v="2"/>
    <x v="0"/>
  </r>
  <r>
    <x v="2133"/>
    <x v="0"/>
    <x v="2"/>
    <x v="2"/>
    <n v="69.95"/>
    <x v="68"/>
    <x v="2032"/>
    <x v="0"/>
    <x v="1"/>
    <x v="1"/>
    <x v="3"/>
  </r>
  <r>
    <x v="2134"/>
    <x v="0"/>
    <x v="0"/>
    <x v="0"/>
    <n v="66.849999999999994"/>
    <x v="40"/>
    <x v="2033"/>
    <x v="0"/>
    <x v="0"/>
    <x v="0"/>
    <x v="0"/>
  </r>
  <r>
    <x v="2135"/>
    <x v="0"/>
    <x v="0"/>
    <x v="3"/>
    <n v="86.15"/>
    <x v="55"/>
    <x v="2034"/>
    <x v="1"/>
    <x v="1"/>
    <x v="1"/>
    <x v="1"/>
  </r>
  <r>
    <x v="2136"/>
    <x v="1"/>
    <x v="0"/>
    <x v="0"/>
    <n v="20.149999999999999"/>
    <x v="10"/>
    <x v="843"/>
    <x v="0"/>
    <x v="0"/>
    <x v="2"/>
    <x v="2"/>
  </r>
  <r>
    <x v="2137"/>
    <x v="0"/>
    <x v="1"/>
    <x v="1"/>
    <n v="64.849999999999994"/>
    <x v="17"/>
    <x v="2035"/>
    <x v="0"/>
    <x v="0"/>
    <x v="2"/>
    <x v="2"/>
  </r>
  <r>
    <x v="2138"/>
    <x v="1"/>
    <x v="2"/>
    <x v="0"/>
    <n v="74.849999999999994"/>
    <x v="19"/>
    <x v="2036"/>
    <x v="0"/>
    <x v="1"/>
    <x v="1"/>
    <x v="1"/>
  </r>
  <r>
    <x v="2139"/>
    <x v="1"/>
    <x v="0"/>
    <x v="1"/>
    <n v="50.5"/>
    <x v="35"/>
    <x v="2037"/>
    <x v="0"/>
    <x v="0"/>
    <x v="0"/>
    <x v="0"/>
  </r>
  <r>
    <x v="2140"/>
    <x v="1"/>
    <x v="0"/>
    <x v="0"/>
    <n v="72.900000000000006"/>
    <x v="26"/>
    <x v="2038"/>
    <x v="0"/>
    <x v="0"/>
    <x v="0"/>
    <x v="0"/>
  </r>
  <r>
    <x v="2141"/>
    <x v="0"/>
    <x v="1"/>
    <x v="3"/>
    <n v="115.05"/>
    <x v="8"/>
    <x v="2039"/>
    <x v="0"/>
    <x v="2"/>
    <x v="1"/>
    <x v="3"/>
  </r>
  <r>
    <x v="2142"/>
    <x v="1"/>
    <x v="0"/>
    <x v="0"/>
    <n v="19"/>
    <x v="32"/>
    <x v="2040"/>
    <x v="0"/>
    <x v="0"/>
    <x v="2"/>
    <x v="2"/>
  </r>
  <r>
    <x v="2143"/>
    <x v="1"/>
    <x v="0"/>
    <x v="1"/>
    <n v="19.55"/>
    <x v="53"/>
    <x v="2041"/>
    <x v="0"/>
    <x v="0"/>
    <x v="0"/>
    <x v="0"/>
  </r>
  <r>
    <x v="2144"/>
    <x v="0"/>
    <x v="1"/>
    <x v="0"/>
    <n v="101.1"/>
    <x v="25"/>
    <x v="2042"/>
    <x v="0"/>
    <x v="1"/>
    <x v="1"/>
    <x v="1"/>
  </r>
  <r>
    <x v="2145"/>
    <x v="1"/>
    <x v="0"/>
    <x v="0"/>
    <n v="84.1"/>
    <x v="17"/>
    <x v="2043"/>
    <x v="0"/>
    <x v="0"/>
    <x v="2"/>
    <x v="2"/>
  </r>
  <r>
    <x v="2146"/>
    <x v="1"/>
    <x v="2"/>
    <x v="2"/>
    <n v="24.15"/>
    <x v="47"/>
    <x v="2044"/>
    <x v="0"/>
    <x v="0"/>
    <x v="1"/>
    <x v="3"/>
  </r>
  <r>
    <x v="2147"/>
    <x v="0"/>
    <x v="0"/>
    <x v="0"/>
    <n v="50.1"/>
    <x v="0"/>
    <x v="2045"/>
    <x v="0"/>
    <x v="0"/>
    <x v="0"/>
    <x v="0"/>
  </r>
  <r>
    <x v="2148"/>
    <x v="0"/>
    <x v="0"/>
    <x v="0"/>
    <n v="74.599999999999994"/>
    <x v="13"/>
    <x v="2046"/>
    <x v="0"/>
    <x v="0"/>
    <x v="1"/>
    <x v="1"/>
  </r>
  <r>
    <x v="2149"/>
    <x v="0"/>
    <x v="2"/>
    <x v="1"/>
    <n v="19.75"/>
    <x v="65"/>
    <x v="2047"/>
    <x v="0"/>
    <x v="0"/>
    <x v="1"/>
    <x v="2"/>
  </r>
  <r>
    <x v="2150"/>
    <x v="0"/>
    <x v="0"/>
    <x v="0"/>
    <n v="85"/>
    <x v="19"/>
    <x v="2048"/>
    <x v="1"/>
    <x v="1"/>
    <x v="1"/>
    <x v="1"/>
  </r>
  <r>
    <x v="2151"/>
    <x v="0"/>
    <x v="0"/>
    <x v="0"/>
    <n v="80.55"/>
    <x v="2"/>
    <x v="2049"/>
    <x v="1"/>
    <x v="0"/>
    <x v="0"/>
    <x v="0"/>
  </r>
  <r>
    <x v="2152"/>
    <x v="1"/>
    <x v="1"/>
    <x v="2"/>
    <n v="106.8"/>
    <x v="69"/>
    <x v="2050"/>
    <x v="0"/>
    <x v="2"/>
    <x v="1"/>
    <x v="3"/>
  </r>
  <r>
    <x v="2153"/>
    <x v="0"/>
    <x v="2"/>
    <x v="0"/>
    <n v="84.5"/>
    <x v="58"/>
    <x v="2051"/>
    <x v="0"/>
    <x v="1"/>
    <x v="1"/>
    <x v="3"/>
  </r>
  <r>
    <x v="2154"/>
    <x v="0"/>
    <x v="2"/>
    <x v="2"/>
    <n v="25.05"/>
    <x v="30"/>
    <x v="2052"/>
    <x v="0"/>
    <x v="0"/>
    <x v="2"/>
    <x v="2"/>
  </r>
  <r>
    <x v="2155"/>
    <x v="0"/>
    <x v="2"/>
    <x v="2"/>
    <n v="83.7"/>
    <x v="21"/>
    <x v="2053"/>
    <x v="0"/>
    <x v="2"/>
    <x v="1"/>
    <x v="3"/>
  </r>
  <r>
    <x v="2156"/>
    <x v="0"/>
    <x v="0"/>
    <x v="0"/>
    <n v="75.8"/>
    <x v="2"/>
    <x v="2054"/>
    <x v="1"/>
    <x v="0"/>
    <x v="0"/>
    <x v="0"/>
  </r>
  <r>
    <x v="2157"/>
    <x v="1"/>
    <x v="0"/>
    <x v="3"/>
    <n v="96.6"/>
    <x v="7"/>
    <x v="2055"/>
    <x v="0"/>
    <x v="1"/>
    <x v="1"/>
    <x v="1"/>
  </r>
  <r>
    <x v="2158"/>
    <x v="1"/>
    <x v="0"/>
    <x v="0"/>
    <n v="98.5"/>
    <x v="44"/>
    <x v="2056"/>
    <x v="1"/>
    <x v="1"/>
    <x v="1"/>
    <x v="1"/>
  </r>
  <r>
    <x v="2159"/>
    <x v="1"/>
    <x v="2"/>
    <x v="3"/>
    <n v="101.1"/>
    <x v="27"/>
    <x v="2057"/>
    <x v="0"/>
    <x v="2"/>
    <x v="1"/>
    <x v="3"/>
  </r>
  <r>
    <x v="2160"/>
    <x v="0"/>
    <x v="1"/>
    <x v="1"/>
    <n v="20.2"/>
    <x v="9"/>
    <x v="2058"/>
    <x v="0"/>
    <x v="0"/>
    <x v="2"/>
    <x v="2"/>
  </r>
  <r>
    <x v="2161"/>
    <x v="0"/>
    <x v="1"/>
    <x v="0"/>
    <n v="94.05"/>
    <x v="64"/>
    <x v="2059"/>
    <x v="0"/>
    <x v="2"/>
    <x v="1"/>
    <x v="3"/>
  </r>
  <r>
    <x v="2162"/>
    <x v="1"/>
    <x v="0"/>
    <x v="0"/>
    <n v="95.25"/>
    <x v="9"/>
    <x v="2060"/>
    <x v="1"/>
    <x v="0"/>
    <x v="2"/>
    <x v="2"/>
  </r>
  <r>
    <x v="2163"/>
    <x v="1"/>
    <x v="0"/>
    <x v="1"/>
    <n v="74.400000000000006"/>
    <x v="40"/>
    <x v="2061"/>
    <x v="1"/>
    <x v="0"/>
    <x v="0"/>
    <x v="0"/>
  </r>
  <r>
    <x v="2164"/>
    <x v="0"/>
    <x v="2"/>
    <x v="1"/>
    <n v="81"/>
    <x v="8"/>
    <x v="2062"/>
    <x v="0"/>
    <x v="2"/>
    <x v="1"/>
    <x v="3"/>
  </r>
  <r>
    <x v="2165"/>
    <x v="0"/>
    <x v="1"/>
    <x v="0"/>
    <n v="60.25"/>
    <x v="17"/>
    <x v="2063"/>
    <x v="0"/>
    <x v="0"/>
    <x v="2"/>
    <x v="2"/>
  </r>
  <r>
    <x v="2166"/>
    <x v="0"/>
    <x v="0"/>
    <x v="0"/>
    <n v="60.85"/>
    <x v="2"/>
    <x v="2064"/>
    <x v="0"/>
    <x v="0"/>
    <x v="0"/>
    <x v="0"/>
  </r>
  <r>
    <x v="2167"/>
    <x v="0"/>
    <x v="0"/>
    <x v="3"/>
    <n v="43.95"/>
    <x v="0"/>
    <x v="2065"/>
    <x v="0"/>
    <x v="0"/>
    <x v="0"/>
    <x v="0"/>
  </r>
  <r>
    <x v="2168"/>
    <x v="1"/>
    <x v="0"/>
    <x v="0"/>
    <n v="86.05"/>
    <x v="54"/>
    <x v="2066"/>
    <x v="0"/>
    <x v="0"/>
    <x v="0"/>
    <x v="0"/>
  </r>
  <r>
    <x v="2169"/>
    <x v="0"/>
    <x v="1"/>
    <x v="3"/>
    <n v="20.25"/>
    <x v="67"/>
    <x v="2067"/>
    <x v="0"/>
    <x v="0"/>
    <x v="2"/>
    <x v="2"/>
  </r>
  <r>
    <x v="2170"/>
    <x v="0"/>
    <x v="0"/>
    <x v="0"/>
    <n v="85.15"/>
    <x v="19"/>
    <x v="2068"/>
    <x v="1"/>
    <x v="1"/>
    <x v="1"/>
    <x v="1"/>
  </r>
  <r>
    <x v="2171"/>
    <x v="1"/>
    <x v="2"/>
    <x v="3"/>
    <n v="19.399999999999999"/>
    <x v="56"/>
    <x v="2069"/>
    <x v="0"/>
    <x v="0"/>
    <x v="1"/>
    <x v="3"/>
  </r>
  <r>
    <x v="2172"/>
    <x v="1"/>
    <x v="2"/>
    <x v="3"/>
    <n v="102.65"/>
    <x v="21"/>
    <x v="2070"/>
    <x v="0"/>
    <x v="2"/>
    <x v="1"/>
    <x v="3"/>
  </r>
  <r>
    <x v="2173"/>
    <x v="1"/>
    <x v="2"/>
    <x v="3"/>
    <n v="19.899999999999999"/>
    <x v="62"/>
    <x v="2071"/>
    <x v="0"/>
    <x v="0"/>
    <x v="1"/>
    <x v="3"/>
  </r>
  <r>
    <x v="2174"/>
    <x v="0"/>
    <x v="1"/>
    <x v="0"/>
    <n v="19.55"/>
    <x v="24"/>
    <x v="2072"/>
    <x v="0"/>
    <x v="0"/>
    <x v="0"/>
    <x v="0"/>
  </r>
  <r>
    <x v="2175"/>
    <x v="1"/>
    <x v="2"/>
    <x v="3"/>
    <n v="95.5"/>
    <x v="16"/>
    <x v="2073"/>
    <x v="0"/>
    <x v="2"/>
    <x v="1"/>
    <x v="3"/>
  </r>
  <r>
    <x v="2176"/>
    <x v="0"/>
    <x v="1"/>
    <x v="3"/>
    <n v="84.15"/>
    <x v="37"/>
    <x v="2074"/>
    <x v="0"/>
    <x v="1"/>
    <x v="1"/>
    <x v="3"/>
  </r>
  <r>
    <x v="2177"/>
    <x v="1"/>
    <x v="2"/>
    <x v="0"/>
    <n v="103.2"/>
    <x v="39"/>
    <x v="1206"/>
    <x v="0"/>
    <x v="2"/>
    <x v="1"/>
    <x v="3"/>
  </r>
  <r>
    <x v="2178"/>
    <x v="1"/>
    <x v="0"/>
    <x v="3"/>
    <n v="50.2"/>
    <x v="2"/>
    <x v="2075"/>
    <x v="0"/>
    <x v="0"/>
    <x v="0"/>
    <x v="0"/>
  </r>
  <r>
    <x v="2179"/>
    <x v="0"/>
    <x v="0"/>
    <x v="0"/>
    <n v="88.55"/>
    <x v="2"/>
    <x v="2076"/>
    <x v="1"/>
    <x v="0"/>
    <x v="0"/>
    <x v="0"/>
  </r>
  <r>
    <x v="2180"/>
    <x v="1"/>
    <x v="0"/>
    <x v="0"/>
    <n v="54.75"/>
    <x v="65"/>
    <x v="2077"/>
    <x v="1"/>
    <x v="0"/>
    <x v="1"/>
    <x v="2"/>
  </r>
  <r>
    <x v="2181"/>
    <x v="1"/>
    <x v="2"/>
    <x v="3"/>
    <n v="19.95"/>
    <x v="25"/>
    <x v="88"/>
    <x v="0"/>
    <x v="0"/>
    <x v="1"/>
    <x v="1"/>
  </r>
  <r>
    <x v="2182"/>
    <x v="1"/>
    <x v="2"/>
    <x v="0"/>
    <n v="116.25"/>
    <x v="16"/>
    <x v="2078"/>
    <x v="0"/>
    <x v="2"/>
    <x v="1"/>
    <x v="3"/>
  </r>
  <r>
    <x v="2183"/>
    <x v="0"/>
    <x v="0"/>
    <x v="0"/>
    <n v="31.2"/>
    <x v="44"/>
    <x v="2079"/>
    <x v="0"/>
    <x v="0"/>
    <x v="1"/>
    <x v="1"/>
  </r>
  <r>
    <x v="2184"/>
    <x v="1"/>
    <x v="2"/>
    <x v="2"/>
    <n v="24.45"/>
    <x v="14"/>
    <x v="2080"/>
    <x v="0"/>
    <x v="0"/>
    <x v="1"/>
    <x v="3"/>
  </r>
  <r>
    <x v="2185"/>
    <x v="1"/>
    <x v="2"/>
    <x v="3"/>
    <n v="84.2"/>
    <x v="16"/>
    <x v="2081"/>
    <x v="0"/>
    <x v="2"/>
    <x v="1"/>
    <x v="3"/>
  </r>
  <r>
    <x v="2186"/>
    <x v="0"/>
    <x v="0"/>
    <x v="0"/>
    <n v="91.3"/>
    <x v="0"/>
    <x v="2082"/>
    <x v="1"/>
    <x v="0"/>
    <x v="0"/>
    <x v="0"/>
  </r>
  <r>
    <x v="2187"/>
    <x v="1"/>
    <x v="2"/>
    <x v="2"/>
    <n v="85.65"/>
    <x v="39"/>
    <x v="2083"/>
    <x v="0"/>
    <x v="1"/>
    <x v="1"/>
    <x v="3"/>
  </r>
  <r>
    <x v="2188"/>
    <x v="1"/>
    <x v="1"/>
    <x v="1"/>
    <n v="21.2"/>
    <x v="39"/>
    <x v="1451"/>
    <x v="0"/>
    <x v="0"/>
    <x v="1"/>
    <x v="3"/>
  </r>
  <r>
    <x v="2189"/>
    <x v="1"/>
    <x v="0"/>
    <x v="0"/>
    <n v="79.5"/>
    <x v="0"/>
    <x v="2084"/>
    <x v="1"/>
    <x v="0"/>
    <x v="0"/>
    <x v="0"/>
  </r>
  <r>
    <x v="2190"/>
    <x v="0"/>
    <x v="1"/>
    <x v="1"/>
    <n v="25.55"/>
    <x v="7"/>
    <x v="2085"/>
    <x v="0"/>
    <x v="0"/>
    <x v="1"/>
    <x v="1"/>
  </r>
  <r>
    <x v="2191"/>
    <x v="0"/>
    <x v="0"/>
    <x v="1"/>
    <n v="20.2"/>
    <x v="67"/>
    <x v="2086"/>
    <x v="0"/>
    <x v="0"/>
    <x v="2"/>
    <x v="2"/>
  </r>
  <r>
    <x v="2192"/>
    <x v="1"/>
    <x v="0"/>
    <x v="0"/>
    <n v="63.85"/>
    <x v="33"/>
    <x v="2087"/>
    <x v="0"/>
    <x v="1"/>
    <x v="1"/>
    <x v="3"/>
  </r>
  <r>
    <x v="2193"/>
    <x v="0"/>
    <x v="1"/>
    <x v="1"/>
    <n v="61.95"/>
    <x v="22"/>
    <x v="2088"/>
    <x v="0"/>
    <x v="0"/>
    <x v="2"/>
    <x v="2"/>
  </r>
  <r>
    <x v="2194"/>
    <x v="1"/>
    <x v="2"/>
    <x v="1"/>
    <n v="25.75"/>
    <x v="15"/>
    <x v="2089"/>
    <x v="0"/>
    <x v="0"/>
    <x v="1"/>
    <x v="3"/>
  </r>
  <r>
    <x v="2195"/>
    <x v="0"/>
    <x v="1"/>
    <x v="0"/>
    <n v="58.2"/>
    <x v="67"/>
    <x v="2090"/>
    <x v="0"/>
    <x v="0"/>
    <x v="2"/>
    <x v="2"/>
  </r>
  <r>
    <x v="2196"/>
    <x v="0"/>
    <x v="1"/>
    <x v="2"/>
    <n v="85.85"/>
    <x v="51"/>
    <x v="2091"/>
    <x v="0"/>
    <x v="1"/>
    <x v="1"/>
    <x v="1"/>
  </r>
  <r>
    <x v="2197"/>
    <x v="1"/>
    <x v="0"/>
    <x v="1"/>
    <n v="70.099999999999994"/>
    <x v="40"/>
    <x v="2092"/>
    <x v="1"/>
    <x v="0"/>
    <x v="0"/>
    <x v="0"/>
  </r>
  <r>
    <x v="2198"/>
    <x v="1"/>
    <x v="1"/>
    <x v="3"/>
    <n v="104.9"/>
    <x v="21"/>
    <x v="2093"/>
    <x v="0"/>
    <x v="2"/>
    <x v="1"/>
    <x v="3"/>
  </r>
  <r>
    <x v="2199"/>
    <x v="1"/>
    <x v="1"/>
    <x v="0"/>
    <n v="111.3"/>
    <x v="56"/>
    <x v="2094"/>
    <x v="1"/>
    <x v="2"/>
    <x v="1"/>
    <x v="3"/>
  </r>
  <r>
    <x v="2200"/>
    <x v="1"/>
    <x v="1"/>
    <x v="0"/>
    <n v="99.85"/>
    <x v="1"/>
    <x v="2095"/>
    <x v="0"/>
    <x v="1"/>
    <x v="1"/>
    <x v="1"/>
  </r>
  <r>
    <x v="2201"/>
    <x v="1"/>
    <x v="0"/>
    <x v="2"/>
    <n v="95.25"/>
    <x v="58"/>
    <x v="1911"/>
    <x v="1"/>
    <x v="2"/>
    <x v="1"/>
    <x v="3"/>
  </r>
  <r>
    <x v="2202"/>
    <x v="0"/>
    <x v="0"/>
    <x v="0"/>
    <n v="86.25"/>
    <x v="40"/>
    <x v="2096"/>
    <x v="1"/>
    <x v="0"/>
    <x v="0"/>
    <x v="0"/>
  </r>
  <r>
    <x v="2203"/>
    <x v="0"/>
    <x v="0"/>
    <x v="0"/>
    <n v="100.8"/>
    <x v="0"/>
    <x v="2097"/>
    <x v="1"/>
    <x v="0"/>
    <x v="0"/>
    <x v="0"/>
  </r>
  <r>
    <x v="2204"/>
    <x v="1"/>
    <x v="0"/>
    <x v="2"/>
    <n v="19.55"/>
    <x v="4"/>
    <x v="2098"/>
    <x v="0"/>
    <x v="0"/>
    <x v="0"/>
    <x v="0"/>
  </r>
  <r>
    <x v="2205"/>
    <x v="0"/>
    <x v="2"/>
    <x v="0"/>
    <n v="104"/>
    <x v="14"/>
    <x v="2099"/>
    <x v="0"/>
    <x v="2"/>
    <x v="1"/>
    <x v="3"/>
  </r>
  <r>
    <x v="2206"/>
    <x v="0"/>
    <x v="1"/>
    <x v="1"/>
    <n v="104.4"/>
    <x v="37"/>
    <x v="2100"/>
    <x v="0"/>
    <x v="2"/>
    <x v="1"/>
    <x v="3"/>
  </r>
  <r>
    <x v="2207"/>
    <x v="1"/>
    <x v="1"/>
    <x v="1"/>
    <n v="19.5"/>
    <x v="6"/>
    <x v="2101"/>
    <x v="0"/>
    <x v="0"/>
    <x v="0"/>
    <x v="0"/>
  </r>
  <r>
    <x v="2208"/>
    <x v="0"/>
    <x v="2"/>
    <x v="3"/>
    <n v="25.25"/>
    <x v="18"/>
    <x v="2102"/>
    <x v="0"/>
    <x v="0"/>
    <x v="2"/>
    <x v="0"/>
  </r>
  <r>
    <x v="2209"/>
    <x v="0"/>
    <x v="0"/>
    <x v="0"/>
    <n v="86.3"/>
    <x v="60"/>
    <x v="2103"/>
    <x v="1"/>
    <x v="0"/>
    <x v="2"/>
    <x v="2"/>
  </r>
  <r>
    <x v="2210"/>
    <x v="0"/>
    <x v="2"/>
    <x v="2"/>
    <n v="49.85"/>
    <x v="27"/>
    <x v="2104"/>
    <x v="0"/>
    <x v="1"/>
    <x v="1"/>
    <x v="3"/>
  </r>
  <r>
    <x v="2211"/>
    <x v="0"/>
    <x v="0"/>
    <x v="2"/>
    <n v="108.95"/>
    <x v="38"/>
    <x v="2105"/>
    <x v="0"/>
    <x v="2"/>
    <x v="1"/>
    <x v="3"/>
  </r>
  <r>
    <x v="2212"/>
    <x v="0"/>
    <x v="2"/>
    <x v="3"/>
    <n v="89.9"/>
    <x v="33"/>
    <x v="2106"/>
    <x v="0"/>
    <x v="2"/>
    <x v="1"/>
    <x v="3"/>
  </r>
  <r>
    <x v="2213"/>
    <x v="0"/>
    <x v="2"/>
    <x v="3"/>
    <n v="82"/>
    <x v="16"/>
    <x v="2107"/>
    <x v="0"/>
    <x v="2"/>
    <x v="1"/>
    <x v="3"/>
  </r>
  <r>
    <x v="2214"/>
    <x v="1"/>
    <x v="0"/>
    <x v="0"/>
    <n v="89.95"/>
    <x v="61"/>
    <x v="2108"/>
    <x v="0"/>
    <x v="0"/>
    <x v="2"/>
    <x v="2"/>
  </r>
  <r>
    <x v="2215"/>
    <x v="1"/>
    <x v="2"/>
    <x v="2"/>
    <n v="79.349999999999994"/>
    <x v="21"/>
    <x v="2109"/>
    <x v="0"/>
    <x v="2"/>
    <x v="1"/>
    <x v="3"/>
  </r>
  <r>
    <x v="2216"/>
    <x v="0"/>
    <x v="2"/>
    <x v="3"/>
    <n v="64.05"/>
    <x v="16"/>
    <x v="2110"/>
    <x v="0"/>
    <x v="1"/>
    <x v="1"/>
    <x v="3"/>
  </r>
  <r>
    <x v="2217"/>
    <x v="1"/>
    <x v="0"/>
    <x v="3"/>
    <n v="101.15"/>
    <x v="46"/>
    <x v="304"/>
    <x v="0"/>
    <x v="1"/>
    <x v="1"/>
    <x v="1"/>
  </r>
  <r>
    <x v="2218"/>
    <x v="0"/>
    <x v="0"/>
    <x v="0"/>
    <n v="89.95"/>
    <x v="7"/>
    <x v="2111"/>
    <x v="1"/>
    <x v="1"/>
    <x v="1"/>
    <x v="1"/>
  </r>
  <r>
    <x v="2219"/>
    <x v="1"/>
    <x v="0"/>
    <x v="0"/>
    <n v="76.45"/>
    <x v="22"/>
    <x v="2112"/>
    <x v="1"/>
    <x v="0"/>
    <x v="2"/>
    <x v="2"/>
  </r>
  <r>
    <x v="2220"/>
    <x v="1"/>
    <x v="1"/>
    <x v="0"/>
    <n v="39.1"/>
    <x v="55"/>
    <x v="2113"/>
    <x v="0"/>
    <x v="0"/>
    <x v="1"/>
    <x v="1"/>
  </r>
  <r>
    <x v="2221"/>
    <x v="0"/>
    <x v="2"/>
    <x v="1"/>
    <n v="34.6"/>
    <x v="57"/>
    <x v="2114"/>
    <x v="0"/>
    <x v="0"/>
    <x v="2"/>
    <x v="2"/>
  </r>
  <r>
    <x v="2222"/>
    <x v="1"/>
    <x v="1"/>
    <x v="0"/>
    <n v="19.55"/>
    <x v="11"/>
    <x v="2115"/>
    <x v="0"/>
    <x v="0"/>
    <x v="1"/>
    <x v="3"/>
  </r>
  <r>
    <x v="2223"/>
    <x v="0"/>
    <x v="2"/>
    <x v="2"/>
    <n v="104.45"/>
    <x v="27"/>
    <x v="2116"/>
    <x v="0"/>
    <x v="2"/>
    <x v="1"/>
    <x v="3"/>
  </r>
  <r>
    <x v="2224"/>
    <x v="1"/>
    <x v="0"/>
    <x v="0"/>
    <n v="70.5"/>
    <x v="54"/>
    <x v="2117"/>
    <x v="0"/>
    <x v="0"/>
    <x v="0"/>
    <x v="0"/>
  </r>
  <r>
    <x v="2225"/>
    <x v="1"/>
    <x v="2"/>
    <x v="1"/>
    <n v="20.350000000000001"/>
    <x v="3"/>
    <x v="2118"/>
    <x v="0"/>
    <x v="0"/>
    <x v="1"/>
    <x v="1"/>
  </r>
  <r>
    <x v="2226"/>
    <x v="1"/>
    <x v="0"/>
    <x v="0"/>
    <n v="70"/>
    <x v="6"/>
    <x v="2119"/>
    <x v="1"/>
    <x v="0"/>
    <x v="0"/>
    <x v="0"/>
  </r>
  <r>
    <x v="2227"/>
    <x v="1"/>
    <x v="2"/>
    <x v="3"/>
    <n v="19.45"/>
    <x v="51"/>
    <x v="2120"/>
    <x v="0"/>
    <x v="0"/>
    <x v="1"/>
    <x v="1"/>
  </r>
  <r>
    <x v="2228"/>
    <x v="1"/>
    <x v="0"/>
    <x v="1"/>
    <n v="69.900000000000006"/>
    <x v="68"/>
    <x v="2121"/>
    <x v="0"/>
    <x v="1"/>
    <x v="1"/>
    <x v="3"/>
  </r>
  <r>
    <x v="2229"/>
    <x v="1"/>
    <x v="2"/>
    <x v="1"/>
    <n v="59.7"/>
    <x v="57"/>
    <x v="164"/>
    <x v="0"/>
    <x v="0"/>
    <x v="2"/>
    <x v="2"/>
  </r>
  <r>
    <x v="2230"/>
    <x v="0"/>
    <x v="1"/>
    <x v="3"/>
    <n v="78.349999999999994"/>
    <x v="52"/>
    <x v="2122"/>
    <x v="0"/>
    <x v="1"/>
    <x v="1"/>
    <x v="1"/>
  </r>
  <r>
    <x v="2231"/>
    <x v="1"/>
    <x v="0"/>
    <x v="1"/>
    <n v="71.45"/>
    <x v="24"/>
    <x v="2123"/>
    <x v="0"/>
    <x v="0"/>
    <x v="0"/>
    <x v="0"/>
  </r>
  <r>
    <x v="2232"/>
    <x v="1"/>
    <x v="1"/>
    <x v="3"/>
    <n v="45.85"/>
    <x v="23"/>
    <x v="2124"/>
    <x v="0"/>
    <x v="0"/>
    <x v="1"/>
    <x v="1"/>
  </r>
  <r>
    <x v="2233"/>
    <x v="0"/>
    <x v="0"/>
    <x v="0"/>
    <n v="95.85"/>
    <x v="0"/>
    <x v="2125"/>
    <x v="0"/>
    <x v="0"/>
    <x v="0"/>
    <x v="0"/>
  </r>
  <r>
    <x v="2234"/>
    <x v="0"/>
    <x v="2"/>
    <x v="3"/>
    <n v="35.700000000000003"/>
    <x v="56"/>
    <x v="2126"/>
    <x v="0"/>
    <x v="1"/>
    <x v="1"/>
    <x v="3"/>
  </r>
  <r>
    <x v="2235"/>
    <x v="0"/>
    <x v="2"/>
    <x v="3"/>
    <n v="89.55"/>
    <x v="21"/>
    <x v="2127"/>
    <x v="0"/>
    <x v="2"/>
    <x v="1"/>
    <x v="3"/>
  </r>
  <r>
    <x v="2236"/>
    <x v="0"/>
    <x v="2"/>
    <x v="3"/>
    <n v="24.95"/>
    <x v="39"/>
    <x v="1922"/>
    <x v="0"/>
    <x v="0"/>
    <x v="1"/>
    <x v="3"/>
  </r>
  <r>
    <x v="2237"/>
    <x v="1"/>
    <x v="1"/>
    <x v="0"/>
    <n v="24.85"/>
    <x v="66"/>
    <x v="2128"/>
    <x v="0"/>
    <x v="0"/>
    <x v="1"/>
    <x v="1"/>
  </r>
  <r>
    <x v="2238"/>
    <x v="0"/>
    <x v="0"/>
    <x v="0"/>
    <n v="100.8"/>
    <x v="33"/>
    <x v="2129"/>
    <x v="0"/>
    <x v="2"/>
    <x v="1"/>
    <x v="3"/>
  </r>
  <r>
    <x v="2239"/>
    <x v="0"/>
    <x v="1"/>
    <x v="1"/>
    <n v="64.400000000000006"/>
    <x v="1"/>
    <x v="2130"/>
    <x v="1"/>
    <x v="1"/>
    <x v="1"/>
    <x v="1"/>
  </r>
  <r>
    <x v="2240"/>
    <x v="0"/>
    <x v="2"/>
    <x v="2"/>
    <n v="105.35"/>
    <x v="14"/>
    <x v="2131"/>
    <x v="0"/>
    <x v="2"/>
    <x v="1"/>
    <x v="3"/>
  </r>
  <r>
    <x v="2241"/>
    <x v="0"/>
    <x v="0"/>
    <x v="0"/>
    <n v="102.45"/>
    <x v="0"/>
    <x v="2132"/>
    <x v="1"/>
    <x v="0"/>
    <x v="0"/>
    <x v="0"/>
  </r>
  <r>
    <x v="2242"/>
    <x v="0"/>
    <x v="2"/>
    <x v="3"/>
    <n v="19.649999999999999"/>
    <x v="63"/>
    <x v="2133"/>
    <x v="0"/>
    <x v="0"/>
    <x v="1"/>
    <x v="1"/>
  </r>
  <r>
    <x v="2243"/>
    <x v="1"/>
    <x v="0"/>
    <x v="2"/>
    <n v="54.45"/>
    <x v="19"/>
    <x v="2134"/>
    <x v="0"/>
    <x v="0"/>
    <x v="1"/>
    <x v="1"/>
  </r>
  <r>
    <x v="2244"/>
    <x v="0"/>
    <x v="0"/>
    <x v="1"/>
    <n v="70.5"/>
    <x v="26"/>
    <x v="2135"/>
    <x v="0"/>
    <x v="0"/>
    <x v="0"/>
    <x v="0"/>
  </r>
  <r>
    <x v="2245"/>
    <x v="0"/>
    <x v="1"/>
    <x v="3"/>
    <n v="20.100000000000001"/>
    <x v="30"/>
    <x v="2136"/>
    <x v="0"/>
    <x v="0"/>
    <x v="2"/>
    <x v="2"/>
  </r>
  <r>
    <x v="2246"/>
    <x v="1"/>
    <x v="0"/>
    <x v="0"/>
    <n v="69.349999999999994"/>
    <x v="26"/>
    <x v="2137"/>
    <x v="0"/>
    <x v="0"/>
    <x v="0"/>
    <x v="0"/>
  </r>
  <r>
    <x v="2247"/>
    <x v="0"/>
    <x v="1"/>
    <x v="2"/>
    <n v="19.8"/>
    <x v="38"/>
    <x v="2138"/>
    <x v="0"/>
    <x v="0"/>
    <x v="1"/>
    <x v="3"/>
  </r>
  <r>
    <x v="2248"/>
    <x v="1"/>
    <x v="2"/>
    <x v="2"/>
    <n v="74.400000000000006"/>
    <x v="21"/>
    <x v="2139"/>
    <x v="0"/>
    <x v="2"/>
    <x v="1"/>
    <x v="3"/>
  </r>
  <r>
    <x v="2249"/>
    <x v="1"/>
    <x v="2"/>
    <x v="2"/>
    <n v="93.05"/>
    <x v="21"/>
    <x v="2140"/>
    <x v="0"/>
    <x v="2"/>
    <x v="1"/>
    <x v="3"/>
  </r>
  <r>
    <x v="2250"/>
    <x v="0"/>
    <x v="0"/>
    <x v="1"/>
    <n v="51.2"/>
    <x v="0"/>
    <x v="2141"/>
    <x v="0"/>
    <x v="0"/>
    <x v="0"/>
    <x v="0"/>
  </r>
  <r>
    <x v="2251"/>
    <x v="0"/>
    <x v="1"/>
    <x v="3"/>
    <n v="65.599999999999994"/>
    <x v="30"/>
    <x v="2142"/>
    <x v="0"/>
    <x v="0"/>
    <x v="2"/>
    <x v="2"/>
  </r>
  <r>
    <x v="2252"/>
    <x v="0"/>
    <x v="1"/>
    <x v="3"/>
    <n v="80.55"/>
    <x v="31"/>
    <x v="2143"/>
    <x v="0"/>
    <x v="1"/>
    <x v="1"/>
    <x v="3"/>
  </r>
  <r>
    <x v="2253"/>
    <x v="1"/>
    <x v="1"/>
    <x v="1"/>
    <n v="52.7"/>
    <x v="39"/>
    <x v="2144"/>
    <x v="0"/>
    <x v="1"/>
    <x v="1"/>
    <x v="3"/>
  </r>
  <r>
    <x v="2254"/>
    <x v="0"/>
    <x v="2"/>
    <x v="1"/>
    <n v="20.85"/>
    <x v="4"/>
    <x v="2145"/>
    <x v="0"/>
    <x v="0"/>
    <x v="0"/>
    <x v="0"/>
  </r>
  <r>
    <x v="2255"/>
    <x v="0"/>
    <x v="0"/>
    <x v="3"/>
    <n v="80.099999999999994"/>
    <x v="35"/>
    <x v="2146"/>
    <x v="1"/>
    <x v="0"/>
    <x v="0"/>
    <x v="0"/>
  </r>
  <r>
    <x v="2256"/>
    <x v="0"/>
    <x v="0"/>
    <x v="3"/>
    <n v="52.15"/>
    <x v="12"/>
    <x v="2147"/>
    <x v="0"/>
    <x v="1"/>
    <x v="1"/>
    <x v="3"/>
  </r>
  <r>
    <x v="2257"/>
    <x v="0"/>
    <x v="0"/>
    <x v="0"/>
    <n v="80.2"/>
    <x v="2"/>
    <x v="1915"/>
    <x v="1"/>
    <x v="0"/>
    <x v="0"/>
    <x v="0"/>
  </r>
  <r>
    <x v="2258"/>
    <x v="0"/>
    <x v="0"/>
    <x v="2"/>
    <n v="98.15"/>
    <x v="53"/>
    <x v="2148"/>
    <x v="1"/>
    <x v="0"/>
    <x v="0"/>
    <x v="0"/>
  </r>
  <r>
    <x v="2259"/>
    <x v="1"/>
    <x v="2"/>
    <x v="2"/>
    <n v="114.95"/>
    <x v="27"/>
    <x v="2149"/>
    <x v="0"/>
    <x v="2"/>
    <x v="1"/>
    <x v="3"/>
  </r>
  <r>
    <x v="2260"/>
    <x v="1"/>
    <x v="0"/>
    <x v="1"/>
    <n v="112.95"/>
    <x v="18"/>
    <x v="2150"/>
    <x v="1"/>
    <x v="0"/>
    <x v="2"/>
    <x v="0"/>
  </r>
  <r>
    <x v="2261"/>
    <x v="1"/>
    <x v="1"/>
    <x v="2"/>
    <n v="104.45"/>
    <x v="15"/>
    <x v="2151"/>
    <x v="0"/>
    <x v="2"/>
    <x v="1"/>
    <x v="3"/>
  </r>
  <r>
    <x v="2262"/>
    <x v="0"/>
    <x v="2"/>
    <x v="3"/>
    <n v="113.65"/>
    <x v="21"/>
    <x v="2152"/>
    <x v="0"/>
    <x v="2"/>
    <x v="1"/>
    <x v="3"/>
  </r>
  <r>
    <x v="2263"/>
    <x v="0"/>
    <x v="2"/>
    <x v="2"/>
    <n v="20.6"/>
    <x v="63"/>
    <x v="2153"/>
    <x v="0"/>
    <x v="0"/>
    <x v="1"/>
    <x v="1"/>
  </r>
  <r>
    <x v="2264"/>
    <x v="0"/>
    <x v="0"/>
    <x v="1"/>
    <n v="70.900000000000006"/>
    <x v="0"/>
    <x v="2154"/>
    <x v="1"/>
    <x v="0"/>
    <x v="0"/>
    <x v="0"/>
  </r>
  <r>
    <x v="2265"/>
    <x v="0"/>
    <x v="0"/>
    <x v="0"/>
    <n v="86.85"/>
    <x v="35"/>
    <x v="2155"/>
    <x v="1"/>
    <x v="0"/>
    <x v="0"/>
    <x v="0"/>
  </r>
  <r>
    <x v="2266"/>
    <x v="0"/>
    <x v="0"/>
    <x v="0"/>
    <n v="91.55"/>
    <x v="63"/>
    <x v="2156"/>
    <x v="0"/>
    <x v="1"/>
    <x v="1"/>
    <x v="1"/>
  </r>
  <r>
    <x v="2267"/>
    <x v="1"/>
    <x v="0"/>
    <x v="0"/>
    <n v="49.85"/>
    <x v="0"/>
    <x v="2157"/>
    <x v="0"/>
    <x v="0"/>
    <x v="0"/>
    <x v="0"/>
  </r>
  <r>
    <x v="2268"/>
    <x v="1"/>
    <x v="1"/>
    <x v="3"/>
    <n v="19.8"/>
    <x v="19"/>
    <x v="2158"/>
    <x v="0"/>
    <x v="0"/>
    <x v="1"/>
    <x v="1"/>
  </r>
  <r>
    <x v="2269"/>
    <x v="1"/>
    <x v="0"/>
    <x v="0"/>
    <n v="99.85"/>
    <x v="57"/>
    <x v="2159"/>
    <x v="1"/>
    <x v="1"/>
    <x v="2"/>
    <x v="2"/>
  </r>
  <r>
    <x v="2270"/>
    <x v="1"/>
    <x v="0"/>
    <x v="0"/>
    <n v="74.5"/>
    <x v="0"/>
    <x v="2160"/>
    <x v="1"/>
    <x v="0"/>
    <x v="0"/>
    <x v="0"/>
  </r>
  <r>
    <x v="2271"/>
    <x v="0"/>
    <x v="0"/>
    <x v="0"/>
    <n v="104.15"/>
    <x v="66"/>
    <x v="2161"/>
    <x v="0"/>
    <x v="1"/>
    <x v="1"/>
    <x v="1"/>
  </r>
  <r>
    <x v="2272"/>
    <x v="1"/>
    <x v="0"/>
    <x v="0"/>
    <n v="109.15"/>
    <x v="45"/>
    <x v="2162"/>
    <x v="1"/>
    <x v="2"/>
    <x v="1"/>
    <x v="3"/>
  </r>
  <r>
    <x v="2273"/>
    <x v="0"/>
    <x v="0"/>
    <x v="0"/>
    <n v="48.2"/>
    <x v="40"/>
    <x v="2163"/>
    <x v="0"/>
    <x v="0"/>
    <x v="0"/>
    <x v="0"/>
  </r>
  <r>
    <x v="2274"/>
    <x v="1"/>
    <x v="2"/>
    <x v="3"/>
    <n v="25.1"/>
    <x v="21"/>
    <x v="434"/>
    <x v="0"/>
    <x v="0"/>
    <x v="1"/>
    <x v="3"/>
  </r>
  <r>
    <x v="2275"/>
    <x v="0"/>
    <x v="0"/>
    <x v="3"/>
    <n v="100.15"/>
    <x v="4"/>
    <x v="2164"/>
    <x v="0"/>
    <x v="0"/>
    <x v="0"/>
    <x v="0"/>
  </r>
  <r>
    <x v="2276"/>
    <x v="0"/>
    <x v="0"/>
    <x v="3"/>
    <n v="65.2"/>
    <x v="10"/>
    <x v="2165"/>
    <x v="1"/>
    <x v="0"/>
    <x v="2"/>
    <x v="2"/>
  </r>
  <r>
    <x v="2277"/>
    <x v="1"/>
    <x v="0"/>
    <x v="3"/>
    <n v="99.5"/>
    <x v="33"/>
    <x v="1508"/>
    <x v="1"/>
    <x v="2"/>
    <x v="1"/>
    <x v="3"/>
  </r>
  <r>
    <x v="2278"/>
    <x v="1"/>
    <x v="0"/>
    <x v="1"/>
    <n v="71.55"/>
    <x v="0"/>
    <x v="2166"/>
    <x v="1"/>
    <x v="0"/>
    <x v="0"/>
    <x v="0"/>
  </r>
  <r>
    <x v="2279"/>
    <x v="1"/>
    <x v="0"/>
    <x v="1"/>
    <n v="55.9"/>
    <x v="35"/>
    <x v="2167"/>
    <x v="0"/>
    <x v="0"/>
    <x v="0"/>
    <x v="0"/>
  </r>
  <r>
    <x v="2280"/>
    <x v="1"/>
    <x v="0"/>
    <x v="0"/>
    <n v="93.9"/>
    <x v="62"/>
    <x v="2168"/>
    <x v="1"/>
    <x v="1"/>
    <x v="1"/>
    <x v="3"/>
  </r>
  <r>
    <x v="2281"/>
    <x v="1"/>
    <x v="0"/>
    <x v="3"/>
    <n v="64.400000000000006"/>
    <x v="4"/>
    <x v="2169"/>
    <x v="0"/>
    <x v="0"/>
    <x v="0"/>
    <x v="0"/>
  </r>
  <r>
    <x v="2282"/>
    <x v="1"/>
    <x v="2"/>
    <x v="2"/>
    <n v="108.4"/>
    <x v="14"/>
    <x v="2170"/>
    <x v="1"/>
    <x v="2"/>
    <x v="1"/>
    <x v="3"/>
  </r>
  <r>
    <x v="2283"/>
    <x v="0"/>
    <x v="0"/>
    <x v="1"/>
    <n v="85.3"/>
    <x v="24"/>
    <x v="1403"/>
    <x v="0"/>
    <x v="0"/>
    <x v="0"/>
    <x v="0"/>
  </r>
  <r>
    <x v="2284"/>
    <x v="0"/>
    <x v="2"/>
    <x v="1"/>
    <n v="107.45"/>
    <x v="21"/>
    <x v="2171"/>
    <x v="0"/>
    <x v="2"/>
    <x v="1"/>
    <x v="3"/>
  </r>
  <r>
    <x v="2285"/>
    <x v="0"/>
    <x v="0"/>
    <x v="2"/>
    <n v="48.75"/>
    <x v="9"/>
    <x v="2172"/>
    <x v="1"/>
    <x v="0"/>
    <x v="2"/>
    <x v="2"/>
  </r>
  <r>
    <x v="2286"/>
    <x v="0"/>
    <x v="0"/>
    <x v="0"/>
    <n v="85.65"/>
    <x v="54"/>
    <x v="2173"/>
    <x v="1"/>
    <x v="0"/>
    <x v="0"/>
    <x v="0"/>
  </r>
  <r>
    <x v="2287"/>
    <x v="0"/>
    <x v="2"/>
    <x v="3"/>
    <n v="91.3"/>
    <x v="68"/>
    <x v="2174"/>
    <x v="0"/>
    <x v="1"/>
    <x v="1"/>
    <x v="3"/>
  </r>
  <r>
    <x v="2288"/>
    <x v="1"/>
    <x v="2"/>
    <x v="2"/>
    <n v="85.95"/>
    <x v="21"/>
    <x v="2175"/>
    <x v="0"/>
    <x v="2"/>
    <x v="1"/>
    <x v="3"/>
  </r>
  <r>
    <x v="2289"/>
    <x v="1"/>
    <x v="0"/>
    <x v="0"/>
    <n v="106.7"/>
    <x v="18"/>
    <x v="2176"/>
    <x v="1"/>
    <x v="0"/>
    <x v="2"/>
    <x v="0"/>
  </r>
  <r>
    <x v="2290"/>
    <x v="1"/>
    <x v="0"/>
    <x v="0"/>
    <n v="25.15"/>
    <x v="0"/>
    <x v="1282"/>
    <x v="1"/>
    <x v="0"/>
    <x v="0"/>
    <x v="0"/>
  </r>
  <r>
    <x v="2291"/>
    <x v="1"/>
    <x v="0"/>
    <x v="0"/>
    <n v="45.2"/>
    <x v="0"/>
    <x v="2177"/>
    <x v="0"/>
    <x v="0"/>
    <x v="0"/>
    <x v="0"/>
  </r>
  <r>
    <x v="2292"/>
    <x v="0"/>
    <x v="1"/>
    <x v="0"/>
    <n v="110.35"/>
    <x v="68"/>
    <x v="2178"/>
    <x v="1"/>
    <x v="2"/>
    <x v="1"/>
    <x v="3"/>
  </r>
  <r>
    <x v="2293"/>
    <x v="1"/>
    <x v="2"/>
    <x v="3"/>
    <n v="79.2"/>
    <x v="14"/>
    <x v="2179"/>
    <x v="0"/>
    <x v="2"/>
    <x v="1"/>
    <x v="3"/>
  </r>
  <r>
    <x v="2294"/>
    <x v="0"/>
    <x v="2"/>
    <x v="3"/>
    <n v="55.5"/>
    <x v="43"/>
    <x v="2180"/>
    <x v="0"/>
    <x v="1"/>
    <x v="1"/>
    <x v="1"/>
  </r>
  <r>
    <x v="2295"/>
    <x v="0"/>
    <x v="1"/>
    <x v="3"/>
    <n v="103.25"/>
    <x v="43"/>
    <x v="2181"/>
    <x v="1"/>
    <x v="1"/>
    <x v="1"/>
    <x v="1"/>
  </r>
  <r>
    <x v="2296"/>
    <x v="0"/>
    <x v="0"/>
    <x v="0"/>
    <n v="90.25"/>
    <x v="4"/>
    <x v="2182"/>
    <x v="0"/>
    <x v="0"/>
    <x v="0"/>
    <x v="0"/>
  </r>
  <r>
    <x v="2297"/>
    <x v="1"/>
    <x v="2"/>
    <x v="1"/>
    <n v="91.25"/>
    <x v="16"/>
    <x v="2183"/>
    <x v="0"/>
    <x v="2"/>
    <x v="1"/>
    <x v="3"/>
  </r>
  <r>
    <x v="2298"/>
    <x v="1"/>
    <x v="0"/>
    <x v="0"/>
    <n v="47.8"/>
    <x v="2"/>
    <x v="1971"/>
    <x v="1"/>
    <x v="0"/>
    <x v="0"/>
    <x v="0"/>
  </r>
  <r>
    <x v="2299"/>
    <x v="1"/>
    <x v="1"/>
    <x v="3"/>
    <n v="100.9"/>
    <x v="56"/>
    <x v="2184"/>
    <x v="0"/>
    <x v="2"/>
    <x v="1"/>
    <x v="3"/>
  </r>
  <r>
    <x v="2300"/>
    <x v="1"/>
    <x v="0"/>
    <x v="2"/>
    <n v="97.7"/>
    <x v="1"/>
    <x v="2185"/>
    <x v="0"/>
    <x v="1"/>
    <x v="1"/>
    <x v="1"/>
  </r>
  <r>
    <x v="2301"/>
    <x v="0"/>
    <x v="0"/>
    <x v="0"/>
    <n v="69.849999999999994"/>
    <x v="35"/>
    <x v="2186"/>
    <x v="0"/>
    <x v="0"/>
    <x v="0"/>
    <x v="0"/>
  </r>
  <r>
    <x v="2302"/>
    <x v="0"/>
    <x v="1"/>
    <x v="1"/>
    <n v="65.599999999999994"/>
    <x v="34"/>
    <x v="1408"/>
    <x v="0"/>
    <x v="0"/>
    <x v="0"/>
    <x v="0"/>
  </r>
  <r>
    <x v="2303"/>
    <x v="1"/>
    <x v="1"/>
    <x v="2"/>
    <n v="104.65"/>
    <x v="16"/>
    <x v="2187"/>
    <x v="0"/>
    <x v="2"/>
    <x v="1"/>
    <x v="3"/>
  </r>
  <r>
    <x v="2304"/>
    <x v="1"/>
    <x v="2"/>
    <x v="3"/>
    <n v="90.45"/>
    <x v="58"/>
    <x v="2188"/>
    <x v="0"/>
    <x v="2"/>
    <x v="1"/>
    <x v="3"/>
  </r>
  <r>
    <x v="2305"/>
    <x v="1"/>
    <x v="2"/>
    <x v="2"/>
    <n v="63.7"/>
    <x v="21"/>
    <x v="2189"/>
    <x v="0"/>
    <x v="1"/>
    <x v="1"/>
    <x v="3"/>
  </r>
  <r>
    <x v="2306"/>
    <x v="0"/>
    <x v="0"/>
    <x v="0"/>
    <n v="104.5"/>
    <x v="43"/>
    <x v="2190"/>
    <x v="0"/>
    <x v="2"/>
    <x v="1"/>
    <x v="1"/>
  </r>
  <r>
    <x v="2307"/>
    <x v="1"/>
    <x v="1"/>
    <x v="1"/>
    <n v="20.100000000000001"/>
    <x v="32"/>
    <x v="2191"/>
    <x v="0"/>
    <x v="0"/>
    <x v="2"/>
    <x v="2"/>
  </r>
  <r>
    <x v="2308"/>
    <x v="1"/>
    <x v="1"/>
    <x v="3"/>
    <n v="104.3"/>
    <x v="29"/>
    <x v="2192"/>
    <x v="0"/>
    <x v="1"/>
    <x v="1"/>
    <x v="1"/>
  </r>
  <r>
    <x v="2309"/>
    <x v="0"/>
    <x v="2"/>
    <x v="2"/>
    <n v="93.25"/>
    <x v="21"/>
    <x v="2193"/>
    <x v="0"/>
    <x v="2"/>
    <x v="1"/>
    <x v="3"/>
  </r>
  <r>
    <x v="2310"/>
    <x v="1"/>
    <x v="1"/>
    <x v="2"/>
    <n v="73.45"/>
    <x v="42"/>
    <x v="2194"/>
    <x v="0"/>
    <x v="1"/>
    <x v="1"/>
    <x v="1"/>
  </r>
  <r>
    <x v="2311"/>
    <x v="1"/>
    <x v="0"/>
    <x v="1"/>
    <n v="20.7"/>
    <x v="54"/>
    <x v="2195"/>
    <x v="0"/>
    <x v="0"/>
    <x v="0"/>
    <x v="0"/>
  </r>
  <r>
    <x v="2312"/>
    <x v="0"/>
    <x v="2"/>
    <x v="1"/>
    <n v="25.25"/>
    <x v="12"/>
    <x v="2196"/>
    <x v="0"/>
    <x v="0"/>
    <x v="1"/>
    <x v="3"/>
  </r>
  <r>
    <x v="2313"/>
    <x v="0"/>
    <x v="2"/>
    <x v="2"/>
    <n v="100.5"/>
    <x v="16"/>
    <x v="2197"/>
    <x v="0"/>
    <x v="2"/>
    <x v="1"/>
    <x v="3"/>
  </r>
  <r>
    <x v="2314"/>
    <x v="1"/>
    <x v="0"/>
    <x v="0"/>
    <n v="90.6"/>
    <x v="26"/>
    <x v="2198"/>
    <x v="0"/>
    <x v="0"/>
    <x v="0"/>
    <x v="0"/>
  </r>
  <r>
    <x v="2315"/>
    <x v="1"/>
    <x v="2"/>
    <x v="3"/>
    <n v="89.4"/>
    <x v="28"/>
    <x v="2199"/>
    <x v="0"/>
    <x v="2"/>
    <x v="1"/>
    <x v="3"/>
  </r>
  <r>
    <x v="2316"/>
    <x v="0"/>
    <x v="0"/>
    <x v="2"/>
    <n v="95.45"/>
    <x v="45"/>
    <x v="2200"/>
    <x v="0"/>
    <x v="2"/>
    <x v="1"/>
    <x v="3"/>
  </r>
  <r>
    <x v="2317"/>
    <x v="0"/>
    <x v="2"/>
    <x v="3"/>
    <n v="20.45"/>
    <x v="12"/>
    <x v="2201"/>
    <x v="0"/>
    <x v="0"/>
    <x v="1"/>
    <x v="3"/>
  </r>
  <r>
    <x v="2318"/>
    <x v="0"/>
    <x v="0"/>
    <x v="3"/>
    <n v="98.6"/>
    <x v="44"/>
    <x v="2202"/>
    <x v="1"/>
    <x v="1"/>
    <x v="1"/>
    <x v="1"/>
  </r>
  <r>
    <x v="2319"/>
    <x v="0"/>
    <x v="0"/>
    <x v="0"/>
    <n v="83.05"/>
    <x v="30"/>
    <x v="2203"/>
    <x v="1"/>
    <x v="0"/>
    <x v="2"/>
    <x v="2"/>
  </r>
  <r>
    <x v="2320"/>
    <x v="0"/>
    <x v="0"/>
    <x v="0"/>
    <n v="19.95"/>
    <x v="54"/>
    <x v="2204"/>
    <x v="0"/>
    <x v="0"/>
    <x v="0"/>
    <x v="0"/>
  </r>
  <r>
    <x v="2321"/>
    <x v="0"/>
    <x v="1"/>
    <x v="3"/>
    <n v="109.15"/>
    <x v="21"/>
    <x v="2205"/>
    <x v="0"/>
    <x v="2"/>
    <x v="1"/>
    <x v="3"/>
  </r>
  <r>
    <x v="2322"/>
    <x v="0"/>
    <x v="0"/>
    <x v="3"/>
    <n v="85.7"/>
    <x v="70"/>
    <x v="2206"/>
    <x v="0"/>
    <x v="1"/>
    <x v="1"/>
    <x v="1"/>
  </r>
  <r>
    <x v="2323"/>
    <x v="0"/>
    <x v="0"/>
    <x v="2"/>
    <n v="102.05"/>
    <x v="42"/>
    <x v="2207"/>
    <x v="0"/>
    <x v="1"/>
    <x v="1"/>
    <x v="1"/>
  </r>
  <r>
    <x v="2324"/>
    <x v="0"/>
    <x v="1"/>
    <x v="0"/>
    <n v="94.7"/>
    <x v="58"/>
    <x v="2208"/>
    <x v="0"/>
    <x v="2"/>
    <x v="1"/>
    <x v="3"/>
  </r>
  <r>
    <x v="2325"/>
    <x v="1"/>
    <x v="0"/>
    <x v="0"/>
    <n v="64.400000000000006"/>
    <x v="7"/>
    <x v="2209"/>
    <x v="0"/>
    <x v="0"/>
    <x v="1"/>
    <x v="1"/>
  </r>
  <r>
    <x v="2326"/>
    <x v="0"/>
    <x v="1"/>
    <x v="1"/>
    <n v="26.8"/>
    <x v="13"/>
    <x v="2210"/>
    <x v="0"/>
    <x v="0"/>
    <x v="1"/>
    <x v="1"/>
  </r>
  <r>
    <x v="2327"/>
    <x v="0"/>
    <x v="1"/>
    <x v="3"/>
    <n v="66.05"/>
    <x v="20"/>
    <x v="2211"/>
    <x v="0"/>
    <x v="1"/>
    <x v="1"/>
    <x v="1"/>
  </r>
  <r>
    <x v="2328"/>
    <x v="0"/>
    <x v="0"/>
    <x v="2"/>
    <n v="65.2"/>
    <x v="58"/>
    <x v="2212"/>
    <x v="0"/>
    <x v="1"/>
    <x v="1"/>
    <x v="3"/>
  </r>
  <r>
    <x v="2329"/>
    <x v="1"/>
    <x v="0"/>
    <x v="3"/>
    <n v="85.05"/>
    <x v="10"/>
    <x v="422"/>
    <x v="0"/>
    <x v="0"/>
    <x v="2"/>
    <x v="2"/>
  </r>
  <r>
    <x v="2330"/>
    <x v="1"/>
    <x v="0"/>
    <x v="1"/>
    <n v="55.8"/>
    <x v="24"/>
    <x v="2213"/>
    <x v="0"/>
    <x v="0"/>
    <x v="0"/>
    <x v="0"/>
  </r>
  <r>
    <x v="2331"/>
    <x v="1"/>
    <x v="0"/>
    <x v="2"/>
    <n v="70.400000000000006"/>
    <x v="22"/>
    <x v="2214"/>
    <x v="1"/>
    <x v="0"/>
    <x v="2"/>
    <x v="2"/>
  </r>
  <r>
    <x v="2332"/>
    <x v="0"/>
    <x v="1"/>
    <x v="2"/>
    <n v="104.75"/>
    <x v="39"/>
    <x v="2215"/>
    <x v="1"/>
    <x v="2"/>
    <x v="1"/>
    <x v="3"/>
  </r>
  <r>
    <x v="2333"/>
    <x v="1"/>
    <x v="2"/>
    <x v="2"/>
    <n v="19.95"/>
    <x v="21"/>
    <x v="2216"/>
    <x v="0"/>
    <x v="0"/>
    <x v="1"/>
    <x v="3"/>
  </r>
  <r>
    <x v="2334"/>
    <x v="0"/>
    <x v="0"/>
    <x v="0"/>
    <n v="94.25"/>
    <x v="17"/>
    <x v="2217"/>
    <x v="1"/>
    <x v="0"/>
    <x v="2"/>
    <x v="2"/>
  </r>
  <r>
    <x v="2335"/>
    <x v="0"/>
    <x v="1"/>
    <x v="3"/>
    <n v="45"/>
    <x v="43"/>
    <x v="2218"/>
    <x v="0"/>
    <x v="1"/>
    <x v="1"/>
    <x v="1"/>
  </r>
  <r>
    <x v="2336"/>
    <x v="0"/>
    <x v="2"/>
    <x v="2"/>
    <n v="114.9"/>
    <x v="47"/>
    <x v="2219"/>
    <x v="0"/>
    <x v="2"/>
    <x v="1"/>
    <x v="3"/>
  </r>
  <r>
    <x v="2337"/>
    <x v="0"/>
    <x v="0"/>
    <x v="2"/>
    <n v="106.4"/>
    <x v="19"/>
    <x v="2220"/>
    <x v="0"/>
    <x v="1"/>
    <x v="1"/>
    <x v="1"/>
  </r>
  <r>
    <x v="2338"/>
    <x v="0"/>
    <x v="0"/>
    <x v="1"/>
    <n v="46.1"/>
    <x v="35"/>
    <x v="2221"/>
    <x v="0"/>
    <x v="0"/>
    <x v="0"/>
    <x v="0"/>
  </r>
  <r>
    <x v="2339"/>
    <x v="0"/>
    <x v="2"/>
    <x v="1"/>
    <n v="39.700000000000003"/>
    <x v="60"/>
    <x v="2222"/>
    <x v="0"/>
    <x v="0"/>
    <x v="2"/>
    <x v="2"/>
  </r>
  <r>
    <x v="2340"/>
    <x v="0"/>
    <x v="0"/>
    <x v="2"/>
    <n v="20.05"/>
    <x v="54"/>
    <x v="2223"/>
    <x v="0"/>
    <x v="0"/>
    <x v="0"/>
    <x v="0"/>
  </r>
  <r>
    <x v="2341"/>
    <x v="0"/>
    <x v="2"/>
    <x v="3"/>
    <n v="95.75"/>
    <x v="16"/>
    <x v="2224"/>
    <x v="0"/>
    <x v="2"/>
    <x v="1"/>
    <x v="3"/>
  </r>
  <r>
    <x v="2342"/>
    <x v="1"/>
    <x v="1"/>
    <x v="1"/>
    <n v="24.4"/>
    <x v="4"/>
    <x v="2225"/>
    <x v="0"/>
    <x v="0"/>
    <x v="0"/>
    <x v="0"/>
  </r>
  <r>
    <x v="2343"/>
    <x v="1"/>
    <x v="0"/>
    <x v="2"/>
    <n v="33.6"/>
    <x v="59"/>
    <x v="2226"/>
    <x v="0"/>
    <x v="1"/>
    <x v="1"/>
    <x v="3"/>
  </r>
  <r>
    <x v="2344"/>
    <x v="1"/>
    <x v="2"/>
    <x v="2"/>
    <n v="90.45"/>
    <x v="21"/>
    <x v="2227"/>
    <x v="0"/>
    <x v="2"/>
    <x v="1"/>
    <x v="3"/>
  </r>
  <r>
    <x v="2345"/>
    <x v="0"/>
    <x v="0"/>
    <x v="0"/>
    <n v="84"/>
    <x v="24"/>
    <x v="972"/>
    <x v="0"/>
    <x v="0"/>
    <x v="0"/>
    <x v="0"/>
  </r>
  <r>
    <x v="2346"/>
    <x v="0"/>
    <x v="2"/>
    <x v="2"/>
    <n v="67.400000000000006"/>
    <x v="12"/>
    <x v="2228"/>
    <x v="0"/>
    <x v="1"/>
    <x v="1"/>
    <x v="3"/>
  </r>
  <r>
    <x v="2347"/>
    <x v="1"/>
    <x v="0"/>
    <x v="2"/>
    <n v="19.7"/>
    <x v="4"/>
    <x v="2229"/>
    <x v="0"/>
    <x v="0"/>
    <x v="0"/>
    <x v="0"/>
  </r>
  <r>
    <x v="2348"/>
    <x v="1"/>
    <x v="0"/>
    <x v="0"/>
    <n v="80.349999999999994"/>
    <x v="35"/>
    <x v="2230"/>
    <x v="0"/>
    <x v="0"/>
    <x v="0"/>
    <x v="0"/>
  </r>
  <r>
    <x v="2349"/>
    <x v="1"/>
    <x v="2"/>
    <x v="1"/>
    <n v="19.600000000000001"/>
    <x v="34"/>
    <x v="2231"/>
    <x v="0"/>
    <x v="0"/>
    <x v="0"/>
    <x v="0"/>
  </r>
  <r>
    <x v="2350"/>
    <x v="1"/>
    <x v="2"/>
    <x v="2"/>
    <n v="54.2"/>
    <x v="56"/>
    <x v="2232"/>
    <x v="0"/>
    <x v="1"/>
    <x v="1"/>
    <x v="3"/>
  </r>
  <r>
    <x v="2351"/>
    <x v="1"/>
    <x v="0"/>
    <x v="3"/>
    <n v="45.2"/>
    <x v="25"/>
    <x v="2233"/>
    <x v="0"/>
    <x v="1"/>
    <x v="1"/>
    <x v="1"/>
  </r>
  <r>
    <x v="2352"/>
    <x v="0"/>
    <x v="1"/>
    <x v="1"/>
    <n v="75.099999999999994"/>
    <x v="56"/>
    <x v="2234"/>
    <x v="0"/>
    <x v="2"/>
    <x v="1"/>
    <x v="3"/>
  </r>
  <r>
    <x v="2353"/>
    <x v="0"/>
    <x v="1"/>
    <x v="0"/>
    <n v="19.7"/>
    <x v="49"/>
    <x v="2235"/>
    <x v="0"/>
    <x v="0"/>
    <x v="1"/>
    <x v="3"/>
  </r>
  <r>
    <x v="2354"/>
    <x v="1"/>
    <x v="0"/>
    <x v="2"/>
    <n v="72.75"/>
    <x v="55"/>
    <x v="2236"/>
    <x v="0"/>
    <x v="1"/>
    <x v="1"/>
    <x v="1"/>
  </r>
  <r>
    <x v="2355"/>
    <x v="1"/>
    <x v="2"/>
    <x v="3"/>
    <n v="20.05"/>
    <x v="8"/>
    <x v="2237"/>
    <x v="0"/>
    <x v="0"/>
    <x v="1"/>
    <x v="3"/>
  </r>
  <r>
    <x v="2356"/>
    <x v="0"/>
    <x v="0"/>
    <x v="1"/>
    <n v="45.95"/>
    <x v="0"/>
    <x v="1778"/>
    <x v="1"/>
    <x v="0"/>
    <x v="0"/>
    <x v="0"/>
  </r>
  <r>
    <x v="2357"/>
    <x v="1"/>
    <x v="0"/>
    <x v="0"/>
    <n v="39.200000000000003"/>
    <x v="12"/>
    <x v="2238"/>
    <x v="0"/>
    <x v="0"/>
    <x v="1"/>
    <x v="3"/>
  </r>
  <r>
    <x v="2358"/>
    <x v="1"/>
    <x v="0"/>
    <x v="0"/>
    <n v="44.75"/>
    <x v="0"/>
    <x v="2239"/>
    <x v="0"/>
    <x v="0"/>
    <x v="0"/>
    <x v="0"/>
  </r>
  <r>
    <x v="2359"/>
    <x v="1"/>
    <x v="0"/>
    <x v="0"/>
    <n v="82.65"/>
    <x v="60"/>
    <x v="2240"/>
    <x v="0"/>
    <x v="0"/>
    <x v="2"/>
    <x v="2"/>
  </r>
  <r>
    <x v="2360"/>
    <x v="1"/>
    <x v="0"/>
    <x v="2"/>
    <n v="93.9"/>
    <x v="32"/>
    <x v="2241"/>
    <x v="0"/>
    <x v="0"/>
    <x v="2"/>
    <x v="2"/>
  </r>
  <r>
    <x v="2361"/>
    <x v="0"/>
    <x v="0"/>
    <x v="0"/>
    <n v="70.150000000000006"/>
    <x v="0"/>
    <x v="2242"/>
    <x v="1"/>
    <x v="0"/>
    <x v="0"/>
    <x v="0"/>
  </r>
  <r>
    <x v="2362"/>
    <x v="0"/>
    <x v="0"/>
    <x v="3"/>
    <n v="85.55"/>
    <x v="0"/>
    <x v="2243"/>
    <x v="1"/>
    <x v="0"/>
    <x v="0"/>
    <x v="0"/>
  </r>
  <r>
    <x v="2363"/>
    <x v="0"/>
    <x v="2"/>
    <x v="3"/>
    <n v="117.15"/>
    <x v="21"/>
    <x v="2244"/>
    <x v="0"/>
    <x v="2"/>
    <x v="1"/>
    <x v="3"/>
  </r>
  <r>
    <x v="2364"/>
    <x v="1"/>
    <x v="2"/>
    <x v="3"/>
    <n v="99.25"/>
    <x v="38"/>
    <x v="2245"/>
    <x v="0"/>
    <x v="2"/>
    <x v="1"/>
    <x v="3"/>
  </r>
  <r>
    <x v="2365"/>
    <x v="1"/>
    <x v="2"/>
    <x v="2"/>
    <n v="112.55"/>
    <x v="14"/>
    <x v="2246"/>
    <x v="0"/>
    <x v="2"/>
    <x v="1"/>
    <x v="3"/>
  </r>
  <r>
    <x v="2366"/>
    <x v="0"/>
    <x v="0"/>
    <x v="0"/>
    <n v="25.7"/>
    <x v="0"/>
    <x v="2247"/>
    <x v="0"/>
    <x v="0"/>
    <x v="0"/>
    <x v="0"/>
  </r>
  <r>
    <x v="2367"/>
    <x v="1"/>
    <x v="2"/>
    <x v="3"/>
    <n v="90.3"/>
    <x v="16"/>
    <x v="2248"/>
    <x v="0"/>
    <x v="2"/>
    <x v="1"/>
    <x v="3"/>
  </r>
  <r>
    <x v="2368"/>
    <x v="0"/>
    <x v="1"/>
    <x v="3"/>
    <n v="49.4"/>
    <x v="33"/>
    <x v="2249"/>
    <x v="0"/>
    <x v="1"/>
    <x v="1"/>
    <x v="3"/>
  </r>
  <r>
    <x v="2369"/>
    <x v="1"/>
    <x v="0"/>
    <x v="1"/>
    <n v="19.399999999999999"/>
    <x v="2"/>
    <x v="2250"/>
    <x v="0"/>
    <x v="0"/>
    <x v="0"/>
    <x v="0"/>
  </r>
  <r>
    <x v="2370"/>
    <x v="0"/>
    <x v="2"/>
    <x v="2"/>
    <n v="109.7"/>
    <x v="16"/>
    <x v="2251"/>
    <x v="0"/>
    <x v="2"/>
    <x v="1"/>
    <x v="3"/>
  </r>
  <r>
    <x v="2371"/>
    <x v="1"/>
    <x v="1"/>
    <x v="0"/>
    <n v="61.25"/>
    <x v="26"/>
    <x v="2252"/>
    <x v="0"/>
    <x v="0"/>
    <x v="0"/>
    <x v="0"/>
  </r>
  <r>
    <x v="2372"/>
    <x v="1"/>
    <x v="0"/>
    <x v="0"/>
    <n v="55.3"/>
    <x v="20"/>
    <x v="2253"/>
    <x v="0"/>
    <x v="1"/>
    <x v="1"/>
    <x v="1"/>
  </r>
  <r>
    <x v="2373"/>
    <x v="0"/>
    <x v="0"/>
    <x v="0"/>
    <n v="70.3"/>
    <x v="42"/>
    <x v="2254"/>
    <x v="1"/>
    <x v="1"/>
    <x v="1"/>
    <x v="1"/>
  </r>
  <r>
    <x v="2374"/>
    <x v="1"/>
    <x v="0"/>
    <x v="2"/>
    <n v="106.35"/>
    <x v="48"/>
    <x v="2255"/>
    <x v="1"/>
    <x v="1"/>
    <x v="1"/>
    <x v="1"/>
  </r>
  <r>
    <x v="2375"/>
    <x v="1"/>
    <x v="0"/>
    <x v="2"/>
    <n v="103.75"/>
    <x v="31"/>
    <x v="2256"/>
    <x v="0"/>
    <x v="2"/>
    <x v="1"/>
    <x v="3"/>
  </r>
  <r>
    <x v="2376"/>
    <x v="1"/>
    <x v="1"/>
    <x v="1"/>
    <n v="19.5"/>
    <x v="26"/>
    <x v="2257"/>
    <x v="0"/>
    <x v="0"/>
    <x v="0"/>
    <x v="0"/>
  </r>
  <r>
    <x v="2377"/>
    <x v="0"/>
    <x v="1"/>
    <x v="3"/>
    <n v="39.5"/>
    <x v="44"/>
    <x v="2258"/>
    <x v="0"/>
    <x v="0"/>
    <x v="1"/>
    <x v="1"/>
  </r>
  <r>
    <x v="2378"/>
    <x v="1"/>
    <x v="0"/>
    <x v="0"/>
    <n v="26.05"/>
    <x v="17"/>
    <x v="2259"/>
    <x v="0"/>
    <x v="0"/>
    <x v="2"/>
    <x v="2"/>
  </r>
  <r>
    <x v="2379"/>
    <x v="1"/>
    <x v="0"/>
    <x v="3"/>
    <n v="91.05"/>
    <x v="43"/>
    <x v="2260"/>
    <x v="0"/>
    <x v="1"/>
    <x v="1"/>
    <x v="1"/>
  </r>
  <r>
    <x v="2380"/>
    <x v="0"/>
    <x v="0"/>
    <x v="1"/>
    <n v="29.65"/>
    <x v="35"/>
    <x v="2261"/>
    <x v="0"/>
    <x v="0"/>
    <x v="0"/>
    <x v="0"/>
  </r>
  <r>
    <x v="2381"/>
    <x v="0"/>
    <x v="0"/>
    <x v="1"/>
    <n v="50.2"/>
    <x v="29"/>
    <x v="2262"/>
    <x v="0"/>
    <x v="1"/>
    <x v="1"/>
    <x v="1"/>
  </r>
  <r>
    <x v="2382"/>
    <x v="1"/>
    <x v="0"/>
    <x v="0"/>
    <n v="105.3"/>
    <x v="24"/>
    <x v="2263"/>
    <x v="0"/>
    <x v="0"/>
    <x v="0"/>
    <x v="0"/>
  </r>
  <r>
    <x v="2383"/>
    <x v="0"/>
    <x v="0"/>
    <x v="0"/>
    <n v="55.45"/>
    <x v="0"/>
    <x v="2264"/>
    <x v="0"/>
    <x v="0"/>
    <x v="0"/>
    <x v="0"/>
  </r>
  <r>
    <x v="2384"/>
    <x v="1"/>
    <x v="1"/>
    <x v="0"/>
    <n v="85.45"/>
    <x v="16"/>
    <x v="2265"/>
    <x v="0"/>
    <x v="2"/>
    <x v="1"/>
    <x v="3"/>
  </r>
  <r>
    <x v="2385"/>
    <x v="0"/>
    <x v="1"/>
    <x v="0"/>
    <n v="19.8"/>
    <x v="4"/>
    <x v="2266"/>
    <x v="0"/>
    <x v="0"/>
    <x v="0"/>
    <x v="0"/>
  </r>
  <r>
    <x v="2386"/>
    <x v="1"/>
    <x v="0"/>
    <x v="0"/>
    <n v="59.25"/>
    <x v="4"/>
    <x v="2047"/>
    <x v="0"/>
    <x v="0"/>
    <x v="0"/>
    <x v="0"/>
  </r>
  <r>
    <x v="2387"/>
    <x v="1"/>
    <x v="0"/>
    <x v="3"/>
    <n v="90.7"/>
    <x v="61"/>
    <x v="2267"/>
    <x v="0"/>
    <x v="0"/>
    <x v="2"/>
    <x v="2"/>
  </r>
  <r>
    <x v="2388"/>
    <x v="0"/>
    <x v="1"/>
    <x v="1"/>
    <n v="103.7"/>
    <x v="55"/>
    <x v="2268"/>
    <x v="1"/>
    <x v="1"/>
    <x v="1"/>
    <x v="1"/>
  </r>
  <r>
    <x v="2389"/>
    <x v="1"/>
    <x v="1"/>
    <x v="3"/>
    <n v="79.05"/>
    <x v="16"/>
    <x v="311"/>
    <x v="0"/>
    <x v="2"/>
    <x v="1"/>
    <x v="3"/>
  </r>
  <r>
    <x v="2390"/>
    <x v="0"/>
    <x v="1"/>
    <x v="0"/>
    <n v="90.7"/>
    <x v="36"/>
    <x v="1887"/>
    <x v="0"/>
    <x v="1"/>
    <x v="1"/>
    <x v="1"/>
  </r>
  <r>
    <x v="2391"/>
    <x v="0"/>
    <x v="1"/>
    <x v="3"/>
    <n v="95"/>
    <x v="46"/>
    <x v="101"/>
    <x v="0"/>
    <x v="1"/>
    <x v="1"/>
    <x v="1"/>
  </r>
  <r>
    <x v="2392"/>
    <x v="1"/>
    <x v="0"/>
    <x v="0"/>
    <n v="88.35"/>
    <x v="0"/>
    <x v="2269"/>
    <x v="1"/>
    <x v="0"/>
    <x v="0"/>
    <x v="0"/>
  </r>
  <r>
    <x v="2393"/>
    <x v="0"/>
    <x v="0"/>
    <x v="1"/>
    <n v="30.25"/>
    <x v="2"/>
    <x v="2270"/>
    <x v="0"/>
    <x v="0"/>
    <x v="0"/>
    <x v="0"/>
  </r>
  <r>
    <x v="2394"/>
    <x v="0"/>
    <x v="0"/>
    <x v="2"/>
    <n v="49.85"/>
    <x v="18"/>
    <x v="2271"/>
    <x v="0"/>
    <x v="0"/>
    <x v="2"/>
    <x v="0"/>
  </r>
  <r>
    <x v="2395"/>
    <x v="0"/>
    <x v="0"/>
    <x v="2"/>
    <n v="93"/>
    <x v="34"/>
    <x v="2272"/>
    <x v="0"/>
    <x v="0"/>
    <x v="0"/>
    <x v="0"/>
  </r>
  <r>
    <x v="2396"/>
    <x v="1"/>
    <x v="0"/>
    <x v="0"/>
    <n v="54.55"/>
    <x v="26"/>
    <x v="2273"/>
    <x v="0"/>
    <x v="0"/>
    <x v="0"/>
    <x v="0"/>
  </r>
  <r>
    <x v="2397"/>
    <x v="1"/>
    <x v="0"/>
    <x v="1"/>
    <n v="19.7"/>
    <x v="53"/>
    <x v="153"/>
    <x v="0"/>
    <x v="0"/>
    <x v="0"/>
    <x v="0"/>
  </r>
  <r>
    <x v="2398"/>
    <x v="0"/>
    <x v="1"/>
    <x v="2"/>
    <n v="84.8"/>
    <x v="16"/>
    <x v="1627"/>
    <x v="0"/>
    <x v="2"/>
    <x v="1"/>
    <x v="3"/>
  </r>
  <r>
    <x v="2399"/>
    <x v="0"/>
    <x v="1"/>
    <x v="3"/>
    <n v="94.45"/>
    <x v="41"/>
    <x v="2274"/>
    <x v="0"/>
    <x v="1"/>
    <x v="1"/>
    <x v="1"/>
  </r>
  <r>
    <x v="2400"/>
    <x v="0"/>
    <x v="0"/>
    <x v="0"/>
    <n v="94.2"/>
    <x v="4"/>
    <x v="2275"/>
    <x v="1"/>
    <x v="0"/>
    <x v="0"/>
    <x v="0"/>
  </r>
  <r>
    <x v="2401"/>
    <x v="0"/>
    <x v="0"/>
    <x v="0"/>
    <n v="96.25"/>
    <x v="24"/>
    <x v="2276"/>
    <x v="1"/>
    <x v="0"/>
    <x v="0"/>
    <x v="0"/>
  </r>
  <r>
    <x v="2402"/>
    <x v="0"/>
    <x v="0"/>
    <x v="0"/>
    <n v="70.7"/>
    <x v="2"/>
    <x v="4"/>
    <x v="1"/>
    <x v="0"/>
    <x v="0"/>
    <x v="0"/>
  </r>
  <r>
    <x v="2403"/>
    <x v="0"/>
    <x v="2"/>
    <x v="1"/>
    <n v="20.85"/>
    <x v="3"/>
    <x v="2277"/>
    <x v="0"/>
    <x v="0"/>
    <x v="1"/>
    <x v="1"/>
  </r>
  <r>
    <x v="2404"/>
    <x v="1"/>
    <x v="1"/>
    <x v="3"/>
    <n v="60"/>
    <x v="7"/>
    <x v="637"/>
    <x v="0"/>
    <x v="0"/>
    <x v="1"/>
    <x v="1"/>
  </r>
  <r>
    <x v="2405"/>
    <x v="0"/>
    <x v="0"/>
    <x v="0"/>
    <n v="80.45"/>
    <x v="29"/>
    <x v="2278"/>
    <x v="0"/>
    <x v="1"/>
    <x v="1"/>
    <x v="1"/>
  </r>
  <r>
    <x v="2406"/>
    <x v="1"/>
    <x v="2"/>
    <x v="0"/>
    <n v="84.95"/>
    <x v="31"/>
    <x v="2279"/>
    <x v="0"/>
    <x v="2"/>
    <x v="1"/>
    <x v="3"/>
  </r>
  <r>
    <x v="2407"/>
    <x v="0"/>
    <x v="1"/>
    <x v="1"/>
    <n v="33.549999999999997"/>
    <x v="41"/>
    <x v="2280"/>
    <x v="1"/>
    <x v="0"/>
    <x v="1"/>
    <x v="1"/>
  </r>
  <r>
    <x v="2408"/>
    <x v="1"/>
    <x v="2"/>
    <x v="3"/>
    <n v="49.65"/>
    <x v="40"/>
    <x v="2281"/>
    <x v="0"/>
    <x v="0"/>
    <x v="0"/>
    <x v="0"/>
  </r>
  <r>
    <x v="2409"/>
    <x v="0"/>
    <x v="1"/>
    <x v="2"/>
    <n v="20.2"/>
    <x v="13"/>
    <x v="2282"/>
    <x v="0"/>
    <x v="0"/>
    <x v="1"/>
    <x v="1"/>
  </r>
  <r>
    <x v="2410"/>
    <x v="0"/>
    <x v="0"/>
    <x v="3"/>
    <n v="94.55"/>
    <x v="63"/>
    <x v="2283"/>
    <x v="1"/>
    <x v="1"/>
    <x v="1"/>
    <x v="1"/>
  </r>
  <r>
    <x v="2411"/>
    <x v="1"/>
    <x v="1"/>
    <x v="2"/>
    <n v="100.5"/>
    <x v="23"/>
    <x v="2284"/>
    <x v="0"/>
    <x v="1"/>
    <x v="1"/>
    <x v="1"/>
  </r>
  <r>
    <x v="2412"/>
    <x v="1"/>
    <x v="0"/>
    <x v="0"/>
    <n v="35.75"/>
    <x v="6"/>
    <x v="2285"/>
    <x v="0"/>
    <x v="0"/>
    <x v="0"/>
    <x v="0"/>
  </r>
  <r>
    <x v="2413"/>
    <x v="0"/>
    <x v="0"/>
    <x v="2"/>
    <n v="86.45"/>
    <x v="23"/>
    <x v="2286"/>
    <x v="0"/>
    <x v="1"/>
    <x v="1"/>
    <x v="1"/>
  </r>
  <r>
    <x v="2414"/>
    <x v="0"/>
    <x v="1"/>
    <x v="2"/>
    <n v="53.8"/>
    <x v="26"/>
    <x v="2287"/>
    <x v="0"/>
    <x v="0"/>
    <x v="0"/>
    <x v="0"/>
  </r>
  <r>
    <x v="2415"/>
    <x v="1"/>
    <x v="0"/>
    <x v="3"/>
    <n v="38.549999999999997"/>
    <x v="54"/>
    <x v="2288"/>
    <x v="0"/>
    <x v="0"/>
    <x v="0"/>
    <x v="0"/>
  </r>
  <r>
    <x v="2416"/>
    <x v="1"/>
    <x v="0"/>
    <x v="2"/>
    <n v="39.9"/>
    <x v="47"/>
    <x v="2289"/>
    <x v="0"/>
    <x v="1"/>
    <x v="1"/>
    <x v="3"/>
  </r>
  <r>
    <x v="2417"/>
    <x v="1"/>
    <x v="0"/>
    <x v="0"/>
    <n v="70.05"/>
    <x v="0"/>
    <x v="1796"/>
    <x v="0"/>
    <x v="0"/>
    <x v="0"/>
    <x v="0"/>
  </r>
  <r>
    <x v="2418"/>
    <x v="0"/>
    <x v="1"/>
    <x v="1"/>
    <n v="20.100000000000001"/>
    <x v="32"/>
    <x v="2191"/>
    <x v="0"/>
    <x v="0"/>
    <x v="2"/>
    <x v="2"/>
  </r>
  <r>
    <x v="2419"/>
    <x v="0"/>
    <x v="2"/>
    <x v="2"/>
    <n v="112.95"/>
    <x v="58"/>
    <x v="2290"/>
    <x v="1"/>
    <x v="2"/>
    <x v="1"/>
    <x v="3"/>
  </r>
  <r>
    <x v="2420"/>
    <x v="1"/>
    <x v="0"/>
    <x v="0"/>
    <n v="20.3"/>
    <x v="70"/>
    <x v="2291"/>
    <x v="0"/>
    <x v="0"/>
    <x v="1"/>
    <x v="1"/>
  </r>
  <r>
    <x v="2421"/>
    <x v="0"/>
    <x v="0"/>
    <x v="3"/>
    <n v="35.65"/>
    <x v="22"/>
    <x v="1841"/>
    <x v="0"/>
    <x v="0"/>
    <x v="2"/>
    <x v="2"/>
  </r>
  <r>
    <x v="2422"/>
    <x v="1"/>
    <x v="0"/>
    <x v="0"/>
    <n v="35.9"/>
    <x v="0"/>
    <x v="2292"/>
    <x v="1"/>
    <x v="0"/>
    <x v="0"/>
    <x v="0"/>
  </r>
  <r>
    <x v="2423"/>
    <x v="1"/>
    <x v="0"/>
    <x v="2"/>
    <n v="99.25"/>
    <x v="46"/>
    <x v="2293"/>
    <x v="1"/>
    <x v="1"/>
    <x v="1"/>
    <x v="1"/>
  </r>
  <r>
    <x v="2424"/>
    <x v="1"/>
    <x v="1"/>
    <x v="3"/>
    <n v="82.95"/>
    <x v="64"/>
    <x v="2294"/>
    <x v="0"/>
    <x v="1"/>
    <x v="1"/>
    <x v="3"/>
  </r>
  <r>
    <x v="2425"/>
    <x v="1"/>
    <x v="2"/>
    <x v="1"/>
    <n v="55.65"/>
    <x v="19"/>
    <x v="2295"/>
    <x v="0"/>
    <x v="0"/>
    <x v="1"/>
    <x v="1"/>
  </r>
  <r>
    <x v="2426"/>
    <x v="1"/>
    <x v="0"/>
    <x v="1"/>
    <n v="24.45"/>
    <x v="2"/>
    <x v="2296"/>
    <x v="1"/>
    <x v="0"/>
    <x v="0"/>
    <x v="0"/>
  </r>
  <r>
    <x v="2427"/>
    <x v="0"/>
    <x v="1"/>
    <x v="0"/>
    <n v="25.2"/>
    <x v="37"/>
    <x v="1097"/>
    <x v="0"/>
    <x v="0"/>
    <x v="1"/>
    <x v="3"/>
  </r>
  <r>
    <x v="2428"/>
    <x v="1"/>
    <x v="1"/>
    <x v="1"/>
    <n v="50.8"/>
    <x v="34"/>
    <x v="2297"/>
    <x v="0"/>
    <x v="0"/>
    <x v="0"/>
    <x v="0"/>
  </r>
  <r>
    <x v="2429"/>
    <x v="0"/>
    <x v="0"/>
    <x v="1"/>
    <n v="19.649999999999999"/>
    <x v="35"/>
    <x v="2298"/>
    <x v="0"/>
    <x v="0"/>
    <x v="0"/>
    <x v="0"/>
  </r>
  <r>
    <x v="2430"/>
    <x v="0"/>
    <x v="0"/>
    <x v="3"/>
    <n v="59.8"/>
    <x v="60"/>
    <x v="2299"/>
    <x v="0"/>
    <x v="0"/>
    <x v="2"/>
    <x v="2"/>
  </r>
  <r>
    <x v="2431"/>
    <x v="0"/>
    <x v="0"/>
    <x v="3"/>
    <n v="73.55"/>
    <x v="36"/>
    <x v="2300"/>
    <x v="0"/>
    <x v="1"/>
    <x v="1"/>
    <x v="1"/>
  </r>
  <r>
    <x v="2432"/>
    <x v="0"/>
    <x v="0"/>
    <x v="0"/>
    <n v="61.4"/>
    <x v="40"/>
    <x v="2301"/>
    <x v="0"/>
    <x v="0"/>
    <x v="0"/>
    <x v="0"/>
  </r>
  <r>
    <x v="2433"/>
    <x v="0"/>
    <x v="0"/>
    <x v="2"/>
    <n v="103.35"/>
    <x v="4"/>
    <x v="2302"/>
    <x v="1"/>
    <x v="0"/>
    <x v="0"/>
    <x v="0"/>
  </r>
  <r>
    <x v="2434"/>
    <x v="1"/>
    <x v="1"/>
    <x v="2"/>
    <n v="19.899999999999999"/>
    <x v="22"/>
    <x v="1647"/>
    <x v="0"/>
    <x v="0"/>
    <x v="2"/>
    <x v="2"/>
  </r>
  <r>
    <x v="2435"/>
    <x v="1"/>
    <x v="0"/>
    <x v="3"/>
    <n v="19.45"/>
    <x v="48"/>
    <x v="2303"/>
    <x v="0"/>
    <x v="0"/>
    <x v="1"/>
    <x v="1"/>
  </r>
  <r>
    <x v="2436"/>
    <x v="0"/>
    <x v="0"/>
    <x v="1"/>
    <n v="81.5"/>
    <x v="2"/>
    <x v="2304"/>
    <x v="0"/>
    <x v="0"/>
    <x v="0"/>
    <x v="0"/>
  </r>
  <r>
    <x v="2437"/>
    <x v="1"/>
    <x v="0"/>
    <x v="0"/>
    <n v="84.8"/>
    <x v="40"/>
    <x v="2305"/>
    <x v="1"/>
    <x v="0"/>
    <x v="0"/>
    <x v="0"/>
  </r>
  <r>
    <x v="2438"/>
    <x v="0"/>
    <x v="2"/>
    <x v="3"/>
    <n v="109.55"/>
    <x v="21"/>
    <x v="2306"/>
    <x v="0"/>
    <x v="2"/>
    <x v="1"/>
    <x v="3"/>
  </r>
  <r>
    <x v="2439"/>
    <x v="0"/>
    <x v="0"/>
    <x v="0"/>
    <n v="99.95"/>
    <x v="36"/>
    <x v="2307"/>
    <x v="1"/>
    <x v="1"/>
    <x v="1"/>
    <x v="1"/>
  </r>
  <r>
    <x v="2440"/>
    <x v="0"/>
    <x v="0"/>
    <x v="1"/>
    <n v="74.400000000000006"/>
    <x v="23"/>
    <x v="1989"/>
    <x v="0"/>
    <x v="1"/>
    <x v="1"/>
    <x v="1"/>
  </r>
  <r>
    <x v="2441"/>
    <x v="0"/>
    <x v="0"/>
    <x v="3"/>
    <n v="90"/>
    <x v="32"/>
    <x v="696"/>
    <x v="1"/>
    <x v="0"/>
    <x v="2"/>
    <x v="2"/>
  </r>
  <r>
    <x v="2442"/>
    <x v="1"/>
    <x v="0"/>
    <x v="0"/>
    <n v="74.900000000000006"/>
    <x v="40"/>
    <x v="2308"/>
    <x v="0"/>
    <x v="0"/>
    <x v="0"/>
    <x v="0"/>
  </r>
  <r>
    <x v="2443"/>
    <x v="0"/>
    <x v="0"/>
    <x v="0"/>
    <n v="104.85"/>
    <x v="60"/>
    <x v="2309"/>
    <x v="1"/>
    <x v="0"/>
    <x v="2"/>
    <x v="2"/>
  </r>
  <r>
    <x v="2444"/>
    <x v="1"/>
    <x v="0"/>
    <x v="2"/>
    <n v="59.65"/>
    <x v="26"/>
    <x v="2310"/>
    <x v="0"/>
    <x v="0"/>
    <x v="0"/>
    <x v="0"/>
  </r>
  <r>
    <x v="2445"/>
    <x v="0"/>
    <x v="2"/>
    <x v="2"/>
    <n v="110.45"/>
    <x v="21"/>
    <x v="2311"/>
    <x v="0"/>
    <x v="2"/>
    <x v="1"/>
    <x v="3"/>
  </r>
  <r>
    <x v="2446"/>
    <x v="1"/>
    <x v="1"/>
    <x v="0"/>
    <n v="106.1"/>
    <x v="7"/>
    <x v="2312"/>
    <x v="1"/>
    <x v="1"/>
    <x v="1"/>
    <x v="1"/>
  </r>
  <r>
    <x v="2447"/>
    <x v="1"/>
    <x v="0"/>
    <x v="3"/>
    <n v="74.2"/>
    <x v="30"/>
    <x v="2313"/>
    <x v="1"/>
    <x v="0"/>
    <x v="2"/>
    <x v="2"/>
  </r>
  <r>
    <x v="2448"/>
    <x v="0"/>
    <x v="0"/>
    <x v="0"/>
    <n v="74.45"/>
    <x v="54"/>
    <x v="2314"/>
    <x v="0"/>
    <x v="0"/>
    <x v="0"/>
    <x v="0"/>
  </r>
  <r>
    <x v="2449"/>
    <x v="0"/>
    <x v="2"/>
    <x v="0"/>
    <n v="24.55"/>
    <x v="16"/>
    <x v="2315"/>
    <x v="0"/>
    <x v="0"/>
    <x v="1"/>
    <x v="3"/>
  </r>
  <r>
    <x v="2450"/>
    <x v="0"/>
    <x v="0"/>
    <x v="0"/>
    <n v="89.35"/>
    <x v="24"/>
    <x v="2316"/>
    <x v="1"/>
    <x v="0"/>
    <x v="0"/>
    <x v="0"/>
  </r>
  <r>
    <x v="2451"/>
    <x v="1"/>
    <x v="2"/>
    <x v="1"/>
    <n v="24.55"/>
    <x v="20"/>
    <x v="2317"/>
    <x v="0"/>
    <x v="0"/>
    <x v="1"/>
    <x v="1"/>
  </r>
  <r>
    <x v="2452"/>
    <x v="1"/>
    <x v="1"/>
    <x v="0"/>
    <n v="90.65"/>
    <x v="58"/>
    <x v="2318"/>
    <x v="0"/>
    <x v="2"/>
    <x v="1"/>
    <x v="3"/>
  </r>
  <r>
    <x v="2453"/>
    <x v="1"/>
    <x v="2"/>
    <x v="3"/>
    <n v="105.05"/>
    <x v="37"/>
    <x v="2319"/>
    <x v="0"/>
    <x v="2"/>
    <x v="1"/>
    <x v="3"/>
  </r>
  <r>
    <x v="2454"/>
    <x v="1"/>
    <x v="0"/>
    <x v="3"/>
    <n v="20.45"/>
    <x v="4"/>
    <x v="2320"/>
    <x v="0"/>
    <x v="0"/>
    <x v="0"/>
    <x v="0"/>
  </r>
  <r>
    <x v="2455"/>
    <x v="0"/>
    <x v="2"/>
    <x v="1"/>
    <n v="19.55"/>
    <x v="43"/>
    <x v="2321"/>
    <x v="0"/>
    <x v="0"/>
    <x v="1"/>
    <x v="1"/>
  </r>
  <r>
    <x v="2456"/>
    <x v="0"/>
    <x v="1"/>
    <x v="2"/>
    <n v="19.7"/>
    <x v="27"/>
    <x v="2322"/>
    <x v="0"/>
    <x v="0"/>
    <x v="1"/>
    <x v="3"/>
  </r>
  <r>
    <x v="2457"/>
    <x v="1"/>
    <x v="0"/>
    <x v="2"/>
    <n v="70.45"/>
    <x v="0"/>
    <x v="138"/>
    <x v="0"/>
    <x v="0"/>
    <x v="0"/>
    <x v="0"/>
  </r>
  <r>
    <x v="2458"/>
    <x v="1"/>
    <x v="0"/>
    <x v="2"/>
    <n v="85.65"/>
    <x v="4"/>
    <x v="2323"/>
    <x v="0"/>
    <x v="0"/>
    <x v="0"/>
    <x v="0"/>
  </r>
  <r>
    <x v="2459"/>
    <x v="0"/>
    <x v="0"/>
    <x v="0"/>
    <n v="77.150000000000006"/>
    <x v="0"/>
    <x v="2324"/>
    <x v="1"/>
    <x v="0"/>
    <x v="0"/>
    <x v="0"/>
  </r>
  <r>
    <x v="2460"/>
    <x v="1"/>
    <x v="0"/>
    <x v="2"/>
    <n v="35.25"/>
    <x v="0"/>
    <x v="2325"/>
    <x v="1"/>
    <x v="0"/>
    <x v="0"/>
    <x v="0"/>
  </r>
  <r>
    <x v="2461"/>
    <x v="1"/>
    <x v="2"/>
    <x v="1"/>
    <n v="20.55"/>
    <x v="31"/>
    <x v="2326"/>
    <x v="0"/>
    <x v="0"/>
    <x v="1"/>
    <x v="3"/>
  </r>
  <r>
    <x v="2462"/>
    <x v="1"/>
    <x v="1"/>
    <x v="0"/>
    <n v="97.95"/>
    <x v="12"/>
    <x v="2327"/>
    <x v="0"/>
    <x v="1"/>
    <x v="1"/>
    <x v="3"/>
  </r>
  <r>
    <x v="2463"/>
    <x v="1"/>
    <x v="0"/>
    <x v="0"/>
    <n v="48.55"/>
    <x v="54"/>
    <x v="2328"/>
    <x v="1"/>
    <x v="0"/>
    <x v="0"/>
    <x v="0"/>
  </r>
  <r>
    <x v="2464"/>
    <x v="0"/>
    <x v="1"/>
    <x v="1"/>
    <n v="20"/>
    <x v="44"/>
    <x v="212"/>
    <x v="0"/>
    <x v="0"/>
    <x v="1"/>
    <x v="1"/>
  </r>
  <r>
    <x v="2465"/>
    <x v="0"/>
    <x v="2"/>
    <x v="3"/>
    <n v="25.25"/>
    <x v="56"/>
    <x v="2329"/>
    <x v="0"/>
    <x v="0"/>
    <x v="1"/>
    <x v="3"/>
  </r>
  <r>
    <x v="2466"/>
    <x v="0"/>
    <x v="0"/>
    <x v="3"/>
    <n v="98.4"/>
    <x v="62"/>
    <x v="2330"/>
    <x v="1"/>
    <x v="2"/>
    <x v="1"/>
    <x v="3"/>
  </r>
  <r>
    <x v="2467"/>
    <x v="1"/>
    <x v="2"/>
    <x v="3"/>
    <n v="70.900000000000006"/>
    <x v="56"/>
    <x v="2331"/>
    <x v="0"/>
    <x v="1"/>
    <x v="1"/>
    <x v="3"/>
  </r>
  <r>
    <x v="2468"/>
    <x v="0"/>
    <x v="0"/>
    <x v="1"/>
    <n v="19.850000000000001"/>
    <x v="53"/>
    <x v="2332"/>
    <x v="0"/>
    <x v="0"/>
    <x v="0"/>
    <x v="0"/>
  </r>
  <r>
    <x v="2469"/>
    <x v="0"/>
    <x v="0"/>
    <x v="0"/>
    <n v="106.35"/>
    <x v="20"/>
    <x v="2333"/>
    <x v="0"/>
    <x v="1"/>
    <x v="1"/>
    <x v="1"/>
  </r>
  <r>
    <x v="2470"/>
    <x v="0"/>
    <x v="2"/>
    <x v="1"/>
    <n v="99.5"/>
    <x v="62"/>
    <x v="2334"/>
    <x v="0"/>
    <x v="2"/>
    <x v="1"/>
    <x v="3"/>
  </r>
  <r>
    <x v="2471"/>
    <x v="1"/>
    <x v="2"/>
    <x v="1"/>
    <n v="84.7"/>
    <x v="14"/>
    <x v="2335"/>
    <x v="0"/>
    <x v="2"/>
    <x v="1"/>
    <x v="3"/>
  </r>
  <r>
    <x v="2472"/>
    <x v="1"/>
    <x v="0"/>
    <x v="1"/>
    <n v="86.05"/>
    <x v="35"/>
    <x v="2336"/>
    <x v="0"/>
    <x v="0"/>
    <x v="0"/>
    <x v="0"/>
  </r>
  <r>
    <x v="2473"/>
    <x v="1"/>
    <x v="0"/>
    <x v="1"/>
    <n v="44.55"/>
    <x v="54"/>
    <x v="2337"/>
    <x v="0"/>
    <x v="0"/>
    <x v="0"/>
    <x v="0"/>
  </r>
  <r>
    <x v="2474"/>
    <x v="1"/>
    <x v="2"/>
    <x v="3"/>
    <n v="75.849999999999994"/>
    <x v="39"/>
    <x v="2338"/>
    <x v="0"/>
    <x v="1"/>
    <x v="1"/>
    <x v="3"/>
  </r>
  <r>
    <x v="2475"/>
    <x v="1"/>
    <x v="0"/>
    <x v="2"/>
    <n v="93.85"/>
    <x v="64"/>
    <x v="2339"/>
    <x v="1"/>
    <x v="2"/>
    <x v="1"/>
    <x v="3"/>
  </r>
  <r>
    <x v="2476"/>
    <x v="1"/>
    <x v="2"/>
    <x v="2"/>
    <n v="25"/>
    <x v="59"/>
    <x v="2340"/>
    <x v="0"/>
    <x v="0"/>
    <x v="1"/>
    <x v="3"/>
  </r>
  <r>
    <x v="2477"/>
    <x v="0"/>
    <x v="0"/>
    <x v="0"/>
    <n v="45"/>
    <x v="2"/>
    <x v="1286"/>
    <x v="0"/>
    <x v="0"/>
    <x v="0"/>
    <x v="0"/>
  </r>
  <r>
    <x v="2478"/>
    <x v="1"/>
    <x v="0"/>
    <x v="0"/>
    <n v="100.7"/>
    <x v="25"/>
    <x v="2341"/>
    <x v="1"/>
    <x v="1"/>
    <x v="1"/>
    <x v="1"/>
  </r>
  <r>
    <x v="2479"/>
    <x v="1"/>
    <x v="0"/>
    <x v="1"/>
    <n v="20.5"/>
    <x v="18"/>
    <x v="2342"/>
    <x v="0"/>
    <x v="0"/>
    <x v="2"/>
    <x v="0"/>
  </r>
  <r>
    <x v="2480"/>
    <x v="0"/>
    <x v="0"/>
    <x v="0"/>
    <n v="80.45"/>
    <x v="60"/>
    <x v="2343"/>
    <x v="1"/>
    <x v="0"/>
    <x v="2"/>
    <x v="2"/>
  </r>
  <r>
    <x v="2481"/>
    <x v="0"/>
    <x v="1"/>
    <x v="0"/>
    <n v="90.45"/>
    <x v="7"/>
    <x v="2344"/>
    <x v="0"/>
    <x v="1"/>
    <x v="1"/>
    <x v="1"/>
  </r>
  <r>
    <x v="2482"/>
    <x v="1"/>
    <x v="0"/>
    <x v="2"/>
    <n v="60.45"/>
    <x v="65"/>
    <x v="2345"/>
    <x v="0"/>
    <x v="0"/>
    <x v="1"/>
    <x v="2"/>
  </r>
  <r>
    <x v="2483"/>
    <x v="1"/>
    <x v="0"/>
    <x v="0"/>
    <n v="55.25"/>
    <x v="36"/>
    <x v="2346"/>
    <x v="1"/>
    <x v="0"/>
    <x v="1"/>
    <x v="1"/>
  </r>
  <r>
    <x v="2484"/>
    <x v="0"/>
    <x v="1"/>
    <x v="0"/>
    <n v="78.45"/>
    <x v="47"/>
    <x v="2347"/>
    <x v="0"/>
    <x v="2"/>
    <x v="1"/>
    <x v="3"/>
  </r>
  <r>
    <x v="2485"/>
    <x v="1"/>
    <x v="2"/>
    <x v="1"/>
    <n v="100.55"/>
    <x v="71"/>
    <x v="2348"/>
    <x v="0"/>
    <x v="1"/>
    <x v="1"/>
    <x v="1"/>
  </r>
  <r>
    <x v="2486"/>
    <x v="0"/>
    <x v="0"/>
    <x v="3"/>
    <n v="20.350000000000001"/>
    <x v="41"/>
    <x v="2349"/>
    <x v="0"/>
    <x v="0"/>
    <x v="1"/>
    <x v="1"/>
  </r>
  <r>
    <x v="2487"/>
    <x v="1"/>
    <x v="0"/>
    <x v="0"/>
    <n v="54.45"/>
    <x v="9"/>
    <x v="2350"/>
    <x v="1"/>
    <x v="0"/>
    <x v="2"/>
    <x v="2"/>
  </r>
  <r>
    <x v="2488"/>
    <x v="0"/>
    <x v="0"/>
    <x v="0"/>
    <n v="90.75"/>
    <x v="53"/>
    <x v="2351"/>
    <x v="0"/>
    <x v="0"/>
    <x v="0"/>
    <x v="0"/>
  </r>
  <r>
    <x v="2489"/>
    <x v="1"/>
    <x v="0"/>
    <x v="3"/>
    <n v="75.349999999999994"/>
    <x v="42"/>
    <x v="2352"/>
    <x v="1"/>
    <x v="1"/>
    <x v="1"/>
    <x v="1"/>
  </r>
  <r>
    <x v="2490"/>
    <x v="0"/>
    <x v="1"/>
    <x v="3"/>
    <n v="20.25"/>
    <x v="46"/>
    <x v="2353"/>
    <x v="0"/>
    <x v="0"/>
    <x v="1"/>
    <x v="1"/>
  </r>
  <r>
    <x v="2491"/>
    <x v="1"/>
    <x v="2"/>
    <x v="3"/>
    <n v="20.05"/>
    <x v="32"/>
    <x v="2354"/>
    <x v="0"/>
    <x v="0"/>
    <x v="2"/>
    <x v="2"/>
  </r>
  <r>
    <x v="2492"/>
    <x v="0"/>
    <x v="0"/>
    <x v="1"/>
    <n v="19.600000000000001"/>
    <x v="54"/>
    <x v="2355"/>
    <x v="0"/>
    <x v="0"/>
    <x v="0"/>
    <x v="0"/>
  </r>
  <r>
    <x v="2493"/>
    <x v="1"/>
    <x v="0"/>
    <x v="0"/>
    <n v="53.8"/>
    <x v="23"/>
    <x v="2356"/>
    <x v="0"/>
    <x v="0"/>
    <x v="1"/>
    <x v="1"/>
  </r>
  <r>
    <x v="2494"/>
    <x v="1"/>
    <x v="1"/>
    <x v="1"/>
    <n v="70.2"/>
    <x v="52"/>
    <x v="2357"/>
    <x v="0"/>
    <x v="1"/>
    <x v="1"/>
    <x v="1"/>
  </r>
  <r>
    <x v="2495"/>
    <x v="1"/>
    <x v="1"/>
    <x v="0"/>
    <n v="75.5"/>
    <x v="37"/>
    <x v="2358"/>
    <x v="0"/>
    <x v="1"/>
    <x v="1"/>
    <x v="3"/>
  </r>
  <r>
    <x v="2496"/>
    <x v="1"/>
    <x v="2"/>
    <x v="0"/>
    <n v="20.350000000000001"/>
    <x v="21"/>
    <x v="2359"/>
    <x v="0"/>
    <x v="0"/>
    <x v="1"/>
    <x v="3"/>
  </r>
  <r>
    <x v="2497"/>
    <x v="0"/>
    <x v="1"/>
    <x v="3"/>
    <n v="26.05"/>
    <x v="27"/>
    <x v="2360"/>
    <x v="0"/>
    <x v="0"/>
    <x v="1"/>
    <x v="3"/>
  </r>
  <r>
    <x v="2498"/>
    <x v="1"/>
    <x v="1"/>
    <x v="2"/>
    <n v="20.6"/>
    <x v="66"/>
    <x v="2361"/>
    <x v="0"/>
    <x v="0"/>
    <x v="1"/>
    <x v="1"/>
  </r>
  <r>
    <x v="2499"/>
    <x v="1"/>
    <x v="0"/>
    <x v="0"/>
    <n v="75.7"/>
    <x v="2"/>
    <x v="2362"/>
    <x v="1"/>
    <x v="0"/>
    <x v="0"/>
    <x v="0"/>
  </r>
  <r>
    <x v="2500"/>
    <x v="0"/>
    <x v="1"/>
    <x v="2"/>
    <n v="20.100000000000001"/>
    <x v="1"/>
    <x v="2363"/>
    <x v="0"/>
    <x v="0"/>
    <x v="1"/>
    <x v="1"/>
  </r>
  <r>
    <x v="2501"/>
    <x v="0"/>
    <x v="2"/>
    <x v="2"/>
    <n v="24.3"/>
    <x v="21"/>
    <x v="1332"/>
    <x v="0"/>
    <x v="0"/>
    <x v="1"/>
    <x v="3"/>
  </r>
  <r>
    <x v="2502"/>
    <x v="1"/>
    <x v="2"/>
    <x v="0"/>
    <n v="24.5"/>
    <x v="16"/>
    <x v="2364"/>
    <x v="0"/>
    <x v="0"/>
    <x v="1"/>
    <x v="3"/>
  </r>
  <r>
    <x v="2503"/>
    <x v="0"/>
    <x v="2"/>
    <x v="3"/>
    <n v="110.5"/>
    <x v="38"/>
    <x v="1591"/>
    <x v="0"/>
    <x v="2"/>
    <x v="1"/>
    <x v="3"/>
  </r>
  <r>
    <x v="2504"/>
    <x v="0"/>
    <x v="2"/>
    <x v="2"/>
    <n v="25.25"/>
    <x v="21"/>
    <x v="2365"/>
    <x v="0"/>
    <x v="0"/>
    <x v="1"/>
    <x v="3"/>
  </r>
  <r>
    <x v="2505"/>
    <x v="1"/>
    <x v="0"/>
    <x v="1"/>
    <n v="74.25"/>
    <x v="0"/>
    <x v="2366"/>
    <x v="1"/>
    <x v="0"/>
    <x v="0"/>
    <x v="0"/>
  </r>
  <r>
    <x v="2506"/>
    <x v="1"/>
    <x v="1"/>
    <x v="2"/>
    <n v="90.1"/>
    <x v="44"/>
    <x v="2367"/>
    <x v="0"/>
    <x v="1"/>
    <x v="1"/>
    <x v="1"/>
  </r>
  <r>
    <x v="2507"/>
    <x v="0"/>
    <x v="1"/>
    <x v="2"/>
    <n v="68.75"/>
    <x v="57"/>
    <x v="2368"/>
    <x v="0"/>
    <x v="0"/>
    <x v="2"/>
    <x v="2"/>
  </r>
  <r>
    <x v="2508"/>
    <x v="1"/>
    <x v="2"/>
    <x v="1"/>
    <n v="19.2"/>
    <x v="15"/>
    <x v="2369"/>
    <x v="0"/>
    <x v="0"/>
    <x v="1"/>
    <x v="3"/>
  </r>
  <r>
    <x v="2509"/>
    <x v="0"/>
    <x v="0"/>
    <x v="0"/>
    <n v="89.7"/>
    <x v="13"/>
    <x v="78"/>
    <x v="1"/>
    <x v="1"/>
    <x v="1"/>
    <x v="1"/>
  </r>
  <r>
    <x v="2510"/>
    <x v="0"/>
    <x v="2"/>
    <x v="2"/>
    <n v="115.1"/>
    <x v="38"/>
    <x v="2370"/>
    <x v="0"/>
    <x v="2"/>
    <x v="1"/>
    <x v="3"/>
  </r>
  <r>
    <x v="2511"/>
    <x v="0"/>
    <x v="0"/>
    <x v="0"/>
    <n v="96.4"/>
    <x v="10"/>
    <x v="2371"/>
    <x v="1"/>
    <x v="0"/>
    <x v="2"/>
    <x v="2"/>
  </r>
  <r>
    <x v="2512"/>
    <x v="1"/>
    <x v="0"/>
    <x v="2"/>
    <n v="69.5"/>
    <x v="0"/>
    <x v="2372"/>
    <x v="1"/>
    <x v="0"/>
    <x v="0"/>
    <x v="0"/>
  </r>
  <r>
    <x v="2513"/>
    <x v="1"/>
    <x v="0"/>
    <x v="2"/>
    <n v="99.65"/>
    <x v="65"/>
    <x v="2373"/>
    <x v="0"/>
    <x v="1"/>
    <x v="1"/>
    <x v="2"/>
  </r>
  <r>
    <x v="2514"/>
    <x v="1"/>
    <x v="0"/>
    <x v="0"/>
    <n v="91.45"/>
    <x v="2"/>
    <x v="2374"/>
    <x v="0"/>
    <x v="0"/>
    <x v="0"/>
    <x v="0"/>
  </r>
  <r>
    <x v="2515"/>
    <x v="0"/>
    <x v="2"/>
    <x v="1"/>
    <n v="84.75"/>
    <x v="1"/>
    <x v="2375"/>
    <x v="0"/>
    <x v="1"/>
    <x v="1"/>
    <x v="1"/>
  </r>
  <r>
    <x v="2516"/>
    <x v="1"/>
    <x v="0"/>
    <x v="3"/>
    <n v="85.25"/>
    <x v="51"/>
    <x v="2376"/>
    <x v="1"/>
    <x v="1"/>
    <x v="1"/>
    <x v="1"/>
  </r>
  <r>
    <x v="2517"/>
    <x v="1"/>
    <x v="1"/>
    <x v="1"/>
    <n v="78.75"/>
    <x v="62"/>
    <x v="2377"/>
    <x v="0"/>
    <x v="1"/>
    <x v="1"/>
    <x v="3"/>
  </r>
  <r>
    <x v="2518"/>
    <x v="0"/>
    <x v="2"/>
    <x v="3"/>
    <n v="20.25"/>
    <x v="20"/>
    <x v="2378"/>
    <x v="0"/>
    <x v="0"/>
    <x v="1"/>
    <x v="1"/>
  </r>
  <r>
    <x v="2519"/>
    <x v="1"/>
    <x v="2"/>
    <x v="3"/>
    <n v="19.899999999999999"/>
    <x v="21"/>
    <x v="2379"/>
    <x v="0"/>
    <x v="0"/>
    <x v="1"/>
    <x v="3"/>
  </r>
  <r>
    <x v="2520"/>
    <x v="1"/>
    <x v="2"/>
    <x v="3"/>
    <n v="97.75"/>
    <x v="21"/>
    <x v="2380"/>
    <x v="0"/>
    <x v="2"/>
    <x v="1"/>
    <x v="3"/>
  </r>
  <r>
    <x v="2521"/>
    <x v="1"/>
    <x v="0"/>
    <x v="1"/>
    <n v="19.399999999999999"/>
    <x v="0"/>
    <x v="2381"/>
    <x v="1"/>
    <x v="0"/>
    <x v="0"/>
    <x v="0"/>
  </r>
  <r>
    <x v="2522"/>
    <x v="0"/>
    <x v="0"/>
    <x v="0"/>
    <n v="83.3"/>
    <x v="34"/>
    <x v="2382"/>
    <x v="1"/>
    <x v="0"/>
    <x v="0"/>
    <x v="0"/>
  </r>
  <r>
    <x v="2523"/>
    <x v="0"/>
    <x v="0"/>
    <x v="2"/>
    <n v="80.099999999999994"/>
    <x v="4"/>
    <x v="2383"/>
    <x v="1"/>
    <x v="0"/>
    <x v="0"/>
    <x v="0"/>
  </r>
  <r>
    <x v="2524"/>
    <x v="1"/>
    <x v="1"/>
    <x v="3"/>
    <n v="62.7"/>
    <x v="3"/>
    <x v="2384"/>
    <x v="1"/>
    <x v="1"/>
    <x v="1"/>
    <x v="1"/>
  </r>
  <r>
    <x v="2525"/>
    <x v="0"/>
    <x v="0"/>
    <x v="0"/>
    <n v="100.4"/>
    <x v="40"/>
    <x v="1861"/>
    <x v="0"/>
    <x v="0"/>
    <x v="0"/>
    <x v="0"/>
  </r>
  <r>
    <x v="2526"/>
    <x v="0"/>
    <x v="2"/>
    <x v="3"/>
    <n v="24.45"/>
    <x v="16"/>
    <x v="2385"/>
    <x v="0"/>
    <x v="0"/>
    <x v="1"/>
    <x v="3"/>
  </r>
  <r>
    <x v="2527"/>
    <x v="0"/>
    <x v="1"/>
    <x v="2"/>
    <n v="101.1"/>
    <x v="52"/>
    <x v="2386"/>
    <x v="0"/>
    <x v="1"/>
    <x v="1"/>
    <x v="1"/>
  </r>
  <r>
    <x v="2528"/>
    <x v="1"/>
    <x v="2"/>
    <x v="3"/>
    <n v="50.9"/>
    <x v="56"/>
    <x v="2387"/>
    <x v="0"/>
    <x v="1"/>
    <x v="1"/>
    <x v="3"/>
  </r>
  <r>
    <x v="2529"/>
    <x v="1"/>
    <x v="1"/>
    <x v="3"/>
    <n v="107.2"/>
    <x v="14"/>
    <x v="2388"/>
    <x v="0"/>
    <x v="2"/>
    <x v="1"/>
    <x v="3"/>
  </r>
  <r>
    <x v="2530"/>
    <x v="0"/>
    <x v="2"/>
    <x v="2"/>
    <n v="92.2"/>
    <x v="27"/>
    <x v="2389"/>
    <x v="0"/>
    <x v="2"/>
    <x v="1"/>
    <x v="3"/>
  </r>
  <r>
    <x v="2531"/>
    <x v="1"/>
    <x v="1"/>
    <x v="2"/>
    <n v="25.3"/>
    <x v="13"/>
    <x v="2390"/>
    <x v="1"/>
    <x v="0"/>
    <x v="1"/>
    <x v="1"/>
  </r>
  <r>
    <x v="2532"/>
    <x v="1"/>
    <x v="2"/>
    <x v="2"/>
    <n v="113.4"/>
    <x v="21"/>
    <x v="2391"/>
    <x v="0"/>
    <x v="2"/>
    <x v="1"/>
    <x v="3"/>
  </r>
  <r>
    <x v="2533"/>
    <x v="1"/>
    <x v="2"/>
    <x v="0"/>
    <n v="40.549999999999997"/>
    <x v="1"/>
    <x v="2392"/>
    <x v="0"/>
    <x v="0"/>
    <x v="1"/>
    <x v="1"/>
  </r>
  <r>
    <x v="2534"/>
    <x v="0"/>
    <x v="2"/>
    <x v="3"/>
    <n v="26"/>
    <x v="45"/>
    <x v="2393"/>
    <x v="0"/>
    <x v="0"/>
    <x v="1"/>
    <x v="3"/>
  </r>
  <r>
    <x v="2535"/>
    <x v="0"/>
    <x v="2"/>
    <x v="3"/>
    <n v="111.95"/>
    <x v="27"/>
    <x v="2394"/>
    <x v="0"/>
    <x v="2"/>
    <x v="1"/>
    <x v="3"/>
  </r>
  <r>
    <x v="2536"/>
    <x v="0"/>
    <x v="2"/>
    <x v="3"/>
    <n v="53.8"/>
    <x v="21"/>
    <x v="2395"/>
    <x v="0"/>
    <x v="1"/>
    <x v="1"/>
    <x v="3"/>
  </r>
  <r>
    <x v="2537"/>
    <x v="1"/>
    <x v="1"/>
    <x v="1"/>
    <n v="72.099999999999994"/>
    <x v="42"/>
    <x v="2396"/>
    <x v="0"/>
    <x v="1"/>
    <x v="1"/>
    <x v="1"/>
  </r>
  <r>
    <x v="2538"/>
    <x v="1"/>
    <x v="0"/>
    <x v="1"/>
    <n v="98.15"/>
    <x v="9"/>
    <x v="2397"/>
    <x v="1"/>
    <x v="0"/>
    <x v="2"/>
    <x v="2"/>
  </r>
  <r>
    <x v="2539"/>
    <x v="0"/>
    <x v="1"/>
    <x v="0"/>
    <n v="78.849999999999994"/>
    <x v="18"/>
    <x v="2398"/>
    <x v="0"/>
    <x v="0"/>
    <x v="2"/>
    <x v="0"/>
  </r>
  <r>
    <x v="2540"/>
    <x v="0"/>
    <x v="1"/>
    <x v="2"/>
    <n v="70.75"/>
    <x v="8"/>
    <x v="2399"/>
    <x v="0"/>
    <x v="1"/>
    <x v="1"/>
    <x v="3"/>
  </r>
  <r>
    <x v="2541"/>
    <x v="0"/>
    <x v="0"/>
    <x v="3"/>
    <n v="76.150000000000006"/>
    <x v="13"/>
    <x v="2400"/>
    <x v="0"/>
    <x v="0"/>
    <x v="1"/>
    <x v="1"/>
  </r>
  <r>
    <x v="2542"/>
    <x v="0"/>
    <x v="2"/>
    <x v="1"/>
    <n v="39.1"/>
    <x v="15"/>
    <x v="2401"/>
    <x v="0"/>
    <x v="1"/>
    <x v="1"/>
    <x v="3"/>
  </r>
  <r>
    <x v="2543"/>
    <x v="1"/>
    <x v="0"/>
    <x v="3"/>
    <n v="69.95"/>
    <x v="4"/>
    <x v="2402"/>
    <x v="0"/>
    <x v="0"/>
    <x v="0"/>
    <x v="0"/>
  </r>
  <r>
    <x v="2544"/>
    <x v="1"/>
    <x v="0"/>
    <x v="1"/>
    <n v="20.05"/>
    <x v="2"/>
    <x v="2403"/>
    <x v="0"/>
    <x v="0"/>
    <x v="0"/>
    <x v="0"/>
  </r>
  <r>
    <x v="2545"/>
    <x v="0"/>
    <x v="2"/>
    <x v="1"/>
    <n v="20.05"/>
    <x v="39"/>
    <x v="2404"/>
    <x v="0"/>
    <x v="0"/>
    <x v="1"/>
    <x v="3"/>
  </r>
  <r>
    <x v="2546"/>
    <x v="0"/>
    <x v="0"/>
    <x v="2"/>
    <n v="19.45"/>
    <x v="18"/>
    <x v="2405"/>
    <x v="0"/>
    <x v="0"/>
    <x v="2"/>
    <x v="0"/>
  </r>
  <r>
    <x v="2547"/>
    <x v="0"/>
    <x v="1"/>
    <x v="0"/>
    <n v="26.9"/>
    <x v="20"/>
    <x v="2406"/>
    <x v="0"/>
    <x v="0"/>
    <x v="1"/>
    <x v="1"/>
  </r>
  <r>
    <x v="2548"/>
    <x v="1"/>
    <x v="0"/>
    <x v="0"/>
    <n v="19.2"/>
    <x v="2"/>
    <x v="2407"/>
    <x v="0"/>
    <x v="0"/>
    <x v="0"/>
    <x v="0"/>
  </r>
  <r>
    <x v="2549"/>
    <x v="0"/>
    <x v="0"/>
    <x v="1"/>
    <n v="50"/>
    <x v="32"/>
    <x v="1889"/>
    <x v="0"/>
    <x v="0"/>
    <x v="2"/>
    <x v="2"/>
  </r>
  <r>
    <x v="2550"/>
    <x v="0"/>
    <x v="0"/>
    <x v="0"/>
    <n v="60"/>
    <x v="4"/>
    <x v="2408"/>
    <x v="0"/>
    <x v="0"/>
    <x v="0"/>
    <x v="0"/>
  </r>
  <r>
    <x v="2551"/>
    <x v="1"/>
    <x v="0"/>
    <x v="1"/>
    <n v="84.55"/>
    <x v="3"/>
    <x v="2409"/>
    <x v="0"/>
    <x v="1"/>
    <x v="1"/>
    <x v="1"/>
  </r>
  <r>
    <x v="2552"/>
    <x v="1"/>
    <x v="0"/>
    <x v="1"/>
    <n v="45.45"/>
    <x v="35"/>
    <x v="2410"/>
    <x v="0"/>
    <x v="0"/>
    <x v="0"/>
    <x v="0"/>
  </r>
  <r>
    <x v="2553"/>
    <x v="0"/>
    <x v="1"/>
    <x v="1"/>
    <n v="20.05"/>
    <x v="46"/>
    <x v="2411"/>
    <x v="0"/>
    <x v="0"/>
    <x v="1"/>
    <x v="1"/>
  </r>
  <r>
    <x v="2554"/>
    <x v="1"/>
    <x v="2"/>
    <x v="0"/>
    <n v="115.55"/>
    <x v="21"/>
    <x v="2412"/>
    <x v="0"/>
    <x v="2"/>
    <x v="1"/>
    <x v="3"/>
  </r>
  <r>
    <x v="2555"/>
    <x v="1"/>
    <x v="0"/>
    <x v="0"/>
    <n v="93.7"/>
    <x v="25"/>
    <x v="2413"/>
    <x v="1"/>
    <x v="1"/>
    <x v="1"/>
    <x v="1"/>
  </r>
  <r>
    <x v="2556"/>
    <x v="0"/>
    <x v="2"/>
    <x v="3"/>
    <n v="99"/>
    <x v="16"/>
    <x v="2414"/>
    <x v="0"/>
    <x v="2"/>
    <x v="1"/>
    <x v="3"/>
  </r>
  <r>
    <x v="2557"/>
    <x v="1"/>
    <x v="2"/>
    <x v="2"/>
    <n v="50.55"/>
    <x v="33"/>
    <x v="2415"/>
    <x v="0"/>
    <x v="1"/>
    <x v="1"/>
    <x v="3"/>
  </r>
  <r>
    <x v="2558"/>
    <x v="1"/>
    <x v="0"/>
    <x v="1"/>
    <n v="105.95"/>
    <x v="13"/>
    <x v="2416"/>
    <x v="1"/>
    <x v="1"/>
    <x v="1"/>
    <x v="1"/>
  </r>
  <r>
    <x v="2559"/>
    <x v="1"/>
    <x v="1"/>
    <x v="3"/>
    <n v="82"/>
    <x v="32"/>
    <x v="1735"/>
    <x v="1"/>
    <x v="0"/>
    <x v="2"/>
    <x v="2"/>
  </r>
  <r>
    <x v="2560"/>
    <x v="0"/>
    <x v="2"/>
    <x v="2"/>
    <n v="25"/>
    <x v="9"/>
    <x v="2417"/>
    <x v="0"/>
    <x v="0"/>
    <x v="2"/>
    <x v="2"/>
  </r>
  <r>
    <x v="2561"/>
    <x v="0"/>
    <x v="2"/>
    <x v="2"/>
    <n v="91.55"/>
    <x v="45"/>
    <x v="2418"/>
    <x v="0"/>
    <x v="2"/>
    <x v="1"/>
    <x v="3"/>
  </r>
  <r>
    <x v="2562"/>
    <x v="1"/>
    <x v="0"/>
    <x v="0"/>
    <n v="95.75"/>
    <x v="31"/>
    <x v="2419"/>
    <x v="1"/>
    <x v="2"/>
    <x v="1"/>
    <x v="3"/>
  </r>
  <r>
    <x v="2563"/>
    <x v="1"/>
    <x v="2"/>
    <x v="1"/>
    <n v="19.350000000000001"/>
    <x v="30"/>
    <x v="2420"/>
    <x v="0"/>
    <x v="0"/>
    <x v="2"/>
    <x v="2"/>
  </r>
  <r>
    <x v="2564"/>
    <x v="0"/>
    <x v="2"/>
    <x v="3"/>
    <n v="24.85"/>
    <x v="21"/>
    <x v="2421"/>
    <x v="0"/>
    <x v="0"/>
    <x v="1"/>
    <x v="3"/>
  </r>
  <r>
    <x v="2565"/>
    <x v="1"/>
    <x v="0"/>
    <x v="3"/>
    <n v="94.05"/>
    <x v="19"/>
    <x v="2384"/>
    <x v="1"/>
    <x v="1"/>
    <x v="1"/>
    <x v="1"/>
  </r>
  <r>
    <x v="2566"/>
    <x v="0"/>
    <x v="2"/>
    <x v="0"/>
    <n v="100.4"/>
    <x v="41"/>
    <x v="2422"/>
    <x v="0"/>
    <x v="1"/>
    <x v="1"/>
    <x v="1"/>
  </r>
  <r>
    <x v="2567"/>
    <x v="0"/>
    <x v="2"/>
    <x v="2"/>
    <n v="25"/>
    <x v="16"/>
    <x v="2423"/>
    <x v="0"/>
    <x v="0"/>
    <x v="1"/>
    <x v="3"/>
  </r>
  <r>
    <x v="2568"/>
    <x v="0"/>
    <x v="0"/>
    <x v="1"/>
    <n v="54.75"/>
    <x v="0"/>
    <x v="2424"/>
    <x v="1"/>
    <x v="0"/>
    <x v="0"/>
    <x v="0"/>
  </r>
  <r>
    <x v="2569"/>
    <x v="1"/>
    <x v="0"/>
    <x v="2"/>
    <n v="95.65"/>
    <x v="71"/>
    <x v="2425"/>
    <x v="1"/>
    <x v="1"/>
    <x v="1"/>
    <x v="1"/>
  </r>
  <r>
    <x v="2570"/>
    <x v="0"/>
    <x v="0"/>
    <x v="2"/>
    <n v="19.25"/>
    <x v="42"/>
    <x v="2252"/>
    <x v="0"/>
    <x v="0"/>
    <x v="1"/>
    <x v="1"/>
  </r>
  <r>
    <x v="2571"/>
    <x v="0"/>
    <x v="0"/>
    <x v="2"/>
    <n v="108.25"/>
    <x v="62"/>
    <x v="2426"/>
    <x v="0"/>
    <x v="2"/>
    <x v="1"/>
    <x v="3"/>
  </r>
  <r>
    <x v="2572"/>
    <x v="0"/>
    <x v="0"/>
    <x v="0"/>
    <n v="94.6"/>
    <x v="0"/>
    <x v="2427"/>
    <x v="1"/>
    <x v="0"/>
    <x v="0"/>
    <x v="0"/>
  </r>
  <r>
    <x v="2573"/>
    <x v="0"/>
    <x v="0"/>
    <x v="0"/>
    <n v="98.9"/>
    <x v="36"/>
    <x v="2428"/>
    <x v="1"/>
    <x v="1"/>
    <x v="1"/>
    <x v="1"/>
  </r>
  <r>
    <x v="2574"/>
    <x v="1"/>
    <x v="2"/>
    <x v="3"/>
    <n v="20.149999999999999"/>
    <x v="43"/>
    <x v="2429"/>
    <x v="0"/>
    <x v="0"/>
    <x v="1"/>
    <x v="1"/>
  </r>
  <r>
    <x v="2575"/>
    <x v="0"/>
    <x v="0"/>
    <x v="0"/>
    <n v="101.3"/>
    <x v="19"/>
    <x v="2430"/>
    <x v="0"/>
    <x v="1"/>
    <x v="1"/>
    <x v="1"/>
  </r>
  <r>
    <x v="2576"/>
    <x v="1"/>
    <x v="0"/>
    <x v="3"/>
    <n v="20"/>
    <x v="6"/>
    <x v="2431"/>
    <x v="0"/>
    <x v="0"/>
    <x v="0"/>
    <x v="0"/>
  </r>
  <r>
    <x v="2577"/>
    <x v="0"/>
    <x v="0"/>
    <x v="0"/>
    <n v="105.3"/>
    <x v="18"/>
    <x v="2432"/>
    <x v="0"/>
    <x v="0"/>
    <x v="2"/>
    <x v="0"/>
  </r>
  <r>
    <x v="2578"/>
    <x v="0"/>
    <x v="2"/>
    <x v="2"/>
    <n v="69.849999999999994"/>
    <x v="58"/>
    <x v="2433"/>
    <x v="0"/>
    <x v="1"/>
    <x v="1"/>
    <x v="3"/>
  </r>
  <r>
    <x v="2579"/>
    <x v="0"/>
    <x v="0"/>
    <x v="3"/>
    <n v="65.25"/>
    <x v="11"/>
    <x v="2434"/>
    <x v="0"/>
    <x v="1"/>
    <x v="1"/>
    <x v="3"/>
  </r>
  <r>
    <x v="2580"/>
    <x v="0"/>
    <x v="2"/>
    <x v="1"/>
    <n v="19.8"/>
    <x v="50"/>
    <x v="1836"/>
    <x v="0"/>
    <x v="0"/>
    <x v="1"/>
    <x v="1"/>
  </r>
  <r>
    <x v="2581"/>
    <x v="0"/>
    <x v="0"/>
    <x v="1"/>
    <n v="19.600000000000001"/>
    <x v="66"/>
    <x v="2435"/>
    <x v="0"/>
    <x v="0"/>
    <x v="1"/>
    <x v="1"/>
  </r>
  <r>
    <x v="2582"/>
    <x v="1"/>
    <x v="1"/>
    <x v="3"/>
    <n v="20.05"/>
    <x v="23"/>
    <x v="2436"/>
    <x v="0"/>
    <x v="0"/>
    <x v="1"/>
    <x v="1"/>
  </r>
  <r>
    <x v="2583"/>
    <x v="0"/>
    <x v="0"/>
    <x v="0"/>
    <n v="49.4"/>
    <x v="4"/>
    <x v="2437"/>
    <x v="0"/>
    <x v="0"/>
    <x v="0"/>
    <x v="0"/>
  </r>
  <r>
    <x v="2584"/>
    <x v="1"/>
    <x v="0"/>
    <x v="0"/>
    <n v="76.05"/>
    <x v="35"/>
    <x v="2438"/>
    <x v="1"/>
    <x v="0"/>
    <x v="0"/>
    <x v="0"/>
  </r>
  <r>
    <x v="2585"/>
    <x v="0"/>
    <x v="0"/>
    <x v="2"/>
    <n v="88.4"/>
    <x v="13"/>
    <x v="2439"/>
    <x v="0"/>
    <x v="1"/>
    <x v="1"/>
    <x v="1"/>
  </r>
  <r>
    <x v="2586"/>
    <x v="0"/>
    <x v="0"/>
    <x v="0"/>
    <n v="100.6"/>
    <x v="58"/>
    <x v="2440"/>
    <x v="0"/>
    <x v="2"/>
    <x v="1"/>
    <x v="3"/>
  </r>
  <r>
    <x v="2587"/>
    <x v="0"/>
    <x v="0"/>
    <x v="1"/>
    <n v="19.45"/>
    <x v="18"/>
    <x v="2405"/>
    <x v="0"/>
    <x v="0"/>
    <x v="2"/>
    <x v="0"/>
  </r>
  <r>
    <x v="2588"/>
    <x v="0"/>
    <x v="2"/>
    <x v="2"/>
    <n v="20.3"/>
    <x v="8"/>
    <x v="2441"/>
    <x v="0"/>
    <x v="0"/>
    <x v="1"/>
    <x v="3"/>
  </r>
  <r>
    <x v="2589"/>
    <x v="0"/>
    <x v="2"/>
    <x v="2"/>
    <n v="107.65"/>
    <x v="45"/>
    <x v="2442"/>
    <x v="0"/>
    <x v="2"/>
    <x v="1"/>
    <x v="3"/>
  </r>
  <r>
    <x v="2590"/>
    <x v="0"/>
    <x v="2"/>
    <x v="2"/>
    <n v="80.45"/>
    <x v="16"/>
    <x v="2443"/>
    <x v="0"/>
    <x v="2"/>
    <x v="1"/>
    <x v="3"/>
  </r>
  <r>
    <x v="2591"/>
    <x v="0"/>
    <x v="1"/>
    <x v="3"/>
    <n v="58.85"/>
    <x v="17"/>
    <x v="2444"/>
    <x v="0"/>
    <x v="0"/>
    <x v="2"/>
    <x v="2"/>
  </r>
  <r>
    <x v="2592"/>
    <x v="1"/>
    <x v="1"/>
    <x v="0"/>
    <n v="109.6"/>
    <x v="16"/>
    <x v="2445"/>
    <x v="0"/>
    <x v="2"/>
    <x v="1"/>
    <x v="3"/>
  </r>
  <r>
    <x v="2593"/>
    <x v="0"/>
    <x v="0"/>
    <x v="0"/>
    <n v="75.150000000000006"/>
    <x v="40"/>
    <x v="82"/>
    <x v="0"/>
    <x v="0"/>
    <x v="0"/>
    <x v="0"/>
  </r>
  <r>
    <x v="2594"/>
    <x v="0"/>
    <x v="2"/>
    <x v="3"/>
    <n v="73"/>
    <x v="21"/>
    <x v="2446"/>
    <x v="0"/>
    <x v="2"/>
    <x v="1"/>
    <x v="3"/>
  </r>
  <r>
    <x v="2595"/>
    <x v="0"/>
    <x v="0"/>
    <x v="0"/>
    <n v="70.099999999999994"/>
    <x v="0"/>
    <x v="2447"/>
    <x v="0"/>
    <x v="0"/>
    <x v="0"/>
    <x v="0"/>
  </r>
  <r>
    <x v="2596"/>
    <x v="0"/>
    <x v="2"/>
    <x v="2"/>
    <n v="98.65"/>
    <x v="21"/>
    <x v="2448"/>
    <x v="0"/>
    <x v="2"/>
    <x v="1"/>
    <x v="3"/>
  </r>
  <r>
    <x v="2597"/>
    <x v="0"/>
    <x v="1"/>
    <x v="0"/>
    <n v="111.45"/>
    <x v="38"/>
    <x v="2449"/>
    <x v="0"/>
    <x v="2"/>
    <x v="1"/>
    <x v="3"/>
  </r>
  <r>
    <x v="2598"/>
    <x v="0"/>
    <x v="2"/>
    <x v="0"/>
    <n v="114.9"/>
    <x v="21"/>
    <x v="2450"/>
    <x v="0"/>
    <x v="2"/>
    <x v="1"/>
    <x v="3"/>
  </r>
  <r>
    <x v="2599"/>
    <x v="0"/>
    <x v="0"/>
    <x v="2"/>
    <n v="100.55"/>
    <x v="44"/>
    <x v="416"/>
    <x v="0"/>
    <x v="1"/>
    <x v="1"/>
    <x v="1"/>
  </r>
  <r>
    <x v="2600"/>
    <x v="0"/>
    <x v="2"/>
    <x v="1"/>
    <n v="20.399999999999999"/>
    <x v="9"/>
    <x v="2451"/>
    <x v="0"/>
    <x v="0"/>
    <x v="2"/>
    <x v="2"/>
  </r>
  <r>
    <x v="2601"/>
    <x v="0"/>
    <x v="0"/>
    <x v="0"/>
    <n v="104.35"/>
    <x v="36"/>
    <x v="2452"/>
    <x v="0"/>
    <x v="1"/>
    <x v="1"/>
    <x v="1"/>
  </r>
  <r>
    <x v="2602"/>
    <x v="1"/>
    <x v="0"/>
    <x v="0"/>
    <n v="69.75"/>
    <x v="0"/>
    <x v="1985"/>
    <x v="1"/>
    <x v="0"/>
    <x v="0"/>
    <x v="0"/>
  </r>
  <r>
    <x v="2603"/>
    <x v="1"/>
    <x v="0"/>
    <x v="0"/>
    <n v="34.5"/>
    <x v="40"/>
    <x v="2453"/>
    <x v="1"/>
    <x v="0"/>
    <x v="0"/>
    <x v="0"/>
  </r>
  <r>
    <x v="2604"/>
    <x v="1"/>
    <x v="0"/>
    <x v="0"/>
    <n v="105.55"/>
    <x v="59"/>
    <x v="2454"/>
    <x v="1"/>
    <x v="2"/>
    <x v="1"/>
    <x v="3"/>
  </r>
  <r>
    <x v="2605"/>
    <x v="0"/>
    <x v="0"/>
    <x v="3"/>
    <n v="30.1"/>
    <x v="71"/>
    <x v="2455"/>
    <x v="1"/>
    <x v="0"/>
    <x v="1"/>
    <x v="1"/>
  </r>
  <r>
    <x v="2606"/>
    <x v="1"/>
    <x v="0"/>
    <x v="0"/>
    <n v="70.3"/>
    <x v="6"/>
    <x v="2456"/>
    <x v="1"/>
    <x v="0"/>
    <x v="0"/>
    <x v="0"/>
  </r>
  <r>
    <x v="2607"/>
    <x v="0"/>
    <x v="0"/>
    <x v="3"/>
    <n v="80.45"/>
    <x v="60"/>
    <x v="2343"/>
    <x v="0"/>
    <x v="0"/>
    <x v="2"/>
    <x v="2"/>
  </r>
  <r>
    <x v="2608"/>
    <x v="0"/>
    <x v="0"/>
    <x v="1"/>
    <n v="80.2"/>
    <x v="0"/>
    <x v="2223"/>
    <x v="1"/>
    <x v="0"/>
    <x v="0"/>
    <x v="0"/>
  </r>
  <r>
    <x v="2609"/>
    <x v="0"/>
    <x v="1"/>
    <x v="3"/>
    <n v="94.35"/>
    <x v="56"/>
    <x v="2457"/>
    <x v="1"/>
    <x v="2"/>
    <x v="1"/>
    <x v="3"/>
  </r>
  <r>
    <x v="2610"/>
    <x v="0"/>
    <x v="2"/>
    <x v="2"/>
    <n v="91.35"/>
    <x v="21"/>
    <x v="2458"/>
    <x v="0"/>
    <x v="2"/>
    <x v="1"/>
    <x v="3"/>
  </r>
  <r>
    <x v="2611"/>
    <x v="1"/>
    <x v="0"/>
    <x v="2"/>
    <n v="44.6"/>
    <x v="53"/>
    <x v="2459"/>
    <x v="1"/>
    <x v="0"/>
    <x v="0"/>
    <x v="0"/>
  </r>
  <r>
    <x v="2612"/>
    <x v="0"/>
    <x v="0"/>
    <x v="1"/>
    <n v="19.600000000000001"/>
    <x v="0"/>
    <x v="404"/>
    <x v="1"/>
    <x v="0"/>
    <x v="0"/>
    <x v="0"/>
  </r>
  <r>
    <x v="2613"/>
    <x v="1"/>
    <x v="1"/>
    <x v="0"/>
    <n v="19.899999999999999"/>
    <x v="13"/>
    <x v="1126"/>
    <x v="0"/>
    <x v="0"/>
    <x v="1"/>
    <x v="1"/>
  </r>
  <r>
    <x v="2614"/>
    <x v="0"/>
    <x v="0"/>
    <x v="0"/>
    <n v="110.45"/>
    <x v="55"/>
    <x v="2460"/>
    <x v="1"/>
    <x v="1"/>
    <x v="1"/>
    <x v="1"/>
  </r>
  <r>
    <x v="2615"/>
    <x v="1"/>
    <x v="0"/>
    <x v="0"/>
    <n v="68.349999999999994"/>
    <x v="32"/>
    <x v="2461"/>
    <x v="0"/>
    <x v="0"/>
    <x v="2"/>
    <x v="2"/>
  </r>
  <r>
    <x v="2616"/>
    <x v="1"/>
    <x v="2"/>
    <x v="3"/>
    <n v="79.099999999999994"/>
    <x v="16"/>
    <x v="2462"/>
    <x v="0"/>
    <x v="2"/>
    <x v="1"/>
    <x v="3"/>
  </r>
  <r>
    <x v="2617"/>
    <x v="1"/>
    <x v="1"/>
    <x v="0"/>
    <n v="51"/>
    <x v="7"/>
    <x v="2463"/>
    <x v="0"/>
    <x v="0"/>
    <x v="1"/>
    <x v="1"/>
  </r>
  <r>
    <x v="2618"/>
    <x v="0"/>
    <x v="0"/>
    <x v="3"/>
    <n v="80.55"/>
    <x v="2"/>
    <x v="2049"/>
    <x v="0"/>
    <x v="0"/>
    <x v="0"/>
    <x v="0"/>
  </r>
  <r>
    <x v="2619"/>
    <x v="1"/>
    <x v="0"/>
    <x v="1"/>
    <n v="66.7"/>
    <x v="22"/>
    <x v="2115"/>
    <x v="0"/>
    <x v="0"/>
    <x v="2"/>
    <x v="2"/>
  </r>
  <r>
    <x v="2620"/>
    <x v="1"/>
    <x v="0"/>
    <x v="0"/>
    <n v="86.4"/>
    <x v="39"/>
    <x v="2464"/>
    <x v="0"/>
    <x v="1"/>
    <x v="1"/>
    <x v="3"/>
  </r>
  <r>
    <x v="2621"/>
    <x v="0"/>
    <x v="1"/>
    <x v="0"/>
    <n v="50.05"/>
    <x v="31"/>
    <x v="2465"/>
    <x v="0"/>
    <x v="1"/>
    <x v="1"/>
    <x v="3"/>
  </r>
  <r>
    <x v="2622"/>
    <x v="0"/>
    <x v="2"/>
    <x v="3"/>
    <n v="25.7"/>
    <x v="55"/>
    <x v="2466"/>
    <x v="0"/>
    <x v="0"/>
    <x v="1"/>
    <x v="1"/>
  </r>
  <r>
    <x v="2623"/>
    <x v="0"/>
    <x v="0"/>
    <x v="1"/>
    <n v="83.4"/>
    <x v="0"/>
    <x v="123"/>
    <x v="0"/>
    <x v="0"/>
    <x v="0"/>
    <x v="0"/>
  </r>
  <r>
    <x v="2624"/>
    <x v="1"/>
    <x v="0"/>
    <x v="3"/>
    <n v="70.7"/>
    <x v="2"/>
    <x v="4"/>
    <x v="1"/>
    <x v="0"/>
    <x v="0"/>
    <x v="0"/>
  </r>
  <r>
    <x v="2625"/>
    <x v="1"/>
    <x v="2"/>
    <x v="3"/>
    <n v="84.65"/>
    <x v="28"/>
    <x v="2467"/>
    <x v="0"/>
    <x v="2"/>
    <x v="1"/>
    <x v="3"/>
  </r>
  <r>
    <x v="2626"/>
    <x v="1"/>
    <x v="0"/>
    <x v="0"/>
    <n v="99.25"/>
    <x v="40"/>
    <x v="326"/>
    <x v="1"/>
    <x v="0"/>
    <x v="0"/>
    <x v="0"/>
  </r>
  <r>
    <x v="2627"/>
    <x v="0"/>
    <x v="2"/>
    <x v="1"/>
    <n v="64.75"/>
    <x v="49"/>
    <x v="2468"/>
    <x v="0"/>
    <x v="1"/>
    <x v="1"/>
    <x v="3"/>
  </r>
  <r>
    <x v="2628"/>
    <x v="0"/>
    <x v="1"/>
    <x v="2"/>
    <n v="100.15"/>
    <x v="45"/>
    <x v="2469"/>
    <x v="0"/>
    <x v="2"/>
    <x v="1"/>
    <x v="3"/>
  </r>
  <r>
    <x v="2629"/>
    <x v="1"/>
    <x v="0"/>
    <x v="0"/>
    <n v="84.8"/>
    <x v="0"/>
    <x v="2470"/>
    <x v="1"/>
    <x v="0"/>
    <x v="0"/>
    <x v="0"/>
  </r>
  <r>
    <x v="2630"/>
    <x v="1"/>
    <x v="2"/>
    <x v="1"/>
    <n v="25.25"/>
    <x v="28"/>
    <x v="2471"/>
    <x v="0"/>
    <x v="0"/>
    <x v="1"/>
    <x v="3"/>
  </r>
  <r>
    <x v="2631"/>
    <x v="0"/>
    <x v="2"/>
    <x v="3"/>
    <n v="113"/>
    <x v="27"/>
    <x v="2472"/>
    <x v="0"/>
    <x v="2"/>
    <x v="1"/>
    <x v="3"/>
  </r>
  <r>
    <x v="2632"/>
    <x v="0"/>
    <x v="2"/>
    <x v="3"/>
    <n v="40.65"/>
    <x v="51"/>
    <x v="2473"/>
    <x v="0"/>
    <x v="0"/>
    <x v="1"/>
    <x v="1"/>
  </r>
  <r>
    <x v="2633"/>
    <x v="1"/>
    <x v="1"/>
    <x v="2"/>
    <n v="105"/>
    <x v="15"/>
    <x v="2474"/>
    <x v="1"/>
    <x v="2"/>
    <x v="1"/>
    <x v="3"/>
  </r>
  <r>
    <x v="2634"/>
    <x v="1"/>
    <x v="0"/>
    <x v="0"/>
    <n v="54.45"/>
    <x v="5"/>
    <x v="2475"/>
    <x v="1"/>
    <x v="0"/>
    <x v="2"/>
    <x v="2"/>
  </r>
  <r>
    <x v="2635"/>
    <x v="1"/>
    <x v="0"/>
    <x v="2"/>
    <n v="94.95"/>
    <x v="5"/>
    <x v="2476"/>
    <x v="0"/>
    <x v="1"/>
    <x v="2"/>
    <x v="2"/>
  </r>
  <r>
    <x v="2636"/>
    <x v="0"/>
    <x v="0"/>
    <x v="3"/>
    <n v="59.9"/>
    <x v="24"/>
    <x v="2477"/>
    <x v="0"/>
    <x v="0"/>
    <x v="0"/>
    <x v="0"/>
  </r>
  <r>
    <x v="2637"/>
    <x v="0"/>
    <x v="0"/>
    <x v="0"/>
    <n v="85.3"/>
    <x v="20"/>
    <x v="227"/>
    <x v="1"/>
    <x v="1"/>
    <x v="1"/>
    <x v="1"/>
  </r>
  <r>
    <x v="2638"/>
    <x v="0"/>
    <x v="0"/>
    <x v="0"/>
    <n v="83.35"/>
    <x v="55"/>
    <x v="2478"/>
    <x v="1"/>
    <x v="1"/>
    <x v="1"/>
    <x v="1"/>
  </r>
  <r>
    <x v="2639"/>
    <x v="1"/>
    <x v="0"/>
    <x v="3"/>
    <n v="33.5"/>
    <x v="32"/>
    <x v="2479"/>
    <x v="1"/>
    <x v="0"/>
    <x v="2"/>
    <x v="2"/>
  </r>
  <r>
    <x v="2640"/>
    <x v="0"/>
    <x v="0"/>
    <x v="3"/>
    <n v="19.8"/>
    <x v="0"/>
    <x v="2480"/>
    <x v="0"/>
    <x v="0"/>
    <x v="0"/>
    <x v="0"/>
  </r>
  <r>
    <x v="2641"/>
    <x v="1"/>
    <x v="2"/>
    <x v="3"/>
    <n v="81.8"/>
    <x v="39"/>
    <x v="2481"/>
    <x v="0"/>
    <x v="1"/>
    <x v="1"/>
    <x v="3"/>
  </r>
  <r>
    <x v="2642"/>
    <x v="0"/>
    <x v="0"/>
    <x v="1"/>
    <n v="20"/>
    <x v="2"/>
    <x v="452"/>
    <x v="0"/>
    <x v="0"/>
    <x v="0"/>
    <x v="0"/>
  </r>
  <r>
    <x v="2643"/>
    <x v="1"/>
    <x v="0"/>
    <x v="0"/>
    <n v="59.6"/>
    <x v="42"/>
    <x v="2482"/>
    <x v="0"/>
    <x v="1"/>
    <x v="1"/>
    <x v="1"/>
  </r>
  <r>
    <x v="2644"/>
    <x v="0"/>
    <x v="2"/>
    <x v="3"/>
    <n v="25"/>
    <x v="38"/>
    <x v="1399"/>
    <x v="0"/>
    <x v="0"/>
    <x v="1"/>
    <x v="3"/>
  </r>
  <r>
    <x v="2645"/>
    <x v="0"/>
    <x v="0"/>
    <x v="3"/>
    <n v="84.35"/>
    <x v="30"/>
    <x v="2063"/>
    <x v="0"/>
    <x v="0"/>
    <x v="2"/>
    <x v="2"/>
  </r>
  <r>
    <x v="2646"/>
    <x v="1"/>
    <x v="0"/>
    <x v="0"/>
    <n v="90.35"/>
    <x v="65"/>
    <x v="2483"/>
    <x v="1"/>
    <x v="1"/>
    <x v="1"/>
    <x v="2"/>
  </r>
  <r>
    <x v="2647"/>
    <x v="1"/>
    <x v="0"/>
    <x v="1"/>
    <n v="55.55"/>
    <x v="0"/>
    <x v="2484"/>
    <x v="0"/>
    <x v="0"/>
    <x v="0"/>
    <x v="0"/>
  </r>
  <r>
    <x v="2648"/>
    <x v="0"/>
    <x v="2"/>
    <x v="3"/>
    <n v="75.349999999999994"/>
    <x v="27"/>
    <x v="2485"/>
    <x v="0"/>
    <x v="2"/>
    <x v="1"/>
    <x v="3"/>
  </r>
  <r>
    <x v="2649"/>
    <x v="1"/>
    <x v="0"/>
    <x v="0"/>
    <n v="90.75"/>
    <x v="0"/>
    <x v="2486"/>
    <x v="1"/>
    <x v="0"/>
    <x v="0"/>
    <x v="0"/>
  </r>
  <r>
    <x v="2650"/>
    <x v="0"/>
    <x v="0"/>
    <x v="1"/>
    <n v="89.6"/>
    <x v="54"/>
    <x v="2487"/>
    <x v="1"/>
    <x v="0"/>
    <x v="0"/>
    <x v="0"/>
  </r>
  <r>
    <x v="2651"/>
    <x v="0"/>
    <x v="1"/>
    <x v="0"/>
    <n v="59.3"/>
    <x v="71"/>
    <x v="2488"/>
    <x v="0"/>
    <x v="1"/>
    <x v="1"/>
    <x v="1"/>
  </r>
  <r>
    <x v="2652"/>
    <x v="0"/>
    <x v="0"/>
    <x v="0"/>
    <n v="66.099999999999994"/>
    <x v="44"/>
    <x v="2489"/>
    <x v="0"/>
    <x v="0"/>
    <x v="1"/>
    <x v="1"/>
  </r>
  <r>
    <x v="2653"/>
    <x v="0"/>
    <x v="2"/>
    <x v="1"/>
    <n v="18.8"/>
    <x v="60"/>
    <x v="2490"/>
    <x v="0"/>
    <x v="0"/>
    <x v="2"/>
    <x v="2"/>
  </r>
  <r>
    <x v="2654"/>
    <x v="0"/>
    <x v="2"/>
    <x v="3"/>
    <n v="86.45"/>
    <x v="59"/>
    <x v="2491"/>
    <x v="0"/>
    <x v="2"/>
    <x v="1"/>
    <x v="3"/>
  </r>
  <r>
    <x v="2655"/>
    <x v="1"/>
    <x v="0"/>
    <x v="3"/>
    <n v="52.1"/>
    <x v="9"/>
    <x v="2492"/>
    <x v="0"/>
    <x v="0"/>
    <x v="2"/>
    <x v="2"/>
  </r>
  <r>
    <x v="2656"/>
    <x v="0"/>
    <x v="2"/>
    <x v="1"/>
    <n v="47.4"/>
    <x v="33"/>
    <x v="2493"/>
    <x v="0"/>
    <x v="1"/>
    <x v="1"/>
    <x v="3"/>
  </r>
  <r>
    <x v="2657"/>
    <x v="1"/>
    <x v="0"/>
    <x v="0"/>
    <n v="49.25"/>
    <x v="2"/>
    <x v="46"/>
    <x v="1"/>
    <x v="0"/>
    <x v="0"/>
    <x v="0"/>
  </r>
  <r>
    <x v="2658"/>
    <x v="0"/>
    <x v="1"/>
    <x v="3"/>
    <n v="109.15"/>
    <x v="64"/>
    <x v="2494"/>
    <x v="0"/>
    <x v="2"/>
    <x v="1"/>
    <x v="3"/>
  </r>
  <r>
    <x v="2659"/>
    <x v="1"/>
    <x v="1"/>
    <x v="3"/>
    <n v="94.95"/>
    <x v="8"/>
    <x v="2495"/>
    <x v="0"/>
    <x v="2"/>
    <x v="1"/>
    <x v="3"/>
  </r>
  <r>
    <x v="2660"/>
    <x v="1"/>
    <x v="1"/>
    <x v="0"/>
    <n v="93.55"/>
    <x v="55"/>
    <x v="2496"/>
    <x v="0"/>
    <x v="1"/>
    <x v="1"/>
    <x v="1"/>
  </r>
  <r>
    <x v="2661"/>
    <x v="1"/>
    <x v="2"/>
    <x v="3"/>
    <n v="79.5"/>
    <x v="33"/>
    <x v="2497"/>
    <x v="0"/>
    <x v="2"/>
    <x v="1"/>
    <x v="3"/>
  </r>
  <r>
    <x v="2662"/>
    <x v="0"/>
    <x v="2"/>
    <x v="3"/>
    <n v="115.05"/>
    <x v="21"/>
    <x v="2498"/>
    <x v="0"/>
    <x v="2"/>
    <x v="1"/>
    <x v="3"/>
  </r>
  <r>
    <x v="2663"/>
    <x v="1"/>
    <x v="0"/>
    <x v="1"/>
    <n v="19.75"/>
    <x v="0"/>
    <x v="127"/>
    <x v="1"/>
    <x v="0"/>
    <x v="0"/>
    <x v="0"/>
  </r>
  <r>
    <x v="2664"/>
    <x v="0"/>
    <x v="0"/>
    <x v="0"/>
    <n v="95.15"/>
    <x v="67"/>
    <x v="2499"/>
    <x v="1"/>
    <x v="0"/>
    <x v="2"/>
    <x v="2"/>
  </r>
  <r>
    <x v="2665"/>
    <x v="0"/>
    <x v="1"/>
    <x v="1"/>
    <n v="95.15"/>
    <x v="69"/>
    <x v="2500"/>
    <x v="0"/>
    <x v="1"/>
    <x v="1"/>
    <x v="3"/>
  </r>
  <r>
    <x v="2666"/>
    <x v="1"/>
    <x v="0"/>
    <x v="0"/>
    <n v="105.4"/>
    <x v="28"/>
    <x v="2501"/>
    <x v="0"/>
    <x v="2"/>
    <x v="1"/>
    <x v="3"/>
  </r>
  <r>
    <x v="2667"/>
    <x v="1"/>
    <x v="1"/>
    <x v="2"/>
    <n v="20.100000000000001"/>
    <x v="23"/>
    <x v="2502"/>
    <x v="0"/>
    <x v="0"/>
    <x v="1"/>
    <x v="1"/>
  </r>
  <r>
    <x v="2668"/>
    <x v="1"/>
    <x v="0"/>
    <x v="2"/>
    <n v="101.35"/>
    <x v="5"/>
    <x v="2503"/>
    <x v="1"/>
    <x v="1"/>
    <x v="2"/>
    <x v="2"/>
  </r>
  <r>
    <x v="2669"/>
    <x v="0"/>
    <x v="0"/>
    <x v="1"/>
    <n v="20.05"/>
    <x v="54"/>
    <x v="2223"/>
    <x v="0"/>
    <x v="0"/>
    <x v="0"/>
    <x v="0"/>
  </r>
  <r>
    <x v="2670"/>
    <x v="1"/>
    <x v="2"/>
    <x v="1"/>
    <n v="20.7"/>
    <x v="41"/>
    <x v="2504"/>
    <x v="0"/>
    <x v="0"/>
    <x v="1"/>
    <x v="1"/>
  </r>
  <r>
    <x v="2671"/>
    <x v="0"/>
    <x v="1"/>
    <x v="1"/>
    <n v="20.350000000000001"/>
    <x v="44"/>
    <x v="2505"/>
    <x v="0"/>
    <x v="0"/>
    <x v="1"/>
    <x v="1"/>
  </r>
  <r>
    <x v="2672"/>
    <x v="0"/>
    <x v="0"/>
    <x v="3"/>
    <n v="70.05"/>
    <x v="54"/>
    <x v="2506"/>
    <x v="1"/>
    <x v="0"/>
    <x v="0"/>
    <x v="0"/>
  </r>
  <r>
    <x v="2673"/>
    <x v="1"/>
    <x v="1"/>
    <x v="1"/>
    <n v="19.7"/>
    <x v="19"/>
    <x v="2507"/>
    <x v="0"/>
    <x v="0"/>
    <x v="1"/>
    <x v="1"/>
  </r>
  <r>
    <x v="2674"/>
    <x v="1"/>
    <x v="0"/>
    <x v="0"/>
    <n v="74.650000000000006"/>
    <x v="54"/>
    <x v="2508"/>
    <x v="1"/>
    <x v="0"/>
    <x v="0"/>
    <x v="0"/>
  </r>
  <r>
    <x v="2675"/>
    <x v="1"/>
    <x v="2"/>
    <x v="2"/>
    <n v="85.45"/>
    <x v="16"/>
    <x v="2265"/>
    <x v="0"/>
    <x v="2"/>
    <x v="1"/>
    <x v="3"/>
  </r>
  <r>
    <x v="2676"/>
    <x v="1"/>
    <x v="2"/>
    <x v="3"/>
    <n v="40.4"/>
    <x v="25"/>
    <x v="2509"/>
    <x v="0"/>
    <x v="0"/>
    <x v="1"/>
    <x v="1"/>
  </r>
  <r>
    <x v="2677"/>
    <x v="1"/>
    <x v="0"/>
    <x v="1"/>
    <n v="50.4"/>
    <x v="54"/>
    <x v="2510"/>
    <x v="1"/>
    <x v="0"/>
    <x v="0"/>
    <x v="0"/>
  </r>
  <r>
    <x v="2678"/>
    <x v="0"/>
    <x v="0"/>
    <x v="1"/>
    <n v="79.650000000000006"/>
    <x v="40"/>
    <x v="2511"/>
    <x v="1"/>
    <x v="0"/>
    <x v="0"/>
    <x v="0"/>
  </r>
  <r>
    <x v="2679"/>
    <x v="1"/>
    <x v="1"/>
    <x v="2"/>
    <n v="105.2"/>
    <x v="14"/>
    <x v="2512"/>
    <x v="0"/>
    <x v="2"/>
    <x v="1"/>
    <x v="3"/>
  </r>
  <r>
    <x v="2680"/>
    <x v="0"/>
    <x v="2"/>
    <x v="2"/>
    <n v="100.65"/>
    <x v="21"/>
    <x v="2513"/>
    <x v="0"/>
    <x v="2"/>
    <x v="1"/>
    <x v="3"/>
  </r>
  <r>
    <x v="2681"/>
    <x v="1"/>
    <x v="0"/>
    <x v="0"/>
    <n v="79.849999999999994"/>
    <x v="67"/>
    <x v="2514"/>
    <x v="1"/>
    <x v="0"/>
    <x v="2"/>
    <x v="2"/>
  </r>
  <r>
    <x v="2682"/>
    <x v="1"/>
    <x v="0"/>
    <x v="0"/>
    <n v="91"/>
    <x v="7"/>
    <x v="2515"/>
    <x v="0"/>
    <x v="1"/>
    <x v="1"/>
    <x v="1"/>
  </r>
  <r>
    <x v="2683"/>
    <x v="1"/>
    <x v="0"/>
    <x v="0"/>
    <n v="78.75"/>
    <x v="24"/>
    <x v="2516"/>
    <x v="1"/>
    <x v="0"/>
    <x v="0"/>
    <x v="0"/>
  </r>
  <r>
    <x v="2684"/>
    <x v="0"/>
    <x v="2"/>
    <x v="3"/>
    <n v="116.75"/>
    <x v="21"/>
    <x v="2517"/>
    <x v="0"/>
    <x v="2"/>
    <x v="1"/>
    <x v="3"/>
  </r>
  <r>
    <x v="2685"/>
    <x v="1"/>
    <x v="0"/>
    <x v="3"/>
    <n v="80.45"/>
    <x v="4"/>
    <x v="2518"/>
    <x v="1"/>
    <x v="0"/>
    <x v="0"/>
    <x v="0"/>
  </r>
  <r>
    <x v="2686"/>
    <x v="0"/>
    <x v="1"/>
    <x v="0"/>
    <n v="59.1"/>
    <x v="40"/>
    <x v="2519"/>
    <x v="0"/>
    <x v="0"/>
    <x v="0"/>
    <x v="0"/>
  </r>
  <r>
    <x v="2687"/>
    <x v="0"/>
    <x v="0"/>
    <x v="0"/>
    <n v="49.8"/>
    <x v="5"/>
    <x v="2520"/>
    <x v="0"/>
    <x v="0"/>
    <x v="2"/>
    <x v="2"/>
  </r>
  <r>
    <x v="2688"/>
    <x v="1"/>
    <x v="2"/>
    <x v="2"/>
    <n v="19.3"/>
    <x v="21"/>
    <x v="907"/>
    <x v="0"/>
    <x v="0"/>
    <x v="1"/>
    <x v="3"/>
  </r>
  <r>
    <x v="2689"/>
    <x v="1"/>
    <x v="0"/>
    <x v="3"/>
    <n v="19.649999999999999"/>
    <x v="4"/>
    <x v="642"/>
    <x v="0"/>
    <x v="0"/>
    <x v="0"/>
    <x v="0"/>
  </r>
  <r>
    <x v="2690"/>
    <x v="1"/>
    <x v="1"/>
    <x v="3"/>
    <n v="81.400000000000006"/>
    <x v="15"/>
    <x v="2521"/>
    <x v="0"/>
    <x v="1"/>
    <x v="1"/>
    <x v="3"/>
  </r>
  <r>
    <x v="2691"/>
    <x v="0"/>
    <x v="2"/>
    <x v="1"/>
    <n v="38.9"/>
    <x v="47"/>
    <x v="2522"/>
    <x v="0"/>
    <x v="1"/>
    <x v="1"/>
    <x v="3"/>
  </r>
  <r>
    <x v="2692"/>
    <x v="0"/>
    <x v="2"/>
    <x v="2"/>
    <n v="87.95"/>
    <x v="16"/>
    <x v="2523"/>
    <x v="0"/>
    <x v="2"/>
    <x v="1"/>
    <x v="3"/>
  </r>
  <r>
    <x v="2693"/>
    <x v="1"/>
    <x v="0"/>
    <x v="1"/>
    <n v="19.850000000000001"/>
    <x v="2"/>
    <x v="646"/>
    <x v="0"/>
    <x v="0"/>
    <x v="0"/>
    <x v="0"/>
  </r>
  <r>
    <x v="2694"/>
    <x v="0"/>
    <x v="0"/>
    <x v="0"/>
    <n v="96.35"/>
    <x v="1"/>
    <x v="2524"/>
    <x v="0"/>
    <x v="1"/>
    <x v="1"/>
    <x v="1"/>
  </r>
  <r>
    <x v="2695"/>
    <x v="0"/>
    <x v="0"/>
    <x v="0"/>
    <n v="24.15"/>
    <x v="42"/>
    <x v="2525"/>
    <x v="0"/>
    <x v="0"/>
    <x v="1"/>
    <x v="1"/>
  </r>
  <r>
    <x v="2696"/>
    <x v="0"/>
    <x v="1"/>
    <x v="3"/>
    <n v="19.100000000000001"/>
    <x v="59"/>
    <x v="2526"/>
    <x v="0"/>
    <x v="0"/>
    <x v="1"/>
    <x v="3"/>
  </r>
  <r>
    <x v="2697"/>
    <x v="1"/>
    <x v="0"/>
    <x v="0"/>
    <n v="44"/>
    <x v="0"/>
    <x v="384"/>
    <x v="0"/>
    <x v="0"/>
    <x v="0"/>
    <x v="0"/>
  </r>
  <r>
    <x v="2698"/>
    <x v="0"/>
    <x v="0"/>
    <x v="1"/>
    <n v="50.1"/>
    <x v="0"/>
    <x v="2045"/>
    <x v="1"/>
    <x v="0"/>
    <x v="0"/>
    <x v="0"/>
  </r>
  <r>
    <x v="2699"/>
    <x v="0"/>
    <x v="1"/>
    <x v="3"/>
    <n v="60.6"/>
    <x v="62"/>
    <x v="2527"/>
    <x v="0"/>
    <x v="1"/>
    <x v="1"/>
    <x v="3"/>
  </r>
  <r>
    <x v="2700"/>
    <x v="0"/>
    <x v="2"/>
    <x v="2"/>
    <n v="25.65"/>
    <x v="21"/>
    <x v="2528"/>
    <x v="0"/>
    <x v="0"/>
    <x v="1"/>
    <x v="3"/>
  </r>
  <r>
    <x v="2701"/>
    <x v="1"/>
    <x v="0"/>
    <x v="0"/>
    <n v="76.400000000000006"/>
    <x v="2"/>
    <x v="2529"/>
    <x v="1"/>
    <x v="0"/>
    <x v="0"/>
    <x v="0"/>
  </r>
  <r>
    <x v="2702"/>
    <x v="1"/>
    <x v="0"/>
    <x v="0"/>
    <n v="98.7"/>
    <x v="35"/>
    <x v="2530"/>
    <x v="1"/>
    <x v="0"/>
    <x v="0"/>
    <x v="0"/>
  </r>
  <r>
    <x v="2703"/>
    <x v="0"/>
    <x v="0"/>
    <x v="0"/>
    <n v="100.8"/>
    <x v="9"/>
    <x v="2531"/>
    <x v="1"/>
    <x v="0"/>
    <x v="2"/>
    <x v="2"/>
  </r>
  <r>
    <x v="2704"/>
    <x v="1"/>
    <x v="0"/>
    <x v="0"/>
    <n v="53.95"/>
    <x v="52"/>
    <x v="2532"/>
    <x v="0"/>
    <x v="1"/>
    <x v="1"/>
    <x v="1"/>
  </r>
  <r>
    <x v="2705"/>
    <x v="0"/>
    <x v="1"/>
    <x v="3"/>
    <n v="20.399999999999999"/>
    <x v="65"/>
    <x v="2533"/>
    <x v="0"/>
    <x v="0"/>
    <x v="1"/>
    <x v="2"/>
  </r>
  <r>
    <x v="2706"/>
    <x v="0"/>
    <x v="1"/>
    <x v="2"/>
    <n v="90.1"/>
    <x v="7"/>
    <x v="2534"/>
    <x v="1"/>
    <x v="1"/>
    <x v="1"/>
    <x v="1"/>
  </r>
  <r>
    <x v="2707"/>
    <x v="1"/>
    <x v="0"/>
    <x v="1"/>
    <n v="29.35"/>
    <x v="4"/>
    <x v="2535"/>
    <x v="0"/>
    <x v="0"/>
    <x v="0"/>
    <x v="0"/>
  </r>
  <r>
    <x v="2708"/>
    <x v="1"/>
    <x v="0"/>
    <x v="1"/>
    <n v="20.45"/>
    <x v="0"/>
    <x v="677"/>
    <x v="0"/>
    <x v="0"/>
    <x v="0"/>
    <x v="0"/>
  </r>
  <r>
    <x v="2709"/>
    <x v="0"/>
    <x v="2"/>
    <x v="2"/>
    <n v="95.1"/>
    <x v="68"/>
    <x v="2536"/>
    <x v="0"/>
    <x v="2"/>
    <x v="1"/>
    <x v="3"/>
  </r>
  <r>
    <x v="2710"/>
    <x v="1"/>
    <x v="0"/>
    <x v="2"/>
    <n v="25.25"/>
    <x v="52"/>
    <x v="2537"/>
    <x v="0"/>
    <x v="0"/>
    <x v="1"/>
    <x v="1"/>
  </r>
  <r>
    <x v="2711"/>
    <x v="0"/>
    <x v="0"/>
    <x v="1"/>
    <n v="44.9"/>
    <x v="67"/>
    <x v="2538"/>
    <x v="0"/>
    <x v="0"/>
    <x v="2"/>
    <x v="2"/>
  </r>
  <r>
    <x v="2712"/>
    <x v="0"/>
    <x v="2"/>
    <x v="2"/>
    <n v="92.65"/>
    <x v="21"/>
    <x v="2539"/>
    <x v="0"/>
    <x v="2"/>
    <x v="1"/>
    <x v="3"/>
  </r>
  <r>
    <x v="2713"/>
    <x v="1"/>
    <x v="2"/>
    <x v="2"/>
    <n v="43.7"/>
    <x v="8"/>
    <x v="2540"/>
    <x v="0"/>
    <x v="1"/>
    <x v="1"/>
    <x v="3"/>
  </r>
  <r>
    <x v="2714"/>
    <x v="0"/>
    <x v="2"/>
    <x v="3"/>
    <n v="72.599999999999994"/>
    <x v="39"/>
    <x v="2541"/>
    <x v="0"/>
    <x v="1"/>
    <x v="1"/>
    <x v="3"/>
  </r>
  <r>
    <x v="2715"/>
    <x v="1"/>
    <x v="0"/>
    <x v="0"/>
    <n v="51.55"/>
    <x v="30"/>
    <x v="2542"/>
    <x v="1"/>
    <x v="0"/>
    <x v="2"/>
    <x v="2"/>
  </r>
  <r>
    <x v="2716"/>
    <x v="1"/>
    <x v="0"/>
    <x v="0"/>
    <n v="79.25"/>
    <x v="6"/>
    <x v="2543"/>
    <x v="1"/>
    <x v="0"/>
    <x v="0"/>
    <x v="0"/>
  </r>
  <r>
    <x v="2717"/>
    <x v="1"/>
    <x v="2"/>
    <x v="1"/>
    <n v="18.95"/>
    <x v="48"/>
    <x v="2544"/>
    <x v="0"/>
    <x v="0"/>
    <x v="1"/>
    <x v="1"/>
  </r>
  <r>
    <x v="2718"/>
    <x v="1"/>
    <x v="0"/>
    <x v="3"/>
    <n v="20.5"/>
    <x v="17"/>
    <x v="2545"/>
    <x v="0"/>
    <x v="0"/>
    <x v="2"/>
    <x v="2"/>
  </r>
  <r>
    <x v="2719"/>
    <x v="1"/>
    <x v="1"/>
    <x v="2"/>
    <n v="19.95"/>
    <x v="8"/>
    <x v="2546"/>
    <x v="0"/>
    <x v="0"/>
    <x v="1"/>
    <x v="3"/>
  </r>
  <r>
    <x v="2720"/>
    <x v="0"/>
    <x v="0"/>
    <x v="0"/>
    <n v="24.5"/>
    <x v="2"/>
    <x v="2547"/>
    <x v="0"/>
    <x v="0"/>
    <x v="0"/>
    <x v="0"/>
  </r>
  <r>
    <x v="2721"/>
    <x v="1"/>
    <x v="2"/>
    <x v="1"/>
    <n v="20.6"/>
    <x v="23"/>
    <x v="2548"/>
    <x v="0"/>
    <x v="0"/>
    <x v="1"/>
    <x v="1"/>
  </r>
  <r>
    <x v="2722"/>
    <x v="1"/>
    <x v="0"/>
    <x v="2"/>
    <n v="94.85"/>
    <x v="24"/>
    <x v="2549"/>
    <x v="1"/>
    <x v="0"/>
    <x v="0"/>
    <x v="0"/>
  </r>
  <r>
    <x v="2723"/>
    <x v="0"/>
    <x v="1"/>
    <x v="0"/>
    <n v="61.05"/>
    <x v="13"/>
    <x v="2550"/>
    <x v="0"/>
    <x v="0"/>
    <x v="1"/>
    <x v="1"/>
  </r>
  <r>
    <x v="2724"/>
    <x v="0"/>
    <x v="0"/>
    <x v="0"/>
    <n v="85.7"/>
    <x v="2"/>
    <x v="2551"/>
    <x v="1"/>
    <x v="0"/>
    <x v="0"/>
    <x v="0"/>
  </r>
  <r>
    <x v="2725"/>
    <x v="1"/>
    <x v="1"/>
    <x v="2"/>
    <n v="106.65"/>
    <x v="12"/>
    <x v="2552"/>
    <x v="0"/>
    <x v="2"/>
    <x v="1"/>
    <x v="3"/>
  </r>
  <r>
    <x v="2726"/>
    <x v="0"/>
    <x v="0"/>
    <x v="3"/>
    <n v="108.25"/>
    <x v="28"/>
    <x v="2553"/>
    <x v="0"/>
    <x v="2"/>
    <x v="1"/>
    <x v="3"/>
  </r>
  <r>
    <x v="2727"/>
    <x v="0"/>
    <x v="0"/>
    <x v="3"/>
    <n v="20.399999999999999"/>
    <x v="54"/>
    <x v="2554"/>
    <x v="0"/>
    <x v="0"/>
    <x v="0"/>
    <x v="0"/>
  </r>
  <r>
    <x v="2728"/>
    <x v="0"/>
    <x v="0"/>
    <x v="1"/>
    <n v="55.3"/>
    <x v="0"/>
    <x v="2555"/>
    <x v="0"/>
    <x v="0"/>
    <x v="0"/>
    <x v="0"/>
  </r>
  <r>
    <x v="2729"/>
    <x v="1"/>
    <x v="0"/>
    <x v="1"/>
    <n v="20.25"/>
    <x v="26"/>
    <x v="2556"/>
    <x v="0"/>
    <x v="0"/>
    <x v="0"/>
    <x v="0"/>
  </r>
  <r>
    <x v="2730"/>
    <x v="1"/>
    <x v="0"/>
    <x v="2"/>
    <n v="72.95"/>
    <x v="15"/>
    <x v="2557"/>
    <x v="0"/>
    <x v="1"/>
    <x v="1"/>
    <x v="3"/>
  </r>
  <r>
    <x v="2731"/>
    <x v="0"/>
    <x v="0"/>
    <x v="0"/>
    <n v="89.45"/>
    <x v="31"/>
    <x v="2558"/>
    <x v="0"/>
    <x v="2"/>
    <x v="1"/>
    <x v="3"/>
  </r>
  <r>
    <x v="2732"/>
    <x v="1"/>
    <x v="1"/>
    <x v="3"/>
    <n v="104.65"/>
    <x v="38"/>
    <x v="2559"/>
    <x v="0"/>
    <x v="2"/>
    <x v="1"/>
    <x v="3"/>
  </r>
  <r>
    <x v="2733"/>
    <x v="0"/>
    <x v="2"/>
    <x v="2"/>
    <n v="75.2"/>
    <x v="29"/>
    <x v="2560"/>
    <x v="0"/>
    <x v="1"/>
    <x v="1"/>
    <x v="1"/>
  </r>
  <r>
    <x v="2734"/>
    <x v="0"/>
    <x v="1"/>
    <x v="2"/>
    <n v="101.15"/>
    <x v="59"/>
    <x v="2561"/>
    <x v="0"/>
    <x v="2"/>
    <x v="1"/>
    <x v="3"/>
  </r>
  <r>
    <x v="2735"/>
    <x v="0"/>
    <x v="0"/>
    <x v="1"/>
    <n v="44.4"/>
    <x v="0"/>
    <x v="817"/>
    <x v="1"/>
    <x v="0"/>
    <x v="0"/>
    <x v="0"/>
  </r>
  <r>
    <x v="2736"/>
    <x v="1"/>
    <x v="0"/>
    <x v="0"/>
    <n v="89.5"/>
    <x v="24"/>
    <x v="2562"/>
    <x v="1"/>
    <x v="0"/>
    <x v="0"/>
    <x v="0"/>
  </r>
  <r>
    <x v="2737"/>
    <x v="1"/>
    <x v="2"/>
    <x v="2"/>
    <n v="68.75"/>
    <x v="33"/>
    <x v="2563"/>
    <x v="0"/>
    <x v="1"/>
    <x v="1"/>
    <x v="3"/>
  </r>
  <r>
    <x v="2738"/>
    <x v="1"/>
    <x v="2"/>
    <x v="0"/>
    <n v="111.05"/>
    <x v="56"/>
    <x v="2564"/>
    <x v="0"/>
    <x v="2"/>
    <x v="1"/>
    <x v="3"/>
  </r>
  <r>
    <x v="2739"/>
    <x v="0"/>
    <x v="2"/>
    <x v="3"/>
    <n v="99"/>
    <x v="41"/>
    <x v="247"/>
    <x v="0"/>
    <x v="1"/>
    <x v="1"/>
    <x v="1"/>
  </r>
  <r>
    <x v="2740"/>
    <x v="1"/>
    <x v="0"/>
    <x v="0"/>
    <n v="86.05"/>
    <x v="0"/>
    <x v="2565"/>
    <x v="1"/>
    <x v="0"/>
    <x v="0"/>
    <x v="0"/>
  </r>
  <r>
    <x v="2741"/>
    <x v="0"/>
    <x v="2"/>
    <x v="1"/>
    <n v="21"/>
    <x v="36"/>
    <x v="2566"/>
    <x v="0"/>
    <x v="0"/>
    <x v="1"/>
    <x v="1"/>
  </r>
  <r>
    <x v="2742"/>
    <x v="1"/>
    <x v="0"/>
    <x v="1"/>
    <n v="19.399999999999999"/>
    <x v="40"/>
    <x v="2567"/>
    <x v="0"/>
    <x v="0"/>
    <x v="0"/>
    <x v="0"/>
  </r>
  <r>
    <x v="2743"/>
    <x v="1"/>
    <x v="0"/>
    <x v="0"/>
    <n v="44.55"/>
    <x v="54"/>
    <x v="2337"/>
    <x v="1"/>
    <x v="0"/>
    <x v="0"/>
    <x v="0"/>
  </r>
  <r>
    <x v="2744"/>
    <x v="1"/>
    <x v="1"/>
    <x v="2"/>
    <n v="77.2"/>
    <x v="1"/>
    <x v="2568"/>
    <x v="0"/>
    <x v="1"/>
    <x v="1"/>
    <x v="1"/>
  </r>
  <r>
    <x v="2745"/>
    <x v="1"/>
    <x v="1"/>
    <x v="1"/>
    <n v="19.45"/>
    <x v="35"/>
    <x v="2569"/>
    <x v="0"/>
    <x v="0"/>
    <x v="0"/>
    <x v="0"/>
  </r>
  <r>
    <x v="2746"/>
    <x v="0"/>
    <x v="0"/>
    <x v="1"/>
    <n v="24.85"/>
    <x v="67"/>
    <x v="2570"/>
    <x v="0"/>
    <x v="0"/>
    <x v="2"/>
    <x v="2"/>
  </r>
  <r>
    <x v="2747"/>
    <x v="1"/>
    <x v="0"/>
    <x v="2"/>
    <n v="35.4"/>
    <x v="36"/>
    <x v="2571"/>
    <x v="1"/>
    <x v="0"/>
    <x v="1"/>
    <x v="1"/>
  </r>
  <r>
    <x v="2748"/>
    <x v="0"/>
    <x v="0"/>
    <x v="1"/>
    <n v="95.65"/>
    <x v="0"/>
    <x v="2572"/>
    <x v="1"/>
    <x v="0"/>
    <x v="0"/>
    <x v="0"/>
  </r>
  <r>
    <x v="2749"/>
    <x v="1"/>
    <x v="0"/>
    <x v="1"/>
    <n v="41.35"/>
    <x v="35"/>
    <x v="2573"/>
    <x v="0"/>
    <x v="0"/>
    <x v="0"/>
    <x v="0"/>
  </r>
  <r>
    <x v="2750"/>
    <x v="1"/>
    <x v="0"/>
    <x v="0"/>
    <n v="19.600000000000001"/>
    <x v="25"/>
    <x v="2574"/>
    <x v="0"/>
    <x v="0"/>
    <x v="1"/>
    <x v="1"/>
  </r>
  <r>
    <x v="2751"/>
    <x v="0"/>
    <x v="0"/>
    <x v="1"/>
    <n v="20.95"/>
    <x v="0"/>
    <x v="2575"/>
    <x v="1"/>
    <x v="0"/>
    <x v="0"/>
    <x v="0"/>
  </r>
  <r>
    <x v="2752"/>
    <x v="0"/>
    <x v="1"/>
    <x v="2"/>
    <n v="84.45"/>
    <x v="14"/>
    <x v="2576"/>
    <x v="0"/>
    <x v="2"/>
    <x v="1"/>
    <x v="3"/>
  </r>
  <r>
    <x v="2753"/>
    <x v="1"/>
    <x v="0"/>
    <x v="1"/>
    <n v="20.25"/>
    <x v="24"/>
    <x v="2577"/>
    <x v="0"/>
    <x v="0"/>
    <x v="0"/>
    <x v="0"/>
  </r>
  <r>
    <x v="2754"/>
    <x v="1"/>
    <x v="0"/>
    <x v="2"/>
    <n v="19.649999999999999"/>
    <x v="0"/>
    <x v="1015"/>
    <x v="0"/>
    <x v="0"/>
    <x v="0"/>
    <x v="0"/>
  </r>
  <r>
    <x v="2755"/>
    <x v="1"/>
    <x v="1"/>
    <x v="3"/>
    <n v="20.65"/>
    <x v="70"/>
    <x v="2578"/>
    <x v="0"/>
    <x v="0"/>
    <x v="1"/>
    <x v="1"/>
  </r>
  <r>
    <x v="2756"/>
    <x v="0"/>
    <x v="0"/>
    <x v="0"/>
    <n v="34.700000000000003"/>
    <x v="6"/>
    <x v="2579"/>
    <x v="1"/>
    <x v="0"/>
    <x v="0"/>
    <x v="0"/>
  </r>
  <r>
    <x v="2757"/>
    <x v="1"/>
    <x v="2"/>
    <x v="2"/>
    <n v="99.3"/>
    <x v="13"/>
    <x v="2580"/>
    <x v="0"/>
    <x v="1"/>
    <x v="1"/>
    <x v="1"/>
  </r>
  <r>
    <x v="2758"/>
    <x v="1"/>
    <x v="0"/>
    <x v="0"/>
    <n v="81.05"/>
    <x v="38"/>
    <x v="2581"/>
    <x v="0"/>
    <x v="2"/>
    <x v="1"/>
    <x v="3"/>
  </r>
  <r>
    <x v="2759"/>
    <x v="1"/>
    <x v="0"/>
    <x v="0"/>
    <n v="67.599999999999994"/>
    <x v="19"/>
    <x v="2582"/>
    <x v="0"/>
    <x v="1"/>
    <x v="1"/>
    <x v="1"/>
  </r>
  <r>
    <x v="2760"/>
    <x v="1"/>
    <x v="0"/>
    <x v="0"/>
    <n v="70.150000000000006"/>
    <x v="9"/>
    <x v="2583"/>
    <x v="0"/>
    <x v="0"/>
    <x v="2"/>
    <x v="2"/>
  </r>
  <r>
    <x v="2761"/>
    <x v="0"/>
    <x v="1"/>
    <x v="0"/>
    <n v="115"/>
    <x v="38"/>
    <x v="2584"/>
    <x v="0"/>
    <x v="2"/>
    <x v="1"/>
    <x v="3"/>
  </r>
  <r>
    <x v="2762"/>
    <x v="0"/>
    <x v="0"/>
    <x v="2"/>
    <n v="84.8"/>
    <x v="25"/>
    <x v="2585"/>
    <x v="0"/>
    <x v="1"/>
    <x v="1"/>
    <x v="1"/>
  </r>
  <r>
    <x v="2763"/>
    <x v="0"/>
    <x v="1"/>
    <x v="1"/>
    <n v="19.7"/>
    <x v="18"/>
    <x v="290"/>
    <x v="0"/>
    <x v="0"/>
    <x v="2"/>
    <x v="0"/>
  </r>
  <r>
    <x v="2764"/>
    <x v="0"/>
    <x v="0"/>
    <x v="2"/>
    <n v="19.75"/>
    <x v="30"/>
    <x v="540"/>
    <x v="1"/>
    <x v="0"/>
    <x v="2"/>
    <x v="2"/>
  </r>
  <r>
    <x v="2765"/>
    <x v="1"/>
    <x v="0"/>
    <x v="0"/>
    <n v="92.55"/>
    <x v="22"/>
    <x v="2586"/>
    <x v="1"/>
    <x v="0"/>
    <x v="2"/>
    <x v="2"/>
  </r>
  <r>
    <x v="2766"/>
    <x v="0"/>
    <x v="0"/>
    <x v="1"/>
    <n v="63.15"/>
    <x v="9"/>
    <x v="2587"/>
    <x v="0"/>
    <x v="0"/>
    <x v="2"/>
    <x v="2"/>
  </r>
  <r>
    <x v="2767"/>
    <x v="0"/>
    <x v="2"/>
    <x v="3"/>
    <n v="74"/>
    <x v="56"/>
    <x v="2588"/>
    <x v="0"/>
    <x v="1"/>
    <x v="1"/>
    <x v="3"/>
  </r>
  <r>
    <x v="2768"/>
    <x v="1"/>
    <x v="0"/>
    <x v="0"/>
    <n v="29.1"/>
    <x v="65"/>
    <x v="2589"/>
    <x v="0"/>
    <x v="0"/>
    <x v="1"/>
    <x v="2"/>
  </r>
  <r>
    <x v="2769"/>
    <x v="1"/>
    <x v="0"/>
    <x v="1"/>
    <n v="50.05"/>
    <x v="53"/>
    <x v="2590"/>
    <x v="0"/>
    <x v="0"/>
    <x v="0"/>
    <x v="0"/>
  </r>
  <r>
    <x v="2770"/>
    <x v="1"/>
    <x v="1"/>
    <x v="0"/>
    <n v="60.05"/>
    <x v="62"/>
    <x v="2591"/>
    <x v="1"/>
    <x v="1"/>
    <x v="1"/>
    <x v="3"/>
  </r>
  <r>
    <x v="2771"/>
    <x v="1"/>
    <x v="0"/>
    <x v="3"/>
    <n v="74.3"/>
    <x v="10"/>
    <x v="2592"/>
    <x v="1"/>
    <x v="0"/>
    <x v="2"/>
    <x v="2"/>
  </r>
  <r>
    <x v="2772"/>
    <x v="1"/>
    <x v="0"/>
    <x v="0"/>
    <n v="20"/>
    <x v="6"/>
    <x v="2431"/>
    <x v="0"/>
    <x v="0"/>
    <x v="0"/>
    <x v="0"/>
  </r>
  <r>
    <x v="2773"/>
    <x v="0"/>
    <x v="1"/>
    <x v="1"/>
    <n v="74.650000000000006"/>
    <x v="9"/>
    <x v="2593"/>
    <x v="0"/>
    <x v="0"/>
    <x v="2"/>
    <x v="2"/>
  </r>
  <r>
    <x v="2774"/>
    <x v="1"/>
    <x v="0"/>
    <x v="0"/>
    <n v="85.35"/>
    <x v="34"/>
    <x v="2594"/>
    <x v="1"/>
    <x v="0"/>
    <x v="0"/>
    <x v="0"/>
  </r>
  <r>
    <x v="2775"/>
    <x v="0"/>
    <x v="1"/>
    <x v="1"/>
    <n v="74.3"/>
    <x v="13"/>
    <x v="2595"/>
    <x v="1"/>
    <x v="0"/>
    <x v="1"/>
    <x v="1"/>
  </r>
  <r>
    <x v="2776"/>
    <x v="1"/>
    <x v="0"/>
    <x v="0"/>
    <n v="44.4"/>
    <x v="40"/>
    <x v="2596"/>
    <x v="0"/>
    <x v="0"/>
    <x v="0"/>
    <x v="0"/>
  </r>
  <r>
    <x v="2777"/>
    <x v="1"/>
    <x v="2"/>
    <x v="2"/>
    <n v="85.4"/>
    <x v="46"/>
    <x v="2597"/>
    <x v="0"/>
    <x v="1"/>
    <x v="1"/>
    <x v="1"/>
  </r>
  <r>
    <x v="2778"/>
    <x v="0"/>
    <x v="0"/>
    <x v="0"/>
    <n v="94.1"/>
    <x v="29"/>
    <x v="2598"/>
    <x v="0"/>
    <x v="1"/>
    <x v="1"/>
    <x v="1"/>
  </r>
  <r>
    <x v="2779"/>
    <x v="0"/>
    <x v="0"/>
    <x v="2"/>
    <n v="98.1"/>
    <x v="54"/>
    <x v="2599"/>
    <x v="1"/>
    <x v="0"/>
    <x v="0"/>
    <x v="0"/>
  </r>
  <r>
    <x v="2780"/>
    <x v="0"/>
    <x v="2"/>
    <x v="0"/>
    <n v="108.9"/>
    <x v="13"/>
    <x v="2600"/>
    <x v="0"/>
    <x v="1"/>
    <x v="1"/>
    <x v="1"/>
  </r>
  <r>
    <x v="2781"/>
    <x v="1"/>
    <x v="1"/>
    <x v="1"/>
    <n v="56.2"/>
    <x v="23"/>
    <x v="2601"/>
    <x v="0"/>
    <x v="0"/>
    <x v="1"/>
    <x v="1"/>
  </r>
  <r>
    <x v="2782"/>
    <x v="1"/>
    <x v="2"/>
    <x v="1"/>
    <n v="26.1"/>
    <x v="21"/>
    <x v="2602"/>
    <x v="0"/>
    <x v="0"/>
    <x v="1"/>
    <x v="3"/>
  </r>
  <r>
    <x v="2783"/>
    <x v="1"/>
    <x v="1"/>
    <x v="3"/>
    <n v="85.45"/>
    <x v="16"/>
    <x v="2265"/>
    <x v="0"/>
    <x v="2"/>
    <x v="1"/>
    <x v="3"/>
  </r>
  <r>
    <x v="2784"/>
    <x v="0"/>
    <x v="0"/>
    <x v="3"/>
    <n v="88.95"/>
    <x v="65"/>
    <x v="2603"/>
    <x v="0"/>
    <x v="1"/>
    <x v="1"/>
    <x v="2"/>
  </r>
  <r>
    <x v="2785"/>
    <x v="0"/>
    <x v="2"/>
    <x v="0"/>
    <n v="109.65"/>
    <x v="37"/>
    <x v="2604"/>
    <x v="1"/>
    <x v="2"/>
    <x v="1"/>
    <x v="3"/>
  </r>
  <r>
    <x v="2786"/>
    <x v="1"/>
    <x v="2"/>
    <x v="2"/>
    <n v="74.349999999999994"/>
    <x v="58"/>
    <x v="2605"/>
    <x v="0"/>
    <x v="1"/>
    <x v="1"/>
    <x v="3"/>
  </r>
  <r>
    <x v="2787"/>
    <x v="0"/>
    <x v="0"/>
    <x v="0"/>
    <n v="48.85"/>
    <x v="30"/>
    <x v="604"/>
    <x v="0"/>
    <x v="0"/>
    <x v="2"/>
    <x v="2"/>
  </r>
  <r>
    <x v="2788"/>
    <x v="1"/>
    <x v="0"/>
    <x v="0"/>
    <n v="80.099999999999994"/>
    <x v="54"/>
    <x v="2606"/>
    <x v="0"/>
    <x v="0"/>
    <x v="0"/>
    <x v="0"/>
  </r>
  <r>
    <x v="2789"/>
    <x v="0"/>
    <x v="0"/>
    <x v="0"/>
    <n v="56.05"/>
    <x v="7"/>
    <x v="2607"/>
    <x v="0"/>
    <x v="0"/>
    <x v="1"/>
    <x v="1"/>
  </r>
  <r>
    <x v="2790"/>
    <x v="0"/>
    <x v="0"/>
    <x v="0"/>
    <n v="74.55"/>
    <x v="34"/>
    <x v="2608"/>
    <x v="1"/>
    <x v="0"/>
    <x v="0"/>
    <x v="0"/>
  </r>
  <r>
    <x v="2791"/>
    <x v="0"/>
    <x v="0"/>
    <x v="2"/>
    <n v="89.8"/>
    <x v="49"/>
    <x v="2609"/>
    <x v="0"/>
    <x v="1"/>
    <x v="1"/>
    <x v="3"/>
  </r>
  <r>
    <x v="2792"/>
    <x v="1"/>
    <x v="0"/>
    <x v="0"/>
    <n v="100.95"/>
    <x v="35"/>
    <x v="2610"/>
    <x v="1"/>
    <x v="0"/>
    <x v="0"/>
    <x v="0"/>
  </r>
  <r>
    <x v="2793"/>
    <x v="1"/>
    <x v="0"/>
    <x v="0"/>
    <n v="94.9"/>
    <x v="6"/>
    <x v="2611"/>
    <x v="1"/>
    <x v="0"/>
    <x v="0"/>
    <x v="0"/>
  </r>
  <r>
    <x v="2794"/>
    <x v="1"/>
    <x v="1"/>
    <x v="2"/>
    <n v="19.100000000000001"/>
    <x v="49"/>
    <x v="2612"/>
    <x v="0"/>
    <x v="0"/>
    <x v="1"/>
    <x v="3"/>
  </r>
  <r>
    <x v="2795"/>
    <x v="0"/>
    <x v="0"/>
    <x v="1"/>
    <n v="20.350000000000001"/>
    <x v="61"/>
    <x v="418"/>
    <x v="0"/>
    <x v="0"/>
    <x v="2"/>
    <x v="2"/>
  </r>
  <r>
    <x v="2796"/>
    <x v="0"/>
    <x v="1"/>
    <x v="3"/>
    <n v="106.05"/>
    <x v="8"/>
    <x v="2613"/>
    <x v="0"/>
    <x v="2"/>
    <x v="1"/>
    <x v="3"/>
  </r>
  <r>
    <x v="2797"/>
    <x v="1"/>
    <x v="0"/>
    <x v="0"/>
    <n v="104.9"/>
    <x v="48"/>
    <x v="2614"/>
    <x v="1"/>
    <x v="1"/>
    <x v="1"/>
    <x v="1"/>
  </r>
  <r>
    <x v="2798"/>
    <x v="0"/>
    <x v="2"/>
    <x v="2"/>
    <n v="19.649999999999999"/>
    <x v="29"/>
    <x v="2615"/>
    <x v="0"/>
    <x v="0"/>
    <x v="1"/>
    <x v="1"/>
  </r>
  <r>
    <x v="2799"/>
    <x v="1"/>
    <x v="1"/>
    <x v="2"/>
    <n v="24.1"/>
    <x v="34"/>
    <x v="2616"/>
    <x v="1"/>
    <x v="0"/>
    <x v="0"/>
    <x v="0"/>
  </r>
  <r>
    <x v="2800"/>
    <x v="0"/>
    <x v="2"/>
    <x v="2"/>
    <n v="59.85"/>
    <x v="31"/>
    <x v="771"/>
    <x v="0"/>
    <x v="1"/>
    <x v="1"/>
    <x v="3"/>
  </r>
  <r>
    <x v="2801"/>
    <x v="1"/>
    <x v="2"/>
    <x v="0"/>
    <n v="86.1"/>
    <x v="11"/>
    <x v="2617"/>
    <x v="0"/>
    <x v="1"/>
    <x v="1"/>
    <x v="3"/>
  </r>
  <r>
    <x v="2802"/>
    <x v="1"/>
    <x v="1"/>
    <x v="1"/>
    <n v="19.45"/>
    <x v="40"/>
    <x v="1945"/>
    <x v="0"/>
    <x v="0"/>
    <x v="0"/>
    <x v="0"/>
  </r>
  <r>
    <x v="2803"/>
    <x v="1"/>
    <x v="0"/>
    <x v="0"/>
    <n v="97.1"/>
    <x v="2"/>
    <x v="2328"/>
    <x v="0"/>
    <x v="0"/>
    <x v="0"/>
    <x v="0"/>
  </r>
  <r>
    <x v="2804"/>
    <x v="1"/>
    <x v="0"/>
    <x v="0"/>
    <n v="36.65"/>
    <x v="50"/>
    <x v="2618"/>
    <x v="0"/>
    <x v="0"/>
    <x v="1"/>
    <x v="1"/>
  </r>
  <r>
    <x v="2805"/>
    <x v="0"/>
    <x v="1"/>
    <x v="2"/>
    <n v="103.9"/>
    <x v="45"/>
    <x v="2619"/>
    <x v="0"/>
    <x v="2"/>
    <x v="1"/>
    <x v="3"/>
  </r>
  <r>
    <x v="2806"/>
    <x v="0"/>
    <x v="2"/>
    <x v="1"/>
    <n v="19.75"/>
    <x v="71"/>
    <x v="2620"/>
    <x v="0"/>
    <x v="0"/>
    <x v="1"/>
    <x v="1"/>
  </r>
  <r>
    <x v="2807"/>
    <x v="1"/>
    <x v="1"/>
    <x v="0"/>
    <n v="104.05"/>
    <x v="33"/>
    <x v="2621"/>
    <x v="1"/>
    <x v="2"/>
    <x v="1"/>
    <x v="3"/>
  </r>
  <r>
    <x v="2808"/>
    <x v="1"/>
    <x v="2"/>
    <x v="1"/>
    <n v="24.55"/>
    <x v="47"/>
    <x v="2622"/>
    <x v="0"/>
    <x v="0"/>
    <x v="1"/>
    <x v="3"/>
  </r>
  <r>
    <x v="2809"/>
    <x v="0"/>
    <x v="2"/>
    <x v="2"/>
    <n v="48.7"/>
    <x v="8"/>
    <x v="2623"/>
    <x v="0"/>
    <x v="1"/>
    <x v="1"/>
    <x v="3"/>
  </r>
  <r>
    <x v="2810"/>
    <x v="1"/>
    <x v="0"/>
    <x v="1"/>
    <n v="88.35"/>
    <x v="35"/>
    <x v="2624"/>
    <x v="1"/>
    <x v="0"/>
    <x v="0"/>
    <x v="0"/>
  </r>
  <r>
    <x v="2811"/>
    <x v="0"/>
    <x v="2"/>
    <x v="0"/>
    <n v="109.55"/>
    <x v="21"/>
    <x v="2306"/>
    <x v="0"/>
    <x v="2"/>
    <x v="1"/>
    <x v="3"/>
  </r>
  <r>
    <x v="2812"/>
    <x v="0"/>
    <x v="2"/>
    <x v="3"/>
    <n v="20.65"/>
    <x v="52"/>
    <x v="117"/>
    <x v="0"/>
    <x v="0"/>
    <x v="1"/>
    <x v="1"/>
  </r>
  <r>
    <x v="2813"/>
    <x v="1"/>
    <x v="0"/>
    <x v="3"/>
    <n v="94.65"/>
    <x v="44"/>
    <x v="2625"/>
    <x v="1"/>
    <x v="1"/>
    <x v="1"/>
    <x v="1"/>
  </r>
  <r>
    <x v="2814"/>
    <x v="0"/>
    <x v="0"/>
    <x v="0"/>
    <n v="55.2"/>
    <x v="54"/>
    <x v="2626"/>
    <x v="0"/>
    <x v="0"/>
    <x v="0"/>
    <x v="0"/>
  </r>
  <r>
    <x v="2815"/>
    <x v="1"/>
    <x v="1"/>
    <x v="2"/>
    <n v="24.05"/>
    <x v="62"/>
    <x v="2627"/>
    <x v="0"/>
    <x v="0"/>
    <x v="1"/>
    <x v="3"/>
  </r>
  <r>
    <x v="2816"/>
    <x v="1"/>
    <x v="0"/>
    <x v="0"/>
    <n v="74.400000000000006"/>
    <x v="0"/>
    <x v="2628"/>
    <x v="1"/>
    <x v="0"/>
    <x v="0"/>
    <x v="0"/>
  </r>
  <r>
    <x v="2817"/>
    <x v="0"/>
    <x v="0"/>
    <x v="3"/>
    <n v="79.900000000000006"/>
    <x v="52"/>
    <x v="2629"/>
    <x v="1"/>
    <x v="1"/>
    <x v="1"/>
    <x v="1"/>
  </r>
  <r>
    <x v="2818"/>
    <x v="1"/>
    <x v="2"/>
    <x v="2"/>
    <n v="20.45"/>
    <x v="71"/>
    <x v="2630"/>
    <x v="0"/>
    <x v="0"/>
    <x v="1"/>
    <x v="1"/>
  </r>
  <r>
    <x v="2819"/>
    <x v="1"/>
    <x v="2"/>
    <x v="1"/>
    <n v="19.25"/>
    <x v="28"/>
    <x v="2631"/>
    <x v="0"/>
    <x v="0"/>
    <x v="1"/>
    <x v="3"/>
  </r>
  <r>
    <x v="2820"/>
    <x v="1"/>
    <x v="0"/>
    <x v="0"/>
    <n v="26.35"/>
    <x v="30"/>
    <x v="2632"/>
    <x v="0"/>
    <x v="0"/>
    <x v="2"/>
    <x v="2"/>
  </r>
  <r>
    <x v="2821"/>
    <x v="0"/>
    <x v="1"/>
    <x v="0"/>
    <n v="43.8"/>
    <x v="9"/>
    <x v="2633"/>
    <x v="0"/>
    <x v="0"/>
    <x v="2"/>
    <x v="2"/>
  </r>
  <r>
    <x v="2822"/>
    <x v="1"/>
    <x v="0"/>
    <x v="1"/>
    <n v="50.15"/>
    <x v="0"/>
    <x v="1600"/>
    <x v="0"/>
    <x v="0"/>
    <x v="0"/>
    <x v="0"/>
  </r>
  <r>
    <x v="2823"/>
    <x v="1"/>
    <x v="2"/>
    <x v="1"/>
    <n v="20.45"/>
    <x v="0"/>
    <x v="677"/>
    <x v="0"/>
    <x v="0"/>
    <x v="0"/>
    <x v="0"/>
  </r>
  <r>
    <x v="2824"/>
    <x v="1"/>
    <x v="0"/>
    <x v="0"/>
    <n v="69.7"/>
    <x v="4"/>
    <x v="2634"/>
    <x v="1"/>
    <x v="0"/>
    <x v="0"/>
    <x v="0"/>
  </r>
  <r>
    <x v="2825"/>
    <x v="1"/>
    <x v="2"/>
    <x v="0"/>
    <n v="61.4"/>
    <x v="31"/>
    <x v="2635"/>
    <x v="0"/>
    <x v="1"/>
    <x v="1"/>
    <x v="3"/>
  </r>
  <r>
    <x v="2826"/>
    <x v="0"/>
    <x v="0"/>
    <x v="0"/>
    <n v="98.1"/>
    <x v="18"/>
    <x v="2636"/>
    <x v="1"/>
    <x v="0"/>
    <x v="2"/>
    <x v="0"/>
  </r>
  <r>
    <x v="2827"/>
    <x v="1"/>
    <x v="1"/>
    <x v="3"/>
    <n v="70.75"/>
    <x v="63"/>
    <x v="2637"/>
    <x v="0"/>
    <x v="1"/>
    <x v="1"/>
    <x v="1"/>
  </r>
  <r>
    <x v="2828"/>
    <x v="0"/>
    <x v="2"/>
    <x v="2"/>
    <n v="61.15"/>
    <x v="33"/>
    <x v="2638"/>
    <x v="0"/>
    <x v="1"/>
    <x v="1"/>
    <x v="3"/>
  </r>
  <r>
    <x v="2829"/>
    <x v="1"/>
    <x v="1"/>
    <x v="1"/>
    <n v="20.25"/>
    <x v="41"/>
    <x v="2639"/>
    <x v="0"/>
    <x v="0"/>
    <x v="1"/>
    <x v="1"/>
  </r>
  <r>
    <x v="2830"/>
    <x v="0"/>
    <x v="1"/>
    <x v="3"/>
    <n v="63.85"/>
    <x v="33"/>
    <x v="2087"/>
    <x v="0"/>
    <x v="1"/>
    <x v="1"/>
    <x v="3"/>
  </r>
  <r>
    <x v="2831"/>
    <x v="1"/>
    <x v="0"/>
    <x v="0"/>
    <n v="98.7"/>
    <x v="12"/>
    <x v="2640"/>
    <x v="0"/>
    <x v="1"/>
    <x v="1"/>
    <x v="3"/>
  </r>
  <r>
    <x v="2832"/>
    <x v="0"/>
    <x v="0"/>
    <x v="1"/>
    <n v="20.5"/>
    <x v="0"/>
    <x v="2641"/>
    <x v="1"/>
    <x v="0"/>
    <x v="0"/>
    <x v="0"/>
  </r>
  <r>
    <x v="2833"/>
    <x v="0"/>
    <x v="2"/>
    <x v="1"/>
    <n v="20"/>
    <x v="52"/>
    <x v="2642"/>
    <x v="0"/>
    <x v="0"/>
    <x v="1"/>
    <x v="1"/>
  </r>
  <r>
    <x v="2834"/>
    <x v="0"/>
    <x v="2"/>
    <x v="2"/>
    <n v="19.3"/>
    <x v="52"/>
    <x v="2643"/>
    <x v="0"/>
    <x v="0"/>
    <x v="1"/>
    <x v="1"/>
  </r>
  <r>
    <x v="2835"/>
    <x v="0"/>
    <x v="0"/>
    <x v="1"/>
    <n v="84.4"/>
    <x v="57"/>
    <x v="2644"/>
    <x v="0"/>
    <x v="0"/>
    <x v="2"/>
    <x v="2"/>
  </r>
  <r>
    <x v="2836"/>
    <x v="1"/>
    <x v="0"/>
    <x v="0"/>
    <n v="25.1"/>
    <x v="35"/>
    <x v="414"/>
    <x v="0"/>
    <x v="0"/>
    <x v="0"/>
    <x v="0"/>
  </r>
  <r>
    <x v="2837"/>
    <x v="0"/>
    <x v="0"/>
    <x v="1"/>
    <n v="48.25"/>
    <x v="54"/>
    <x v="2645"/>
    <x v="0"/>
    <x v="0"/>
    <x v="0"/>
    <x v="0"/>
  </r>
  <r>
    <x v="2838"/>
    <x v="0"/>
    <x v="2"/>
    <x v="1"/>
    <n v="19.850000000000001"/>
    <x v="15"/>
    <x v="2646"/>
    <x v="0"/>
    <x v="0"/>
    <x v="1"/>
    <x v="3"/>
  </r>
  <r>
    <x v="2839"/>
    <x v="0"/>
    <x v="0"/>
    <x v="0"/>
    <n v="99.6"/>
    <x v="54"/>
    <x v="2647"/>
    <x v="1"/>
    <x v="0"/>
    <x v="0"/>
    <x v="0"/>
  </r>
  <r>
    <x v="2840"/>
    <x v="0"/>
    <x v="0"/>
    <x v="0"/>
    <n v="94.2"/>
    <x v="26"/>
    <x v="2648"/>
    <x v="0"/>
    <x v="0"/>
    <x v="0"/>
    <x v="0"/>
  </r>
  <r>
    <x v="2841"/>
    <x v="0"/>
    <x v="0"/>
    <x v="1"/>
    <n v="62.15"/>
    <x v="2"/>
    <x v="2649"/>
    <x v="0"/>
    <x v="0"/>
    <x v="0"/>
    <x v="0"/>
  </r>
  <r>
    <x v="2842"/>
    <x v="0"/>
    <x v="0"/>
    <x v="2"/>
    <n v="79.3"/>
    <x v="70"/>
    <x v="2650"/>
    <x v="0"/>
    <x v="1"/>
    <x v="1"/>
    <x v="1"/>
  </r>
  <r>
    <x v="2843"/>
    <x v="1"/>
    <x v="1"/>
    <x v="3"/>
    <n v="56.25"/>
    <x v="65"/>
    <x v="2651"/>
    <x v="0"/>
    <x v="0"/>
    <x v="1"/>
    <x v="2"/>
  </r>
  <r>
    <x v="2844"/>
    <x v="0"/>
    <x v="0"/>
    <x v="1"/>
    <n v="20.3"/>
    <x v="18"/>
    <x v="2652"/>
    <x v="0"/>
    <x v="0"/>
    <x v="2"/>
    <x v="0"/>
  </r>
  <r>
    <x v="2845"/>
    <x v="1"/>
    <x v="0"/>
    <x v="0"/>
    <n v="99"/>
    <x v="31"/>
    <x v="2653"/>
    <x v="0"/>
    <x v="2"/>
    <x v="1"/>
    <x v="3"/>
  </r>
  <r>
    <x v="2846"/>
    <x v="0"/>
    <x v="2"/>
    <x v="1"/>
    <n v="90.6"/>
    <x v="38"/>
    <x v="2654"/>
    <x v="0"/>
    <x v="2"/>
    <x v="1"/>
    <x v="3"/>
  </r>
  <r>
    <x v="2847"/>
    <x v="1"/>
    <x v="2"/>
    <x v="2"/>
    <n v="85.9"/>
    <x v="33"/>
    <x v="2655"/>
    <x v="0"/>
    <x v="2"/>
    <x v="1"/>
    <x v="3"/>
  </r>
  <r>
    <x v="2848"/>
    <x v="0"/>
    <x v="1"/>
    <x v="2"/>
    <n v="79.2"/>
    <x v="31"/>
    <x v="1782"/>
    <x v="0"/>
    <x v="1"/>
    <x v="1"/>
    <x v="3"/>
  </r>
  <r>
    <x v="2849"/>
    <x v="1"/>
    <x v="1"/>
    <x v="2"/>
    <n v="70.349999999999994"/>
    <x v="22"/>
    <x v="2656"/>
    <x v="0"/>
    <x v="0"/>
    <x v="2"/>
    <x v="2"/>
  </r>
  <r>
    <x v="2850"/>
    <x v="1"/>
    <x v="2"/>
    <x v="1"/>
    <n v="19.350000000000001"/>
    <x v="41"/>
    <x v="2657"/>
    <x v="0"/>
    <x v="0"/>
    <x v="1"/>
    <x v="1"/>
  </r>
  <r>
    <x v="2851"/>
    <x v="1"/>
    <x v="0"/>
    <x v="0"/>
    <n v="50.15"/>
    <x v="0"/>
    <x v="1600"/>
    <x v="0"/>
    <x v="0"/>
    <x v="0"/>
    <x v="0"/>
  </r>
  <r>
    <x v="2852"/>
    <x v="0"/>
    <x v="2"/>
    <x v="2"/>
    <n v="63.8"/>
    <x v="20"/>
    <x v="2658"/>
    <x v="0"/>
    <x v="1"/>
    <x v="1"/>
    <x v="1"/>
  </r>
  <r>
    <x v="2853"/>
    <x v="0"/>
    <x v="0"/>
    <x v="1"/>
    <n v="20.55"/>
    <x v="6"/>
    <x v="2659"/>
    <x v="0"/>
    <x v="0"/>
    <x v="0"/>
    <x v="0"/>
  </r>
  <r>
    <x v="2854"/>
    <x v="1"/>
    <x v="2"/>
    <x v="3"/>
    <n v="88.55"/>
    <x v="27"/>
    <x v="2660"/>
    <x v="0"/>
    <x v="2"/>
    <x v="1"/>
    <x v="3"/>
  </r>
  <r>
    <x v="2855"/>
    <x v="1"/>
    <x v="0"/>
    <x v="3"/>
    <n v="101.4"/>
    <x v="56"/>
    <x v="2661"/>
    <x v="0"/>
    <x v="2"/>
    <x v="1"/>
    <x v="3"/>
  </r>
  <r>
    <x v="2856"/>
    <x v="0"/>
    <x v="0"/>
    <x v="0"/>
    <n v="81.95"/>
    <x v="0"/>
    <x v="2662"/>
    <x v="1"/>
    <x v="0"/>
    <x v="0"/>
    <x v="0"/>
  </r>
  <r>
    <x v="2857"/>
    <x v="1"/>
    <x v="0"/>
    <x v="0"/>
    <n v="69.349999999999994"/>
    <x v="40"/>
    <x v="2663"/>
    <x v="1"/>
    <x v="0"/>
    <x v="0"/>
    <x v="0"/>
  </r>
  <r>
    <x v="2858"/>
    <x v="1"/>
    <x v="0"/>
    <x v="1"/>
    <n v="44.6"/>
    <x v="0"/>
    <x v="2664"/>
    <x v="0"/>
    <x v="0"/>
    <x v="0"/>
    <x v="0"/>
  </r>
  <r>
    <x v="2859"/>
    <x v="1"/>
    <x v="0"/>
    <x v="2"/>
    <n v="63.75"/>
    <x v="54"/>
    <x v="2665"/>
    <x v="0"/>
    <x v="0"/>
    <x v="0"/>
    <x v="0"/>
  </r>
  <r>
    <x v="2860"/>
    <x v="0"/>
    <x v="2"/>
    <x v="2"/>
    <n v="109.25"/>
    <x v="33"/>
    <x v="2666"/>
    <x v="0"/>
    <x v="2"/>
    <x v="1"/>
    <x v="3"/>
  </r>
  <r>
    <x v="2861"/>
    <x v="0"/>
    <x v="0"/>
    <x v="0"/>
    <n v="84.6"/>
    <x v="18"/>
    <x v="2667"/>
    <x v="0"/>
    <x v="0"/>
    <x v="2"/>
    <x v="0"/>
  </r>
  <r>
    <x v="2862"/>
    <x v="0"/>
    <x v="1"/>
    <x v="3"/>
    <n v="20.45"/>
    <x v="65"/>
    <x v="2668"/>
    <x v="0"/>
    <x v="0"/>
    <x v="1"/>
    <x v="2"/>
  </r>
  <r>
    <x v="2863"/>
    <x v="1"/>
    <x v="0"/>
    <x v="0"/>
    <n v="85.75"/>
    <x v="70"/>
    <x v="2669"/>
    <x v="0"/>
    <x v="1"/>
    <x v="1"/>
    <x v="1"/>
  </r>
  <r>
    <x v="2864"/>
    <x v="0"/>
    <x v="0"/>
    <x v="0"/>
    <n v="91.1"/>
    <x v="53"/>
    <x v="2670"/>
    <x v="1"/>
    <x v="0"/>
    <x v="0"/>
    <x v="0"/>
  </r>
  <r>
    <x v="2865"/>
    <x v="1"/>
    <x v="2"/>
    <x v="0"/>
    <n v="107.95"/>
    <x v="58"/>
    <x v="2671"/>
    <x v="0"/>
    <x v="2"/>
    <x v="1"/>
    <x v="3"/>
  </r>
  <r>
    <x v="2866"/>
    <x v="1"/>
    <x v="0"/>
    <x v="0"/>
    <n v="86.1"/>
    <x v="60"/>
    <x v="2672"/>
    <x v="1"/>
    <x v="0"/>
    <x v="2"/>
    <x v="2"/>
  </r>
  <r>
    <x v="2867"/>
    <x v="0"/>
    <x v="2"/>
    <x v="0"/>
    <n v="22.95"/>
    <x v="41"/>
    <x v="2673"/>
    <x v="0"/>
    <x v="0"/>
    <x v="1"/>
    <x v="1"/>
  </r>
  <r>
    <x v="2868"/>
    <x v="1"/>
    <x v="0"/>
    <x v="2"/>
    <n v="94.7"/>
    <x v="13"/>
    <x v="2674"/>
    <x v="1"/>
    <x v="1"/>
    <x v="1"/>
    <x v="1"/>
  </r>
  <r>
    <x v="2869"/>
    <x v="0"/>
    <x v="2"/>
    <x v="3"/>
    <n v="19.45"/>
    <x v="38"/>
    <x v="2675"/>
    <x v="0"/>
    <x v="0"/>
    <x v="1"/>
    <x v="3"/>
  </r>
  <r>
    <x v="2870"/>
    <x v="1"/>
    <x v="0"/>
    <x v="0"/>
    <n v="85.1"/>
    <x v="5"/>
    <x v="2676"/>
    <x v="1"/>
    <x v="0"/>
    <x v="2"/>
    <x v="2"/>
  </r>
  <r>
    <x v="2871"/>
    <x v="1"/>
    <x v="1"/>
    <x v="3"/>
    <n v="19.7"/>
    <x v="67"/>
    <x v="2677"/>
    <x v="0"/>
    <x v="0"/>
    <x v="2"/>
    <x v="2"/>
  </r>
  <r>
    <x v="2872"/>
    <x v="0"/>
    <x v="0"/>
    <x v="0"/>
    <n v="99.15"/>
    <x v="59"/>
    <x v="2678"/>
    <x v="1"/>
    <x v="2"/>
    <x v="1"/>
    <x v="3"/>
  </r>
  <r>
    <x v="2873"/>
    <x v="1"/>
    <x v="0"/>
    <x v="2"/>
    <n v="87"/>
    <x v="5"/>
    <x v="2679"/>
    <x v="0"/>
    <x v="0"/>
    <x v="2"/>
    <x v="2"/>
  </r>
  <r>
    <x v="2874"/>
    <x v="1"/>
    <x v="0"/>
    <x v="0"/>
    <n v="102.95"/>
    <x v="27"/>
    <x v="2680"/>
    <x v="1"/>
    <x v="2"/>
    <x v="1"/>
    <x v="3"/>
  </r>
  <r>
    <x v="2875"/>
    <x v="1"/>
    <x v="0"/>
    <x v="2"/>
    <n v="79.95"/>
    <x v="18"/>
    <x v="2681"/>
    <x v="0"/>
    <x v="0"/>
    <x v="2"/>
    <x v="0"/>
  </r>
  <r>
    <x v="2876"/>
    <x v="0"/>
    <x v="1"/>
    <x v="0"/>
    <n v="64"/>
    <x v="36"/>
    <x v="2682"/>
    <x v="0"/>
    <x v="0"/>
    <x v="1"/>
    <x v="1"/>
  </r>
  <r>
    <x v="2877"/>
    <x v="0"/>
    <x v="0"/>
    <x v="0"/>
    <n v="64.900000000000006"/>
    <x v="26"/>
    <x v="562"/>
    <x v="0"/>
    <x v="0"/>
    <x v="0"/>
    <x v="0"/>
  </r>
  <r>
    <x v="2878"/>
    <x v="1"/>
    <x v="2"/>
    <x v="1"/>
    <n v="25.75"/>
    <x v="47"/>
    <x v="2683"/>
    <x v="0"/>
    <x v="0"/>
    <x v="1"/>
    <x v="3"/>
  </r>
  <r>
    <x v="2879"/>
    <x v="0"/>
    <x v="2"/>
    <x v="2"/>
    <n v="90.15"/>
    <x v="21"/>
    <x v="2684"/>
    <x v="0"/>
    <x v="2"/>
    <x v="1"/>
    <x v="3"/>
  </r>
  <r>
    <x v="2880"/>
    <x v="1"/>
    <x v="2"/>
    <x v="3"/>
    <n v="116.1"/>
    <x v="56"/>
    <x v="2685"/>
    <x v="0"/>
    <x v="2"/>
    <x v="1"/>
    <x v="3"/>
  </r>
  <r>
    <x v="2881"/>
    <x v="0"/>
    <x v="0"/>
    <x v="2"/>
    <n v="104.95"/>
    <x v="31"/>
    <x v="2686"/>
    <x v="0"/>
    <x v="2"/>
    <x v="1"/>
    <x v="3"/>
  </r>
  <r>
    <x v="2882"/>
    <x v="1"/>
    <x v="0"/>
    <x v="1"/>
    <n v="45.05"/>
    <x v="0"/>
    <x v="1205"/>
    <x v="1"/>
    <x v="0"/>
    <x v="0"/>
    <x v="0"/>
  </r>
  <r>
    <x v="2883"/>
    <x v="0"/>
    <x v="0"/>
    <x v="0"/>
    <n v="71"/>
    <x v="0"/>
    <x v="2687"/>
    <x v="1"/>
    <x v="0"/>
    <x v="0"/>
    <x v="0"/>
  </r>
  <r>
    <x v="2884"/>
    <x v="1"/>
    <x v="1"/>
    <x v="1"/>
    <n v="50"/>
    <x v="11"/>
    <x v="2688"/>
    <x v="0"/>
    <x v="1"/>
    <x v="1"/>
    <x v="3"/>
  </r>
  <r>
    <x v="2885"/>
    <x v="0"/>
    <x v="0"/>
    <x v="2"/>
    <n v="70.55"/>
    <x v="20"/>
    <x v="2689"/>
    <x v="1"/>
    <x v="1"/>
    <x v="1"/>
    <x v="1"/>
  </r>
  <r>
    <x v="2886"/>
    <x v="0"/>
    <x v="0"/>
    <x v="0"/>
    <n v="79.7"/>
    <x v="0"/>
    <x v="2690"/>
    <x v="1"/>
    <x v="0"/>
    <x v="0"/>
    <x v="0"/>
  </r>
  <r>
    <x v="2887"/>
    <x v="1"/>
    <x v="0"/>
    <x v="1"/>
    <n v="20.45"/>
    <x v="0"/>
    <x v="677"/>
    <x v="0"/>
    <x v="0"/>
    <x v="0"/>
    <x v="0"/>
  </r>
  <r>
    <x v="2888"/>
    <x v="1"/>
    <x v="0"/>
    <x v="0"/>
    <n v="59"/>
    <x v="5"/>
    <x v="2691"/>
    <x v="1"/>
    <x v="0"/>
    <x v="2"/>
    <x v="2"/>
  </r>
  <r>
    <x v="2889"/>
    <x v="0"/>
    <x v="1"/>
    <x v="3"/>
    <n v="60.35"/>
    <x v="43"/>
    <x v="2692"/>
    <x v="1"/>
    <x v="1"/>
    <x v="1"/>
    <x v="1"/>
  </r>
  <r>
    <x v="2890"/>
    <x v="0"/>
    <x v="1"/>
    <x v="2"/>
    <n v="19.850000000000001"/>
    <x v="50"/>
    <x v="971"/>
    <x v="0"/>
    <x v="0"/>
    <x v="1"/>
    <x v="1"/>
  </r>
  <r>
    <x v="2891"/>
    <x v="1"/>
    <x v="1"/>
    <x v="0"/>
    <n v="19.95"/>
    <x v="9"/>
    <x v="1441"/>
    <x v="0"/>
    <x v="0"/>
    <x v="2"/>
    <x v="2"/>
  </r>
  <r>
    <x v="2892"/>
    <x v="1"/>
    <x v="2"/>
    <x v="2"/>
    <n v="26.45"/>
    <x v="29"/>
    <x v="2693"/>
    <x v="0"/>
    <x v="0"/>
    <x v="1"/>
    <x v="1"/>
  </r>
  <r>
    <x v="2893"/>
    <x v="0"/>
    <x v="2"/>
    <x v="1"/>
    <n v="63.4"/>
    <x v="53"/>
    <x v="2694"/>
    <x v="0"/>
    <x v="0"/>
    <x v="0"/>
    <x v="0"/>
  </r>
  <r>
    <x v="2894"/>
    <x v="1"/>
    <x v="2"/>
    <x v="2"/>
    <n v="53.95"/>
    <x v="16"/>
    <x v="2695"/>
    <x v="0"/>
    <x v="1"/>
    <x v="1"/>
    <x v="3"/>
  </r>
  <r>
    <x v="2895"/>
    <x v="0"/>
    <x v="0"/>
    <x v="0"/>
    <n v="69.25"/>
    <x v="0"/>
    <x v="1278"/>
    <x v="1"/>
    <x v="0"/>
    <x v="0"/>
    <x v="0"/>
  </r>
  <r>
    <x v="2896"/>
    <x v="0"/>
    <x v="2"/>
    <x v="0"/>
    <n v="95.1"/>
    <x v="21"/>
    <x v="2696"/>
    <x v="0"/>
    <x v="2"/>
    <x v="1"/>
    <x v="3"/>
  </r>
  <r>
    <x v="2897"/>
    <x v="0"/>
    <x v="0"/>
    <x v="0"/>
    <n v="74.099999999999994"/>
    <x v="53"/>
    <x v="2697"/>
    <x v="0"/>
    <x v="0"/>
    <x v="0"/>
    <x v="0"/>
  </r>
  <r>
    <x v="2898"/>
    <x v="1"/>
    <x v="0"/>
    <x v="1"/>
    <n v="35.5"/>
    <x v="18"/>
    <x v="2698"/>
    <x v="0"/>
    <x v="0"/>
    <x v="2"/>
    <x v="0"/>
  </r>
  <r>
    <x v="2899"/>
    <x v="1"/>
    <x v="0"/>
    <x v="1"/>
    <n v="70.95"/>
    <x v="13"/>
    <x v="2699"/>
    <x v="1"/>
    <x v="0"/>
    <x v="1"/>
    <x v="1"/>
  </r>
  <r>
    <x v="2900"/>
    <x v="0"/>
    <x v="1"/>
    <x v="0"/>
    <n v="79.2"/>
    <x v="17"/>
    <x v="2700"/>
    <x v="0"/>
    <x v="0"/>
    <x v="2"/>
    <x v="2"/>
  </r>
  <r>
    <x v="2901"/>
    <x v="0"/>
    <x v="0"/>
    <x v="1"/>
    <n v="48.8"/>
    <x v="53"/>
    <x v="2701"/>
    <x v="0"/>
    <x v="0"/>
    <x v="0"/>
    <x v="0"/>
  </r>
  <r>
    <x v="2902"/>
    <x v="1"/>
    <x v="0"/>
    <x v="1"/>
    <n v="89"/>
    <x v="61"/>
    <x v="2702"/>
    <x v="1"/>
    <x v="0"/>
    <x v="2"/>
    <x v="2"/>
  </r>
  <r>
    <x v="2903"/>
    <x v="1"/>
    <x v="0"/>
    <x v="0"/>
    <n v="99.4"/>
    <x v="32"/>
    <x v="2421"/>
    <x v="1"/>
    <x v="0"/>
    <x v="2"/>
    <x v="2"/>
  </r>
  <r>
    <x v="2904"/>
    <x v="0"/>
    <x v="1"/>
    <x v="0"/>
    <n v="55.45"/>
    <x v="29"/>
    <x v="2703"/>
    <x v="0"/>
    <x v="1"/>
    <x v="1"/>
    <x v="1"/>
  </r>
  <r>
    <x v="2905"/>
    <x v="0"/>
    <x v="2"/>
    <x v="3"/>
    <n v="25.4"/>
    <x v="42"/>
    <x v="2704"/>
    <x v="0"/>
    <x v="0"/>
    <x v="1"/>
    <x v="1"/>
  </r>
  <r>
    <x v="2906"/>
    <x v="0"/>
    <x v="0"/>
    <x v="2"/>
    <n v="73.5"/>
    <x v="0"/>
    <x v="2705"/>
    <x v="1"/>
    <x v="0"/>
    <x v="0"/>
    <x v="0"/>
  </r>
  <r>
    <x v="2907"/>
    <x v="1"/>
    <x v="0"/>
    <x v="0"/>
    <n v="93.5"/>
    <x v="48"/>
    <x v="2706"/>
    <x v="0"/>
    <x v="1"/>
    <x v="1"/>
    <x v="1"/>
  </r>
  <r>
    <x v="2908"/>
    <x v="1"/>
    <x v="2"/>
    <x v="3"/>
    <n v="63.9"/>
    <x v="15"/>
    <x v="2707"/>
    <x v="0"/>
    <x v="1"/>
    <x v="1"/>
    <x v="3"/>
  </r>
  <r>
    <x v="2909"/>
    <x v="1"/>
    <x v="1"/>
    <x v="2"/>
    <n v="64.849999999999994"/>
    <x v="48"/>
    <x v="2708"/>
    <x v="0"/>
    <x v="1"/>
    <x v="1"/>
    <x v="1"/>
  </r>
  <r>
    <x v="2910"/>
    <x v="0"/>
    <x v="2"/>
    <x v="2"/>
    <n v="63.8"/>
    <x v="21"/>
    <x v="2709"/>
    <x v="0"/>
    <x v="1"/>
    <x v="1"/>
    <x v="3"/>
  </r>
  <r>
    <x v="2911"/>
    <x v="1"/>
    <x v="0"/>
    <x v="3"/>
    <n v="44.45"/>
    <x v="69"/>
    <x v="2710"/>
    <x v="0"/>
    <x v="1"/>
    <x v="1"/>
    <x v="3"/>
  </r>
  <r>
    <x v="2912"/>
    <x v="1"/>
    <x v="2"/>
    <x v="2"/>
    <n v="19.95"/>
    <x v="47"/>
    <x v="2711"/>
    <x v="0"/>
    <x v="0"/>
    <x v="1"/>
    <x v="3"/>
  </r>
  <r>
    <x v="2913"/>
    <x v="1"/>
    <x v="0"/>
    <x v="1"/>
    <n v="43.35"/>
    <x v="4"/>
    <x v="2712"/>
    <x v="0"/>
    <x v="0"/>
    <x v="0"/>
    <x v="0"/>
  </r>
  <r>
    <x v="2914"/>
    <x v="1"/>
    <x v="2"/>
    <x v="3"/>
    <n v="49.65"/>
    <x v="12"/>
    <x v="2713"/>
    <x v="0"/>
    <x v="1"/>
    <x v="1"/>
    <x v="3"/>
  </r>
  <r>
    <x v="2915"/>
    <x v="0"/>
    <x v="2"/>
    <x v="1"/>
    <n v="85.1"/>
    <x v="21"/>
    <x v="2714"/>
    <x v="0"/>
    <x v="2"/>
    <x v="1"/>
    <x v="3"/>
  </r>
  <r>
    <x v="2916"/>
    <x v="1"/>
    <x v="0"/>
    <x v="0"/>
    <n v="95.5"/>
    <x v="34"/>
    <x v="421"/>
    <x v="1"/>
    <x v="0"/>
    <x v="0"/>
    <x v="0"/>
  </r>
  <r>
    <x v="2917"/>
    <x v="0"/>
    <x v="0"/>
    <x v="1"/>
    <n v="92.35"/>
    <x v="7"/>
    <x v="2715"/>
    <x v="1"/>
    <x v="1"/>
    <x v="1"/>
    <x v="1"/>
  </r>
  <r>
    <x v="2918"/>
    <x v="1"/>
    <x v="0"/>
    <x v="1"/>
    <n v="89.8"/>
    <x v="68"/>
    <x v="2716"/>
    <x v="0"/>
    <x v="1"/>
    <x v="1"/>
    <x v="3"/>
  </r>
  <r>
    <x v="2919"/>
    <x v="1"/>
    <x v="0"/>
    <x v="0"/>
    <n v="74.55"/>
    <x v="26"/>
    <x v="2717"/>
    <x v="1"/>
    <x v="0"/>
    <x v="0"/>
    <x v="0"/>
  </r>
  <r>
    <x v="2920"/>
    <x v="0"/>
    <x v="1"/>
    <x v="1"/>
    <n v="103.05"/>
    <x v="37"/>
    <x v="2718"/>
    <x v="0"/>
    <x v="2"/>
    <x v="1"/>
    <x v="3"/>
  </r>
  <r>
    <x v="2921"/>
    <x v="0"/>
    <x v="2"/>
    <x v="0"/>
    <n v="116"/>
    <x v="14"/>
    <x v="2719"/>
    <x v="0"/>
    <x v="2"/>
    <x v="1"/>
    <x v="3"/>
  </r>
  <r>
    <x v="2922"/>
    <x v="1"/>
    <x v="0"/>
    <x v="0"/>
    <n v="69.900000000000006"/>
    <x v="0"/>
    <x v="946"/>
    <x v="0"/>
    <x v="0"/>
    <x v="0"/>
    <x v="0"/>
  </r>
  <r>
    <x v="2923"/>
    <x v="1"/>
    <x v="2"/>
    <x v="2"/>
    <n v="95.1"/>
    <x v="47"/>
    <x v="2720"/>
    <x v="0"/>
    <x v="2"/>
    <x v="1"/>
    <x v="3"/>
  </r>
  <r>
    <x v="2924"/>
    <x v="1"/>
    <x v="1"/>
    <x v="1"/>
    <n v="40.25"/>
    <x v="63"/>
    <x v="2721"/>
    <x v="0"/>
    <x v="0"/>
    <x v="1"/>
    <x v="1"/>
  </r>
  <r>
    <x v="2925"/>
    <x v="1"/>
    <x v="2"/>
    <x v="1"/>
    <n v="25.75"/>
    <x v="36"/>
    <x v="2722"/>
    <x v="0"/>
    <x v="0"/>
    <x v="1"/>
    <x v="1"/>
  </r>
  <r>
    <x v="2926"/>
    <x v="0"/>
    <x v="0"/>
    <x v="2"/>
    <n v="105.35"/>
    <x v="55"/>
    <x v="2723"/>
    <x v="0"/>
    <x v="1"/>
    <x v="1"/>
    <x v="1"/>
  </r>
  <r>
    <x v="2927"/>
    <x v="1"/>
    <x v="2"/>
    <x v="0"/>
    <n v="113.6"/>
    <x v="49"/>
    <x v="2724"/>
    <x v="0"/>
    <x v="2"/>
    <x v="1"/>
    <x v="3"/>
  </r>
  <r>
    <x v="2928"/>
    <x v="1"/>
    <x v="2"/>
    <x v="2"/>
    <n v="24"/>
    <x v="47"/>
    <x v="2725"/>
    <x v="0"/>
    <x v="0"/>
    <x v="1"/>
    <x v="3"/>
  </r>
  <r>
    <x v="2929"/>
    <x v="0"/>
    <x v="0"/>
    <x v="2"/>
    <n v="19.399999999999999"/>
    <x v="18"/>
    <x v="2726"/>
    <x v="0"/>
    <x v="0"/>
    <x v="2"/>
    <x v="0"/>
  </r>
  <r>
    <x v="2930"/>
    <x v="1"/>
    <x v="2"/>
    <x v="2"/>
    <n v="86.1"/>
    <x v="16"/>
    <x v="2727"/>
    <x v="0"/>
    <x v="2"/>
    <x v="1"/>
    <x v="3"/>
  </r>
  <r>
    <x v="2931"/>
    <x v="1"/>
    <x v="0"/>
    <x v="1"/>
    <n v="102.65"/>
    <x v="63"/>
    <x v="2728"/>
    <x v="0"/>
    <x v="1"/>
    <x v="1"/>
    <x v="1"/>
  </r>
  <r>
    <x v="2932"/>
    <x v="0"/>
    <x v="1"/>
    <x v="0"/>
    <n v="92.85"/>
    <x v="38"/>
    <x v="2729"/>
    <x v="0"/>
    <x v="2"/>
    <x v="1"/>
    <x v="3"/>
  </r>
  <r>
    <x v="2933"/>
    <x v="1"/>
    <x v="1"/>
    <x v="2"/>
    <n v="97.75"/>
    <x v="62"/>
    <x v="2730"/>
    <x v="0"/>
    <x v="2"/>
    <x v="1"/>
    <x v="3"/>
  </r>
  <r>
    <x v="2934"/>
    <x v="1"/>
    <x v="0"/>
    <x v="1"/>
    <n v="83.8"/>
    <x v="18"/>
    <x v="2731"/>
    <x v="1"/>
    <x v="0"/>
    <x v="2"/>
    <x v="0"/>
  </r>
  <r>
    <x v="2935"/>
    <x v="1"/>
    <x v="0"/>
    <x v="0"/>
    <n v="54.45"/>
    <x v="62"/>
    <x v="2732"/>
    <x v="1"/>
    <x v="1"/>
    <x v="1"/>
    <x v="3"/>
  </r>
  <r>
    <x v="2936"/>
    <x v="1"/>
    <x v="2"/>
    <x v="3"/>
    <n v="97.95"/>
    <x v="21"/>
    <x v="2733"/>
    <x v="0"/>
    <x v="2"/>
    <x v="1"/>
    <x v="3"/>
  </r>
  <r>
    <x v="2937"/>
    <x v="1"/>
    <x v="2"/>
    <x v="0"/>
    <n v="19.95"/>
    <x v="25"/>
    <x v="88"/>
    <x v="0"/>
    <x v="0"/>
    <x v="1"/>
    <x v="1"/>
  </r>
  <r>
    <x v="2938"/>
    <x v="1"/>
    <x v="2"/>
    <x v="1"/>
    <n v="24.6"/>
    <x v="63"/>
    <x v="2734"/>
    <x v="0"/>
    <x v="0"/>
    <x v="1"/>
    <x v="1"/>
  </r>
  <r>
    <x v="2939"/>
    <x v="1"/>
    <x v="0"/>
    <x v="2"/>
    <n v="50.95"/>
    <x v="18"/>
    <x v="2735"/>
    <x v="0"/>
    <x v="0"/>
    <x v="2"/>
    <x v="0"/>
  </r>
  <r>
    <x v="2940"/>
    <x v="1"/>
    <x v="0"/>
    <x v="0"/>
    <n v="75.599999999999994"/>
    <x v="34"/>
    <x v="2736"/>
    <x v="0"/>
    <x v="0"/>
    <x v="0"/>
    <x v="0"/>
  </r>
  <r>
    <x v="2941"/>
    <x v="0"/>
    <x v="0"/>
    <x v="0"/>
    <n v="80.75"/>
    <x v="69"/>
    <x v="2737"/>
    <x v="0"/>
    <x v="1"/>
    <x v="1"/>
    <x v="3"/>
  </r>
  <r>
    <x v="2942"/>
    <x v="1"/>
    <x v="0"/>
    <x v="3"/>
    <n v="90.4"/>
    <x v="12"/>
    <x v="2738"/>
    <x v="0"/>
    <x v="1"/>
    <x v="1"/>
    <x v="3"/>
  </r>
  <r>
    <x v="2943"/>
    <x v="1"/>
    <x v="0"/>
    <x v="0"/>
    <n v="99.8"/>
    <x v="52"/>
    <x v="2739"/>
    <x v="1"/>
    <x v="1"/>
    <x v="1"/>
    <x v="1"/>
  </r>
  <r>
    <x v="2944"/>
    <x v="0"/>
    <x v="1"/>
    <x v="3"/>
    <n v="60.25"/>
    <x v="39"/>
    <x v="2740"/>
    <x v="0"/>
    <x v="1"/>
    <x v="1"/>
    <x v="3"/>
  </r>
  <r>
    <x v="2945"/>
    <x v="1"/>
    <x v="0"/>
    <x v="0"/>
    <n v="20.2"/>
    <x v="54"/>
    <x v="2741"/>
    <x v="0"/>
    <x v="0"/>
    <x v="0"/>
    <x v="0"/>
  </r>
  <r>
    <x v="2946"/>
    <x v="1"/>
    <x v="1"/>
    <x v="1"/>
    <n v="64.150000000000006"/>
    <x v="61"/>
    <x v="2742"/>
    <x v="0"/>
    <x v="0"/>
    <x v="2"/>
    <x v="2"/>
  </r>
  <r>
    <x v="2947"/>
    <x v="0"/>
    <x v="0"/>
    <x v="3"/>
    <n v="20.25"/>
    <x v="70"/>
    <x v="2263"/>
    <x v="0"/>
    <x v="0"/>
    <x v="1"/>
    <x v="1"/>
  </r>
  <r>
    <x v="2948"/>
    <x v="0"/>
    <x v="0"/>
    <x v="2"/>
    <n v="105.85"/>
    <x v="61"/>
    <x v="2743"/>
    <x v="1"/>
    <x v="1"/>
    <x v="2"/>
    <x v="2"/>
  </r>
  <r>
    <x v="2949"/>
    <x v="0"/>
    <x v="0"/>
    <x v="1"/>
    <n v="75.45"/>
    <x v="40"/>
    <x v="2744"/>
    <x v="1"/>
    <x v="0"/>
    <x v="0"/>
    <x v="0"/>
  </r>
  <r>
    <x v="2950"/>
    <x v="1"/>
    <x v="0"/>
    <x v="0"/>
    <n v="93.85"/>
    <x v="40"/>
    <x v="2745"/>
    <x v="1"/>
    <x v="0"/>
    <x v="0"/>
    <x v="0"/>
  </r>
  <r>
    <x v="2951"/>
    <x v="1"/>
    <x v="0"/>
    <x v="0"/>
    <n v="99"/>
    <x v="69"/>
    <x v="2746"/>
    <x v="0"/>
    <x v="2"/>
    <x v="1"/>
    <x v="3"/>
  </r>
  <r>
    <x v="2952"/>
    <x v="0"/>
    <x v="0"/>
    <x v="1"/>
    <n v="80.3"/>
    <x v="54"/>
    <x v="2747"/>
    <x v="0"/>
    <x v="0"/>
    <x v="0"/>
    <x v="0"/>
  </r>
  <r>
    <x v="2953"/>
    <x v="0"/>
    <x v="0"/>
    <x v="3"/>
    <n v="19.55"/>
    <x v="0"/>
    <x v="533"/>
    <x v="0"/>
    <x v="0"/>
    <x v="0"/>
    <x v="0"/>
  </r>
  <r>
    <x v="2954"/>
    <x v="1"/>
    <x v="0"/>
    <x v="0"/>
    <n v="100.75"/>
    <x v="23"/>
    <x v="2748"/>
    <x v="0"/>
    <x v="1"/>
    <x v="1"/>
    <x v="1"/>
  </r>
  <r>
    <x v="2955"/>
    <x v="1"/>
    <x v="0"/>
    <x v="0"/>
    <n v="100.75"/>
    <x v="5"/>
    <x v="2749"/>
    <x v="1"/>
    <x v="1"/>
    <x v="2"/>
    <x v="2"/>
  </r>
  <r>
    <x v="2956"/>
    <x v="1"/>
    <x v="0"/>
    <x v="1"/>
    <n v="53.75"/>
    <x v="18"/>
    <x v="2750"/>
    <x v="0"/>
    <x v="0"/>
    <x v="2"/>
    <x v="0"/>
  </r>
  <r>
    <x v="2957"/>
    <x v="0"/>
    <x v="0"/>
    <x v="1"/>
    <n v="31"/>
    <x v="35"/>
    <x v="2751"/>
    <x v="1"/>
    <x v="0"/>
    <x v="0"/>
    <x v="0"/>
  </r>
  <r>
    <x v="2958"/>
    <x v="0"/>
    <x v="1"/>
    <x v="3"/>
    <n v="25.6"/>
    <x v="1"/>
    <x v="2752"/>
    <x v="0"/>
    <x v="0"/>
    <x v="1"/>
    <x v="1"/>
  </r>
  <r>
    <x v="2959"/>
    <x v="1"/>
    <x v="1"/>
    <x v="0"/>
    <n v="58.35"/>
    <x v="65"/>
    <x v="2753"/>
    <x v="0"/>
    <x v="0"/>
    <x v="1"/>
    <x v="2"/>
  </r>
  <r>
    <x v="2960"/>
    <x v="1"/>
    <x v="0"/>
    <x v="3"/>
    <n v="80"/>
    <x v="69"/>
    <x v="2754"/>
    <x v="1"/>
    <x v="1"/>
    <x v="1"/>
    <x v="3"/>
  </r>
  <r>
    <x v="2961"/>
    <x v="0"/>
    <x v="0"/>
    <x v="0"/>
    <n v="46.35"/>
    <x v="60"/>
    <x v="2755"/>
    <x v="0"/>
    <x v="0"/>
    <x v="2"/>
    <x v="2"/>
  </r>
  <r>
    <x v="2962"/>
    <x v="1"/>
    <x v="2"/>
    <x v="0"/>
    <n v="113.75"/>
    <x v="64"/>
    <x v="2756"/>
    <x v="0"/>
    <x v="2"/>
    <x v="1"/>
    <x v="3"/>
  </r>
  <r>
    <x v="2963"/>
    <x v="1"/>
    <x v="0"/>
    <x v="0"/>
    <n v="90.4"/>
    <x v="35"/>
    <x v="2757"/>
    <x v="0"/>
    <x v="0"/>
    <x v="0"/>
    <x v="0"/>
  </r>
  <r>
    <x v="2964"/>
    <x v="0"/>
    <x v="2"/>
    <x v="0"/>
    <n v="109.3"/>
    <x v="45"/>
    <x v="2758"/>
    <x v="0"/>
    <x v="2"/>
    <x v="1"/>
    <x v="3"/>
  </r>
  <r>
    <x v="2965"/>
    <x v="1"/>
    <x v="0"/>
    <x v="1"/>
    <n v="70.25"/>
    <x v="24"/>
    <x v="2759"/>
    <x v="1"/>
    <x v="0"/>
    <x v="0"/>
    <x v="0"/>
  </r>
  <r>
    <x v="2966"/>
    <x v="0"/>
    <x v="2"/>
    <x v="3"/>
    <n v="90.3"/>
    <x v="64"/>
    <x v="2760"/>
    <x v="0"/>
    <x v="2"/>
    <x v="1"/>
    <x v="3"/>
  </r>
  <r>
    <x v="2967"/>
    <x v="1"/>
    <x v="2"/>
    <x v="3"/>
    <n v="65.25"/>
    <x v="21"/>
    <x v="2761"/>
    <x v="0"/>
    <x v="1"/>
    <x v="1"/>
    <x v="3"/>
  </r>
  <r>
    <x v="2968"/>
    <x v="0"/>
    <x v="0"/>
    <x v="0"/>
    <n v="100.15"/>
    <x v="8"/>
    <x v="834"/>
    <x v="1"/>
    <x v="2"/>
    <x v="1"/>
    <x v="3"/>
  </r>
  <r>
    <x v="2969"/>
    <x v="1"/>
    <x v="0"/>
    <x v="3"/>
    <n v="94.5"/>
    <x v="7"/>
    <x v="2762"/>
    <x v="1"/>
    <x v="1"/>
    <x v="1"/>
    <x v="1"/>
  </r>
  <r>
    <x v="2970"/>
    <x v="1"/>
    <x v="0"/>
    <x v="1"/>
    <n v="60.65"/>
    <x v="35"/>
    <x v="2763"/>
    <x v="0"/>
    <x v="0"/>
    <x v="0"/>
    <x v="0"/>
  </r>
  <r>
    <x v="2971"/>
    <x v="1"/>
    <x v="0"/>
    <x v="3"/>
    <n v="24.1"/>
    <x v="67"/>
    <x v="2764"/>
    <x v="0"/>
    <x v="0"/>
    <x v="2"/>
    <x v="2"/>
  </r>
  <r>
    <x v="2972"/>
    <x v="1"/>
    <x v="0"/>
    <x v="1"/>
    <n v="19.5"/>
    <x v="0"/>
    <x v="1663"/>
    <x v="0"/>
    <x v="0"/>
    <x v="0"/>
    <x v="0"/>
  </r>
  <r>
    <x v="2973"/>
    <x v="1"/>
    <x v="0"/>
    <x v="0"/>
    <n v="85.95"/>
    <x v="65"/>
    <x v="2765"/>
    <x v="0"/>
    <x v="1"/>
    <x v="1"/>
    <x v="2"/>
  </r>
  <r>
    <x v="2974"/>
    <x v="1"/>
    <x v="1"/>
    <x v="0"/>
    <n v="53.5"/>
    <x v="58"/>
    <x v="2766"/>
    <x v="0"/>
    <x v="1"/>
    <x v="1"/>
    <x v="3"/>
  </r>
  <r>
    <x v="2975"/>
    <x v="0"/>
    <x v="2"/>
    <x v="3"/>
    <n v="25.45"/>
    <x v="21"/>
    <x v="2767"/>
    <x v="0"/>
    <x v="0"/>
    <x v="1"/>
    <x v="3"/>
  </r>
  <r>
    <x v="2976"/>
    <x v="1"/>
    <x v="2"/>
    <x v="2"/>
    <n v="20.5"/>
    <x v="56"/>
    <x v="2768"/>
    <x v="0"/>
    <x v="0"/>
    <x v="1"/>
    <x v="3"/>
  </r>
  <r>
    <x v="2977"/>
    <x v="1"/>
    <x v="1"/>
    <x v="3"/>
    <n v="20.85"/>
    <x v="15"/>
    <x v="2769"/>
    <x v="0"/>
    <x v="0"/>
    <x v="1"/>
    <x v="3"/>
  </r>
  <r>
    <x v="2978"/>
    <x v="1"/>
    <x v="2"/>
    <x v="3"/>
    <n v="89.9"/>
    <x v="16"/>
    <x v="2770"/>
    <x v="0"/>
    <x v="2"/>
    <x v="1"/>
    <x v="3"/>
  </r>
  <r>
    <x v="2979"/>
    <x v="0"/>
    <x v="1"/>
    <x v="1"/>
    <n v="26"/>
    <x v="70"/>
    <x v="181"/>
    <x v="0"/>
    <x v="0"/>
    <x v="1"/>
    <x v="1"/>
  </r>
  <r>
    <x v="2980"/>
    <x v="0"/>
    <x v="2"/>
    <x v="1"/>
    <n v="113.2"/>
    <x v="42"/>
    <x v="2771"/>
    <x v="0"/>
    <x v="1"/>
    <x v="1"/>
    <x v="1"/>
  </r>
  <r>
    <x v="2981"/>
    <x v="0"/>
    <x v="2"/>
    <x v="3"/>
    <n v="69.05"/>
    <x v="49"/>
    <x v="2772"/>
    <x v="0"/>
    <x v="1"/>
    <x v="1"/>
    <x v="3"/>
  </r>
  <r>
    <x v="2982"/>
    <x v="0"/>
    <x v="2"/>
    <x v="1"/>
    <n v="20.100000000000001"/>
    <x v="55"/>
    <x v="1337"/>
    <x v="0"/>
    <x v="0"/>
    <x v="1"/>
    <x v="1"/>
  </r>
  <r>
    <x v="2983"/>
    <x v="1"/>
    <x v="2"/>
    <x v="0"/>
    <n v="109.65"/>
    <x v="21"/>
    <x v="2773"/>
    <x v="0"/>
    <x v="2"/>
    <x v="1"/>
    <x v="3"/>
  </r>
  <r>
    <x v="2984"/>
    <x v="1"/>
    <x v="0"/>
    <x v="1"/>
    <n v="19.2"/>
    <x v="0"/>
    <x v="1736"/>
    <x v="0"/>
    <x v="0"/>
    <x v="0"/>
    <x v="0"/>
  </r>
  <r>
    <x v="2985"/>
    <x v="1"/>
    <x v="0"/>
    <x v="1"/>
    <n v="33.9"/>
    <x v="6"/>
    <x v="2774"/>
    <x v="1"/>
    <x v="0"/>
    <x v="0"/>
    <x v="0"/>
  </r>
  <r>
    <x v="2986"/>
    <x v="0"/>
    <x v="0"/>
    <x v="0"/>
    <n v="90"/>
    <x v="50"/>
    <x v="2775"/>
    <x v="0"/>
    <x v="1"/>
    <x v="1"/>
    <x v="1"/>
  </r>
  <r>
    <x v="2987"/>
    <x v="1"/>
    <x v="0"/>
    <x v="1"/>
    <n v="34"/>
    <x v="18"/>
    <x v="2776"/>
    <x v="0"/>
    <x v="0"/>
    <x v="2"/>
    <x v="0"/>
  </r>
  <r>
    <x v="2988"/>
    <x v="1"/>
    <x v="1"/>
    <x v="1"/>
    <n v="20.399999999999999"/>
    <x v="0"/>
    <x v="486"/>
    <x v="0"/>
    <x v="0"/>
    <x v="0"/>
    <x v="0"/>
  </r>
  <r>
    <x v="2989"/>
    <x v="1"/>
    <x v="2"/>
    <x v="3"/>
    <n v="38.6"/>
    <x v="8"/>
    <x v="2777"/>
    <x v="0"/>
    <x v="1"/>
    <x v="1"/>
    <x v="3"/>
  </r>
  <r>
    <x v="2990"/>
    <x v="0"/>
    <x v="0"/>
    <x v="2"/>
    <n v="25.25"/>
    <x v="0"/>
    <x v="210"/>
    <x v="0"/>
    <x v="0"/>
    <x v="0"/>
    <x v="0"/>
  </r>
  <r>
    <x v="2991"/>
    <x v="0"/>
    <x v="0"/>
    <x v="1"/>
    <n v="60.6"/>
    <x v="32"/>
    <x v="2778"/>
    <x v="0"/>
    <x v="0"/>
    <x v="2"/>
    <x v="2"/>
  </r>
  <r>
    <x v="2992"/>
    <x v="1"/>
    <x v="0"/>
    <x v="0"/>
    <n v="89.95"/>
    <x v="14"/>
    <x v="2779"/>
    <x v="1"/>
    <x v="2"/>
    <x v="1"/>
    <x v="3"/>
  </r>
  <r>
    <x v="2993"/>
    <x v="1"/>
    <x v="0"/>
    <x v="0"/>
    <n v="74.75"/>
    <x v="2"/>
    <x v="2780"/>
    <x v="0"/>
    <x v="0"/>
    <x v="0"/>
    <x v="0"/>
  </r>
  <r>
    <x v="2994"/>
    <x v="1"/>
    <x v="0"/>
    <x v="1"/>
    <n v="20.6"/>
    <x v="67"/>
    <x v="2781"/>
    <x v="0"/>
    <x v="0"/>
    <x v="2"/>
    <x v="2"/>
  </r>
  <r>
    <x v="2995"/>
    <x v="1"/>
    <x v="0"/>
    <x v="0"/>
    <n v="84.45"/>
    <x v="18"/>
    <x v="2782"/>
    <x v="1"/>
    <x v="0"/>
    <x v="2"/>
    <x v="0"/>
  </r>
  <r>
    <x v="2996"/>
    <x v="1"/>
    <x v="0"/>
    <x v="1"/>
    <n v="20.399999999999999"/>
    <x v="34"/>
    <x v="2783"/>
    <x v="0"/>
    <x v="0"/>
    <x v="0"/>
    <x v="0"/>
  </r>
  <r>
    <x v="2997"/>
    <x v="1"/>
    <x v="1"/>
    <x v="0"/>
    <n v="81.7"/>
    <x v="23"/>
    <x v="2784"/>
    <x v="0"/>
    <x v="1"/>
    <x v="1"/>
    <x v="1"/>
  </r>
  <r>
    <x v="2998"/>
    <x v="1"/>
    <x v="0"/>
    <x v="0"/>
    <n v="79.5"/>
    <x v="23"/>
    <x v="2785"/>
    <x v="1"/>
    <x v="1"/>
    <x v="1"/>
    <x v="1"/>
  </r>
  <r>
    <x v="2999"/>
    <x v="1"/>
    <x v="0"/>
    <x v="1"/>
    <n v="89.15"/>
    <x v="0"/>
    <x v="2786"/>
    <x v="1"/>
    <x v="0"/>
    <x v="0"/>
    <x v="0"/>
  </r>
  <r>
    <x v="3000"/>
    <x v="0"/>
    <x v="0"/>
    <x v="1"/>
    <n v="20.3"/>
    <x v="65"/>
    <x v="933"/>
    <x v="0"/>
    <x v="0"/>
    <x v="1"/>
    <x v="2"/>
  </r>
  <r>
    <x v="3001"/>
    <x v="1"/>
    <x v="0"/>
    <x v="0"/>
    <n v="74.95"/>
    <x v="60"/>
    <x v="2787"/>
    <x v="1"/>
    <x v="0"/>
    <x v="2"/>
    <x v="2"/>
  </r>
  <r>
    <x v="3002"/>
    <x v="0"/>
    <x v="0"/>
    <x v="0"/>
    <n v="74.400000000000006"/>
    <x v="48"/>
    <x v="2788"/>
    <x v="1"/>
    <x v="1"/>
    <x v="1"/>
    <x v="1"/>
  </r>
  <r>
    <x v="3003"/>
    <x v="0"/>
    <x v="1"/>
    <x v="1"/>
    <n v="20"/>
    <x v="26"/>
    <x v="2789"/>
    <x v="0"/>
    <x v="0"/>
    <x v="0"/>
    <x v="0"/>
  </r>
  <r>
    <x v="3004"/>
    <x v="1"/>
    <x v="0"/>
    <x v="1"/>
    <n v="25"/>
    <x v="0"/>
    <x v="2790"/>
    <x v="0"/>
    <x v="0"/>
    <x v="0"/>
    <x v="0"/>
  </r>
  <r>
    <x v="3005"/>
    <x v="1"/>
    <x v="0"/>
    <x v="1"/>
    <n v="80.45"/>
    <x v="46"/>
    <x v="2791"/>
    <x v="0"/>
    <x v="1"/>
    <x v="1"/>
    <x v="1"/>
  </r>
  <r>
    <x v="3006"/>
    <x v="0"/>
    <x v="2"/>
    <x v="1"/>
    <n v="19.75"/>
    <x v="34"/>
    <x v="2792"/>
    <x v="0"/>
    <x v="0"/>
    <x v="0"/>
    <x v="0"/>
  </r>
  <r>
    <x v="3007"/>
    <x v="1"/>
    <x v="2"/>
    <x v="3"/>
    <n v="65.650000000000006"/>
    <x v="68"/>
    <x v="2793"/>
    <x v="0"/>
    <x v="1"/>
    <x v="1"/>
    <x v="3"/>
  </r>
  <r>
    <x v="3008"/>
    <x v="0"/>
    <x v="1"/>
    <x v="3"/>
    <n v="71"/>
    <x v="44"/>
    <x v="2794"/>
    <x v="0"/>
    <x v="1"/>
    <x v="1"/>
    <x v="1"/>
  </r>
  <r>
    <x v="3009"/>
    <x v="1"/>
    <x v="0"/>
    <x v="0"/>
    <n v="89.2"/>
    <x v="66"/>
    <x v="2795"/>
    <x v="0"/>
    <x v="1"/>
    <x v="1"/>
    <x v="1"/>
  </r>
  <r>
    <x v="3010"/>
    <x v="1"/>
    <x v="2"/>
    <x v="0"/>
    <n v="86.75"/>
    <x v="64"/>
    <x v="2796"/>
    <x v="0"/>
    <x v="2"/>
    <x v="1"/>
    <x v="3"/>
  </r>
  <r>
    <x v="3011"/>
    <x v="0"/>
    <x v="0"/>
    <x v="0"/>
    <n v="55.3"/>
    <x v="35"/>
    <x v="2797"/>
    <x v="1"/>
    <x v="0"/>
    <x v="0"/>
    <x v="0"/>
  </r>
  <r>
    <x v="3012"/>
    <x v="0"/>
    <x v="1"/>
    <x v="1"/>
    <n v="61.5"/>
    <x v="32"/>
    <x v="2798"/>
    <x v="0"/>
    <x v="0"/>
    <x v="2"/>
    <x v="2"/>
  </r>
  <r>
    <x v="3013"/>
    <x v="1"/>
    <x v="2"/>
    <x v="3"/>
    <n v="25.1"/>
    <x v="56"/>
    <x v="2799"/>
    <x v="0"/>
    <x v="0"/>
    <x v="1"/>
    <x v="3"/>
  </r>
  <r>
    <x v="3014"/>
    <x v="0"/>
    <x v="0"/>
    <x v="0"/>
    <n v="55.15"/>
    <x v="5"/>
    <x v="2800"/>
    <x v="1"/>
    <x v="0"/>
    <x v="2"/>
    <x v="2"/>
  </r>
  <r>
    <x v="3015"/>
    <x v="1"/>
    <x v="1"/>
    <x v="3"/>
    <n v="34.049999999999997"/>
    <x v="55"/>
    <x v="2801"/>
    <x v="0"/>
    <x v="0"/>
    <x v="1"/>
    <x v="1"/>
  </r>
  <r>
    <x v="3016"/>
    <x v="1"/>
    <x v="0"/>
    <x v="1"/>
    <n v="19.95"/>
    <x v="24"/>
    <x v="1633"/>
    <x v="0"/>
    <x v="0"/>
    <x v="0"/>
    <x v="0"/>
  </r>
  <r>
    <x v="3017"/>
    <x v="0"/>
    <x v="0"/>
    <x v="1"/>
    <n v="19.95"/>
    <x v="2"/>
    <x v="590"/>
    <x v="0"/>
    <x v="0"/>
    <x v="0"/>
    <x v="0"/>
  </r>
  <r>
    <x v="3018"/>
    <x v="1"/>
    <x v="2"/>
    <x v="3"/>
    <n v="89.7"/>
    <x v="21"/>
    <x v="461"/>
    <x v="0"/>
    <x v="2"/>
    <x v="1"/>
    <x v="3"/>
  </r>
  <r>
    <x v="3019"/>
    <x v="1"/>
    <x v="0"/>
    <x v="1"/>
    <n v="20.399999999999999"/>
    <x v="34"/>
    <x v="2783"/>
    <x v="0"/>
    <x v="0"/>
    <x v="0"/>
    <x v="0"/>
  </r>
  <r>
    <x v="3020"/>
    <x v="1"/>
    <x v="2"/>
    <x v="1"/>
    <n v="26.3"/>
    <x v="56"/>
    <x v="2802"/>
    <x v="0"/>
    <x v="0"/>
    <x v="1"/>
    <x v="3"/>
  </r>
  <r>
    <x v="3021"/>
    <x v="0"/>
    <x v="0"/>
    <x v="0"/>
    <n v="84.95"/>
    <x v="10"/>
    <x v="2803"/>
    <x v="1"/>
    <x v="0"/>
    <x v="2"/>
    <x v="2"/>
  </r>
  <r>
    <x v="3022"/>
    <x v="0"/>
    <x v="0"/>
    <x v="1"/>
    <n v="20.7"/>
    <x v="4"/>
    <x v="2804"/>
    <x v="0"/>
    <x v="0"/>
    <x v="0"/>
    <x v="0"/>
  </r>
  <r>
    <x v="3023"/>
    <x v="1"/>
    <x v="0"/>
    <x v="1"/>
    <n v="43.25"/>
    <x v="24"/>
    <x v="2805"/>
    <x v="1"/>
    <x v="0"/>
    <x v="0"/>
    <x v="0"/>
  </r>
  <r>
    <x v="3024"/>
    <x v="1"/>
    <x v="1"/>
    <x v="3"/>
    <n v="48.35"/>
    <x v="57"/>
    <x v="2806"/>
    <x v="1"/>
    <x v="0"/>
    <x v="2"/>
    <x v="2"/>
  </r>
  <r>
    <x v="3025"/>
    <x v="1"/>
    <x v="0"/>
    <x v="0"/>
    <n v="79.55"/>
    <x v="0"/>
    <x v="2807"/>
    <x v="1"/>
    <x v="0"/>
    <x v="0"/>
    <x v="0"/>
  </r>
  <r>
    <x v="3026"/>
    <x v="0"/>
    <x v="0"/>
    <x v="0"/>
    <n v="71.05"/>
    <x v="37"/>
    <x v="2808"/>
    <x v="1"/>
    <x v="1"/>
    <x v="1"/>
    <x v="3"/>
  </r>
  <r>
    <x v="3027"/>
    <x v="1"/>
    <x v="2"/>
    <x v="3"/>
    <n v="19.45"/>
    <x v="22"/>
    <x v="2809"/>
    <x v="0"/>
    <x v="0"/>
    <x v="2"/>
    <x v="2"/>
  </r>
  <r>
    <x v="3028"/>
    <x v="0"/>
    <x v="2"/>
    <x v="2"/>
    <n v="110.8"/>
    <x v="47"/>
    <x v="2810"/>
    <x v="0"/>
    <x v="2"/>
    <x v="1"/>
    <x v="3"/>
  </r>
  <r>
    <x v="3029"/>
    <x v="1"/>
    <x v="0"/>
    <x v="0"/>
    <n v="84.5"/>
    <x v="0"/>
    <x v="2811"/>
    <x v="1"/>
    <x v="0"/>
    <x v="0"/>
    <x v="0"/>
  </r>
  <r>
    <x v="3030"/>
    <x v="0"/>
    <x v="0"/>
    <x v="0"/>
    <n v="69.3"/>
    <x v="13"/>
    <x v="2812"/>
    <x v="0"/>
    <x v="0"/>
    <x v="1"/>
    <x v="1"/>
  </r>
  <r>
    <x v="3031"/>
    <x v="1"/>
    <x v="1"/>
    <x v="2"/>
    <n v="49.35"/>
    <x v="56"/>
    <x v="2813"/>
    <x v="0"/>
    <x v="1"/>
    <x v="1"/>
    <x v="3"/>
  </r>
  <r>
    <x v="3032"/>
    <x v="1"/>
    <x v="1"/>
    <x v="3"/>
    <n v="20.350000000000001"/>
    <x v="48"/>
    <x v="2814"/>
    <x v="0"/>
    <x v="0"/>
    <x v="1"/>
    <x v="1"/>
  </r>
  <r>
    <x v="3033"/>
    <x v="0"/>
    <x v="1"/>
    <x v="0"/>
    <n v="105.6"/>
    <x v="56"/>
    <x v="2815"/>
    <x v="0"/>
    <x v="2"/>
    <x v="1"/>
    <x v="3"/>
  </r>
  <r>
    <x v="3034"/>
    <x v="1"/>
    <x v="2"/>
    <x v="3"/>
    <n v="64.45"/>
    <x v="21"/>
    <x v="1726"/>
    <x v="0"/>
    <x v="1"/>
    <x v="1"/>
    <x v="3"/>
  </r>
  <r>
    <x v="3035"/>
    <x v="1"/>
    <x v="2"/>
    <x v="3"/>
    <n v="108.6"/>
    <x v="16"/>
    <x v="2816"/>
    <x v="1"/>
    <x v="2"/>
    <x v="1"/>
    <x v="3"/>
  </r>
  <r>
    <x v="3036"/>
    <x v="1"/>
    <x v="0"/>
    <x v="0"/>
    <n v="49.9"/>
    <x v="0"/>
    <x v="673"/>
    <x v="0"/>
    <x v="0"/>
    <x v="0"/>
    <x v="0"/>
  </r>
  <r>
    <x v="3037"/>
    <x v="1"/>
    <x v="0"/>
    <x v="2"/>
    <n v="30.3"/>
    <x v="25"/>
    <x v="1172"/>
    <x v="1"/>
    <x v="0"/>
    <x v="1"/>
    <x v="1"/>
  </r>
  <r>
    <x v="3038"/>
    <x v="0"/>
    <x v="0"/>
    <x v="0"/>
    <n v="30.4"/>
    <x v="2"/>
    <x v="2817"/>
    <x v="1"/>
    <x v="0"/>
    <x v="0"/>
    <x v="0"/>
  </r>
  <r>
    <x v="3039"/>
    <x v="0"/>
    <x v="0"/>
    <x v="1"/>
    <n v="45.4"/>
    <x v="0"/>
    <x v="2818"/>
    <x v="1"/>
    <x v="0"/>
    <x v="0"/>
    <x v="0"/>
  </r>
  <r>
    <x v="3040"/>
    <x v="0"/>
    <x v="1"/>
    <x v="0"/>
    <n v="65.650000000000006"/>
    <x v="43"/>
    <x v="2819"/>
    <x v="0"/>
    <x v="1"/>
    <x v="1"/>
    <x v="1"/>
  </r>
  <r>
    <x v="3041"/>
    <x v="0"/>
    <x v="1"/>
    <x v="2"/>
    <n v="103.3"/>
    <x v="59"/>
    <x v="2820"/>
    <x v="0"/>
    <x v="2"/>
    <x v="1"/>
    <x v="3"/>
  </r>
  <r>
    <x v="3042"/>
    <x v="0"/>
    <x v="0"/>
    <x v="2"/>
    <n v="84.15"/>
    <x v="48"/>
    <x v="2821"/>
    <x v="1"/>
    <x v="1"/>
    <x v="1"/>
    <x v="1"/>
  </r>
  <r>
    <x v="3043"/>
    <x v="0"/>
    <x v="0"/>
    <x v="0"/>
    <n v="44.45"/>
    <x v="2"/>
    <x v="2822"/>
    <x v="0"/>
    <x v="0"/>
    <x v="0"/>
    <x v="0"/>
  </r>
  <r>
    <x v="3044"/>
    <x v="0"/>
    <x v="0"/>
    <x v="0"/>
    <n v="19.75"/>
    <x v="35"/>
    <x v="2823"/>
    <x v="1"/>
    <x v="0"/>
    <x v="0"/>
    <x v="0"/>
  </r>
  <r>
    <x v="3045"/>
    <x v="0"/>
    <x v="0"/>
    <x v="3"/>
    <n v="85.4"/>
    <x v="24"/>
    <x v="272"/>
    <x v="1"/>
    <x v="0"/>
    <x v="0"/>
    <x v="0"/>
  </r>
  <r>
    <x v="3046"/>
    <x v="0"/>
    <x v="2"/>
    <x v="2"/>
    <n v="89.9"/>
    <x v="16"/>
    <x v="2770"/>
    <x v="0"/>
    <x v="2"/>
    <x v="1"/>
    <x v="3"/>
  </r>
  <r>
    <x v="3047"/>
    <x v="1"/>
    <x v="0"/>
    <x v="1"/>
    <n v="55.05"/>
    <x v="50"/>
    <x v="2824"/>
    <x v="0"/>
    <x v="1"/>
    <x v="1"/>
    <x v="1"/>
  </r>
  <r>
    <x v="3048"/>
    <x v="1"/>
    <x v="2"/>
    <x v="2"/>
    <n v="104.1"/>
    <x v="45"/>
    <x v="2825"/>
    <x v="0"/>
    <x v="2"/>
    <x v="1"/>
    <x v="3"/>
  </r>
  <r>
    <x v="3049"/>
    <x v="0"/>
    <x v="1"/>
    <x v="2"/>
    <n v="106.6"/>
    <x v="56"/>
    <x v="2826"/>
    <x v="0"/>
    <x v="2"/>
    <x v="1"/>
    <x v="3"/>
  </r>
  <r>
    <x v="3050"/>
    <x v="1"/>
    <x v="0"/>
    <x v="3"/>
    <n v="75.2"/>
    <x v="12"/>
    <x v="2827"/>
    <x v="1"/>
    <x v="1"/>
    <x v="1"/>
    <x v="3"/>
  </r>
  <r>
    <x v="3051"/>
    <x v="1"/>
    <x v="2"/>
    <x v="3"/>
    <n v="70.5"/>
    <x v="37"/>
    <x v="2828"/>
    <x v="0"/>
    <x v="1"/>
    <x v="1"/>
    <x v="3"/>
  </r>
  <r>
    <x v="3052"/>
    <x v="1"/>
    <x v="1"/>
    <x v="0"/>
    <n v="19.600000000000001"/>
    <x v="13"/>
    <x v="2829"/>
    <x v="0"/>
    <x v="0"/>
    <x v="1"/>
    <x v="1"/>
  </r>
  <r>
    <x v="3053"/>
    <x v="0"/>
    <x v="1"/>
    <x v="1"/>
    <n v="55.85"/>
    <x v="22"/>
    <x v="2830"/>
    <x v="1"/>
    <x v="0"/>
    <x v="2"/>
    <x v="2"/>
  </r>
  <r>
    <x v="3054"/>
    <x v="0"/>
    <x v="2"/>
    <x v="1"/>
    <n v="24.05"/>
    <x v="38"/>
    <x v="2831"/>
    <x v="0"/>
    <x v="0"/>
    <x v="1"/>
    <x v="3"/>
  </r>
  <r>
    <x v="3055"/>
    <x v="1"/>
    <x v="1"/>
    <x v="3"/>
    <n v="38.1"/>
    <x v="13"/>
    <x v="1890"/>
    <x v="0"/>
    <x v="0"/>
    <x v="1"/>
    <x v="1"/>
  </r>
  <r>
    <x v="3056"/>
    <x v="1"/>
    <x v="0"/>
    <x v="0"/>
    <n v="106.4"/>
    <x v="57"/>
    <x v="2832"/>
    <x v="1"/>
    <x v="1"/>
    <x v="2"/>
    <x v="2"/>
  </r>
  <r>
    <x v="3057"/>
    <x v="1"/>
    <x v="0"/>
    <x v="1"/>
    <n v="34.25"/>
    <x v="65"/>
    <x v="2833"/>
    <x v="0"/>
    <x v="0"/>
    <x v="1"/>
    <x v="2"/>
  </r>
  <r>
    <x v="3058"/>
    <x v="0"/>
    <x v="0"/>
    <x v="0"/>
    <n v="100.05"/>
    <x v="50"/>
    <x v="2834"/>
    <x v="0"/>
    <x v="1"/>
    <x v="1"/>
    <x v="1"/>
  </r>
  <r>
    <x v="3059"/>
    <x v="0"/>
    <x v="0"/>
    <x v="0"/>
    <n v="68.650000000000006"/>
    <x v="17"/>
    <x v="2835"/>
    <x v="0"/>
    <x v="0"/>
    <x v="2"/>
    <x v="2"/>
  </r>
  <r>
    <x v="3060"/>
    <x v="1"/>
    <x v="0"/>
    <x v="1"/>
    <n v="45.8"/>
    <x v="0"/>
    <x v="2836"/>
    <x v="0"/>
    <x v="0"/>
    <x v="0"/>
    <x v="0"/>
  </r>
  <r>
    <x v="3061"/>
    <x v="0"/>
    <x v="0"/>
    <x v="1"/>
    <n v="75.75"/>
    <x v="6"/>
    <x v="2837"/>
    <x v="0"/>
    <x v="0"/>
    <x v="0"/>
    <x v="0"/>
  </r>
  <r>
    <x v="3062"/>
    <x v="1"/>
    <x v="0"/>
    <x v="0"/>
    <n v="84.4"/>
    <x v="53"/>
    <x v="521"/>
    <x v="1"/>
    <x v="0"/>
    <x v="0"/>
    <x v="0"/>
  </r>
  <r>
    <x v="3063"/>
    <x v="1"/>
    <x v="1"/>
    <x v="3"/>
    <n v="96.4"/>
    <x v="69"/>
    <x v="2838"/>
    <x v="0"/>
    <x v="1"/>
    <x v="1"/>
    <x v="3"/>
  </r>
  <r>
    <x v="3064"/>
    <x v="0"/>
    <x v="0"/>
    <x v="1"/>
    <n v="20.55"/>
    <x v="6"/>
    <x v="2659"/>
    <x v="0"/>
    <x v="0"/>
    <x v="0"/>
    <x v="0"/>
  </r>
  <r>
    <x v="3065"/>
    <x v="0"/>
    <x v="0"/>
    <x v="3"/>
    <n v="50.95"/>
    <x v="53"/>
    <x v="2839"/>
    <x v="0"/>
    <x v="0"/>
    <x v="0"/>
    <x v="0"/>
  </r>
  <r>
    <x v="3066"/>
    <x v="1"/>
    <x v="2"/>
    <x v="1"/>
    <n v="90.5"/>
    <x v="20"/>
    <x v="2840"/>
    <x v="0"/>
    <x v="1"/>
    <x v="1"/>
    <x v="1"/>
  </r>
  <r>
    <x v="3067"/>
    <x v="0"/>
    <x v="1"/>
    <x v="0"/>
    <n v="79.400000000000006"/>
    <x v="59"/>
    <x v="2841"/>
    <x v="0"/>
    <x v="1"/>
    <x v="1"/>
    <x v="3"/>
  </r>
  <r>
    <x v="3068"/>
    <x v="0"/>
    <x v="2"/>
    <x v="2"/>
    <n v="58.75"/>
    <x v="15"/>
    <x v="723"/>
    <x v="0"/>
    <x v="1"/>
    <x v="1"/>
    <x v="3"/>
  </r>
  <r>
    <x v="3069"/>
    <x v="0"/>
    <x v="0"/>
    <x v="3"/>
    <n v="59.45"/>
    <x v="42"/>
    <x v="2842"/>
    <x v="0"/>
    <x v="1"/>
    <x v="1"/>
    <x v="1"/>
  </r>
  <r>
    <x v="3070"/>
    <x v="1"/>
    <x v="1"/>
    <x v="2"/>
    <n v="105.7"/>
    <x v="16"/>
    <x v="2843"/>
    <x v="0"/>
    <x v="2"/>
    <x v="1"/>
    <x v="3"/>
  </r>
  <r>
    <x v="3071"/>
    <x v="0"/>
    <x v="0"/>
    <x v="0"/>
    <n v="56.25"/>
    <x v="53"/>
    <x v="2844"/>
    <x v="1"/>
    <x v="0"/>
    <x v="0"/>
    <x v="0"/>
  </r>
  <r>
    <x v="3072"/>
    <x v="1"/>
    <x v="2"/>
    <x v="3"/>
    <n v="53.3"/>
    <x v="3"/>
    <x v="2845"/>
    <x v="0"/>
    <x v="1"/>
    <x v="1"/>
    <x v="1"/>
  </r>
  <r>
    <x v="3073"/>
    <x v="0"/>
    <x v="0"/>
    <x v="0"/>
    <n v="85.55"/>
    <x v="2"/>
    <x v="2846"/>
    <x v="1"/>
    <x v="0"/>
    <x v="0"/>
    <x v="0"/>
  </r>
  <r>
    <x v="3074"/>
    <x v="0"/>
    <x v="0"/>
    <x v="2"/>
    <n v="68.650000000000006"/>
    <x v="54"/>
    <x v="2847"/>
    <x v="1"/>
    <x v="0"/>
    <x v="0"/>
    <x v="0"/>
  </r>
  <r>
    <x v="3075"/>
    <x v="1"/>
    <x v="0"/>
    <x v="1"/>
    <n v="24.3"/>
    <x v="2"/>
    <x v="2848"/>
    <x v="0"/>
    <x v="0"/>
    <x v="0"/>
    <x v="0"/>
  </r>
  <r>
    <x v="3076"/>
    <x v="1"/>
    <x v="0"/>
    <x v="0"/>
    <n v="77.849999999999994"/>
    <x v="54"/>
    <x v="2849"/>
    <x v="1"/>
    <x v="0"/>
    <x v="0"/>
    <x v="0"/>
  </r>
  <r>
    <x v="3077"/>
    <x v="1"/>
    <x v="1"/>
    <x v="3"/>
    <n v="59.9"/>
    <x v="69"/>
    <x v="2850"/>
    <x v="0"/>
    <x v="1"/>
    <x v="1"/>
    <x v="3"/>
  </r>
  <r>
    <x v="3078"/>
    <x v="1"/>
    <x v="1"/>
    <x v="3"/>
    <n v="23.95"/>
    <x v="31"/>
    <x v="2851"/>
    <x v="0"/>
    <x v="0"/>
    <x v="1"/>
    <x v="3"/>
  </r>
  <r>
    <x v="3079"/>
    <x v="1"/>
    <x v="1"/>
    <x v="1"/>
    <n v="20.149999999999999"/>
    <x v="34"/>
    <x v="2852"/>
    <x v="0"/>
    <x v="0"/>
    <x v="0"/>
    <x v="0"/>
  </r>
  <r>
    <x v="3080"/>
    <x v="1"/>
    <x v="0"/>
    <x v="2"/>
    <n v="105.35"/>
    <x v="35"/>
    <x v="2853"/>
    <x v="1"/>
    <x v="0"/>
    <x v="0"/>
    <x v="0"/>
  </r>
  <r>
    <x v="3081"/>
    <x v="1"/>
    <x v="0"/>
    <x v="2"/>
    <n v="95.65"/>
    <x v="22"/>
    <x v="2854"/>
    <x v="0"/>
    <x v="0"/>
    <x v="2"/>
    <x v="2"/>
  </r>
  <r>
    <x v="3082"/>
    <x v="0"/>
    <x v="0"/>
    <x v="0"/>
    <n v="87.05"/>
    <x v="4"/>
    <x v="2855"/>
    <x v="1"/>
    <x v="0"/>
    <x v="0"/>
    <x v="0"/>
  </r>
  <r>
    <x v="3083"/>
    <x v="1"/>
    <x v="2"/>
    <x v="1"/>
    <n v="81"/>
    <x v="25"/>
    <x v="2856"/>
    <x v="0"/>
    <x v="1"/>
    <x v="1"/>
    <x v="1"/>
  </r>
  <r>
    <x v="3084"/>
    <x v="0"/>
    <x v="2"/>
    <x v="3"/>
    <n v="82.45"/>
    <x v="47"/>
    <x v="2857"/>
    <x v="0"/>
    <x v="2"/>
    <x v="1"/>
    <x v="3"/>
  </r>
  <r>
    <x v="3085"/>
    <x v="1"/>
    <x v="0"/>
    <x v="1"/>
    <n v="53.5"/>
    <x v="0"/>
    <x v="2858"/>
    <x v="1"/>
    <x v="0"/>
    <x v="0"/>
    <x v="0"/>
  </r>
  <r>
    <x v="3086"/>
    <x v="0"/>
    <x v="1"/>
    <x v="2"/>
    <n v="20.5"/>
    <x v="54"/>
    <x v="919"/>
    <x v="0"/>
    <x v="0"/>
    <x v="0"/>
    <x v="0"/>
  </r>
  <r>
    <x v="3087"/>
    <x v="0"/>
    <x v="0"/>
    <x v="1"/>
    <n v="25.1"/>
    <x v="0"/>
    <x v="2859"/>
    <x v="1"/>
    <x v="0"/>
    <x v="0"/>
    <x v="0"/>
  </r>
  <r>
    <x v="3088"/>
    <x v="1"/>
    <x v="1"/>
    <x v="3"/>
    <n v="54.4"/>
    <x v="7"/>
    <x v="2860"/>
    <x v="0"/>
    <x v="0"/>
    <x v="1"/>
    <x v="1"/>
  </r>
  <r>
    <x v="3089"/>
    <x v="0"/>
    <x v="1"/>
    <x v="3"/>
    <n v="58.6"/>
    <x v="71"/>
    <x v="2861"/>
    <x v="0"/>
    <x v="1"/>
    <x v="1"/>
    <x v="1"/>
  </r>
  <r>
    <x v="3090"/>
    <x v="1"/>
    <x v="0"/>
    <x v="0"/>
    <n v="84.8"/>
    <x v="26"/>
    <x v="2862"/>
    <x v="0"/>
    <x v="0"/>
    <x v="0"/>
    <x v="0"/>
  </r>
  <r>
    <x v="3091"/>
    <x v="0"/>
    <x v="2"/>
    <x v="3"/>
    <n v="61.4"/>
    <x v="16"/>
    <x v="2863"/>
    <x v="0"/>
    <x v="1"/>
    <x v="1"/>
    <x v="3"/>
  </r>
  <r>
    <x v="3092"/>
    <x v="1"/>
    <x v="0"/>
    <x v="1"/>
    <n v="20.399999999999999"/>
    <x v="2"/>
    <x v="2864"/>
    <x v="0"/>
    <x v="0"/>
    <x v="0"/>
    <x v="0"/>
  </r>
  <r>
    <x v="3093"/>
    <x v="1"/>
    <x v="0"/>
    <x v="1"/>
    <n v="79.650000000000006"/>
    <x v="19"/>
    <x v="2865"/>
    <x v="1"/>
    <x v="1"/>
    <x v="1"/>
    <x v="1"/>
  </r>
  <r>
    <x v="3094"/>
    <x v="0"/>
    <x v="1"/>
    <x v="1"/>
    <n v="20.149999999999999"/>
    <x v="22"/>
    <x v="2866"/>
    <x v="0"/>
    <x v="0"/>
    <x v="2"/>
    <x v="2"/>
  </r>
  <r>
    <x v="3095"/>
    <x v="0"/>
    <x v="0"/>
    <x v="3"/>
    <n v="94.45"/>
    <x v="49"/>
    <x v="2867"/>
    <x v="0"/>
    <x v="2"/>
    <x v="1"/>
    <x v="3"/>
  </r>
  <r>
    <x v="3096"/>
    <x v="0"/>
    <x v="0"/>
    <x v="2"/>
    <n v="79.8"/>
    <x v="11"/>
    <x v="2868"/>
    <x v="0"/>
    <x v="1"/>
    <x v="1"/>
    <x v="3"/>
  </r>
  <r>
    <x v="3097"/>
    <x v="0"/>
    <x v="0"/>
    <x v="0"/>
    <n v="54.2"/>
    <x v="24"/>
    <x v="2869"/>
    <x v="1"/>
    <x v="0"/>
    <x v="0"/>
    <x v="0"/>
  </r>
  <r>
    <x v="3098"/>
    <x v="0"/>
    <x v="0"/>
    <x v="0"/>
    <n v="19.45"/>
    <x v="0"/>
    <x v="100"/>
    <x v="1"/>
    <x v="0"/>
    <x v="0"/>
    <x v="0"/>
  </r>
  <r>
    <x v="3099"/>
    <x v="1"/>
    <x v="0"/>
    <x v="0"/>
    <n v="74.05"/>
    <x v="34"/>
    <x v="2870"/>
    <x v="0"/>
    <x v="0"/>
    <x v="0"/>
    <x v="0"/>
  </r>
  <r>
    <x v="3100"/>
    <x v="1"/>
    <x v="0"/>
    <x v="2"/>
    <n v="49.15"/>
    <x v="70"/>
    <x v="2871"/>
    <x v="0"/>
    <x v="0"/>
    <x v="1"/>
    <x v="1"/>
  </r>
  <r>
    <x v="3101"/>
    <x v="0"/>
    <x v="2"/>
    <x v="3"/>
    <n v="19.399999999999999"/>
    <x v="37"/>
    <x v="2872"/>
    <x v="0"/>
    <x v="0"/>
    <x v="1"/>
    <x v="3"/>
  </r>
  <r>
    <x v="3102"/>
    <x v="0"/>
    <x v="2"/>
    <x v="2"/>
    <n v="113.65"/>
    <x v="21"/>
    <x v="2152"/>
    <x v="0"/>
    <x v="2"/>
    <x v="1"/>
    <x v="3"/>
  </r>
  <r>
    <x v="3103"/>
    <x v="0"/>
    <x v="1"/>
    <x v="3"/>
    <n v="106"/>
    <x v="29"/>
    <x v="2873"/>
    <x v="0"/>
    <x v="1"/>
    <x v="1"/>
    <x v="1"/>
  </r>
  <r>
    <x v="3104"/>
    <x v="1"/>
    <x v="2"/>
    <x v="2"/>
    <n v="25.95"/>
    <x v="39"/>
    <x v="2874"/>
    <x v="0"/>
    <x v="0"/>
    <x v="1"/>
    <x v="3"/>
  </r>
  <r>
    <x v="3105"/>
    <x v="0"/>
    <x v="0"/>
    <x v="1"/>
    <n v="19.100000000000001"/>
    <x v="0"/>
    <x v="2875"/>
    <x v="0"/>
    <x v="0"/>
    <x v="0"/>
    <x v="0"/>
  </r>
  <r>
    <x v="3106"/>
    <x v="1"/>
    <x v="2"/>
    <x v="0"/>
    <n v="103.4"/>
    <x v="21"/>
    <x v="2876"/>
    <x v="1"/>
    <x v="2"/>
    <x v="1"/>
    <x v="3"/>
  </r>
  <r>
    <x v="3107"/>
    <x v="1"/>
    <x v="2"/>
    <x v="2"/>
    <n v="100.55"/>
    <x v="21"/>
    <x v="2877"/>
    <x v="0"/>
    <x v="2"/>
    <x v="1"/>
    <x v="3"/>
  </r>
  <r>
    <x v="3108"/>
    <x v="1"/>
    <x v="0"/>
    <x v="0"/>
    <n v="95.4"/>
    <x v="51"/>
    <x v="2878"/>
    <x v="0"/>
    <x v="1"/>
    <x v="1"/>
    <x v="1"/>
  </r>
  <r>
    <x v="3109"/>
    <x v="1"/>
    <x v="0"/>
    <x v="2"/>
    <n v="75.150000000000006"/>
    <x v="24"/>
    <x v="2052"/>
    <x v="0"/>
    <x v="0"/>
    <x v="0"/>
    <x v="0"/>
  </r>
  <r>
    <x v="3110"/>
    <x v="0"/>
    <x v="0"/>
    <x v="0"/>
    <n v="84.45"/>
    <x v="9"/>
    <x v="2879"/>
    <x v="1"/>
    <x v="0"/>
    <x v="2"/>
    <x v="2"/>
  </r>
  <r>
    <x v="3111"/>
    <x v="0"/>
    <x v="1"/>
    <x v="3"/>
    <n v="89.15"/>
    <x v="66"/>
    <x v="2880"/>
    <x v="0"/>
    <x v="1"/>
    <x v="1"/>
    <x v="1"/>
  </r>
  <r>
    <x v="3112"/>
    <x v="0"/>
    <x v="1"/>
    <x v="0"/>
    <n v="107.9"/>
    <x v="27"/>
    <x v="2881"/>
    <x v="0"/>
    <x v="2"/>
    <x v="1"/>
    <x v="3"/>
  </r>
  <r>
    <x v="3113"/>
    <x v="1"/>
    <x v="1"/>
    <x v="3"/>
    <n v="19.5"/>
    <x v="66"/>
    <x v="367"/>
    <x v="0"/>
    <x v="0"/>
    <x v="1"/>
    <x v="1"/>
  </r>
  <r>
    <x v="3114"/>
    <x v="0"/>
    <x v="0"/>
    <x v="3"/>
    <n v="85.95"/>
    <x v="48"/>
    <x v="2882"/>
    <x v="1"/>
    <x v="1"/>
    <x v="1"/>
    <x v="1"/>
  </r>
  <r>
    <x v="3115"/>
    <x v="0"/>
    <x v="2"/>
    <x v="3"/>
    <n v="24.95"/>
    <x v="14"/>
    <x v="2883"/>
    <x v="0"/>
    <x v="0"/>
    <x v="1"/>
    <x v="3"/>
  </r>
  <r>
    <x v="3116"/>
    <x v="0"/>
    <x v="0"/>
    <x v="0"/>
    <n v="59.4"/>
    <x v="10"/>
    <x v="2884"/>
    <x v="1"/>
    <x v="0"/>
    <x v="2"/>
    <x v="2"/>
  </r>
  <r>
    <x v="3117"/>
    <x v="1"/>
    <x v="1"/>
    <x v="2"/>
    <n v="19.5"/>
    <x v="47"/>
    <x v="588"/>
    <x v="0"/>
    <x v="0"/>
    <x v="1"/>
    <x v="3"/>
  </r>
  <r>
    <x v="3118"/>
    <x v="1"/>
    <x v="0"/>
    <x v="3"/>
    <n v="69.95"/>
    <x v="10"/>
    <x v="2885"/>
    <x v="0"/>
    <x v="0"/>
    <x v="2"/>
    <x v="2"/>
  </r>
  <r>
    <x v="3119"/>
    <x v="1"/>
    <x v="2"/>
    <x v="2"/>
    <n v="82.85"/>
    <x v="47"/>
    <x v="2886"/>
    <x v="0"/>
    <x v="2"/>
    <x v="1"/>
    <x v="3"/>
  </r>
  <r>
    <x v="3120"/>
    <x v="1"/>
    <x v="0"/>
    <x v="1"/>
    <n v="19"/>
    <x v="54"/>
    <x v="1350"/>
    <x v="0"/>
    <x v="0"/>
    <x v="0"/>
    <x v="0"/>
  </r>
  <r>
    <x v="3121"/>
    <x v="0"/>
    <x v="0"/>
    <x v="3"/>
    <n v="38.85"/>
    <x v="70"/>
    <x v="2887"/>
    <x v="0"/>
    <x v="0"/>
    <x v="1"/>
    <x v="1"/>
  </r>
  <r>
    <x v="3122"/>
    <x v="0"/>
    <x v="0"/>
    <x v="0"/>
    <n v="30.6"/>
    <x v="44"/>
    <x v="2008"/>
    <x v="1"/>
    <x v="0"/>
    <x v="1"/>
    <x v="1"/>
  </r>
  <r>
    <x v="3123"/>
    <x v="1"/>
    <x v="0"/>
    <x v="3"/>
    <n v="20.350000000000001"/>
    <x v="24"/>
    <x v="715"/>
    <x v="0"/>
    <x v="0"/>
    <x v="0"/>
    <x v="0"/>
  </r>
  <r>
    <x v="3124"/>
    <x v="1"/>
    <x v="1"/>
    <x v="2"/>
    <n v="95"/>
    <x v="27"/>
    <x v="2888"/>
    <x v="0"/>
    <x v="2"/>
    <x v="1"/>
    <x v="3"/>
  </r>
  <r>
    <x v="3125"/>
    <x v="1"/>
    <x v="1"/>
    <x v="2"/>
    <n v="74.400000000000006"/>
    <x v="65"/>
    <x v="2889"/>
    <x v="0"/>
    <x v="0"/>
    <x v="1"/>
    <x v="2"/>
  </r>
  <r>
    <x v="3126"/>
    <x v="0"/>
    <x v="2"/>
    <x v="2"/>
    <n v="78.45"/>
    <x v="21"/>
    <x v="2890"/>
    <x v="0"/>
    <x v="2"/>
    <x v="1"/>
    <x v="3"/>
  </r>
  <r>
    <x v="3127"/>
    <x v="1"/>
    <x v="0"/>
    <x v="1"/>
    <n v="74.3"/>
    <x v="0"/>
    <x v="1941"/>
    <x v="0"/>
    <x v="0"/>
    <x v="0"/>
    <x v="0"/>
  </r>
  <r>
    <x v="3128"/>
    <x v="1"/>
    <x v="1"/>
    <x v="2"/>
    <n v="51.05"/>
    <x v="27"/>
    <x v="2891"/>
    <x v="0"/>
    <x v="1"/>
    <x v="1"/>
    <x v="3"/>
  </r>
  <r>
    <x v="3129"/>
    <x v="0"/>
    <x v="0"/>
    <x v="2"/>
    <n v="19.2"/>
    <x v="51"/>
    <x v="2892"/>
    <x v="0"/>
    <x v="0"/>
    <x v="1"/>
    <x v="1"/>
  </r>
  <r>
    <x v="3130"/>
    <x v="0"/>
    <x v="0"/>
    <x v="0"/>
    <n v="99.55"/>
    <x v="46"/>
    <x v="2893"/>
    <x v="1"/>
    <x v="1"/>
    <x v="1"/>
    <x v="1"/>
  </r>
  <r>
    <x v="3131"/>
    <x v="0"/>
    <x v="0"/>
    <x v="0"/>
    <n v="70"/>
    <x v="22"/>
    <x v="2894"/>
    <x v="1"/>
    <x v="0"/>
    <x v="2"/>
    <x v="2"/>
  </r>
  <r>
    <x v="3132"/>
    <x v="0"/>
    <x v="1"/>
    <x v="2"/>
    <n v="109.1"/>
    <x v="52"/>
    <x v="2895"/>
    <x v="0"/>
    <x v="1"/>
    <x v="1"/>
    <x v="1"/>
  </r>
  <r>
    <x v="3133"/>
    <x v="0"/>
    <x v="0"/>
    <x v="0"/>
    <n v="45.3"/>
    <x v="0"/>
    <x v="180"/>
    <x v="1"/>
    <x v="0"/>
    <x v="0"/>
    <x v="0"/>
  </r>
  <r>
    <x v="3134"/>
    <x v="1"/>
    <x v="0"/>
    <x v="2"/>
    <n v="29.85"/>
    <x v="2"/>
    <x v="2896"/>
    <x v="1"/>
    <x v="0"/>
    <x v="0"/>
    <x v="0"/>
  </r>
  <r>
    <x v="3135"/>
    <x v="1"/>
    <x v="0"/>
    <x v="0"/>
    <n v="76.45"/>
    <x v="60"/>
    <x v="2897"/>
    <x v="0"/>
    <x v="0"/>
    <x v="2"/>
    <x v="2"/>
  </r>
  <r>
    <x v="3136"/>
    <x v="1"/>
    <x v="0"/>
    <x v="3"/>
    <n v="95.1"/>
    <x v="2"/>
    <x v="2898"/>
    <x v="1"/>
    <x v="0"/>
    <x v="0"/>
    <x v="0"/>
  </r>
  <r>
    <x v="3137"/>
    <x v="1"/>
    <x v="0"/>
    <x v="1"/>
    <n v="19.8"/>
    <x v="0"/>
    <x v="2480"/>
    <x v="1"/>
    <x v="0"/>
    <x v="0"/>
    <x v="0"/>
  </r>
  <r>
    <x v="3138"/>
    <x v="1"/>
    <x v="0"/>
    <x v="0"/>
    <n v="72.8"/>
    <x v="9"/>
    <x v="2899"/>
    <x v="0"/>
    <x v="0"/>
    <x v="2"/>
    <x v="2"/>
  </r>
  <r>
    <x v="3139"/>
    <x v="1"/>
    <x v="0"/>
    <x v="1"/>
    <n v="18.95"/>
    <x v="53"/>
    <x v="2900"/>
    <x v="0"/>
    <x v="0"/>
    <x v="0"/>
    <x v="0"/>
  </r>
  <r>
    <x v="3140"/>
    <x v="0"/>
    <x v="0"/>
    <x v="2"/>
    <n v="76.650000000000006"/>
    <x v="54"/>
    <x v="2901"/>
    <x v="1"/>
    <x v="0"/>
    <x v="0"/>
    <x v="0"/>
  </r>
  <r>
    <x v="3141"/>
    <x v="0"/>
    <x v="0"/>
    <x v="1"/>
    <n v="99.15"/>
    <x v="24"/>
    <x v="2902"/>
    <x v="1"/>
    <x v="0"/>
    <x v="0"/>
    <x v="0"/>
  </r>
  <r>
    <x v="3142"/>
    <x v="0"/>
    <x v="0"/>
    <x v="0"/>
    <n v="101.75"/>
    <x v="30"/>
    <x v="2550"/>
    <x v="0"/>
    <x v="0"/>
    <x v="2"/>
    <x v="2"/>
  </r>
  <r>
    <x v="3143"/>
    <x v="0"/>
    <x v="0"/>
    <x v="3"/>
    <n v="75.45"/>
    <x v="20"/>
    <x v="2903"/>
    <x v="0"/>
    <x v="1"/>
    <x v="1"/>
    <x v="1"/>
  </r>
  <r>
    <x v="3144"/>
    <x v="0"/>
    <x v="0"/>
    <x v="1"/>
    <n v="64.099999999999994"/>
    <x v="4"/>
    <x v="2904"/>
    <x v="0"/>
    <x v="0"/>
    <x v="0"/>
    <x v="0"/>
  </r>
  <r>
    <x v="3145"/>
    <x v="1"/>
    <x v="0"/>
    <x v="1"/>
    <n v="25.65"/>
    <x v="22"/>
    <x v="2905"/>
    <x v="0"/>
    <x v="0"/>
    <x v="2"/>
    <x v="2"/>
  </r>
  <r>
    <x v="3146"/>
    <x v="1"/>
    <x v="0"/>
    <x v="1"/>
    <n v="75.099999999999994"/>
    <x v="30"/>
    <x v="2906"/>
    <x v="0"/>
    <x v="0"/>
    <x v="2"/>
    <x v="2"/>
  </r>
  <r>
    <x v="3147"/>
    <x v="0"/>
    <x v="1"/>
    <x v="2"/>
    <n v="95.85"/>
    <x v="70"/>
    <x v="2907"/>
    <x v="0"/>
    <x v="1"/>
    <x v="1"/>
    <x v="1"/>
  </r>
  <r>
    <x v="3148"/>
    <x v="0"/>
    <x v="0"/>
    <x v="0"/>
    <n v="54.4"/>
    <x v="57"/>
    <x v="1242"/>
    <x v="0"/>
    <x v="0"/>
    <x v="2"/>
    <x v="2"/>
  </r>
  <r>
    <x v="3149"/>
    <x v="0"/>
    <x v="0"/>
    <x v="0"/>
    <n v="72.75"/>
    <x v="54"/>
    <x v="1200"/>
    <x v="0"/>
    <x v="0"/>
    <x v="0"/>
    <x v="0"/>
  </r>
  <r>
    <x v="3150"/>
    <x v="1"/>
    <x v="1"/>
    <x v="1"/>
    <n v="19.850000000000001"/>
    <x v="44"/>
    <x v="1573"/>
    <x v="0"/>
    <x v="0"/>
    <x v="1"/>
    <x v="1"/>
  </r>
  <r>
    <x v="3151"/>
    <x v="0"/>
    <x v="0"/>
    <x v="1"/>
    <n v="19.05"/>
    <x v="13"/>
    <x v="2908"/>
    <x v="0"/>
    <x v="0"/>
    <x v="1"/>
    <x v="1"/>
  </r>
  <r>
    <x v="3152"/>
    <x v="1"/>
    <x v="0"/>
    <x v="1"/>
    <n v="44.95"/>
    <x v="34"/>
    <x v="2909"/>
    <x v="1"/>
    <x v="0"/>
    <x v="0"/>
    <x v="0"/>
  </r>
  <r>
    <x v="3153"/>
    <x v="1"/>
    <x v="0"/>
    <x v="1"/>
    <n v="49.55"/>
    <x v="32"/>
    <x v="2910"/>
    <x v="1"/>
    <x v="0"/>
    <x v="2"/>
    <x v="2"/>
  </r>
  <r>
    <x v="3154"/>
    <x v="1"/>
    <x v="0"/>
    <x v="0"/>
    <n v="94.85"/>
    <x v="35"/>
    <x v="2911"/>
    <x v="0"/>
    <x v="0"/>
    <x v="0"/>
    <x v="0"/>
  </r>
  <r>
    <x v="3155"/>
    <x v="0"/>
    <x v="2"/>
    <x v="2"/>
    <n v="46.25"/>
    <x v="14"/>
    <x v="2912"/>
    <x v="0"/>
    <x v="1"/>
    <x v="1"/>
    <x v="3"/>
  </r>
  <r>
    <x v="3156"/>
    <x v="1"/>
    <x v="1"/>
    <x v="1"/>
    <n v="19.350000000000001"/>
    <x v="60"/>
    <x v="2913"/>
    <x v="0"/>
    <x v="0"/>
    <x v="2"/>
    <x v="2"/>
  </r>
  <r>
    <x v="3157"/>
    <x v="1"/>
    <x v="0"/>
    <x v="1"/>
    <n v="69.599999999999994"/>
    <x v="67"/>
    <x v="2914"/>
    <x v="0"/>
    <x v="0"/>
    <x v="2"/>
    <x v="2"/>
  </r>
  <r>
    <x v="3158"/>
    <x v="1"/>
    <x v="0"/>
    <x v="0"/>
    <n v="90.7"/>
    <x v="71"/>
    <x v="2915"/>
    <x v="0"/>
    <x v="1"/>
    <x v="1"/>
    <x v="1"/>
  </r>
  <r>
    <x v="3159"/>
    <x v="1"/>
    <x v="0"/>
    <x v="0"/>
    <n v="101.4"/>
    <x v="36"/>
    <x v="2916"/>
    <x v="0"/>
    <x v="1"/>
    <x v="1"/>
    <x v="1"/>
  </r>
  <r>
    <x v="3160"/>
    <x v="1"/>
    <x v="1"/>
    <x v="1"/>
    <n v="20.25"/>
    <x v="65"/>
    <x v="2917"/>
    <x v="0"/>
    <x v="0"/>
    <x v="1"/>
    <x v="2"/>
  </r>
  <r>
    <x v="3161"/>
    <x v="1"/>
    <x v="0"/>
    <x v="2"/>
    <n v="48.8"/>
    <x v="60"/>
    <x v="2918"/>
    <x v="0"/>
    <x v="0"/>
    <x v="2"/>
    <x v="2"/>
  </r>
  <r>
    <x v="3162"/>
    <x v="0"/>
    <x v="2"/>
    <x v="1"/>
    <n v="74.349999999999994"/>
    <x v="38"/>
    <x v="2919"/>
    <x v="0"/>
    <x v="1"/>
    <x v="1"/>
    <x v="3"/>
  </r>
  <r>
    <x v="3163"/>
    <x v="0"/>
    <x v="1"/>
    <x v="1"/>
    <n v="19.350000000000001"/>
    <x v="37"/>
    <x v="2920"/>
    <x v="0"/>
    <x v="0"/>
    <x v="1"/>
    <x v="3"/>
  </r>
  <r>
    <x v="3164"/>
    <x v="1"/>
    <x v="1"/>
    <x v="0"/>
    <n v="68.75"/>
    <x v="15"/>
    <x v="2921"/>
    <x v="0"/>
    <x v="1"/>
    <x v="1"/>
    <x v="3"/>
  </r>
  <r>
    <x v="3165"/>
    <x v="1"/>
    <x v="1"/>
    <x v="0"/>
    <n v="100.2"/>
    <x v="7"/>
    <x v="2922"/>
    <x v="0"/>
    <x v="1"/>
    <x v="1"/>
    <x v="1"/>
  </r>
  <r>
    <x v="3166"/>
    <x v="0"/>
    <x v="2"/>
    <x v="3"/>
    <n v="20.85"/>
    <x v="17"/>
    <x v="2923"/>
    <x v="0"/>
    <x v="0"/>
    <x v="2"/>
    <x v="2"/>
  </r>
  <r>
    <x v="3167"/>
    <x v="1"/>
    <x v="0"/>
    <x v="0"/>
    <n v="95.9"/>
    <x v="13"/>
    <x v="2924"/>
    <x v="1"/>
    <x v="1"/>
    <x v="1"/>
    <x v="1"/>
  </r>
  <r>
    <x v="3168"/>
    <x v="0"/>
    <x v="1"/>
    <x v="1"/>
    <n v="19.350000000000001"/>
    <x v="22"/>
    <x v="2925"/>
    <x v="0"/>
    <x v="0"/>
    <x v="2"/>
    <x v="2"/>
  </r>
  <r>
    <x v="3169"/>
    <x v="1"/>
    <x v="1"/>
    <x v="3"/>
    <n v="45"/>
    <x v="11"/>
    <x v="2926"/>
    <x v="0"/>
    <x v="1"/>
    <x v="1"/>
    <x v="3"/>
  </r>
  <r>
    <x v="3170"/>
    <x v="1"/>
    <x v="0"/>
    <x v="2"/>
    <n v="81.5"/>
    <x v="22"/>
    <x v="2927"/>
    <x v="1"/>
    <x v="0"/>
    <x v="2"/>
    <x v="2"/>
  </r>
  <r>
    <x v="3171"/>
    <x v="0"/>
    <x v="2"/>
    <x v="1"/>
    <n v="25.5"/>
    <x v="69"/>
    <x v="2928"/>
    <x v="0"/>
    <x v="0"/>
    <x v="1"/>
    <x v="3"/>
  </r>
  <r>
    <x v="3172"/>
    <x v="1"/>
    <x v="2"/>
    <x v="1"/>
    <n v="48.9"/>
    <x v="21"/>
    <x v="2929"/>
    <x v="0"/>
    <x v="1"/>
    <x v="1"/>
    <x v="3"/>
  </r>
  <r>
    <x v="3173"/>
    <x v="1"/>
    <x v="0"/>
    <x v="0"/>
    <n v="84.1"/>
    <x v="15"/>
    <x v="2930"/>
    <x v="1"/>
    <x v="1"/>
    <x v="1"/>
    <x v="3"/>
  </r>
  <r>
    <x v="3174"/>
    <x v="0"/>
    <x v="2"/>
    <x v="1"/>
    <n v="19.600000000000001"/>
    <x v="23"/>
    <x v="2931"/>
    <x v="0"/>
    <x v="0"/>
    <x v="1"/>
    <x v="1"/>
  </r>
  <r>
    <x v="3175"/>
    <x v="0"/>
    <x v="0"/>
    <x v="1"/>
    <n v="20"/>
    <x v="35"/>
    <x v="573"/>
    <x v="0"/>
    <x v="0"/>
    <x v="0"/>
    <x v="0"/>
  </r>
  <r>
    <x v="3176"/>
    <x v="0"/>
    <x v="2"/>
    <x v="1"/>
    <n v="81.3"/>
    <x v="38"/>
    <x v="2932"/>
    <x v="0"/>
    <x v="2"/>
    <x v="1"/>
    <x v="3"/>
  </r>
  <r>
    <x v="3177"/>
    <x v="0"/>
    <x v="2"/>
    <x v="3"/>
    <n v="95.2"/>
    <x v="3"/>
    <x v="2933"/>
    <x v="0"/>
    <x v="1"/>
    <x v="1"/>
    <x v="1"/>
  </r>
  <r>
    <x v="3178"/>
    <x v="1"/>
    <x v="0"/>
    <x v="1"/>
    <n v="36.450000000000003"/>
    <x v="35"/>
    <x v="2934"/>
    <x v="1"/>
    <x v="0"/>
    <x v="0"/>
    <x v="0"/>
  </r>
  <r>
    <x v="3179"/>
    <x v="0"/>
    <x v="2"/>
    <x v="3"/>
    <n v="83.3"/>
    <x v="16"/>
    <x v="2935"/>
    <x v="0"/>
    <x v="2"/>
    <x v="1"/>
    <x v="3"/>
  </r>
  <r>
    <x v="3180"/>
    <x v="0"/>
    <x v="0"/>
    <x v="1"/>
    <n v="25.05"/>
    <x v="0"/>
    <x v="2936"/>
    <x v="1"/>
    <x v="0"/>
    <x v="0"/>
    <x v="0"/>
  </r>
  <r>
    <x v="3181"/>
    <x v="0"/>
    <x v="2"/>
    <x v="3"/>
    <n v="20.3"/>
    <x v="11"/>
    <x v="2937"/>
    <x v="0"/>
    <x v="0"/>
    <x v="1"/>
    <x v="3"/>
  </r>
  <r>
    <x v="3182"/>
    <x v="1"/>
    <x v="0"/>
    <x v="0"/>
    <n v="89.85"/>
    <x v="1"/>
    <x v="2938"/>
    <x v="0"/>
    <x v="1"/>
    <x v="1"/>
    <x v="1"/>
  </r>
  <r>
    <x v="3183"/>
    <x v="0"/>
    <x v="0"/>
    <x v="0"/>
    <n v="49.85"/>
    <x v="4"/>
    <x v="2939"/>
    <x v="1"/>
    <x v="0"/>
    <x v="0"/>
    <x v="0"/>
  </r>
  <r>
    <x v="3184"/>
    <x v="0"/>
    <x v="0"/>
    <x v="1"/>
    <n v="19.8"/>
    <x v="30"/>
    <x v="2940"/>
    <x v="0"/>
    <x v="0"/>
    <x v="2"/>
    <x v="2"/>
  </r>
  <r>
    <x v="3185"/>
    <x v="1"/>
    <x v="2"/>
    <x v="2"/>
    <n v="54.65"/>
    <x v="33"/>
    <x v="2941"/>
    <x v="0"/>
    <x v="1"/>
    <x v="1"/>
    <x v="3"/>
  </r>
  <r>
    <x v="3186"/>
    <x v="1"/>
    <x v="0"/>
    <x v="3"/>
    <n v="29.35"/>
    <x v="18"/>
    <x v="2942"/>
    <x v="0"/>
    <x v="0"/>
    <x v="2"/>
    <x v="0"/>
  </r>
  <r>
    <x v="3187"/>
    <x v="1"/>
    <x v="2"/>
    <x v="2"/>
    <n v="19.149999999999999"/>
    <x v="11"/>
    <x v="2943"/>
    <x v="0"/>
    <x v="0"/>
    <x v="1"/>
    <x v="3"/>
  </r>
  <r>
    <x v="3188"/>
    <x v="0"/>
    <x v="2"/>
    <x v="1"/>
    <n v="19.100000000000001"/>
    <x v="35"/>
    <x v="2944"/>
    <x v="0"/>
    <x v="0"/>
    <x v="0"/>
    <x v="0"/>
  </r>
  <r>
    <x v="3189"/>
    <x v="0"/>
    <x v="0"/>
    <x v="3"/>
    <n v="55.55"/>
    <x v="29"/>
    <x v="2945"/>
    <x v="1"/>
    <x v="1"/>
    <x v="1"/>
    <x v="1"/>
  </r>
  <r>
    <x v="3190"/>
    <x v="0"/>
    <x v="0"/>
    <x v="0"/>
    <n v="80.55"/>
    <x v="34"/>
    <x v="2946"/>
    <x v="0"/>
    <x v="0"/>
    <x v="0"/>
    <x v="0"/>
  </r>
  <r>
    <x v="3191"/>
    <x v="0"/>
    <x v="1"/>
    <x v="1"/>
    <n v="20.25"/>
    <x v="35"/>
    <x v="1436"/>
    <x v="0"/>
    <x v="0"/>
    <x v="0"/>
    <x v="0"/>
  </r>
  <r>
    <x v="3192"/>
    <x v="0"/>
    <x v="1"/>
    <x v="2"/>
    <n v="69.5"/>
    <x v="5"/>
    <x v="2947"/>
    <x v="1"/>
    <x v="0"/>
    <x v="2"/>
    <x v="2"/>
  </r>
  <r>
    <x v="3193"/>
    <x v="1"/>
    <x v="1"/>
    <x v="2"/>
    <n v="106"/>
    <x v="63"/>
    <x v="2948"/>
    <x v="0"/>
    <x v="1"/>
    <x v="1"/>
    <x v="1"/>
  </r>
  <r>
    <x v="3194"/>
    <x v="0"/>
    <x v="2"/>
    <x v="2"/>
    <n v="25.5"/>
    <x v="47"/>
    <x v="2949"/>
    <x v="0"/>
    <x v="0"/>
    <x v="1"/>
    <x v="3"/>
  </r>
  <r>
    <x v="3195"/>
    <x v="1"/>
    <x v="0"/>
    <x v="0"/>
    <n v="104.3"/>
    <x v="68"/>
    <x v="2199"/>
    <x v="1"/>
    <x v="2"/>
    <x v="1"/>
    <x v="3"/>
  </r>
  <r>
    <x v="3196"/>
    <x v="0"/>
    <x v="2"/>
    <x v="1"/>
    <n v="79.599999999999994"/>
    <x v="37"/>
    <x v="2950"/>
    <x v="0"/>
    <x v="1"/>
    <x v="1"/>
    <x v="3"/>
  </r>
  <r>
    <x v="3197"/>
    <x v="1"/>
    <x v="0"/>
    <x v="0"/>
    <n v="55.25"/>
    <x v="0"/>
    <x v="2951"/>
    <x v="0"/>
    <x v="0"/>
    <x v="0"/>
    <x v="0"/>
  </r>
  <r>
    <x v="3198"/>
    <x v="0"/>
    <x v="2"/>
    <x v="2"/>
    <n v="88.05"/>
    <x v="21"/>
    <x v="139"/>
    <x v="0"/>
    <x v="2"/>
    <x v="1"/>
    <x v="3"/>
  </r>
  <r>
    <x v="3199"/>
    <x v="1"/>
    <x v="1"/>
    <x v="2"/>
    <n v="20.399999999999999"/>
    <x v="63"/>
    <x v="1666"/>
    <x v="0"/>
    <x v="0"/>
    <x v="1"/>
    <x v="1"/>
  </r>
  <r>
    <x v="3200"/>
    <x v="0"/>
    <x v="2"/>
    <x v="2"/>
    <n v="117.6"/>
    <x v="21"/>
    <x v="2952"/>
    <x v="0"/>
    <x v="2"/>
    <x v="1"/>
    <x v="3"/>
  </r>
  <r>
    <x v="3201"/>
    <x v="0"/>
    <x v="0"/>
    <x v="1"/>
    <n v="20"/>
    <x v="53"/>
    <x v="2953"/>
    <x v="0"/>
    <x v="0"/>
    <x v="0"/>
    <x v="0"/>
  </r>
  <r>
    <x v="3202"/>
    <x v="0"/>
    <x v="0"/>
    <x v="3"/>
    <n v="19.649999999999999"/>
    <x v="24"/>
    <x v="2954"/>
    <x v="0"/>
    <x v="0"/>
    <x v="0"/>
    <x v="0"/>
  </r>
  <r>
    <x v="3203"/>
    <x v="1"/>
    <x v="1"/>
    <x v="3"/>
    <n v="70.55"/>
    <x v="43"/>
    <x v="2955"/>
    <x v="0"/>
    <x v="1"/>
    <x v="1"/>
    <x v="1"/>
  </r>
  <r>
    <x v="3204"/>
    <x v="0"/>
    <x v="0"/>
    <x v="0"/>
    <n v="93.85"/>
    <x v="0"/>
    <x v="2956"/>
    <x v="1"/>
    <x v="0"/>
    <x v="0"/>
    <x v="0"/>
  </r>
  <r>
    <x v="3205"/>
    <x v="0"/>
    <x v="1"/>
    <x v="1"/>
    <n v="65.8"/>
    <x v="38"/>
    <x v="2957"/>
    <x v="0"/>
    <x v="1"/>
    <x v="1"/>
    <x v="3"/>
  </r>
  <r>
    <x v="3206"/>
    <x v="0"/>
    <x v="1"/>
    <x v="3"/>
    <n v="20.05"/>
    <x v="22"/>
    <x v="2958"/>
    <x v="0"/>
    <x v="0"/>
    <x v="2"/>
    <x v="2"/>
  </r>
  <r>
    <x v="3207"/>
    <x v="1"/>
    <x v="0"/>
    <x v="0"/>
    <n v="80"/>
    <x v="63"/>
    <x v="2959"/>
    <x v="0"/>
    <x v="1"/>
    <x v="1"/>
    <x v="1"/>
  </r>
  <r>
    <x v="3208"/>
    <x v="0"/>
    <x v="1"/>
    <x v="3"/>
    <n v="35.4"/>
    <x v="52"/>
    <x v="2960"/>
    <x v="0"/>
    <x v="0"/>
    <x v="1"/>
    <x v="1"/>
  </r>
  <r>
    <x v="3209"/>
    <x v="1"/>
    <x v="1"/>
    <x v="2"/>
    <n v="79.599999999999994"/>
    <x v="69"/>
    <x v="2961"/>
    <x v="0"/>
    <x v="1"/>
    <x v="1"/>
    <x v="3"/>
  </r>
  <r>
    <x v="3210"/>
    <x v="1"/>
    <x v="0"/>
    <x v="0"/>
    <n v="80.25"/>
    <x v="52"/>
    <x v="2962"/>
    <x v="0"/>
    <x v="1"/>
    <x v="1"/>
    <x v="1"/>
  </r>
  <r>
    <x v="3211"/>
    <x v="0"/>
    <x v="0"/>
    <x v="1"/>
    <n v="50.45"/>
    <x v="0"/>
    <x v="1372"/>
    <x v="1"/>
    <x v="0"/>
    <x v="0"/>
    <x v="0"/>
  </r>
  <r>
    <x v="3212"/>
    <x v="0"/>
    <x v="0"/>
    <x v="1"/>
    <n v="20.45"/>
    <x v="2"/>
    <x v="2963"/>
    <x v="0"/>
    <x v="0"/>
    <x v="0"/>
    <x v="0"/>
  </r>
  <r>
    <x v="3213"/>
    <x v="1"/>
    <x v="1"/>
    <x v="3"/>
    <n v="79.599999999999994"/>
    <x v="47"/>
    <x v="2964"/>
    <x v="0"/>
    <x v="2"/>
    <x v="1"/>
    <x v="3"/>
  </r>
  <r>
    <x v="3214"/>
    <x v="0"/>
    <x v="2"/>
    <x v="1"/>
    <n v="24.7"/>
    <x v="65"/>
    <x v="1160"/>
    <x v="0"/>
    <x v="0"/>
    <x v="1"/>
    <x v="2"/>
  </r>
  <r>
    <x v="3215"/>
    <x v="1"/>
    <x v="2"/>
    <x v="3"/>
    <n v="77.3"/>
    <x v="27"/>
    <x v="2965"/>
    <x v="0"/>
    <x v="2"/>
    <x v="1"/>
    <x v="3"/>
  </r>
  <r>
    <x v="3216"/>
    <x v="1"/>
    <x v="0"/>
    <x v="0"/>
    <n v="29.75"/>
    <x v="35"/>
    <x v="2966"/>
    <x v="0"/>
    <x v="0"/>
    <x v="0"/>
    <x v="0"/>
  </r>
  <r>
    <x v="3217"/>
    <x v="1"/>
    <x v="0"/>
    <x v="2"/>
    <n v="44.9"/>
    <x v="2"/>
    <x v="2967"/>
    <x v="0"/>
    <x v="0"/>
    <x v="0"/>
    <x v="0"/>
  </r>
  <r>
    <x v="3218"/>
    <x v="1"/>
    <x v="0"/>
    <x v="3"/>
    <n v="29.8"/>
    <x v="35"/>
    <x v="2968"/>
    <x v="0"/>
    <x v="0"/>
    <x v="0"/>
    <x v="0"/>
  </r>
  <r>
    <x v="3219"/>
    <x v="0"/>
    <x v="0"/>
    <x v="0"/>
    <n v="74.650000000000006"/>
    <x v="40"/>
    <x v="1088"/>
    <x v="1"/>
    <x v="0"/>
    <x v="0"/>
    <x v="0"/>
  </r>
  <r>
    <x v="3220"/>
    <x v="0"/>
    <x v="0"/>
    <x v="0"/>
    <n v="71.95"/>
    <x v="9"/>
    <x v="2969"/>
    <x v="0"/>
    <x v="0"/>
    <x v="2"/>
    <x v="2"/>
  </r>
  <r>
    <x v="3221"/>
    <x v="1"/>
    <x v="0"/>
    <x v="1"/>
    <n v="20.75"/>
    <x v="40"/>
    <x v="2970"/>
    <x v="0"/>
    <x v="0"/>
    <x v="0"/>
    <x v="0"/>
  </r>
  <r>
    <x v="3222"/>
    <x v="1"/>
    <x v="0"/>
    <x v="1"/>
    <n v="56.3"/>
    <x v="18"/>
    <x v="2971"/>
    <x v="0"/>
    <x v="0"/>
    <x v="2"/>
    <x v="0"/>
  </r>
  <r>
    <x v="3223"/>
    <x v="1"/>
    <x v="1"/>
    <x v="0"/>
    <n v="105.25"/>
    <x v="62"/>
    <x v="2972"/>
    <x v="0"/>
    <x v="2"/>
    <x v="1"/>
    <x v="3"/>
  </r>
  <r>
    <x v="3224"/>
    <x v="0"/>
    <x v="0"/>
    <x v="0"/>
    <n v="94.2"/>
    <x v="18"/>
    <x v="2973"/>
    <x v="1"/>
    <x v="0"/>
    <x v="2"/>
    <x v="0"/>
  </r>
  <r>
    <x v="3225"/>
    <x v="1"/>
    <x v="2"/>
    <x v="1"/>
    <n v="19.55"/>
    <x v="28"/>
    <x v="2974"/>
    <x v="0"/>
    <x v="0"/>
    <x v="1"/>
    <x v="3"/>
  </r>
  <r>
    <x v="3226"/>
    <x v="0"/>
    <x v="0"/>
    <x v="1"/>
    <n v="84.45"/>
    <x v="30"/>
    <x v="2975"/>
    <x v="0"/>
    <x v="0"/>
    <x v="2"/>
    <x v="2"/>
  </r>
  <r>
    <x v="3227"/>
    <x v="1"/>
    <x v="1"/>
    <x v="1"/>
    <n v="53.65"/>
    <x v="51"/>
    <x v="2976"/>
    <x v="0"/>
    <x v="0"/>
    <x v="1"/>
    <x v="1"/>
  </r>
  <r>
    <x v="3228"/>
    <x v="1"/>
    <x v="0"/>
    <x v="0"/>
    <n v="29.9"/>
    <x v="54"/>
    <x v="2977"/>
    <x v="0"/>
    <x v="0"/>
    <x v="0"/>
    <x v="0"/>
  </r>
  <r>
    <x v="3229"/>
    <x v="0"/>
    <x v="2"/>
    <x v="1"/>
    <n v="19.7"/>
    <x v="65"/>
    <x v="2978"/>
    <x v="0"/>
    <x v="0"/>
    <x v="1"/>
    <x v="2"/>
  </r>
  <r>
    <x v="3230"/>
    <x v="0"/>
    <x v="1"/>
    <x v="3"/>
    <n v="43.7"/>
    <x v="59"/>
    <x v="2979"/>
    <x v="0"/>
    <x v="1"/>
    <x v="1"/>
    <x v="3"/>
  </r>
  <r>
    <x v="3231"/>
    <x v="1"/>
    <x v="0"/>
    <x v="0"/>
    <n v="55.3"/>
    <x v="10"/>
    <x v="2980"/>
    <x v="0"/>
    <x v="0"/>
    <x v="2"/>
    <x v="2"/>
  </r>
  <r>
    <x v="3232"/>
    <x v="1"/>
    <x v="2"/>
    <x v="3"/>
    <n v="19.850000000000001"/>
    <x v="45"/>
    <x v="2981"/>
    <x v="0"/>
    <x v="0"/>
    <x v="1"/>
    <x v="3"/>
  </r>
  <r>
    <x v="3233"/>
    <x v="0"/>
    <x v="2"/>
    <x v="3"/>
    <n v="19.649999999999999"/>
    <x v="70"/>
    <x v="2982"/>
    <x v="0"/>
    <x v="0"/>
    <x v="1"/>
    <x v="1"/>
  </r>
  <r>
    <x v="3234"/>
    <x v="1"/>
    <x v="0"/>
    <x v="1"/>
    <n v="49.45"/>
    <x v="10"/>
    <x v="2983"/>
    <x v="0"/>
    <x v="0"/>
    <x v="2"/>
    <x v="2"/>
  </r>
  <r>
    <x v="3235"/>
    <x v="0"/>
    <x v="1"/>
    <x v="2"/>
    <n v="106.55"/>
    <x v="68"/>
    <x v="2984"/>
    <x v="1"/>
    <x v="2"/>
    <x v="1"/>
    <x v="3"/>
  </r>
  <r>
    <x v="3236"/>
    <x v="1"/>
    <x v="0"/>
    <x v="1"/>
    <n v="20.100000000000001"/>
    <x v="0"/>
    <x v="2985"/>
    <x v="1"/>
    <x v="0"/>
    <x v="0"/>
    <x v="0"/>
  </r>
  <r>
    <x v="3237"/>
    <x v="1"/>
    <x v="2"/>
    <x v="1"/>
    <n v="20.45"/>
    <x v="24"/>
    <x v="2986"/>
    <x v="0"/>
    <x v="0"/>
    <x v="0"/>
    <x v="0"/>
  </r>
  <r>
    <x v="3238"/>
    <x v="0"/>
    <x v="0"/>
    <x v="0"/>
    <n v="39.700000000000003"/>
    <x v="67"/>
    <x v="2987"/>
    <x v="0"/>
    <x v="0"/>
    <x v="2"/>
    <x v="2"/>
  </r>
  <r>
    <x v="3239"/>
    <x v="1"/>
    <x v="0"/>
    <x v="3"/>
    <n v="54.5"/>
    <x v="6"/>
    <x v="2988"/>
    <x v="0"/>
    <x v="0"/>
    <x v="0"/>
    <x v="0"/>
  </r>
  <r>
    <x v="3240"/>
    <x v="0"/>
    <x v="0"/>
    <x v="0"/>
    <n v="83.8"/>
    <x v="57"/>
    <x v="2989"/>
    <x v="1"/>
    <x v="0"/>
    <x v="2"/>
    <x v="2"/>
  </r>
  <r>
    <x v="3241"/>
    <x v="1"/>
    <x v="0"/>
    <x v="1"/>
    <n v="55.15"/>
    <x v="35"/>
    <x v="2990"/>
    <x v="1"/>
    <x v="0"/>
    <x v="0"/>
    <x v="0"/>
  </r>
  <r>
    <x v="3242"/>
    <x v="0"/>
    <x v="2"/>
    <x v="2"/>
    <n v="111.6"/>
    <x v="21"/>
    <x v="2991"/>
    <x v="0"/>
    <x v="2"/>
    <x v="1"/>
    <x v="3"/>
  </r>
  <r>
    <x v="3243"/>
    <x v="1"/>
    <x v="0"/>
    <x v="0"/>
    <n v="86.65"/>
    <x v="6"/>
    <x v="2992"/>
    <x v="1"/>
    <x v="0"/>
    <x v="0"/>
    <x v="0"/>
  </r>
  <r>
    <x v="3244"/>
    <x v="0"/>
    <x v="0"/>
    <x v="1"/>
    <n v="55.55"/>
    <x v="6"/>
    <x v="960"/>
    <x v="0"/>
    <x v="0"/>
    <x v="0"/>
    <x v="0"/>
  </r>
  <r>
    <x v="3245"/>
    <x v="1"/>
    <x v="1"/>
    <x v="1"/>
    <n v="20.55"/>
    <x v="26"/>
    <x v="2993"/>
    <x v="0"/>
    <x v="0"/>
    <x v="0"/>
    <x v="0"/>
  </r>
  <r>
    <x v="3246"/>
    <x v="0"/>
    <x v="0"/>
    <x v="2"/>
    <n v="106.75"/>
    <x v="50"/>
    <x v="2994"/>
    <x v="1"/>
    <x v="1"/>
    <x v="1"/>
    <x v="1"/>
  </r>
  <r>
    <x v="3247"/>
    <x v="1"/>
    <x v="1"/>
    <x v="1"/>
    <n v="62.1"/>
    <x v="22"/>
    <x v="2995"/>
    <x v="0"/>
    <x v="0"/>
    <x v="2"/>
    <x v="2"/>
  </r>
  <r>
    <x v="3248"/>
    <x v="0"/>
    <x v="0"/>
    <x v="3"/>
    <n v="104.5"/>
    <x v="51"/>
    <x v="2996"/>
    <x v="0"/>
    <x v="1"/>
    <x v="1"/>
    <x v="1"/>
  </r>
  <r>
    <x v="3249"/>
    <x v="1"/>
    <x v="0"/>
    <x v="0"/>
    <n v="101.8"/>
    <x v="22"/>
    <x v="2997"/>
    <x v="0"/>
    <x v="0"/>
    <x v="2"/>
    <x v="2"/>
  </r>
  <r>
    <x v="3250"/>
    <x v="0"/>
    <x v="1"/>
    <x v="3"/>
    <n v="110.6"/>
    <x v="33"/>
    <x v="2998"/>
    <x v="0"/>
    <x v="2"/>
    <x v="1"/>
    <x v="3"/>
  </r>
  <r>
    <x v="3251"/>
    <x v="1"/>
    <x v="1"/>
    <x v="2"/>
    <n v="84.9"/>
    <x v="59"/>
    <x v="2999"/>
    <x v="0"/>
    <x v="2"/>
    <x v="1"/>
    <x v="3"/>
  </r>
  <r>
    <x v="3252"/>
    <x v="1"/>
    <x v="0"/>
    <x v="1"/>
    <n v="93.2"/>
    <x v="5"/>
    <x v="3000"/>
    <x v="0"/>
    <x v="1"/>
    <x v="2"/>
    <x v="2"/>
  </r>
  <r>
    <x v="3253"/>
    <x v="1"/>
    <x v="0"/>
    <x v="0"/>
    <n v="24.4"/>
    <x v="0"/>
    <x v="3001"/>
    <x v="0"/>
    <x v="0"/>
    <x v="0"/>
    <x v="0"/>
  </r>
  <r>
    <x v="3254"/>
    <x v="0"/>
    <x v="0"/>
    <x v="3"/>
    <n v="70.55"/>
    <x v="53"/>
    <x v="3002"/>
    <x v="0"/>
    <x v="0"/>
    <x v="0"/>
    <x v="0"/>
  </r>
  <r>
    <x v="3255"/>
    <x v="1"/>
    <x v="0"/>
    <x v="0"/>
    <n v="78.45"/>
    <x v="36"/>
    <x v="3003"/>
    <x v="1"/>
    <x v="1"/>
    <x v="1"/>
    <x v="1"/>
  </r>
  <r>
    <x v="3256"/>
    <x v="0"/>
    <x v="2"/>
    <x v="3"/>
    <n v="85"/>
    <x v="47"/>
    <x v="3004"/>
    <x v="0"/>
    <x v="2"/>
    <x v="1"/>
    <x v="3"/>
  </r>
  <r>
    <x v="3257"/>
    <x v="0"/>
    <x v="0"/>
    <x v="0"/>
    <n v="87.45"/>
    <x v="1"/>
    <x v="3005"/>
    <x v="1"/>
    <x v="1"/>
    <x v="1"/>
    <x v="1"/>
  </r>
  <r>
    <x v="3258"/>
    <x v="0"/>
    <x v="0"/>
    <x v="2"/>
    <n v="85.8"/>
    <x v="15"/>
    <x v="3006"/>
    <x v="0"/>
    <x v="1"/>
    <x v="1"/>
    <x v="3"/>
  </r>
  <r>
    <x v="3259"/>
    <x v="0"/>
    <x v="0"/>
    <x v="0"/>
    <n v="91.1"/>
    <x v="6"/>
    <x v="3007"/>
    <x v="0"/>
    <x v="0"/>
    <x v="0"/>
    <x v="0"/>
  </r>
  <r>
    <x v="3260"/>
    <x v="1"/>
    <x v="0"/>
    <x v="0"/>
    <n v="70.75"/>
    <x v="44"/>
    <x v="3008"/>
    <x v="1"/>
    <x v="1"/>
    <x v="1"/>
    <x v="1"/>
  </r>
  <r>
    <x v="3261"/>
    <x v="0"/>
    <x v="2"/>
    <x v="2"/>
    <n v="20.100000000000001"/>
    <x v="21"/>
    <x v="1232"/>
    <x v="0"/>
    <x v="0"/>
    <x v="1"/>
    <x v="3"/>
  </r>
  <r>
    <x v="3262"/>
    <x v="1"/>
    <x v="1"/>
    <x v="1"/>
    <n v="20.05"/>
    <x v="20"/>
    <x v="3009"/>
    <x v="0"/>
    <x v="0"/>
    <x v="1"/>
    <x v="1"/>
  </r>
  <r>
    <x v="3263"/>
    <x v="1"/>
    <x v="1"/>
    <x v="1"/>
    <n v="74.8"/>
    <x v="65"/>
    <x v="3010"/>
    <x v="0"/>
    <x v="0"/>
    <x v="1"/>
    <x v="2"/>
  </r>
  <r>
    <x v="3264"/>
    <x v="1"/>
    <x v="1"/>
    <x v="3"/>
    <n v="24.8"/>
    <x v="45"/>
    <x v="1527"/>
    <x v="0"/>
    <x v="0"/>
    <x v="1"/>
    <x v="3"/>
  </r>
  <r>
    <x v="3265"/>
    <x v="0"/>
    <x v="0"/>
    <x v="1"/>
    <n v="100.85"/>
    <x v="54"/>
    <x v="3011"/>
    <x v="0"/>
    <x v="0"/>
    <x v="0"/>
    <x v="0"/>
  </r>
  <r>
    <x v="3266"/>
    <x v="1"/>
    <x v="0"/>
    <x v="0"/>
    <n v="101.35"/>
    <x v="18"/>
    <x v="3012"/>
    <x v="1"/>
    <x v="0"/>
    <x v="2"/>
    <x v="0"/>
  </r>
  <r>
    <x v="3267"/>
    <x v="1"/>
    <x v="0"/>
    <x v="0"/>
    <n v="81.7"/>
    <x v="0"/>
    <x v="3013"/>
    <x v="1"/>
    <x v="0"/>
    <x v="0"/>
    <x v="0"/>
  </r>
  <r>
    <x v="3268"/>
    <x v="1"/>
    <x v="0"/>
    <x v="0"/>
    <n v="68.25"/>
    <x v="55"/>
    <x v="3014"/>
    <x v="1"/>
    <x v="1"/>
    <x v="1"/>
    <x v="1"/>
  </r>
  <r>
    <x v="3269"/>
    <x v="0"/>
    <x v="0"/>
    <x v="0"/>
    <n v="105.1"/>
    <x v="1"/>
    <x v="3015"/>
    <x v="0"/>
    <x v="1"/>
    <x v="1"/>
    <x v="1"/>
  </r>
  <r>
    <x v="3270"/>
    <x v="0"/>
    <x v="2"/>
    <x v="1"/>
    <n v="20.399999999999999"/>
    <x v="60"/>
    <x v="749"/>
    <x v="0"/>
    <x v="0"/>
    <x v="2"/>
    <x v="2"/>
  </r>
  <r>
    <x v="3271"/>
    <x v="0"/>
    <x v="0"/>
    <x v="0"/>
    <n v="79.150000000000006"/>
    <x v="54"/>
    <x v="3016"/>
    <x v="1"/>
    <x v="0"/>
    <x v="0"/>
    <x v="0"/>
  </r>
  <r>
    <x v="3272"/>
    <x v="1"/>
    <x v="1"/>
    <x v="1"/>
    <n v="20"/>
    <x v="9"/>
    <x v="962"/>
    <x v="0"/>
    <x v="0"/>
    <x v="2"/>
    <x v="2"/>
  </r>
  <r>
    <x v="3273"/>
    <x v="0"/>
    <x v="2"/>
    <x v="2"/>
    <n v="79.400000000000006"/>
    <x v="45"/>
    <x v="3017"/>
    <x v="0"/>
    <x v="2"/>
    <x v="1"/>
    <x v="3"/>
  </r>
  <r>
    <x v="3274"/>
    <x v="1"/>
    <x v="1"/>
    <x v="3"/>
    <n v="57.2"/>
    <x v="57"/>
    <x v="3018"/>
    <x v="0"/>
    <x v="0"/>
    <x v="2"/>
    <x v="2"/>
  </r>
  <r>
    <x v="3275"/>
    <x v="1"/>
    <x v="2"/>
    <x v="0"/>
    <n v="58.6"/>
    <x v="49"/>
    <x v="3019"/>
    <x v="0"/>
    <x v="1"/>
    <x v="1"/>
    <x v="3"/>
  </r>
  <r>
    <x v="3276"/>
    <x v="1"/>
    <x v="2"/>
    <x v="0"/>
    <n v="94.8"/>
    <x v="12"/>
    <x v="3020"/>
    <x v="0"/>
    <x v="1"/>
    <x v="1"/>
    <x v="3"/>
  </r>
  <r>
    <x v="3277"/>
    <x v="1"/>
    <x v="1"/>
    <x v="2"/>
    <n v="102.5"/>
    <x v="31"/>
    <x v="3021"/>
    <x v="0"/>
    <x v="2"/>
    <x v="1"/>
    <x v="3"/>
  </r>
  <r>
    <x v="3278"/>
    <x v="0"/>
    <x v="1"/>
    <x v="3"/>
    <n v="20.350000000000001"/>
    <x v="14"/>
    <x v="3022"/>
    <x v="0"/>
    <x v="0"/>
    <x v="1"/>
    <x v="3"/>
  </r>
  <r>
    <x v="3279"/>
    <x v="1"/>
    <x v="0"/>
    <x v="0"/>
    <n v="84.9"/>
    <x v="63"/>
    <x v="3023"/>
    <x v="0"/>
    <x v="1"/>
    <x v="1"/>
    <x v="1"/>
  </r>
  <r>
    <x v="3280"/>
    <x v="1"/>
    <x v="2"/>
    <x v="3"/>
    <n v="69.2"/>
    <x v="56"/>
    <x v="3024"/>
    <x v="0"/>
    <x v="1"/>
    <x v="1"/>
    <x v="3"/>
  </r>
  <r>
    <x v="3281"/>
    <x v="1"/>
    <x v="0"/>
    <x v="0"/>
    <n v="95.45"/>
    <x v="42"/>
    <x v="3025"/>
    <x v="1"/>
    <x v="1"/>
    <x v="1"/>
    <x v="1"/>
  </r>
  <r>
    <x v="3282"/>
    <x v="1"/>
    <x v="1"/>
    <x v="0"/>
    <n v="100.95"/>
    <x v="67"/>
    <x v="3026"/>
    <x v="1"/>
    <x v="0"/>
    <x v="2"/>
    <x v="2"/>
  </r>
  <r>
    <x v="3283"/>
    <x v="0"/>
    <x v="2"/>
    <x v="1"/>
    <n v="20.85"/>
    <x v="9"/>
    <x v="3027"/>
    <x v="0"/>
    <x v="0"/>
    <x v="2"/>
    <x v="2"/>
  </r>
  <r>
    <x v="3284"/>
    <x v="0"/>
    <x v="0"/>
    <x v="2"/>
    <n v="88.5"/>
    <x v="52"/>
    <x v="3028"/>
    <x v="0"/>
    <x v="1"/>
    <x v="1"/>
    <x v="1"/>
  </r>
  <r>
    <x v="3285"/>
    <x v="0"/>
    <x v="0"/>
    <x v="1"/>
    <n v="35"/>
    <x v="54"/>
    <x v="612"/>
    <x v="0"/>
    <x v="0"/>
    <x v="0"/>
    <x v="0"/>
  </r>
  <r>
    <x v="3286"/>
    <x v="0"/>
    <x v="0"/>
    <x v="0"/>
    <n v="55.15"/>
    <x v="65"/>
    <x v="3029"/>
    <x v="0"/>
    <x v="0"/>
    <x v="1"/>
    <x v="2"/>
  </r>
  <r>
    <x v="3287"/>
    <x v="0"/>
    <x v="0"/>
    <x v="3"/>
    <n v="50.95"/>
    <x v="24"/>
    <x v="3030"/>
    <x v="0"/>
    <x v="0"/>
    <x v="0"/>
    <x v="0"/>
  </r>
  <r>
    <x v="3288"/>
    <x v="0"/>
    <x v="0"/>
    <x v="0"/>
    <n v="64"/>
    <x v="24"/>
    <x v="3031"/>
    <x v="0"/>
    <x v="0"/>
    <x v="0"/>
    <x v="0"/>
  </r>
  <r>
    <x v="3289"/>
    <x v="0"/>
    <x v="0"/>
    <x v="1"/>
    <n v="69.099999999999994"/>
    <x v="0"/>
    <x v="3032"/>
    <x v="1"/>
    <x v="0"/>
    <x v="0"/>
    <x v="0"/>
  </r>
  <r>
    <x v="3290"/>
    <x v="0"/>
    <x v="2"/>
    <x v="2"/>
    <n v="80.2"/>
    <x v="21"/>
    <x v="3033"/>
    <x v="0"/>
    <x v="2"/>
    <x v="1"/>
    <x v="3"/>
  </r>
  <r>
    <x v="3291"/>
    <x v="0"/>
    <x v="0"/>
    <x v="3"/>
    <n v="49.3"/>
    <x v="65"/>
    <x v="3034"/>
    <x v="0"/>
    <x v="0"/>
    <x v="1"/>
    <x v="2"/>
  </r>
  <r>
    <x v="3292"/>
    <x v="0"/>
    <x v="2"/>
    <x v="3"/>
    <n v="84.35"/>
    <x v="41"/>
    <x v="3035"/>
    <x v="0"/>
    <x v="1"/>
    <x v="1"/>
    <x v="1"/>
  </r>
  <r>
    <x v="3293"/>
    <x v="0"/>
    <x v="0"/>
    <x v="1"/>
    <n v="20.05"/>
    <x v="54"/>
    <x v="2223"/>
    <x v="0"/>
    <x v="0"/>
    <x v="0"/>
    <x v="0"/>
  </r>
  <r>
    <x v="3294"/>
    <x v="1"/>
    <x v="1"/>
    <x v="3"/>
    <n v="117.2"/>
    <x v="47"/>
    <x v="3036"/>
    <x v="0"/>
    <x v="2"/>
    <x v="1"/>
    <x v="3"/>
  </r>
  <r>
    <x v="3295"/>
    <x v="0"/>
    <x v="1"/>
    <x v="1"/>
    <n v="20.100000000000001"/>
    <x v="55"/>
    <x v="1337"/>
    <x v="0"/>
    <x v="0"/>
    <x v="1"/>
    <x v="1"/>
  </r>
  <r>
    <x v="3296"/>
    <x v="0"/>
    <x v="0"/>
    <x v="0"/>
    <n v="69.599999999999994"/>
    <x v="0"/>
    <x v="1659"/>
    <x v="1"/>
    <x v="0"/>
    <x v="0"/>
    <x v="0"/>
  </r>
  <r>
    <x v="3297"/>
    <x v="1"/>
    <x v="1"/>
    <x v="0"/>
    <n v="103.45"/>
    <x v="36"/>
    <x v="3037"/>
    <x v="1"/>
    <x v="1"/>
    <x v="1"/>
    <x v="1"/>
  </r>
  <r>
    <x v="3298"/>
    <x v="0"/>
    <x v="0"/>
    <x v="2"/>
    <n v="77.95"/>
    <x v="54"/>
    <x v="3038"/>
    <x v="1"/>
    <x v="0"/>
    <x v="0"/>
    <x v="0"/>
  </r>
  <r>
    <x v="3299"/>
    <x v="1"/>
    <x v="2"/>
    <x v="0"/>
    <n v="109.95"/>
    <x v="14"/>
    <x v="3039"/>
    <x v="0"/>
    <x v="2"/>
    <x v="1"/>
    <x v="3"/>
  </r>
  <r>
    <x v="3300"/>
    <x v="1"/>
    <x v="0"/>
    <x v="0"/>
    <n v="94.75"/>
    <x v="46"/>
    <x v="3040"/>
    <x v="0"/>
    <x v="1"/>
    <x v="1"/>
    <x v="1"/>
  </r>
  <r>
    <x v="3301"/>
    <x v="0"/>
    <x v="0"/>
    <x v="0"/>
    <n v="80"/>
    <x v="35"/>
    <x v="3041"/>
    <x v="0"/>
    <x v="0"/>
    <x v="0"/>
    <x v="0"/>
  </r>
  <r>
    <x v="3302"/>
    <x v="0"/>
    <x v="2"/>
    <x v="0"/>
    <n v="79.650000000000006"/>
    <x v="43"/>
    <x v="3042"/>
    <x v="0"/>
    <x v="1"/>
    <x v="1"/>
    <x v="1"/>
  </r>
  <r>
    <x v="3303"/>
    <x v="0"/>
    <x v="2"/>
    <x v="1"/>
    <n v="25.2"/>
    <x v="30"/>
    <x v="1251"/>
    <x v="0"/>
    <x v="0"/>
    <x v="2"/>
    <x v="2"/>
  </r>
  <r>
    <x v="3304"/>
    <x v="0"/>
    <x v="1"/>
    <x v="3"/>
    <n v="19.899999999999999"/>
    <x v="13"/>
    <x v="1126"/>
    <x v="0"/>
    <x v="0"/>
    <x v="1"/>
    <x v="1"/>
  </r>
  <r>
    <x v="3305"/>
    <x v="0"/>
    <x v="0"/>
    <x v="0"/>
    <n v="78.45"/>
    <x v="0"/>
    <x v="3043"/>
    <x v="1"/>
    <x v="0"/>
    <x v="0"/>
    <x v="0"/>
  </r>
  <r>
    <x v="3306"/>
    <x v="0"/>
    <x v="0"/>
    <x v="0"/>
    <n v="44.8"/>
    <x v="43"/>
    <x v="3044"/>
    <x v="0"/>
    <x v="1"/>
    <x v="1"/>
    <x v="1"/>
  </r>
  <r>
    <x v="3307"/>
    <x v="1"/>
    <x v="0"/>
    <x v="1"/>
    <n v="20.3"/>
    <x v="0"/>
    <x v="3045"/>
    <x v="0"/>
    <x v="0"/>
    <x v="0"/>
    <x v="0"/>
  </r>
  <r>
    <x v="3308"/>
    <x v="1"/>
    <x v="0"/>
    <x v="0"/>
    <n v="19.2"/>
    <x v="0"/>
    <x v="1736"/>
    <x v="0"/>
    <x v="0"/>
    <x v="0"/>
    <x v="0"/>
  </r>
  <r>
    <x v="3309"/>
    <x v="0"/>
    <x v="1"/>
    <x v="0"/>
    <n v="80.05"/>
    <x v="50"/>
    <x v="3046"/>
    <x v="0"/>
    <x v="1"/>
    <x v="1"/>
    <x v="1"/>
  </r>
  <r>
    <x v="3310"/>
    <x v="1"/>
    <x v="1"/>
    <x v="2"/>
    <n v="107.35"/>
    <x v="33"/>
    <x v="3047"/>
    <x v="0"/>
    <x v="2"/>
    <x v="1"/>
    <x v="3"/>
  </r>
  <r>
    <x v="3311"/>
    <x v="0"/>
    <x v="1"/>
    <x v="2"/>
    <n v="47.85"/>
    <x v="70"/>
    <x v="3048"/>
    <x v="0"/>
    <x v="0"/>
    <x v="1"/>
    <x v="1"/>
  </r>
  <r>
    <x v="3312"/>
    <x v="1"/>
    <x v="1"/>
    <x v="3"/>
    <n v="70.8"/>
    <x v="28"/>
    <x v="3049"/>
    <x v="0"/>
    <x v="1"/>
    <x v="1"/>
    <x v="3"/>
  </r>
  <r>
    <x v="3313"/>
    <x v="1"/>
    <x v="0"/>
    <x v="1"/>
    <n v="29.5"/>
    <x v="6"/>
    <x v="3050"/>
    <x v="1"/>
    <x v="0"/>
    <x v="0"/>
    <x v="0"/>
  </r>
  <r>
    <x v="3314"/>
    <x v="0"/>
    <x v="0"/>
    <x v="0"/>
    <n v="70.75"/>
    <x v="2"/>
    <x v="3051"/>
    <x v="1"/>
    <x v="0"/>
    <x v="0"/>
    <x v="0"/>
  </r>
  <r>
    <x v="3315"/>
    <x v="1"/>
    <x v="0"/>
    <x v="3"/>
    <n v="59.1"/>
    <x v="32"/>
    <x v="3052"/>
    <x v="0"/>
    <x v="0"/>
    <x v="2"/>
    <x v="2"/>
  </r>
  <r>
    <x v="3316"/>
    <x v="0"/>
    <x v="2"/>
    <x v="1"/>
    <n v="25.55"/>
    <x v="38"/>
    <x v="3053"/>
    <x v="0"/>
    <x v="0"/>
    <x v="1"/>
    <x v="3"/>
  </r>
  <r>
    <x v="3317"/>
    <x v="0"/>
    <x v="0"/>
    <x v="0"/>
    <n v="84.45"/>
    <x v="34"/>
    <x v="3054"/>
    <x v="1"/>
    <x v="0"/>
    <x v="0"/>
    <x v="0"/>
  </r>
  <r>
    <x v="3318"/>
    <x v="0"/>
    <x v="0"/>
    <x v="1"/>
    <n v="20.25"/>
    <x v="7"/>
    <x v="3055"/>
    <x v="0"/>
    <x v="0"/>
    <x v="1"/>
    <x v="1"/>
  </r>
  <r>
    <x v="3319"/>
    <x v="0"/>
    <x v="0"/>
    <x v="0"/>
    <n v="75.55"/>
    <x v="0"/>
    <x v="3056"/>
    <x v="0"/>
    <x v="0"/>
    <x v="0"/>
    <x v="0"/>
  </r>
  <r>
    <x v="3320"/>
    <x v="1"/>
    <x v="0"/>
    <x v="0"/>
    <n v="85.65"/>
    <x v="54"/>
    <x v="2173"/>
    <x v="1"/>
    <x v="0"/>
    <x v="0"/>
    <x v="0"/>
  </r>
  <r>
    <x v="3321"/>
    <x v="1"/>
    <x v="1"/>
    <x v="3"/>
    <n v="70.150000000000006"/>
    <x v="46"/>
    <x v="2979"/>
    <x v="1"/>
    <x v="1"/>
    <x v="1"/>
    <x v="1"/>
  </r>
  <r>
    <x v="3322"/>
    <x v="1"/>
    <x v="1"/>
    <x v="0"/>
    <n v="95.3"/>
    <x v="33"/>
    <x v="3057"/>
    <x v="0"/>
    <x v="2"/>
    <x v="1"/>
    <x v="3"/>
  </r>
  <r>
    <x v="3323"/>
    <x v="0"/>
    <x v="0"/>
    <x v="0"/>
    <n v="70.25"/>
    <x v="0"/>
    <x v="3058"/>
    <x v="0"/>
    <x v="0"/>
    <x v="0"/>
    <x v="0"/>
  </r>
  <r>
    <x v="3324"/>
    <x v="0"/>
    <x v="0"/>
    <x v="1"/>
    <n v="50.3"/>
    <x v="32"/>
    <x v="3059"/>
    <x v="0"/>
    <x v="0"/>
    <x v="2"/>
    <x v="2"/>
  </r>
  <r>
    <x v="3325"/>
    <x v="1"/>
    <x v="0"/>
    <x v="0"/>
    <n v="97.8"/>
    <x v="69"/>
    <x v="3060"/>
    <x v="1"/>
    <x v="1"/>
    <x v="1"/>
    <x v="3"/>
  </r>
  <r>
    <x v="3326"/>
    <x v="1"/>
    <x v="0"/>
    <x v="1"/>
    <n v="46.3"/>
    <x v="0"/>
    <x v="3061"/>
    <x v="1"/>
    <x v="0"/>
    <x v="0"/>
    <x v="0"/>
  </r>
  <r>
    <x v="3327"/>
    <x v="1"/>
    <x v="2"/>
    <x v="2"/>
    <n v="19.350000000000001"/>
    <x v="18"/>
    <x v="222"/>
    <x v="0"/>
    <x v="0"/>
    <x v="2"/>
    <x v="0"/>
  </r>
  <r>
    <x v="3328"/>
    <x v="0"/>
    <x v="0"/>
    <x v="0"/>
    <n v="106.3"/>
    <x v="52"/>
    <x v="3062"/>
    <x v="1"/>
    <x v="1"/>
    <x v="1"/>
    <x v="1"/>
  </r>
  <r>
    <x v="3329"/>
    <x v="1"/>
    <x v="0"/>
    <x v="0"/>
    <n v="25"/>
    <x v="18"/>
    <x v="3063"/>
    <x v="0"/>
    <x v="0"/>
    <x v="2"/>
    <x v="0"/>
  </r>
  <r>
    <x v="3330"/>
    <x v="0"/>
    <x v="2"/>
    <x v="1"/>
    <n v="20.3"/>
    <x v="49"/>
    <x v="3064"/>
    <x v="0"/>
    <x v="0"/>
    <x v="1"/>
    <x v="3"/>
  </r>
  <r>
    <x v="3331"/>
    <x v="0"/>
    <x v="0"/>
    <x v="0"/>
    <n v="75.349999999999994"/>
    <x v="40"/>
    <x v="3065"/>
    <x v="0"/>
    <x v="0"/>
    <x v="0"/>
    <x v="0"/>
  </r>
  <r>
    <x v="3332"/>
    <x v="0"/>
    <x v="0"/>
    <x v="0"/>
    <n v="89.4"/>
    <x v="18"/>
    <x v="3066"/>
    <x v="1"/>
    <x v="0"/>
    <x v="2"/>
    <x v="0"/>
  </r>
  <r>
    <x v="3333"/>
    <x v="0"/>
    <x v="2"/>
    <x v="3"/>
    <n v="88"/>
    <x v="47"/>
    <x v="3067"/>
    <x v="0"/>
    <x v="2"/>
    <x v="1"/>
    <x v="3"/>
  </r>
  <r>
    <x v="3334"/>
    <x v="0"/>
    <x v="0"/>
    <x v="3"/>
    <n v="83.15"/>
    <x v="24"/>
    <x v="3068"/>
    <x v="1"/>
    <x v="0"/>
    <x v="0"/>
    <x v="0"/>
  </r>
  <r>
    <x v="3335"/>
    <x v="0"/>
    <x v="0"/>
    <x v="1"/>
    <n v="43.8"/>
    <x v="12"/>
    <x v="3069"/>
    <x v="0"/>
    <x v="1"/>
    <x v="1"/>
    <x v="3"/>
  </r>
  <r>
    <x v="3336"/>
    <x v="1"/>
    <x v="1"/>
    <x v="3"/>
    <n v="62.05"/>
    <x v="63"/>
    <x v="3070"/>
    <x v="0"/>
    <x v="1"/>
    <x v="1"/>
    <x v="1"/>
  </r>
  <r>
    <x v="3337"/>
    <x v="0"/>
    <x v="1"/>
    <x v="2"/>
    <n v="20.100000000000001"/>
    <x v="10"/>
    <x v="3071"/>
    <x v="0"/>
    <x v="0"/>
    <x v="2"/>
    <x v="2"/>
  </r>
  <r>
    <x v="3338"/>
    <x v="1"/>
    <x v="0"/>
    <x v="1"/>
    <n v="74.150000000000006"/>
    <x v="6"/>
    <x v="3072"/>
    <x v="1"/>
    <x v="0"/>
    <x v="0"/>
    <x v="0"/>
  </r>
  <r>
    <x v="3339"/>
    <x v="0"/>
    <x v="1"/>
    <x v="0"/>
    <n v="101.35"/>
    <x v="21"/>
    <x v="3073"/>
    <x v="0"/>
    <x v="2"/>
    <x v="1"/>
    <x v="3"/>
  </r>
  <r>
    <x v="3340"/>
    <x v="0"/>
    <x v="0"/>
    <x v="0"/>
    <n v="84.05"/>
    <x v="2"/>
    <x v="3074"/>
    <x v="0"/>
    <x v="0"/>
    <x v="0"/>
    <x v="0"/>
  </r>
  <r>
    <x v="3341"/>
    <x v="1"/>
    <x v="2"/>
    <x v="1"/>
    <n v="20.9"/>
    <x v="57"/>
    <x v="3075"/>
    <x v="0"/>
    <x v="0"/>
    <x v="2"/>
    <x v="2"/>
  </r>
  <r>
    <x v="3342"/>
    <x v="0"/>
    <x v="1"/>
    <x v="0"/>
    <n v="105.9"/>
    <x v="16"/>
    <x v="3076"/>
    <x v="0"/>
    <x v="2"/>
    <x v="1"/>
    <x v="3"/>
  </r>
  <r>
    <x v="3343"/>
    <x v="0"/>
    <x v="0"/>
    <x v="0"/>
    <n v="99.5"/>
    <x v="26"/>
    <x v="3077"/>
    <x v="1"/>
    <x v="0"/>
    <x v="0"/>
    <x v="0"/>
  </r>
  <r>
    <x v="3344"/>
    <x v="1"/>
    <x v="0"/>
    <x v="1"/>
    <n v="44.15"/>
    <x v="0"/>
    <x v="3078"/>
    <x v="1"/>
    <x v="0"/>
    <x v="0"/>
    <x v="0"/>
  </r>
  <r>
    <x v="3345"/>
    <x v="0"/>
    <x v="0"/>
    <x v="1"/>
    <n v="53.9"/>
    <x v="10"/>
    <x v="2435"/>
    <x v="1"/>
    <x v="0"/>
    <x v="2"/>
    <x v="2"/>
  </r>
  <r>
    <x v="3346"/>
    <x v="0"/>
    <x v="0"/>
    <x v="1"/>
    <n v="85.45"/>
    <x v="0"/>
    <x v="3079"/>
    <x v="1"/>
    <x v="0"/>
    <x v="0"/>
    <x v="0"/>
  </r>
  <r>
    <x v="3347"/>
    <x v="1"/>
    <x v="0"/>
    <x v="3"/>
    <n v="85.05"/>
    <x v="18"/>
    <x v="3080"/>
    <x v="0"/>
    <x v="0"/>
    <x v="2"/>
    <x v="0"/>
  </r>
  <r>
    <x v="3348"/>
    <x v="0"/>
    <x v="1"/>
    <x v="2"/>
    <n v="44.1"/>
    <x v="68"/>
    <x v="3081"/>
    <x v="0"/>
    <x v="1"/>
    <x v="1"/>
    <x v="3"/>
  </r>
  <r>
    <x v="3349"/>
    <x v="0"/>
    <x v="2"/>
    <x v="3"/>
    <n v="90.2"/>
    <x v="47"/>
    <x v="3082"/>
    <x v="0"/>
    <x v="2"/>
    <x v="1"/>
    <x v="3"/>
  </r>
  <r>
    <x v="3350"/>
    <x v="0"/>
    <x v="0"/>
    <x v="1"/>
    <n v="50.85"/>
    <x v="54"/>
    <x v="3083"/>
    <x v="1"/>
    <x v="0"/>
    <x v="0"/>
    <x v="0"/>
  </r>
  <r>
    <x v="3351"/>
    <x v="0"/>
    <x v="0"/>
    <x v="0"/>
    <n v="59.2"/>
    <x v="0"/>
    <x v="3084"/>
    <x v="1"/>
    <x v="0"/>
    <x v="0"/>
    <x v="0"/>
  </r>
  <r>
    <x v="3352"/>
    <x v="1"/>
    <x v="0"/>
    <x v="1"/>
    <n v="53.45"/>
    <x v="23"/>
    <x v="3085"/>
    <x v="0"/>
    <x v="0"/>
    <x v="1"/>
    <x v="1"/>
  </r>
  <r>
    <x v="3353"/>
    <x v="1"/>
    <x v="0"/>
    <x v="1"/>
    <n v="19.95"/>
    <x v="17"/>
    <x v="3086"/>
    <x v="0"/>
    <x v="0"/>
    <x v="2"/>
    <x v="2"/>
  </r>
  <r>
    <x v="3354"/>
    <x v="1"/>
    <x v="0"/>
    <x v="0"/>
    <n v="83.2"/>
    <x v="9"/>
    <x v="3087"/>
    <x v="1"/>
    <x v="0"/>
    <x v="2"/>
    <x v="2"/>
  </r>
  <r>
    <x v="3355"/>
    <x v="0"/>
    <x v="0"/>
    <x v="3"/>
    <n v="74.650000000000006"/>
    <x v="38"/>
    <x v="3088"/>
    <x v="0"/>
    <x v="1"/>
    <x v="1"/>
    <x v="3"/>
  </r>
  <r>
    <x v="3356"/>
    <x v="0"/>
    <x v="0"/>
    <x v="0"/>
    <n v="54.9"/>
    <x v="0"/>
    <x v="3089"/>
    <x v="1"/>
    <x v="0"/>
    <x v="0"/>
    <x v="0"/>
  </r>
  <r>
    <x v="3357"/>
    <x v="1"/>
    <x v="2"/>
    <x v="2"/>
    <n v="57.5"/>
    <x v="58"/>
    <x v="3090"/>
    <x v="0"/>
    <x v="1"/>
    <x v="1"/>
    <x v="3"/>
  </r>
  <r>
    <x v="3358"/>
    <x v="0"/>
    <x v="0"/>
    <x v="0"/>
    <n v="103.9"/>
    <x v="17"/>
    <x v="3091"/>
    <x v="1"/>
    <x v="1"/>
    <x v="2"/>
    <x v="2"/>
  </r>
  <r>
    <x v="3359"/>
    <x v="1"/>
    <x v="2"/>
    <x v="1"/>
    <n v="19.649999999999999"/>
    <x v="67"/>
    <x v="3092"/>
    <x v="0"/>
    <x v="0"/>
    <x v="2"/>
    <x v="2"/>
  </r>
  <r>
    <x v="3360"/>
    <x v="1"/>
    <x v="1"/>
    <x v="0"/>
    <n v="93.8"/>
    <x v="36"/>
    <x v="3093"/>
    <x v="0"/>
    <x v="1"/>
    <x v="1"/>
    <x v="1"/>
  </r>
  <r>
    <x v="3361"/>
    <x v="1"/>
    <x v="2"/>
    <x v="1"/>
    <n v="89.25"/>
    <x v="15"/>
    <x v="3094"/>
    <x v="0"/>
    <x v="1"/>
    <x v="1"/>
    <x v="3"/>
  </r>
  <r>
    <x v="3362"/>
    <x v="0"/>
    <x v="1"/>
    <x v="0"/>
    <n v="94.15"/>
    <x v="25"/>
    <x v="3095"/>
    <x v="0"/>
    <x v="1"/>
    <x v="1"/>
    <x v="1"/>
  </r>
  <r>
    <x v="3363"/>
    <x v="0"/>
    <x v="0"/>
    <x v="0"/>
    <n v="55.6"/>
    <x v="26"/>
    <x v="3096"/>
    <x v="0"/>
    <x v="0"/>
    <x v="0"/>
    <x v="0"/>
  </r>
  <r>
    <x v="3364"/>
    <x v="0"/>
    <x v="0"/>
    <x v="2"/>
    <n v="48.7"/>
    <x v="62"/>
    <x v="3097"/>
    <x v="0"/>
    <x v="1"/>
    <x v="1"/>
    <x v="3"/>
  </r>
  <r>
    <x v="3365"/>
    <x v="0"/>
    <x v="0"/>
    <x v="1"/>
    <n v="19.25"/>
    <x v="26"/>
    <x v="3098"/>
    <x v="1"/>
    <x v="0"/>
    <x v="0"/>
    <x v="0"/>
  </r>
  <r>
    <x v="3366"/>
    <x v="1"/>
    <x v="0"/>
    <x v="2"/>
    <n v="104.9"/>
    <x v="58"/>
    <x v="3099"/>
    <x v="0"/>
    <x v="2"/>
    <x v="1"/>
    <x v="3"/>
  </r>
  <r>
    <x v="3367"/>
    <x v="0"/>
    <x v="0"/>
    <x v="1"/>
    <n v="75.45"/>
    <x v="2"/>
    <x v="3100"/>
    <x v="1"/>
    <x v="0"/>
    <x v="0"/>
    <x v="0"/>
  </r>
  <r>
    <x v="3368"/>
    <x v="0"/>
    <x v="0"/>
    <x v="1"/>
    <n v="54.85"/>
    <x v="2"/>
    <x v="3101"/>
    <x v="1"/>
    <x v="0"/>
    <x v="0"/>
    <x v="0"/>
  </r>
  <r>
    <x v="3369"/>
    <x v="0"/>
    <x v="2"/>
    <x v="2"/>
    <n v="19.899999999999999"/>
    <x v="16"/>
    <x v="312"/>
    <x v="0"/>
    <x v="0"/>
    <x v="1"/>
    <x v="3"/>
  </r>
  <r>
    <x v="3370"/>
    <x v="0"/>
    <x v="0"/>
    <x v="1"/>
    <n v="19.399999999999999"/>
    <x v="0"/>
    <x v="2381"/>
    <x v="0"/>
    <x v="0"/>
    <x v="0"/>
    <x v="0"/>
  </r>
  <r>
    <x v="3371"/>
    <x v="1"/>
    <x v="2"/>
    <x v="3"/>
    <n v="25.05"/>
    <x v="47"/>
    <x v="3102"/>
    <x v="0"/>
    <x v="0"/>
    <x v="1"/>
    <x v="3"/>
  </r>
  <r>
    <x v="3372"/>
    <x v="1"/>
    <x v="2"/>
    <x v="1"/>
    <n v="84.45"/>
    <x v="21"/>
    <x v="1244"/>
    <x v="0"/>
    <x v="2"/>
    <x v="1"/>
    <x v="3"/>
  </r>
  <r>
    <x v="3373"/>
    <x v="0"/>
    <x v="0"/>
    <x v="1"/>
    <n v="19.3"/>
    <x v="2"/>
    <x v="3103"/>
    <x v="0"/>
    <x v="0"/>
    <x v="0"/>
    <x v="0"/>
  </r>
  <r>
    <x v="3374"/>
    <x v="1"/>
    <x v="0"/>
    <x v="0"/>
    <n v="95.1"/>
    <x v="0"/>
    <x v="3104"/>
    <x v="1"/>
    <x v="0"/>
    <x v="0"/>
    <x v="0"/>
  </r>
  <r>
    <x v="3375"/>
    <x v="0"/>
    <x v="1"/>
    <x v="2"/>
    <n v="79.849999999999994"/>
    <x v="52"/>
    <x v="3105"/>
    <x v="0"/>
    <x v="1"/>
    <x v="1"/>
    <x v="1"/>
  </r>
  <r>
    <x v="3376"/>
    <x v="1"/>
    <x v="2"/>
    <x v="3"/>
    <n v="25.55"/>
    <x v="21"/>
    <x v="3106"/>
    <x v="0"/>
    <x v="0"/>
    <x v="1"/>
    <x v="3"/>
  </r>
  <r>
    <x v="3377"/>
    <x v="1"/>
    <x v="0"/>
    <x v="0"/>
    <n v="75.5"/>
    <x v="53"/>
    <x v="3107"/>
    <x v="1"/>
    <x v="0"/>
    <x v="0"/>
    <x v="0"/>
  </r>
  <r>
    <x v="3378"/>
    <x v="0"/>
    <x v="0"/>
    <x v="0"/>
    <n v="73.75"/>
    <x v="54"/>
    <x v="3050"/>
    <x v="1"/>
    <x v="0"/>
    <x v="0"/>
    <x v="0"/>
  </r>
  <r>
    <x v="3379"/>
    <x v="1"/>
    <x v="0"/>
    <x v="0"/>
    <n v="96.05"/>
    <x v="18"/>
    <x v="3108"/>
    <x v="1"/>
    <x v="0"/>
    <x v="2"/>
    <x v="0"/>
  </r>
  <r>
    <x v="3380"/>
    <x v="0"/>
    <x v="1"/>
    <x v="0"/>
    <n v="68.400000000000006"/>
    <x v="11"/>
    <x v="3109"/>
    <x v="0"/>
    <x v="1"/>
    <x v="1"/>
    <x v="3"/>
  </r>
  <r>
    <x v="3381"/>
    <x v="0"/>
    <x v="0"/>
    <x v="1"/>
    <n v="20.65"/>
    <x v="40"/>
    <x v="1463"/>
    <x v="0"/>
    <x v="0"/>
    <x v="0"/>
    <x v="0"/>
  </r>
  <r>
    <x v="3382"/>
    <x v="0"/>
    <x v="0"/>
    <x v="1"/>
    <n v="55.15"/>
    <x v="45"/>
    <x v="3110"/>
    <x v="0"/>
    <x v="1"/>
    <x v="1"/>
    <x v="3"/>
  </r>
  <r>
    <x v="3383"/>
    <x v="1"/>
    <x v="0"/>
    <x v="1"/>
    <n v="70.599999999999994"/>
    <x v="0"/>
    <x v="271"/>
    <x v="0"/>
    <x v="0"/>
    <x v="0"/>
    <x v="0"/>
  </r>
  <r>
    <x v="3384"/>
    <x v="1"/>
    <x v="1"/>
    <x v="3"/>
    <n v="19.95"/>
    <x v="39"/>
    <x v="137"/>
    <x v="0"/>
    <x v="0"/>
    <x v="1"/>
    <x v="3"/>
  </r>
  <r>
    <x v="3385"/>
    <x v="1"/>
    <x v="0"/>
    <x v="1"/>
    <n v="19"/>
    <x v="54"/>
    <x v="1350"/>
    <x v="0"/>
    <x v="0"/>
    <x v="0"/>
    <x v="0"/>
  </r>
  <r>
    <x v="3386"/>
    <x v="0"/>
    <x v="1"/>
    <x v="1"/>
    <n v="44.1"/>
    <x v="11"/>
    <x v="765"/>
    <x v="0"/>
    <x v="1"/>
    <x v="1"/>
    <x v="3"/>
  </r>
  <r>
    <x v="3387"/>
    <x v="1"/>
    <x v="2"/>
    <x v="2"/>
    <n v="107.6"/>
    <x v="8"/>
    <x v="3111"/>
    <x v="0"/>
    <x v="2"/>
    <x v="1"/>
    <x v="3"/>
  </r>
  <r>
    <x v="3388"/>
    <x v="1"/>
    <x v="1"/>
    <x v="0"/>
    <n v="61.55"/>
    <x v="70"/>
    <x v="3112"/>
    <x v="0"/>
    <x v="0"/>
    <x v="1"/>
    <x v="1"/>
  </r>
  <r>
    <x v="3389"/>
    <x v="1"/>
    <x v="0"/>
    <x v="2"/>
    <n v="90.7"/>
    <x v="8"/>
    <x v="3113"/>
    <x v="0"/>
    <x v="2"/>
    <x v="1"/>
    <x v="3"/>
  </r>
  <r>
    <x v="3390"/>
    <x v="0"/>
    <x v="1"/>
    <x v="3"/>
    <n v="99.25"/>
    <x v="11"/>
    <x v="3114"/>
    <x v="0"/>
    <x v="2"/>
    <x v="1"/>
    <x v="3"/>
  </r>
  <r>
    <x v="3391"/>
    <x v="0"/>
    <x v="2"/>
    <x v="0"/>
    <n v="91.7"/>
    <x v="47"/>
    <x v="3115"/>
    <x v="0"/>
    <x v="2"/>
    <x v="1"/>
    <x v="3"/>
  </r>
  <r>
    <x v="3392"/>
    <x v="0"/>
    <x v="1"/>
    <x v="3"/>
    <n v="100.7"/>
    <x v="59"/>
    <x v="3116"/>
    <x v="0"/>
    <x v="2"/>
    <x v="1"/>
    <x v="3"/>
  </r>
  <r>
    <x v="3393"/>
    <x v="0"/>
    <x v="2"/>
    <x v="3"/>
    <n v="78.45"/>
    <x v="41"/>
    <x v="3117"/>
    <x v="0"/>
    <x v="1"/>
    <x v="1"/>
    <x v="1"/>
  </r>
  <r>
    <x v="3394"/>
    <x v="1"/>
    <x v="0"/>
    <x v="2"/>
    <n v="84.3"/>
    <x v="32"/>
    <x v="3118"/>
    <x v="0"/>
    <x v="0"/>
    <x v="2"/>
    <x v="2"/>
  </r>
  <r>
    <x v="3395"/>
    <x v="0"/>
    <x v="2"/>
    <x v="2"/>
    <n v="19.55"/>
    <x v="39"/>
    <x v="3119"/>
    <x v="0"/>
    <x v="0"/>
    <x v="1"/>
    <x v="3"/>
  </r>
  <r>
    <x v="3396"/>
    <x v="0"/>
    <x v="0"/>
    <x v="0"/>
    <n v="88.95"/>
    <x v="54"/>
    <x v="3120"/>
    <x v="1"/>
    <x v="0"/>
    <x v="0"/>
    <x v="0"/>
  </r>
  <r>
    <x v="3397"/>
    <x v="0"/>
    <x v="0"/>
    <x v="3"/>
    <n v="20.45"/>
    <x v="54"/>
    <x v="3121"/>
    <x v="0"/>
    <x v="0"/>
    <x v="0"/>
    <x v="0"/>
  </r>
  <r>
    <x v="3398"/>
    <x v="0"/>
    <x v="1"/>
    <x v="3"/>
    <n v="55.6"/>
    <x v="42"/>
    <x v="3122"/>
    <x v="0"/>
    <x v="0"/>
    <x v="1"/>
    <x v="1"/>
  </r>
  <r>
    <x v="3399"/>
    <x v="0"/>
    <x v="0"/>
    <x v="2"/>
    <n v="86.8"/>
    <x v="38"/>
    <x v="3123"/>
    <x v="0"/>
    <x v="2"/>
    <x v="1"/>
    <x v="3"/>
  </r>
  <r>
    <x v="3400"/>
    <x v="0"/>
    <x v="1"/>
    <x v="1"/>
    <n v="20.95"/>
    <x v="36"/>
    <x v="3124"/>
    <x v="0"/>
    <x v="0"/>
    <x v="1"/>
    <x v="1"/>
  </r>
  <r>
    <x v="3401"/>
    <x v="0"/>
    <x v="2"/>
    <x v="2"/>
    <n v="20.05"/>
    <x v="56"/>
    <x v="3125"/>
    <x v="0"/>
    <x v="0"/>
    <x v="1"/>
    <x v="3"/>
  </r>
  <r>
    <x v="3402"/>
    <x v="0"/>
    <x v="0"/>
    <x v="3"/>
    <n v="50.7"/>
    <x v="54"/>
    <x v="3126"/>
    <x v="1"/>
    <x v="0"/>
    <x v="0"/>
    <x v="0"/>
  </r>
  <r>
    <x v="3403"/>
    <x v="0"/>
    <x v="2"/>
    <x v="0"/>
    <n v="113.65"/>
    <x v="27"/>
    <x v="3127"/>
    <x v="0"/>
    <x v="2"/>
    <x v="1"/>
    <x v="3"/>
  </r>
  <r>
    <x v="3404"/>
    <x v="1"/>
    <x v="0"/>
    <x v="3"/>
    <n v="53.4"/>
    <x v="35"/>
    <x v="985"/>
    <x v="1"/>
    <x v="0"/>
    <x v="0"/>
    <x v="0"/>
  </r>
  <r>
    <x v="3405"/>
    <x v="1"/>
    <x v="0"/>
    <x v="0"/>
    <n v="101.9"/>
    <x v="62"/>
    <x v="3128"/>
    <x v="1"/>
    <x v="2"/>
    <x v="1"/>
    <x v="3"/>
  </r>
  <r>
    <x v="3406"/>
    <x v="1"/>
    <x v="2"/>
    <x v="1"/>
    <n v="59.5"/>
    <x v="2"/>
    <x v="3129"/>
    <x v="0"/>
    <x v="0"/>
    <x v="0"/>
    <x v="0"/>
  </r>
  <r>
    <x v="3407"/>
    <x v="0"/>
    <x v="0"/>
    <x v="3"/>
    <n v="87.8"/>
    <x v="44"/>
    <x v="3130"/>
    <x v="0"/>
    <x v="1"/>
    <x v="1"/>
    <x v="1"/>
  </r>
  <r>
    <x v="3408"/>
    <x v="0"/>
    <x v="2"/>
    <x v="1"/>
    <n v="41.9"/>
    <x v="20"/>
    <x v="3131"/>
    <x v="0"/>
    <x v="0"/>
    <x v="1"/>
    <x v="1"/>
  </r>
  <r>
    <x v="3409"/>
    <x v="0"/>
    <x v="1"/>
    <x v="0"/>
    <n v="83"/>
    <x v="47"/>
    <x v="3132"/>
    <x v="1"/>
    <x v="2"/>
    <x v="1"/>
    <x v="3"/>
  </r>
  <r>
    <x v="3410"/>
    <x v="1"/>
    <x v="0"/>
    <x v="1"/>
    <n v="69.849999999999994"/>
    <x v="18"/>
    <x v="3133"/>
    <x v="0"/>
    <x v="0"/>
    <x v="2"/>
    <x v="0"/>
  </r>
  <r>
    <x v="3411"/>
    <x v="0"/>
    <x v="0"/>
    <x v="2"/>
    <n v="56.3"/>
    <x v="4"/>
    <x v="3134"/>
    <x v="0"/>
    <x v="0"/>
    <x v="0"/>
    <x v="0"/>
  </r>
  <r>
    <x v="3412"/>
    <x v="1"/>
    <x v="0"/>
    <x v="0"/>
    <n v="109.55"/>
    <x v="68"/>
    <x v="3135"/>
    <x v="0"/>
    <x v="2"/>
    <x v="1"/>
    <x v="3"/>
  </r>
  <r>
    <x v="3413"/>
    <x v="1"/>
    <x v="2"/>
    <x v="1"/>
    <n v="92.15"/>
    <x v="14"/>
    <x v="3136"/>
    <x v="0"/>
    <x v="2"/>
    <x v="1"/>
    <x v="3"/>
  </r>
  <r>
    <x v="3414"/>
    <x v="0"/>
    <x v="0"/>
    <x v="2"/>
    <n v="69.5"/>
    <x v="70"/>
    <x v="3137"/>
    <x v="0"/>
    <x v="0"/>
    <x v="1"/>
    <x v="1"/>
  </r>
  <r>
    <x v="3415"/>
    <x v="0"/>
    <x v="2"/>
    <x v="2"/>
    <n v="97"/>
    <x v="21"/>
    <x v="3138"/>
    <x v="0"/>
    <x v="2"/>
    <x v="1"/>
    <x v="3"/>
  </r>
  <r>
    <x v="3416"/>
    <x v="0"/>
    <x v="2"/>
    <x v="2"/>
    <n v="58.35"/>
    <x v="27"/>
    <x v="3139"/>
    <x v="0"/>
    <x v="1"/>
    <x v="1"/>
    <x v="3"/>
  </r>
  <r>
    <x v="3417"/>
    <x v="1"/>
    <x v="0"/>
    <x v="1"/>
    <n v="50.6"/>
    <x v="0"/>
    <x v="3140"/>
    <x v="1"/>
    <x v="0"/>
    <x v="0"/>
    <x v="0"/>
  </r>
  <r>
    <x v="3418"/>
    <x v="1"/>
    <x v="0"/>
    <x v="0"/>
    <n v="89.5"/>
    <x v="6"/>
    <x v="3141"/>
    <x v="1"/>
    <x v="0"/>
    <x v="0"/>
    <x v="0"/>
  </r>
  <r>
    <x v="3419"/>
    <x v="0"/>
    <x v="1"/>
    <x v="2"/>
    <n v="70.400000000000006"/>
    <x v="7"/>
    <x v="3142"/>
    <x v="0"/>
    <x v="0"/>
    <x v="1"/>
    <x v="1"/>
  </r>
  <r>
    <x v="3420"/>
    <x v="1"/>
    <x v="0"/>
    <x v="0"/>
    <n v="69.8"/>
    <x v="0"/>
    <x v="3143"/>
    <x v="1"/>
    <x v="0"/>
    <x v="0"/>
    <x v="0"/>
  </r>
  <r>
    <x v="3421"/>
    <x v="0"/>
    <x v="0"/>
    <x v="0"/>
    <n v="94.3"/>
    <x v="17"/>
    <x v="3144"/>
    <x v="0"/>
    <x v="0"/>
    <x v="2"/>
    <x v="2"/>
  </r>
  <r>
    <x v="3422"/>
    <x v="1"/>
    <x v="0"/>
    <x v="2"/>
    <n v="93.8"/>
    <x v="69"/>
    <x v="1788"/>
    <x v="1"/>
    <x v="1"/>
    <x v="1"/>
    <x v="3"/>
  </r>
  <r>
    <x v="3423"/>
    <x v="0"/>
    <x v="1"/>
    <x v="2"/>
    <n v="19.55"/>
    <x v="62"/>
    <x v="3145"/>
    <x v="0"/>
    <x v="0"/>
    <x v="1"/>
    <x v="3"/>
  </r>
  <r>
    <x v="3424"/>
    <x v="1"/>
    <x v="1"/>
    <x v="0"/>
    <n v="95.95"/>
    <x v="62"/>
    <x v="3146"/>
    <x v="0"/>
    <x v="2"/>
    <x v="1"/>
    <x v="3"/>
  </r>
  <r>
    <x v="3425"/>
    <x v="1"/>
    <x v="0"/>
    <x v="0"/>
    <n v="101.05"/>
    <x v="65"/>
    <x v="3147"/>
    <x v="1"/>
    <x v="1"/>
    <x v="1"/>
    <x v="2"/>
  </r>
  <r>
    <x v="3426"/>
    <x v="0"/>
    <x v="2"/>
    <x v="3"/>
    <n v="94.8"/>
    <x v="27"/>
    <x v="3148"/>
    <x v="0"/>
    <x v="2"/>
    <x v="1"/>
    <x v="3"/>
  </r>
  <r>
    <x v="3427"/>
    <x v="1"/>
    <x v="1"/>
    <x v="0"/>
    <n v="107.75"/>
    <x v="59"/>
    <x v="3149"/>
    <x v="0"/>
    <x v="2"/>
    <x v="1"/>
    <x v="3"/>
  </r>
  <r>
    <x v="3428"/>
    <x v="0"/>
    <x v="1"/>
    <x v="1"/>
    <n v="54.6"/>
    <x v="26"/>
    <x v="3150"/>
    <x v="0"/>
    <x v="0"/>
    <x v="0"/>
    <x v="0"/>
  </r>
  <r>
    <x v="3429"/>
    <x v="1"/>
    <x v="0"/>
    <x v="3"/>
    <n v="71.3"/>
    <x v="2"/>
    <x v="3151"/>
    <x v="0"/>
    <x v="0"/>
    <x v="0"/>
    <x v="0"/>
  </r>
  <r>
    <x v="3430"/>
    <x v="1"/>
    <x v="1"/>
    <x v="2"/>
    <n v="19.5"/>
    <x v="13"/>
    <x v="3152"/>
    <x v="0"/>
    <x v="0"/>
    <x v="1"/>
    <x v="1"/>
  </r>
  <r>
    <x v="3431"/>
    <x v="0"/>
    <x v="1"/>
    <x v="3"/>
    <n v="56.3"/>
    <x v="52"/>
    <x v="3153"/>
    <x v="0"/>
    <x v="1"/>
    <x v="1"/>
    <x v="1"/>
  </r>
  <r>
    <x v="3432"/>
    <x v="1"/>
    <x v="0"/>
    <x v="0"/>
    <n v="94.7"/>
    <x v="32"/>
    <x v="3154"/>
    <x v="1"/>
    <x v="0"/>
    <x v="2"/>
    <x v="2"/>
  </r>
  <r>
    <x v="3433"/>
    <x v="1"/>
    <x v="2"/>
    <x v="2"/>
    <n v="104.15"/>
    <x v="21"/>
    <x v="105"/>
    <x v="1"/>
    <x v="2"/>
    <x v="1"/>
    <x v="3"/>
  </r>
  <r>
    <x v="3434"/>
    <x v="0"/>
    <x v="2"/>
    <x v="3"/>
    <n v="90.55"/>
    <x v="16"/>
    <x v="1944"/>
    <x v="0"/>
    <x v="2"/>
    <x v="1"/>
    <x v="3"/>
  </r>
  <r>
    <x v="3435"/>
    <x v="0"/>
    <x v="1"/>
    <x v="1"/>
    <n v="60.8"/>
    <x v="1"/>
    <x v="3155"/>
    <x v="0"/>
    <x v="1"/>
    <x v="1"/>
    <x v="1"/>
  </r>
  <r>
    <x v="3436"/>
    <x v="1"/>
    <x v="0"/>
    <x v="3"/>
    <n v="98.8"/>
    <x v="44"/>
    <x v="3156"/>
    <x v="0"/>
    <x v="1"/>
    <x v="1"/>
    <x v="1"/>
  </r>
  <r>
    <x v="3437"/>
    <x v="1"/>
    <x v="1"/>
    <x v="3"/>
    <n v="98.15"/>
    <x v="63"/>
    <x v="3157"/>
    <x v="0"/>
    <x v="1"/>
    <x v="1"/>
    <x v="1"/>
  </r>
  <r>
    <x v="3438"/>
    <x v="1"/>
    <x v="1"/>
    <x v="1"/>
    <n v="35.35"/>
    <x v="51"/>
    <x v="1894"/>
    <x v="0"/>
    <x v="0"/>
    <x v="1"/>
    <x v="1"/>
  </r>
  <r>
    <x v="3439"/>
    <x v="0"/>
    <x v="1"/>
    <x v="0"/>
    <n v="103.15"/>
    <x v="25"/>
    <x v="3158"/>
    <x v="0"/>
    <x v="1"/>
    <x v="1"/>
    <x v="1"/>
  </r>
  <r>
    <x v="3440"/>
    <x v="0"/>
    <x v="1"/>
    <x v="0"/>
    <n v="107.75"/>
    <x v="11"/>
    <x v="3159"/>
    <x v="0"/>
    <x v="2"/>
    <x v="1"/>
    <x v="3"/>
  </r>
  <r>
    <x v="3441"/>
    <x v="1"/>
    <x v="1"/>
    <x v="3"/>
    <n v="81.400000000000006"/>
    <x v="71"/>
    <x v="3160"/>
    <x v="0"/>
    <x v="1"/>
    <x v="1"/>
    <x v="1"/>
  </r>
  <r>
    <x v="3442"/>
    <x v="1"/>
    <x v="0"/>
    <x v="3"/>
    <n v="61.45"/>
    <x v="54"/>
    <x v="3161"/>
    <x v="1"/>
    <x v="0"/>
    <x v="0"/>
    <x v="0"/>
  </r>
  <r>
    <x v="3443"/>
    <x v="0"/>
    <x v="1"/>
    <x v="3"/>
    <n v="95.7"/>
    <x v="15"/>
    <x v="3162"/>
    <x v="0"/>
    <x v="1"/>
    <x v="1"/>
    <x v="3"/>
  </r>
  <r>
    <x v="3444"/>
    <x v="1"/>
    <x v="1"/>
    <x v="0"/>
    <n v="104.8"/>
    <x v="27"/>
    <x v="3163"/>
    <x v="0"/>
    <x v="2"/>
    <x v="1"/>
    <x v="3"/>
  </r>
  <r>
    <x v="3445"/>
    <x v="1"/>
    <x v="1"/>
    <x v="2"/>
    <n v="70.95"/>
    <x v="45"/>
    <x v="3164"/>
    <x v="0"/>
    <x v="1"/>
    <x v="1"/>
    <x v="3"/>
  </r>
  <r>
    <x v="3446"/>
    <x v="1"/>
    <x v="0"/>
    <x v="1"/>
    <n v="44.95"/>
    <x v="0"/>
    <x v="3165"/>
    <x v="0"/>
    <x v="0"/>
    <x v="0"/>
    <x v="0"/>
  </r>
  <r>
    <x v="3447"/>
    <x v="0"/>
    <x v="1"/>
    <x v="0"/>
    <n v="97.65"/>
    <x v="27"/>
    <x v="3166"/>
    <x v="0"/>
    <x v="2"/>
    <x v="1"/>
    <x v="3"/>
  </r>
  <r>
    <x v="3448"/>
    <x v="0"/>
    <x v="0"/>
    <x v="1"/>
    <n v="35.65"/>
    <x v="44"/>
    <x v="344"/>
    <x v="0"/>
    <x v="0"/>
    <x v="1"/>
    <x v="1"/>
  </r>
  <r>
    <x v="3449"/>
    <x v="1"/>
    <x v="0"/>
    <x v="0"/>
    <n v="90.55"/>
    <x v="0"/>
    <x v="940"/>
    <x v="1"/>
    <x v="0"/>
    <x v="0"/>
    <x v="0"/>
  </r>
  <r>
    <x v="3450"/>
    <x v="0"/>
    <x v="2"/>
    <x v="1"/>
    <n v="85.25"/>
    <x v="56"/>
    <x v="3167"/>
    <x v="0"/>
    <x v="2"/>
    <x v="1"/>
    <x v="3"/>
  </r>
  <r>
    <x v="3451"/>
    <x v="0"/>
    <x v="0"/>
    <x v="1"/>
    <n v="19.5"/>
    <x v="0"/>
    <x v="1663"/>
    <x v="0"/>
    <x v="0"/>
    <x v="0"/>
    <x v="0"/>
  </r>
  <r>
    <x v="3452"/>
    <x v="0"/>
    <x v="0"/>
    <x v="2"/>
    <n v="88.8"/>
    <x v="70"/>
    <x v="3168"/>
    <x v="1"/>
    <x v="1"/>
    <x v="1"/>
    <x v="1"/>
  </r>
  <r>
    <x v="3453"/>
    <x v="0"/>
    <x v="2"/>
    <x v="1"/>
    <n v="25.1"/>
    <x v="19"/>
    <x v="3169"/>
    <x v="0"/>
    <x v="0"/>
    <x v="1"/>
    <x v="1"/>
  </r>
  <r>
    <x v="3454"/>
    <x v="0"/>
    <x v="0"/>
    <x v="3"/>
    <n v="100.05"/>
    <x v="43"/>
    <x v="3170"/>
    <x v="0"/>
    <x v="1"/>
    <x v="1"/>
    <x v="1"/>
  </r>
  <r>
    <x v="3455"/>
    <x v="0"/>
    <x v="0"/>
    <x v="0"/>
    <n v="55.7"/>
    <x v="49"/>
    <x v="3171"/>
    <x v="0"/>
    <x v="1"/>
    <x v="1"/>
    <x v="3"/>
  </r>
  <r>
    <x v="3456"/>
    <x v="1"/>
    <x v="0"/>
    <x v="1"/>
    <n v="85.2"/>
    <x v="40"/>
    <x v="3172"/>
    <x v="1"/>
    <x v="0"/>
    <x v="0"/>
    <x v="0"/>
  </r>
  <r>
    <x v="3457"/>
    <x v="1"/>
    <x v="0"/>
    <x v="0"/>
    <n v="91.15"/>
    <x v="50"/>
    <x v="3173"/>
    <x v="0"/>
    <x v="1"/>
    <x v="1"/>
    <x v="1"/>
  </r>
  <r>
    <x v="3458"/>
    <x v="0"/>
    <x v="0"/>
    <x v="2"/>
    <n v="83.85"/>
    <x v="36"/>
    <x v="3174"/>
    <x v="0"/>
    <x v="1"/>
    <x v="1"/>
    <x v="1"/>
  </r>
  <r>
    <x v="3459"/>
    <x v="1"/>
    <x v="0"/>
    <x v="0"/>
    <n v="45.9"/>
    <x v="54"/>
    <x v="2783"/>
    <x v="0"/>
    <x v="0"/>
    <x v="0"/>
    <x v="0"/>
  </r>
  <r>
    <x v="3460"/>
    <x v="1"/>
    <x v="2"/>
    <x v="3"/>
    <n v="25.1"/>
    <x v="21"/>
    <x v="434"/>
    <x v="0"/>
    <x v="0"/>
    <x v="1"/>
    <x v="3"/>
  </r>
  <r>
    <x v="3461"/>
    <x v="1"/>
    <x v="0"/>
    <x v="0"/>
    <n v="91.4"/>
    <x v="24"/>
    <x v="3175"/>
    <x v="1"/>
    <x v="0"/>
    <x v="0"/>
    <x v="0"/>
  </r>
  <r>
    <x v="3462"/>
    <x v="1"/>
    <x v="0"/>
    <x v="1"/>
    <n v="19.7"/>
    <x v="0"/>
    <x v="3176"/>
    <x v="0"/>
    <x v="0"/>
    <x v="0"/>
    <x v="0"/>
  </r>
  <r>
    <x v="3463"/>
    <x v="0"/>
    <x v="0"/>
    <x v="0"/>
    <n v="91.5"/>
    <x v="30"/>
    <x v="3177"/>
    <x v="0"/>
    <x v="0"/>
    <x v="2"/>
    <x v="2"/>
  </r>
  <r>
    <x v="3464"/>
    <x v="1"/>
    <x v="0"/>
    <x v="3"/>
    <n v="51.3"/>
    <x v="4"/>
    <x v="3178"/>
    <x v="0"/>
    <x v="0"/>
    <x v="0"/>
    <x v="0"/>
  </r>
  <r>
    <x v="3465"/>
    <x v="0"/>
    <x v="1"/>
    <x v="1"/>
    <n v="21.1"/>
    <x v="42"/>
    <x v="3179"/>
    <x v="0"/>
    <x v="0"/>
    <x v="1"/>
    <x v="1"/>
  </r>
  <r>
    <x v="3466"/>
    <x v="0"/>
    <x v="0"/>
    <x v="0"/>
    <n v="104.75"/>
    <x v="39"/>
    <x v="2215"/>
    <x v="0"/>
    <x v="2"/>
    <x v="1"/>
    <x v="3"/>
  </r>
  <r>
    <x v="3467"/>
    <x v="1"/>
    <x v="0"/>
    <x v="2"/>
    <n v="106.15"/>
    <x v="41"/>
    <x v="3180"/>
    <x v="1"/>
    <x v="1"/>
    <x v="1"/>
    <x v="1"/>
  </r>
  <r>
    <x v="3468"/>
    <x v="1"/>
    <x v="0"/>
    <x v="0"/>
    <n v="85.75"/>
    <x v="45"/>
    <x v="3181"/>
    <x v="0"/>
    <x v="2"/>
    <x v="1"/>
    <x v="3"/>
  </r>
  <r>
    <x v="3469"/>
    <x v="0"/>
    <x v="1"/>
    <x v="1"/>
    <n v="20.3"/>
    <x v="2"/>
    <x v="3182"/>
    <x v="0"/>
    <x v="0"/>
    <x v="0"/>
    <x v="0"/>
  </r>
  <r>
    <x v="3470"/>
    <x v="1"/>
    <x v="1"/>
    <x v="0"/>
    <n v="100.75"/>
    <x v="45"/>
    <x v="3183"/>
    <x v="0"/>
    <x v="2"/>
    <x v="1"/>
    <x v="3"/>
  </r>
  <r>
    <x v="3471"/>
    <x v="0"/>
    <x v="0"/>
    <x v="0"/>
    <n v="74.150000000000006"/>
    <x v="32"/>
    <x v="3184"/>
    <x v="0"/>
    <x v="0"/>
    <x v="2"/>
    <x v="2"/>
  </r>
  <r>
    <x v="3472"/>
    <x v="0"/>
    <x v="1"/>
    <x v="0"/>
    <n v="78.55"/>
    <x v="57"/>
    <x v="3185"/>
    <x v="0"/>
    <x v="0"/>
    <x v="2"/>
    <x v="2"/>
  </r>
  <r>
    <x v="3473"/>
    <x v="0"/>
    <x v="0"/>
    <x v="1"/>
    <n v="45.3"/>
    <x v="54"/>
    <x v="3186"/>
    <x v="1"/>
    <x v="0"/>
    <x v="0"/>
    <x v="0"/>
  </r>
  <r>
    <x v="3474"/>
    <x v="1"/>
    <x v="2"/>
    <x v="3"/>
    <n v="19.850000000000001"/>
    <x v="27"/>
    <x v="3187"/>
    <x v="0"/>
    <x v="0"/>
    <x v="1"/>
    <x v="3"/>
  </r>
  <r>
    <x v="3475"/>
    <x v="0"/>
    <x v="0"/>
    <x v="0"/>
    <n v="50.7"/>
    <x v="54"/>
    <x v="3126"/>
    <x v="0"/>
    <x v="0"/>
    <x v="0"/>
    <x v="0"/>
  </r>
  <r>
    <x v="3476"/>
    <x v="1"/>
    <x v="0"/>
    <x v="2"/>
    <n v="45"/>
    <x v="67"/>
    <x v="3188"/>
    <x v="0"/>
    <x v="0"/>
    <x v="2"/>
    <x v="2"/>
  </r>
  <r>
    <x v="3477"/>
    <x v="0"/>
    <x v="0"/>
    <x v="0"/>
    <n v="77.8"/>
    <x v="32"/>
    <x v="3189"/>
    <x v="0"/>
    <x v="0"/>
    <x v="2"/>
    <x v="2"/>
  </r>
  <r>
    <x v="3478"/>
    <x v="0"/>
    <x v="0"/>
    <x v="0"/>
    <n v="83.45"/>
    <x v="46"/>
    <x v="3190"/>
    <x v="0"/>
    <x v="1"/>
    <x v="1"/>
    <x v="1"/>
  </r>
  <r>
    <x v="3479"/>
    <x v="1"/>
    <x v="0"/>
    <x v="3"/>
    <n v="73.25"/>
    <x v="2"/>
    <x v="3191"/>
    <x v="1"/>
    <x v="0"/>
    <x v="0"/>
    <x v="0"/>
  </r>
  <r>
    <x v="3480"/>
    <x v="1"/>
    <x v="1"/>
    <x v="2"/>
    <n v="94.8"/>
    <x v="20"/>
    <x v="3192"/>
    <x v="0"/>
    <x v="1"/>
    <x v="1"/>
    <x v="1"/>
  </r>
  <r>
    <x v="3481"/>
    <x v="0"/>
    <x v="2"/>
    <x v="2"/>
    <n v="20.100000000000001"/>
    <x v="15"/>
    <x v="3193"/>
    <x v="0"/>
    <x v="0"/>
    <x v="1"/>
    <x v="3"/>
  </r>
  <r>
    <x v="3482"/>
    <x v="1"/>
    <x v="0"/>
    <x v="1"/>
    <n v="59.9"/>
    <x v="34"/>
    <x v="3194"/>
    <x v="0"/>
    <x v="0"/>
    <x v="0"/>
    <x v="0"/>
  </r>
  <r>
    <x v="3483"/>
    <x v="0"/>
    <x v="1"/>
    <x v="3"/>
    <n v="90.1"/>
    <x v="70"/>
    <x v="3195"/>
    <x v="0"/>
    <x v="1"/>
    <x v="1"/>
    <x v="1"/>
  </r>
  <r>
    <x v="3484"/>
    <x v="1"/>
    <x v="0"/>
    <x v="0"/>
    <n v="51.05"/>
    <x v="4"/>
    <x v="3196"/>
    <x v="1"/>
    <x v="0"/>
    <x v="0"/>
    <x v="0"/>
  </r>
  <r>
    <x v="3485"/>
    <x v="1"/>
    <x v="1"/>
    <x v="0"/>
    <n v="70.95"/>
    <x v="66"/>
    <x v="3197"/>
    <x v="0"/>
    <x v="1"/>
    <x v="1"/>
    <x v="1"/>
  </r>
  <r>
    <x v="3486"/>
    <x v="0"/>
    <x v="0"/>
    <x v="1"/>
    <n v="29.2"/>
    <x v="35"/>
    <x v="3198"/>
    <x v="0"/>
    <x v="0"/>
    <x v="0"/>
    <x v="0"/>
  </r>
  <r>
    <x v="3487"/>
    <x v="1"/>
    <x v="0"/>
    <x v="2"/>
    <n v="46.6"/>
    <x v="2"/>
    <x v="3199"/>
    <x v="0"/>
    <x v="0"/>
    <x v="0"/>
    <x v="0"/>
  </r>
  <r>
    <x v="3488"/>
    <x v="0"/>
    <x v="0"/>
    <x v="2"/>
    <n v="85.35"/>
    <x v="34"/>
    <x v="2594"/>
    <x v="1"/>
    <x v="0"/>
    <x v="0"/>
    <x v="0"/>
  </r>
  <r>
    <x v="3489"/>
    <x v="1"/>
    <x v="0"/>
    <x v="0"/>
    <n v="75.349999999999994"/>
    <x v="0"/>
    <x v="1863"/>
    <x v="1"/>
    <x v="0"/>
    <x v="0"/>
    <x v="0"/>
  </r>
  <r>
    <x v="3490"/>
    <x v="1"/>
    <x v="0"/>
    <x v="2"/>
    <n v="74.3"/>
    <x v="13"/>
    <x v="2595"/>
    <x v="0"/>
    <x v="0"/>
    <x v="1"/>
    <x v="1"/>
  </r>
  <r>
    <x v="3491"/>
    <x v="0"/>
    <x v="0"/>
    <x v="0"/>
    <n v="69.3"/>
    <x v="2"/>
    <x v="3200"/>
    <x v="0"/>
    <x v="0"/>
    <x v="0"/>
    <x v="0"/>
  </r>
  <r>
    <x v="3492"/>
    <x v="1"/>
    <x v="0"/>
    <x v="0"/>
    <n v="75.2"/>
    <x v="29"/>
    <x v="2560"/>
    <x v="1"/>
    <x v="1"/>
    <x v="1"/>
    <x v="1"/>
  </r>
  <r>
    <x v="3493"/>
    <x v="0"/>
    <x v="0"/>
    <x v="1"/>
    <n v="20.9"/>
    <x v="0"/>
    <x v="1848"/>
    <x v="1"/>
    <x v="0"/>
    <x v="0"/>
    <x v="0"/>
  </r>
  <r>
    <x v="3494"/>
    <x v="0"/>
    <x v="1"/>
    <x v="0"/>
    <n v="94.3"/>
    <x v="11"/>
    <x v="3201"/>
    <x v="0"/>
    <x v="2"/>
    <x v="1"/>
    <x v="3"/>
  </r>
  <r>
    <x v="3495"/>
    <x v="0"/>
    <x v="2"/>
    <x v="1"/>
    <n v="76.45"/>
    <x v="64"/>
    <x v="3202"/>
    <x v="0"/>
    <x v="1"/>
    <x v="1"/>
    <x v="3"/>
  </r>
  <r>
    <x v="3496"/>
    <x v="1"/>
    <x v="1"/>
    <x v="0"/>
    <n v="54"/>
    <x v="66"/>
    <x v="1072"/>
    <x v="0"/>
    <x v="1"/>
    <x v="1"/>
    <x v="1"/>
  </r>
  <r>
    <x v="3497"/>
    <x v="1"/>
    <x v="1"/>
    <x v="0"/>
    <n v="104.25"/>
    <x v="33"/>
    <x v="3203"/>
    <x v="0"/>
    <x v="2"/>
    <x v="1"/>
    <x v="3"/>
  </r>
  <r>
    <x v="3498"/>
    <x v="1"/>
    <x v="2"/>
    <x v="2"/>
    <n v="19.95"/>
    <x v="47"/>
    <x v="2711"/>
    <x v="0"/>
    <x v="0"/>
    <x v="1"/>
    <x v="3"/>
  </r>
  <r>
    <x v="3499"/>
    <x v="1"/>
    <x v="0"/>
    <x v="0"/>
    <n v="24.95"/>
    <x v="34"/>
    <x v="3204"/>
    <x v="0"/>
    <x v="0"/>
    <x v="0"/>
    <x v="0"/>
  </r>
  <r>
    <x v="3500"/>
    <x v="1"/>
    <x v="0"/>
    <x v="0"/>
    <n v="84.75"/>
    <x v="67"/>
    <x v="3205"/>
    <x v="0"/>
    <x v="0"/>
    <x v="2"/>
    <x v="2"/>
  </r>
  <r>
    <x v="3501"/>
    <x v="1"/>
    <x v="0"/>
    <x v="1"/>
    <n v="19.75"/>
    <x v="54"/>
    <x v="3206"/>
    <x v="0"/>
    <x v="0"/>
    <x v="0"/>
    <x v="0"/>
  </r>
  <r>
    <x v="3502"/>
    <x v="0"/>
    <x v="2"/>
    <x v="2"/>
    <n v="113.65"/>
    <x v="27"/>
    <x v="3127"/>
    <x v="0"/>
    <x v="2"/>
    <x v="1"/>
    <x v="3"/>
  </r>
  <r>
    <x v="3503"/>
    <x v="1"/>
    <x v="0"/>
    <x v="1"/>
    <n v="44.9"/>
    <x v="0"/>
    <x v="3207"/>
    <x v="0"/>
    <x v="0"/>
    <x v="0"/>
    <x v="0"/>
  </r>
  <r>
    <x v="3504"/>
    <x v="0"/>
    <x v="0"/>
    <x v="0"/>
    <n v="75.25"/>
    <x v="4"/>
    <x v="3208"/>
    <x v="0"/>
    <x v="0"/>
    <x v="0"/>
    <x v="0"/>
  </r>
  <r>
    <x v="3505"/>
    <x v="1"/>
    <x v="2"/>
    <x v="1"/>
    <n v="24.6"/>
    <x v="62"/>
    <x v="3209"/>
    <x v="0"/>
    <x v="0"/>
    <x v="1"/>
    <x v="3"/>
  </r>
  <r>
    <x v="3506"/>
    <x v="1"/>
    <x v="1"/>
    <x v="2"/>
    <n v="25"/>
    <x v="69"/>
    <x v="3210"/>
    <x v="0"/>
    <x v="0"/>
    <x v="1"/>
    <x v="3"/>
  </r>
  <r>
    <x v="3507"/>
    <x v="1"/>
    <x v="0"/>
    <x v="2"/>
    <n v="20.95"/>
    <x v="26"/>
    <x v="3211"/>
    <x v="0"/>
    <x v="0"/>
    <x v="0"/>
    <x v="0"/>
  </r>
  <r>
    <x v="3508"/>
    <x v="1"/>
    <x v="2"/>
    <x v="0"/>
    <n v="110.6"/>
    <x v="31"/>
    <x v="3148"/>
    <x v="0"/>
    <x v="2"/>
    <x v="1"/>
    <x v="3"/>
  </r>
  <r>
    <x v="3509"/>
    <x v="1"/>
    <x v="0"/>
    <x v="3"/>
    <n v="55.5"/>
    <x v="22"/>
    <x v="3212"/>
    <x v="0"/>
    <x v="0"/>
    <x v="2"/>
    <x v="2"/>
  </r>
  <r>
    <x v="3510"/>
    <x v="1"/>
    <x v="0"/>
    <x v="0"/>
    <n v="43.3"/>
    <x v="35"/>
    <x v="3213"/>
    <x v="1"/>
    <x v="0"/>
    <x v="0"/>
    <x v="0"/>
  </r>
  <r>
    <x v="3511"/>
    <x v="1"/>
    <x v="1"/>
    <x v="2"/>
    <n v="109.5"/>
    <x v="27"/>
    <x v="3214"/>
    <x v="1"/>
    <x v="2"/>
    <x v="1"/>
    <x v="3"/>
  </r>
  <r>
    <x v="3512"/>
    <x v="1"/>
    <x v="0"/>
    <x v="1"/>
    <n v="19.45"/>
    <x v="0"/>
    <x v="100"/>
    <x v="0"/>
    <x v="0"/>
    <x v="0"/>
    <x v="0"/>
  </r>
  <r>
    <x v="3513"/>
    <x v="1"/>
    <x v="0"/>
    <x v="0"/>
    <n v="84.85"/>
    <x v="29"/>
    <x v="3215"/>
    <x v="0"/>
    <x v="1"/>
    <x v="1"/>
    <x v="1"/>
  </r>
  <r>
    <x v="3514"/>
    <x v="0"/>
    <x v="0"/>
    <x v="1"/>
    <n v="19.600000000000001"/>
    <x v="10"/>
    <x v="3216"/>
    <x v="0"/>
    <x v="0"/>
    <x v="2"/>
    <x v="2"/>
  </r>
  <r>
    <x v="3515"/>
    <x v="0"/>
    <x v="1"/>
    <x v="0"/>
    <n v="53.45"/>
    <x v="58"/>
    <x v="3217"/>
    <x v="0"/>
    <x v="1"/>
    <x v="1"/>
    <x v="3"/>
  </r>
  <r>
    <x v="3516"/>
    <x v="1"/>
    <x v="1"/>
    <x v="3"/>
    <n v="19.8"/>
    <x v="50"/>
    <x v="1836"/>
    <x v="0"/>
    <x v="0"/>
    <x v="1"/>
    <x v="1"/>
  </r>
  <r>
    <x v="3517"/>
    <x v="0"/>
    <x v="2"/>
    <x v="3"/>
    <n v="112.1"/>
    <x v="21"/>
    <x v="3218"/>
    <x v="0"/>
    <x v="2"/>
    <x v="1"/>
    <x v="3"/>
  </r>
  <r>
    <x v="3518"/>
    <x v="0"/>
    <x v="0"/>
    <x v="3"/>
    <n v="84.8"/>
    <x v="26"/>
    <x v="2862"/>
    <x v="1"/>
    <x v="0"/>
    <x v="0"/>
    <x v="0"/>
  </r>
  <r>
    <x v="3519"/>
    <x v="0"/>
    <x v="0"/>
    <x v="0"/>
    <n v="95.05"/>
    <x v="37"/>
    <x v="3219"/>
    <x v="1"/>
    <x v="1"/>
    <x v="1"/>
    <x v="3"/>
  </r>
  <r>
    <x v="3520"/>
    <x v="1"/>
    <x v="0"/>
    <x v="0"/>
    <n v="50.35"/>
    <x v="24"/>
    <x v="3220"/>
    <x v="1"/>
    <x v="0"/>
    <x v="0"/>
    <x v="0"/>
  </r>
  <r>
    <x v="3521"/>
    <x v="1"/>
    <x v="0"/>
    <x v="2"/>
    <n v="74.599999999999994"/>
    <x v="0"/>
    <x v="639"/>
    <x v="1"/>
    <x v="0"/>
    <x v="0"/>
    <x v="0"/>
  </r>
  <r>
    <x v="3522"/>
    <x v="1"/>
    <x v="0"/>
    <x v="1"/>
    <n v="19.7"/>
    <x v="10"/>
    <x v="3221"/>
    <x v="1"/>
    <x v="0"/>
    <x v="2"/>
    <x v="2"/>
  </r>
  <r>
    <x v="3523"/>
    <x v="1"/>
    <x v="0"/>
    <x v="0"/>
    <n v="74.2"/>
    <x v="2"/>
    <x v="3222"/>
    <x v="0"/>
    <x v="0"/>
    <x v="0"/>
    <x v="0"/>
  </r>
  <r>
    <x v="3524"/>
    <x v="0"/>
    <x v="0"/>
    <x v="1"/>
    <n v="69"/>
    <x v="22"/>
    <x v="1169"/>
    <x v="0"/>
    <x v="0"/>
    <x v="2"/>
    <x v="2"/>
  </r>
  <r>
    <x v="3525"/>
    <x v="0"/>
    <x v="1"/>
    <x v="3"/>
    <n v="19.350000000000001"/>
    <x v="10"/>
    <x v="3223"/>
    <x v="0"/>
    <x v="0"/>
    <x v="2"/>
    <x v="2"/>
  </r>
  <r>
    <x v="3526"/>
    <x v="0"/>
    <x v="0"/>
    <x v="0"/>
    <n v="59.45"/>
    <x v="30"/>
    <x v="3224"/>
    <x v="1"/>
    <x v="0"/>
    <x v="2"/>
    <x v="2"/>
  </r>
  <r>
    <x v="3527"/>
    <x v="0"/>
    <x v="1"/>
    <x v="1"/>
    <n v="19.8"/>
    <x v="6"/>
    <x v="3225"/>
    <x v="0"/>
    <x v="0"/>
    <x v="0"/>
    <x v="0"/>
  </r>
  <r>
    <x v="3528"/>
    <x v="0"/>
    <x v="1"/>
    <x v="2"/>
    <n v="105.2"/>
    <x v="25"/>
    <x v="3226"/>
    <x v="1"/>
    <x v="1"/>
    <x v="1"/>
    <x v="1"/>
  </r>
  <r>
    <x v="3529"/>
    <x v="1"/>
    <x v="2"/>
    <x v="3"/>
    <n v="109.2"/>
    <x v="38"/>
    <x v="3227"/>
    <x v="0"/>
    <x v="2"/>
    <x v="1"/>
    <x v="3"/>
  </r>
  <r>
    <x v="3530"/>
    <x v="0"/>
    <x v="0"/>
    <x v="1"/>
    <n v="79.150000000000006"/>
    <x v="0"/>
    <x v="3228"/>
    <x v="0"/>
    <x v="0"/>
    <x v="0"/>
    <x v="0"/>
  </r>
  <r>
    <x v="3531"/>
    <x v="1"/>
    <x v="1"/>
    <x v="1"/>
    <n v="53.65"/>
    <x v="13"/>
    <x v="3229"/>
    <x v="0"/>
    <x v="0"/>
    <x v="1"/>
    <x v="1"/>
  </r>
  <r>
    <x v="3532"/>
    <x v="1"/>
    <x v="2"/>
    <x v="3"/>
    <n v="100.2"/>
    <x v="16"/>
    <x v="3230"/>
    <x v="0"/>
    <x v="2"/>
    <x v="1"/>
    <x v="3"/>
  </r>
  <r>
    <x v="3533"/>
    <x v="1"/>
    <x v="0"/>
    <x v="1"/>
    <n v="45.15"/>
    <x v="4"/>
    <x v="3231"/>
    <x v="1"/>
    <x v="0"/>
    <x v="0"/>
    <x v="0"/>
  </r>
  <r>
    <x v="3534"/>
    <x v="0"/>
    <x v="2"/>
    <x v="2"/>
    <n v="108.65"/>
    <x v="21"/>
    <x v="3232"/>
    <x v="0"/>
    <x v="2"/>
    <x v="1"/>
    <x v="3"/>
  </r>
  <r>
    <x v="3535"/>
    <x v="0"/>
    <x v="0"/>
    <x v="2"/>
    <n v="40.65"/>
    <x v="12"/>
    <x v="3233"/>
    <x v="0"/>
    <x v="0"/>
    <x v="1"/>
    <x v="3"/>
  </r>
  <r>
    <x v="3536"/>
    <x v="1"/>
    <x v="1"/>
    <x v="3"/>
    <n v="55.35"/>
    <x v="44"/>
    <x v="1549"/>
    <x v="0"/>
    <x v="0"/>
    <x v="1"/>
    <x v="1"/>
  </r>
  <r>
    <x v="3537"/>
    <x v="1"/>
    <x v="2"/>
    <x v="2"/>
    <n v="105.6"/>
    <x v="21"/>
    <x v="3234"/>
    <x v="0"/>
    <x v="2"/>
    <x v="1"/>
    <x v="3"/>
  </r>
  <r>
    <x v="3538"/>
    <x v="1"/>
    <x v="0"/>
    <x v="0"/>
    <n v="93.8"/>
    <x v="36"/>
    <x v="3093"/>
    <x v="1"/>
    <x v="1"/>
    <x v="1"/>
    <x v="1"/>
  </r>
  <r>
    <x v="3539"/>
    <x v="0"/>
    <x v="0"/>
    <x v="0"/>
    <n v="95.7"/>
    <x v="37"/>
    <x v="3235"/>
    <x v="0"/>
    <x v="1"/>
    <x v="1"/>
    <x v="3"/>
  </r>
  <r>
    <x v="3540"/>
    <x v="1"/>
    <x v="2"/>
    <x v="0"/>
    <n v="83.2"/>
    <x v="16"/>
    <x v="3236"/>
    <x v="0"/>
    <x v="2"/>
    <x v="1"/>
    <x v="3"/>
  </r>
  <r>
    <x v="3541"/>
    <x v="1"/>
    <x v="2"/>
    <x v="3"/>
    <n v="90.05"/>
    <x v="27"/>
    <x v="3237"/>
    <x v="0"/>
    <x v="2"/>
    <x v="1"/>
    <x v="3"/>
  </r>
  <r>
    <x v="3542"/>
    <x v="1"/>
    <x v="1"/>
    <x v="3"/>
    <n v="97.65"/>
    <x v="16"/>
    <x v="3238"/>
    <x v="0"/>
    <x v="2"/>
    <x v="1"/>
    <x v="3"/>
  </r>
  <r>
    <x v="3543"/>
    <x v="1"/>
    <x v="2"/>
    <x v="2"/>
    <n v="68.05"/>
    <x v="59"/>
    <x v="3239"/>
    <x v="0"/>
    <x v="1"/>
    <x v="1"/>
    <x v="3"/>
  </r>
  <r>
    <x v="3544"/>
    <x v="1"/>
    <x v="0"/>
    <x v="0"/>
    <n v="96.2"/>
    <x v="48"/>
    <x v="3240"/>
    <x v="1"/>
    <x v="1"/>
    <x v="1"/>
    <x v="1"/>
  </r>
  <r>
    <x v="3545"/>
    <x v="0"/>
    <x v="0"/>
    <x v="0"/>
    <n v="79.599999999999994"/>
    <x v="0"/>
    <x v="1815"/>
    <x v="1"/>
    <x v="0"/>
    <x v="0"/>
    <x v="0"/>
  </r>
  <r>
    <x v="3546"/>
    <x v="1"/>
    <x v="2"/>
    <x v="2"/>
    <n v="102.1"/>
    <x v="47"/>
    <x v="3241"/>
    <x v="0"/>
    <x v="2"/>
    <x v="1"/>
    <x v="3"/>
  </r>
  <r>
    <x v="3547"/>
    <x v="1"/>
    <x v="2"/>
    <x v="2"/>
    <n v="23.4"/>
    <x v="8"/>
    <x v="2345"/>
    <x v="0"/>
    <x v="0"/>
    <x v="1"/>
    <x v="3"/>
  </r>
  <r>
    <x v="3548"/>
    <x v="0"/>
    <x v="0"/>
    <x v="0"/>
    <n v="71.05"/>
    <x v="40"/>
    <x v="3242"/>
    <x v="0"/>
    <x v="0"/>
    <x v="0"/>
    <x v="0"/>
  </r>
  <r>
    <x v="3549"/>
    <x v="1"/>
    <x v="0"/>
    <x v="0"/>
    <n v="85.25"/>
    <x v="61"/>
    <x v="3243"/>
    <x v="1"/>
    <x v="0"/>
    <x v="2"/>
    <x v="2"/>
  </r>
  <r>
    <x v="3550"/>
    <x v="1"/>
    <x v="1"/>
    <x v="1"/>
    <n v="19.45"/>
    <x v="53"/>
    <x v="3244"/>
    <x v="0"/>
    <x v="0"/>
    <x v="0"/>
    <x v="0"/>
  </r>
  <r>
    <x v="3551"/>
    <x v="0"/>
    <x v="0"/>
    <x v="2"/>
    <n v="59.45"/>
    <x v="55"/>
    <x v="3245"/>
    <x v="0"/>
    <x v="0"/>
    <x v="1"/>
    <x v="1"/>
  </r>
  <r>
    <x v="3552"/>
    <x v="1"/>
    <x v="1"/>
    <x v="2"/>
    <n v="92.2"/>
    <x v="7"/>
    <x v="3246"/>
    <x v="0"/>
    <x v="1"/>
    <x v="1"/>
    <x v="1"/>
  </r>
  <r>
    <x v="3553"/>
    <x v="1"/>
    <x v="2"/>
    <x v="3"/>
    <n v="19.850000000000001"/>
    <x v="23"/>
    <x v="3247"/>
    <x v="0"/>
    <x v="0"/>
    <x v="1"/>
    <x v="1"/>
  </r>
  <r>
    <x v="3554"/>
    <x v="1"/>
    <x v="0"/>
    <x v="1"/>
    <n v="43.9"/>
    <x v="40"/>
    <x v="3248"/>
    <x v="0"/>
    <x v="0"/>
    <x v="0"/>
    <x v="0"/>
  </r>
  <r>
    <x v="3555"/>
    <x v="1"/>
    <x v="0"/>
    <x v="0"/>
    <n v="80.5"/>
    <x v="70"/>
    <x v="3249"/>
    <x v="1"/>
    <x v="1"/>
    <x v="1"/>
    <x v="1"/>
  </r>
  <r>
    <x v="3556"/>
    <x v="1"/>
    <x v="0"/>
    <x v="0"/>
    <n v="89.8"/>
    <x v="24"/>
    <x v="3250"/>
    <x v="1"/>
    <x v="0"/>
    <x v="0"/>
    <x v="0"/>
  </r>
  <r>
    <x v="3557"/>
    <x v="1"/>
    <x v="0"/>
    <x v="3"/>
    <n v="90.5"/>
    <x v="19"/>
    <x v="3251"/>
    <x v="0"/>
    <x v="1"/>
    <x v="1"/>
    <x v="1"/>
  </r>
  <r>
    <x v="3558"/>
    <x v="1"/>
    <x v="1"/>
    <x v="3"/>
    <n v="90.45"/>
    <x v="28"/>
    <x v="3252"/>
    <x v="0"/>
    <x v="2"/>
    <x v="1"/>
    <x v="3"/>
  </r>
  <r>
    <x v="3559"/>
    <x v="1"/>
    <x v="0"/>
    <x v="0"/>
    <n v="50.75"/>
    <x v="0"/>
    <x v="3253"/>
    <x v="1"/>
    <x v="0"/>
    <x v="0"/>
    <x v="0"/>
  </r>
  <r>
    <x v="3560"/>
    <x v="0"/>
    <x v="1"/>
    <x v="0"/>
    <n v="84.6"/>
    <x v="62"/>
    <x v="3254"/>
    <x v="0"/>
    <x v="1"/>
    <x v="1"/>
    <x v="3"/>
  </r>
  <r>
    <x v="3561"/>
    <x v="0"/>
    <x v="0"/>
    <x v="3"/>
    <n v="89.65"/>
    <x v="60"/>
    <x v="3255"/>
    <x v="1"/>
    <x v="0"/>
    <x v="2"/>
    <x v="2"/>
  </r>
  <r>
    <x v="3562"/>
    <x v="0"/>
    <x v="0"/>
    <x v="2"/>
    <n v="99.15"/>
    <x v="17"/>
    <x v="3256"/>
    <x v="0"/>
    <x v="1"/>
    <x v="2"/>
    <x v="2"/>
  </r>
  <r>
    <x v="3563"/>
    <x v="1"/>
    <x v="1"/>
    <x v="1"/>
    <n v="19.95"/>
    <x v="22"/>
    <x v="3257"/>
    <x v="0"/>
    <x v="0"/>
    <x v="2"/>
    <x v="2"/>
  </r>
  <r>
    <x v="3564"/>
    <x v="1"/>
    <x v="2"/>
    <x v="1"/>
    <n v="20.5"/>
    <x v="10"/>
    <x v="3258"/>
    <x v="0"/>
    <x v="0"/>
    <x v="2"/>
    <x v="2"/>
  </r>
  <r>
    <x v="3565"/>
    <x v="0"/>
    <x v="0"/>
    <x v="0"/>
    <n v="62.1"/>
    <x v="42"/>
    <x v="3259"/>
    <x v="0"/>
    <x v="1"/>
    <x v="1"/>
    <x v="1"/>
  </r>
  <r>
    <x v="3566"/>
    <x v="0"/>
    <x v="0"/>
    <x v="0"/>
    <n v="79.5"/>
    <x v="48"/>
    <x v="3260"/>
    <x v="0"/>
    <x v="1"/>
    <x v="1"/>
    <x v="1"/>
  </r>
  <r>
    <x v="3567"/>
    <x v="0"/>
    <x v="0"/>
    <x v="2"/>
    <n v="19.55"/>
    <x v="7"/>
    <x v="3261"/>
    <x v="0"/>
    <x v="0"/>
    <x v="1"/>
    <x v="1"/>
  </r>
  <r>
    <x v="3568"/>
    <x v="0"/>
    <x v="0"/>
    <x v="1"/>
    <n v="20.350000000000001"/>
    <x v="0"/>
    <x v="1338"/>
    <x v="0"/>
    <x v="0"/>
    <x v="0"/>
    <x v="0"/>
  </r>
  <r>
    <x v="3569"/>
    <x v="1"/>
    <x v="0"/>
    <x v="0"/>
    <n v="51.7"/>
    <x v="64"/>
    <x v="3262"/>
    <x v="0"/>
    <x v="1"/>
    <x v="1"/>
    <x v="3"/>
  </r>
  <r>
    <x v="3570"/>
    <x v="0"/>
    <x v="1"/>
    <x v="2"/>
    <n v="23.3"/>
    <x v="21"/>
    <x v="3263"/>
    <x v="0"/>
    <x v="0"/>
    <x v="1"/>
    <x v="3"/>
  </r>
  <r>
    <x v="3571"/>
    <x v="1"/>
    <x v="1"/>
    <x v="1"/>
    <n v="65.400000000000006"/>
    <x v="51"/>
    <x v="3264"/>
    <x v="1"/>
    <x v="1"/>
    <x v="1"/>
    <x v="1"/>
  </r>
  <r>
    <x v="3572"/>
    <x v="0"/>
    <x v="0"/>
    <x v="1"/>
    <n v="65.099999999999994"/>
    <x v="63"/>
    <x v="3265"/>
    <x v="0"/>
    <x v="1"/>
    <x v="1"/>
    <x v="1"/>
  </r>
  <r>
    <x v="3573"/>
    <x v="1"/>
    <x v="0"/>
    <x v="0"/>
    <n v="81.2"/>
    <x v="63"/>
    <x v="3266"/>
    <x v="0"/>
    <x v="1"/>
    <x v="1"/>
    <x v="1"/>
  </r>
  <r>
    <x v="3574"/>
    <x v="0"/>
    <x v="0"/>
    <x v="1"/>
    <n v="72.900000000000006"/>
    <x v="34"/>
    <x v="3267"/>
    <x v="1"/>
    <x v="0"/>
    <x v="0"/>
    <x v="0"/>
  </r>
  <r>
    <x v="3575"/>
    <x v="1"/>
    <x v="2"/>
    <x v="3"/>
    <n v="74.5"/>
    <x v="28"/>
    <x v="3268"/>
    <x v="0"/>
    <x v="1"/>
    <x v="1"/>
    <x v="3"/>
  </r>
  <r>
    <x v="3576"/>
    <x v="0"/>
    <x v="0"/>
    <x v="0"/>
    <n v="80.5"/>
    <x v="35"/>
    <x v="2453"/>
    <x v="0"/>
    <x v="0"/>
    <x v="0"/>
    <x v="0"/>
  </r>
  <r>
    <x v="3577"/>
    <x v="1"/>
    <x v="1"/>
    <x v="1"/>
    <n v="60.3"/>
    <x v="63"/>
    <x v="3269"/>
    <x v="0"/>
    <x v="1"/>
    <x v="1"/>
    <x v="1"/>
  </r>
  <r>
    <x v="3578"/>
    <x v="1"/>
    <x v="0"/>
    <x v="1"/>
    <n v="75"/>
    <x v="4"/>
    <x v="1245"/>
    <x v="0"/>
    <x v="0"/>
    <x v="0"/>
    <x v="0"/>
  </r>
  <r>
    <x v="3579"/>
    <x v="1"/>
    <x v="1"/>
    <x v="1"/>
    <n v="90.15"/>
    <x v="1"/>
    <x v="3270"/>
    <x v="0"/>
    <x v="1"/>
    <x v="1"/>
    <x v="1"/>
  </r>
  <r>
    <x v="3580"/>
    <x v="1"/>
    <x v="0"/>
    <x v="1"/>
    <n v="40"/>
    <x v="24"/>
    <x v="2431"/>
    <x v="1"/>
    <x v="0"/>
    <x v="0"/>
    <x v="0"/>
  </r>
  <r>
    <x v="3581"/>
    <x v="1"/>
    <x v="0"/>
    <x v="3"/>
    <n v="99.45"/>
    <x v="34"/>
    <x v="3271"/>
    <x v="1"/>
    <x v="0"/>
    <x v="0"/>
    <x v="0"/>
  </r>
  <r>
    <x v="3582"/>
    <x v="1"/>
    <x v="0"/>
    <x v="3"/>
    <n v="69.05"/>
    <x v="34"/>
    <x v="3272"/>
    <x v="0"/>
    <x v="0"/>
    <x v="0"/>
    <x v="0"/>
  </r>
  <r>
    <x v="3583"/>
    <x v="1"/>
    <x v="0"/>
    <x v="2"/>
    <n v="59.7"/>
    <x v="36"/>
    <x v="3273"/>
    <x v="0"/>
    <x v="0"/>
    <x v="1"/>
    <x v="1"/>
  </r>
  <r>
    <x v="3584"/>
    <x v="0"/>
    <x v="1"/>
    <x v="2"/>
    <n v="19.850000000000001"/>
    <x v="37"/>
    <x v="3274"/>
    <x v="0"/>
    <x v="0"/>
    <x v="1"/>
    <x v="3"/>
  </r>
  <r>
    <x v="3585"/>
    <x v="0"/>
    <x v="0"/>
    <x v="0"/>
    <n v="86.25"/>
    <x v="2"/>
    <x v="3275"/>
    <x v="1"/>
    <x v="0"/>
    <x v="0"/>
    <x v="0"/>
  </r>
  <r>
    <x v="3586"/>
    <x v="0"/>
    <x v="0"/>
    <x v="0"/>
    <n v="45.65"/>
    <x v="0"/>
    <x v="146"/>
    <x v="1"/>
    <x v="0"/>
    <x v="0"/>
    <x v="0"/>
  </r>
  <r>
    <x v="3587"/>
    <x v="1"/>
    <x v="0"/>
    <x v="1"/>
    <n v="70.099999999999994"/>
    <x v="4"/>
    <x v="3276"/>
    <x v="1"/>
    <x v="0"/>
    <x v="0"/>
    <x v="0"/>
  </r>
  <r>
    <x v="3588"/>
    <x v="0"/>
    <x v="0"/>
    <x v="0"/>
    <n v="40.75"/>
    <x v="34"/>
    <x v="3277"/>
    <x v="0"/>
    <x v="0"/>
    <x v="0"/>
    <x v="0"/>
  </r>
  <r>
    <x v="3589"/>
    <x v="0"/>
    <x v="0"/>
    <x v="2"/>
    <n v="70.2"/>
    <x v="2"/>
    <x v="3278"/>
    <x v="1"/>
    <x v="0"/>
    <x v="0"/>
    <x v="0"/>
  </r>
  <r>
    <x v="3590"/>
    <x v="0"/>
    <x v="0"/>
    <x v="0"/>
    <n v="55.35"/>
    <x v="35"/>
    <x v="3279"/>
    <x v="1"/>
    <x v="0"/>
    <x v="0"/>
    <x v="0"/>
  </r>
  <r>
    <x v="3591"/>
    <x v="1"/>
    <x v="0"/>
    <x v="3"/>
    <n v="95.7"/>
    <x v="13"/>
    <x v="3280"/>
    <x v="0"/>
    <x v="1"/>
    <x v="1"/>
    <x v="1"/>
  </r>
  <r>
    <x v="3592"/>
    <x v="1"/>
    <x v="0"/>
    <x v="0"/>
    <n v="46.3"/>
    <x v="0"/>
    <x v="3061"/>
    <x v="0"/>
    <x v="0"/>
    <x v="0"/>
    <x v="0"/>
  </r>
  <r>
    <x v="3593"/>
    <x v="0"/>
    <x v="0"/>
    <x v="1"/>
    <n v="81.3"/>
    <x v="3"/>
    <x v="3281"/>
    <x v="0"/>
    <x v="1"/>
    <x v="1"/>
    <x v="1"/>
  </r>
  <r>
    <x v="3594"/>
    <x v="1"/>
    <x v="0"/>
    <x v="0"/>
    <n v="84.2"/>
    <x v="69"/>
    <x v="3282"/>
    <x v="1"/>
    <x v="1"/>
    <x v="1"/>
    <x v="3"/>
  </r>
  <r>
    <x v="3595"/>
    <x v="0"/>
    <x v="0"/>
    <x v="3"/>
    <n v="20"/>
    <x v="49"/>
    <x v="3283"/>
    <x v="0"/>
    <x v="0"/>
    <x v="1"/>
    <x v="3"/>
  </r>
  <r>
    <x v="3596"/>
    <x v="0"/>
    <x v="0"/>
    <x v="2"/>
    <n v="66.150000000000006"/>
    <x v="46"/>
    <x v="3284"/>
    <x v="0"/>
    <x v="1"/>
    <x v="1"/>
    <x v="1"/>
  </r>
  <r>
    <x v="3597"/>
    <x v="1"/>
    <x v="0"/>
    <x v="1"/>
    <n v="45.85"/>
    <x v="2"/>
    <x v="1490"/>
    <x v="1"/>
    <x v="0"/>
    <x v="0"/>
    <x v="0"/>
  </r>
  <r>
    <x v="3598"/>
    <x v="1"/>
    <x v="0"/>
    <x v="0"/>
    <n v="19.600000000000001"/>
    <x v="46"/>
    <x v="3285"/>
    <x v="0"/>
    <x v="0"/>
    <x v="1"/>
    <x v="1"/>
  </r>
  <r>
    <x v="3599"/>
    <x v="1"/>
    <x v="0"/>
    <x v="0"/>
    <n v="49.8"/>
    <x v="1"/>
    <x v="3286"/>
    <x v="0"/>
    <x v="0"/>
    <x v="1"/>
    <x v="1"/>
  </r>
  <r>
    <x v="3600"/>
    <x v="0"/>
    <x v="1"/>
    <x v="0"/>
    <n v="101.75"/>
    <x v="27"/>
    <x v="3287"/>
    <x v="0"/>
    <x v="2"/>
    <x v="1"/>
    <x v="3"/>
  </r>
  <r>
    <x v="3601"/>
    <x v="0"/>
    <x v="1"/>
    <x v="1"/>
    <n v="55.15"/>
    <x v="9"/>
    <x v="3288"/>
    <x v="0"/>
    <x v="0"/>
    <x v="2"/>
    <x v="2"/>
  </r>
  <r>
    <x v="3602"/>
    <x v="1"/>
    <x v="0"/>
    <x v="0"/>
    <n v="75.25"/>
    <x v="71"/>
    <x v="3289"/>
    <x v="1"/>
    <x v="1"/>
    <x v="1"/>
    <x v="1"/>
  </r>
  <r>
    <x v="3603"/>
    <x v="0"/>
    <x v="1"/>
    <x v="0"/>
    <n v="103.95"/>
    <x v="59"/>
    <x v="3290"/>
    <x v="0"/>
    <x v="2"/>
    <x v="1"/>
    <x v="3"/>
  </r>
  <r>
    <x v="3604"/>
    <x v="0"/>
    <x v="0"/>
    <x v="2"/>
    <n v="100.15"/>
    <x v="18"/>
    <x v="3291"/>
    <x v="1"/>
    <x v="0"/>
    <x v="2"/>
    <x v="0"/>
  </r>
  <r>
    <x v="3605"/>
    <x v="1"/>
    <x v="2"/>
    <x v="3"/>
    <n v="99.65"/>
    <x v="52"/>
    <x v="3292"/>
    <x v="0"/>
    <x v="1"/>
    <x v="1"/>
    <x v="1"/>
  </r>
  <r>
    <x v="3606"/>
    <x v="1"/>
    <x v="0"/>
    <x v="0"/>
    <n v="73.7"/>
    <x v="17"/>
    <x v="3293"/>
    <x v="0"/>
    <x v="0"/>
    <x v="2"/>
    <x v="2"/>
  </r>
  <r>
    <x v="3607"/>
    <x v="1"/>
    <x v="1"/>
    <x v="2"/>
    <n v="50.05"/>
    <x v="49"/>
    <x v="3294"/>
    <x v="0"/>
    <x v="1"/>
    <x v="1"/>
    <x v="3"/>
  </r>
  <r>
    <x v="3608"/>
    <x v="1"/>
    <x v="2"/>
    <x v="2"/>
    <n v="60.25"/>
    <x v="14"/>
    <x v="3295"/>
    <x v="0"/>
    <x v="1"/>
    <x v="1"/>
    <x v="3"/>
  </r>
  <r>
    <x v="3609"/>
    <x v="1"/>
    <x v="0"/>
    <x v="0"/>
    <n v="105.75"/>
    <x v="70"/>
    <x v="3296"/>
    <x v="1"/>
    <x v="1"/>
    <x v="1"/>
    <x v="1"/>
  </r>
  <r>
    <x v="3610"/>
    <x v="0"/>
    <x v="1"/>
    <x v="3"/>
    <n v="87.3"/>
    <x v="14"/>
    <x v="3297"/>
    <x v="0"/>
    <x v="2"/>
    <x v="1"/>
    <x v="3"/>
  </r>
  <r>
    <x v="3611"/>
    <x v="0"/>
    <x v="0"/>
    <x v="0"/>
    <n v="48.35"/>
    <x v="32"/>
    <x v="3298"/>
    <x v="1"/>
    <x v="0"/>
    <x v="2"/>
    <x v="2"/>
  </r>
  <r>
    <x v="3612"/>
    <x v="1"/>
    <x v="0"/>
    <x v="0"/>
    <n v="54.25"/>
    <x v="20"/>
    <x v="3299"/>
    <x v="0"/>
    <x v="1"/>
    <x v="1"/>
    <x v="1"/>
  </r>
  <r>
    <x v="3613"/>
    <x v="0"/>
    <x v="2"/>
    <x v="2"/>
    <n v="85.3"/>
    <x v="21"/>
    <x v="3300"/>
    <x v="0"/>
    <x v="2"/>
    <x v="1"/>
    <x v="3"/>
  </r>
  <r>
    <x v="3614"/>
    <x v="1"/>
    <x v="0"/>
    <x v="0"/>
    <n v="50"/>
    <x v="55"/>
    <x v="3301"/>
    <x v="0"/>
    <x v="0"/>
    <x v="1"/>
    <x v="1"/>
  </r>
  <r>
    <x v="3615"/>
    <x v="0"/>
    <x v="0"/>
    <x v="1"/>
    <n v="24.4"/>
    <x v="2"/>
    <x v="3302"/>
    <x v="1"/>
    <x v="0"/>
    <x v="0"/>
    <x v="0"/>
  </r>
  <r>
    <x v="3616"/>
    <x v="0"/>
    <x v="2"/>
    <x v="3"/>
    <n v="90.95"/>
    <x v="21"/>
    <x v="1543"/>
    <x v="0"/>
    <x v="2"/>
    <x v="1"/>
    <x v="3"/>
  </r>
  <r>
    <x v="3617"/>
    <x v="1"/>
    <x v="0"/>
    <x v="2"/>
    <n v="72.25"/>
    <x v="50"/>
    <x v="3303"/>
    <x v="0"/>
    <x v="1"/>
    <x v="1"/>
    <x v="1"/>
  </r>
  <r>
    <x v="3618"/>
    <x v="0"/>
    <x v="0"/>
    <x v="3"/>
    <n v="96.1"/>
    <x v="8"/>
    <x v="3304"/>
    <x v="0"/>
    <x v="2"/>
    <x v="1"/>
    <x v="3"/>
  </r>
  <r>
    <x v="3619"/>
    <x v="0"/>
    <x v="2"/>
    <x v="3"/>
    <n v="19.850000000000001"/>
    <x v="16"/>
    <x v="3305"/>
    <x v="0"/>
    <x v="0"/>
    <x v="1"/>
    <x v="3"/>
  </r>
  <r>
    <x v="3620"/>
    <x v="1"/>
    <x v="0"/>
    <x v="2"/>
    <n v="55.3"/>
    <x v="57"/>
    <x v="3306"/>
    <x v="0"/>
    <x v="0"/>
    <x v="2"/>
    <x v="2"/>
  </r>
  <r>
    <x v="3621"/>
    <x v="0"/>
    <x v="1"/>
    <x v="1"/>
    <n v="20.100000000000001"/>
    <x v="10"/>
    <x v="3071"/>
    <x v="0"/>
    <x v="0"/>
    <x v="2"/>
    <x v="2"/>
  </r>
  <r>
    <x v="3622"/>
    <x v="1"/>
    <x v="0"/>
    <x v="1"/>
    <n v="69.5"/>
    <x v="34"/>
    <x v="3307"/>
    <x v="0"/>
    <x v="0"/>
    <x v="0"/>
    <x v="0"/>
  </r>
  <r>
    <x v="3623"/>
    <x v="1"/>
    <x v="2"/>
    <x v="1"/>
    <n v="25.15"/>
    <x v="22"/>
    <x v="3308"/>
    <x v="0"/>
    <x v="0"/>
    <x v="2"/>
    <x v="2"/>
  </r>
  <r>
    <x v="3624"/>
    <x v="0"/>
    <x v="0"/>
    <x v="2"/>
    <n v="20.95"/>
    <x v="54"/>
    <x v="3309"/>
    <x v="1"/>
    <x v="0"/>
    <x v="0"/>
    <x v="0"/>
  </r>
  <r>
    <x v="3625"/>
    <x v="0"/>
    <x v="0"/>
    <x v="0"/>
    <n v="49.55"/>
    <x v="0"/>
    <x v="3310"/>
    <x v="1"/>
    <x v="0"/>
    <x v="0"/>
    <x v="0"/>
  </r>
  <r>
    <x v="3626"/>
    <x v="0"/>
    <x v="0"/>
    <x v="1"/>
    <n v="79.650000000000006"/>
    <x v="65"/>
    <x v="1724"/>
    <x v="0"/>
    <x v="0"/>
    <x v="1"/>
    <x v="2"/>
  </r>
  <r>
    <x v="3627"/>
    <x v="0"/>
    <x v="0"/>
    <x v="0"/>
    <n v="71.25"/>
    <x v="0"/>
    <x v="3311"/>
    <x v="0"/>
    <x v="0"/>
    <x v="0"/>
    <x v="0"/>
  </r>
  <r>
    <x v="3628"/>
    <x v="1"/>
    <x v="2"/>
    <x v="2"/>
    <n v="113.8"/>
    <x v="21"/>
    <x v="3312"/>
    <x v="0"/>
    <x v="2"/>
    <x v="1"/>
    <x v="3"/>
  </r>
  <r>
    <x v="3629"/>
    <x v="0"/>
    <x v="2"/>
    <x v="0"/>
    <n v="24.55"/>
    <x v="21"/>
    <x v="3313"/>
    <x v="0"/>
    <x v="0"/>
    <x v="1"/>
    <x v="3"/>
  </r>
  <r>
    <x v="3630"/>
    <x v="0"/>
    <x v="0"/>
    <x v="3"/>
    <n v="19.7"/>
    <x v="26"/>
    <x v="3314"/>
    <x v="0"/>
    <x v="0"/>
    <x v="0"/>
    <x v="0"/>
  </r>
  <r>
    <x v="3631"/>
    <x v="1"/>
    <x v="0"/>
    <x v="1"/>
    <n v="20.25"/>
    <x v="34"/>
    <x v="3315"/>
    <x v="1"/>
    <x v="0"/>
    <x v="0"/>
    <x v="0"/>
  </r>
  <r>
    <x v="3632"/>
    <x v="0"/>
    <x v="0"/>
    <x v="3"/>
    <n v="50.15"/>
    <x v="2"/>
    <x v="3316"/>
    <x v="1"/>
    <x v="0"/>
    <x v="0"/>
    <x v="0"/>
  </r>
  <r>
    <x v="3633"/>
    <x v="0"/>
    <x v="1"/>
    <x v="3"/>
    <n v="100.5"/>
    <x v="31"/>
    <x v="3317"/>
    <x v="0"/>
    <x v="2"/>
    <x v="1"/>
    <x v="3"/>
  </r>
  <r>
    <x v="3634"/>
    <x v="1"/>
    <x v="0"/>
    <x v="0"/>
    <n v="95.9"/>
    <x v="44"/>
    <x v="3318"/>
    <x v="1"/>
    <x v="1"/>
    <x v="1"/>
    <x v="1"/>
  </r>
  <r>
    <x v="3635"/>
    <x v="0"/>
    <x v="2"/>
    <x v="2"/>
    <n v="74.45"/>
    <x v="12"/>
    <x v="3319"/>
    <x v="0"/>
    <x v="1"/>
    <x v="1"/>
    <x v="3"/>
  </r>
  <r>
    <x v="3636"/>
    <x v="0"/>
    <x v="0"/>
    <x v="0"/>
    <n v="104.1"/>
    <x v="19"/>
    <x v="3320"/>
    <x v="0"/>
    <x v="1"/>
    <x v="1"/>
    <x v="1"/>
  </r>
  <r>
    <x v="3637"/>
    <x v="0"/>
    <x v="1"/>
    <x v="3"/>
    <n v="19.05"/>
    <x v="62"/>
    <x v="3321"/>
    <x v="0"/>
    <x v="0"/>
    <x v="1"/>
    <x v="3"/>
  </r>
  <r>
    <x v="3638"/>
    <x v="1"/>
    <x v="2"/>
    <x v="1"/>
    <n v="25"/>
    <x v="71"/>
    <x v="3322"/>
    <x v="0"/>
    <x v="0"/>
    <x v="1"/>
    <x v="1"/>
  </r>
  <r>
    <x v="3639"/>
    <x v="0"/>
    <x v="0"/>
    <x v="1"/>
    <n v="19.05"/>
    <x v="34"/>
    <x v="3323"/>
    <x v="0"/>
    <x v="0"/>
    <x v="0"/>
    <x v="0"/>
  </r>
  <r>
    <x v="3640"/>
    <x v="1"/>
    <x v="1"/>
    <x v="0"/>
    <n v="81.900000000000006"/>
    <x v="71"/>
    <x v="3324"/>
    <x v="0"/>
    <x v="1"/>
    <x v="1"/>
    <x v="1"/>
  </r>
  <r>
    <x v="3641"/>
    <x v="1"/>
    <x v="0"/>
    <x v="0"/>
    <n v="69.7"/>
    <x v="4"/>
    <x v="2634"/>
    <x v="0"/>
    <x v="0"/>
    <x v="0"/>
    <x v="0"/>
  </r>
  <r>
    <x v="3642"/>
    <x v="0"/>
    <x v="1"/>
    <x v="0"/>
    <n v="90.15"/>
    <x v="69"/>
    <x v="3325"/>
    <x v="0"/>
    <x v="1"/>
    <x v="1"/>
    <x v="3"/>
  </r>
  <r>
    <x v="3643"/>
    <x v="1"/>
    <x v="2"/>
    <x v="3"/>
    <n v="25.35"/>
    <x v="16"/>
    <x v="3326"/>
    <x v="0"/>
    <x v="0"/>
    <x v="1"/>
    <x v="3"/>
  </r>
  <r>
    <x v="3644"/>
    <x v="1"/>
    <x v="2"/>
    <x v="1"/>
    <n v="24.65"/>
    <x v="16"/>
    <x v="1276"/>
    <x v="0"/>
    <x v="0"/>
    <x v="1"/>
    <x v="3"/>
  </r>
  <r>
    <x v="3645"/>
    <x v="0"/>
    <x v="2"/>
    <x v="3"/>
    <n v="19.55"/>
    <x v="27"/>
    <x v="3327"/>
    <x v="0"/>
    <x v="0"/>
    <x v="1"/>
    <x v="3"/>
  </r>
  <r>
    <x v="3646"/>
    <x v="0"/>
    <x v="0"/>
    <x v="0"/>
    <n v="25.25"/>
    <x v="0"/>
    <x v="210"/>
    <x v="1"/>
    <x v="0"/>
    <x v="0"/>
    <x v="0"/>
  </r>
  <r>
    <x v="3647"/>
    <x v="1"/>
    <x v="2"/>
    <x v="2"/>
    <n v="60"/>
    <x v="46"/>
    <x v="3328"/>
    <x v="0"/>
    <x v="1"/>
    <x v="1"/>
    <x v="1"/>
  </r>
  <r>
    <x v="3648"/>
    <x v="0"/>
    <x v="0"/>
    <x v="3"/>
    <n v="89.9"/>
    <x v="7"/>
    <x v="3329"/>
    <x v="0"/>
    <x v="1"/>
    <x v="1"/>
    <x v="1"/>
  </r>
  <r>
    <x v="3649"/>
    <x v="0"/>
    <x v="0"/>
    <x v="2"/>
    <n v="19.399999999999999"/>
    <x v="48"/>
    <x v="3330"/>
    <x v="0"/>
    <x v="0"/>
    <x v="1"/>
    <x v="1"/>
  </r>
  <r>
    <x v="3650"/>
    <x v="1"/>
    <x v="2"/>
    <x v="1"/>
    <n v="49.8"/>
    <x v="12"/>
    <x v="3331"/>
    <x v="0"/>
    <x v="1"/>
    <x v="1"/>
    <x v="3"/>
  </r>
  <r>
    <x v="3651"/>
    <x v="0"/>
    <x v="2"/>
    <x v="2"/>
    <n v="24.1"/>
    <x v="50"/>
    <x v="3332"/>
    <x v="0"/>
    <x v="0"/>
    <x v="1"/>
    <x v="1"/>
  </r>
  <r>
    <x v="3652"/>
    <x v="0"/>
    <x v="0"/>
    <x v="0"/>
    <n v="54.25"/>
    <x v="6"/>
    <x v="3333"/>
    <x v="0"/>
    <x v="0"/>
    <x v="0"/>
    <x v="0"/>
  </r>
  <r>
    <x v="3653"/>
    <x v="1"/>
    <x v="1"/>
    <x v="3"/>
    <n v="109.9"/>
    <x v="56"/>
    <x v="3334"/>
    <x v="0"/>
    <x v="2"/>
    <x v="1"/>
    <x v="3"/>
  </r>
  <r>
    <x v="3654"/>
    <x v="1"/>
    <x v="1"/>
    <x v="3"/>
    <n v="35.5"/>
    <x v="40"/>
    <x v="3335"/>
    <x v="0"/>
    <x v="0"/>
    <x v="0"/>
    <x v="0"/>
  </r>
  <r>
    <x v="3655"/>
    <x v="0"/>
    <x v="1"/>
    <x v="3"/>
    <n v="87.55"/>
    <x v="69"/>
    <x v="3336"/>
    <x v="0"/>
    <x v="1"/>
    <x v="1"/>
    <x v="3"/>
  </r>
  <r>
    <x v="3656"/>
    <x v="0"/>
    <x v="0"/>
    <x v="0"/>
    <n v="45.15"/>
    <x v="34"/>
    <x v="3337"/>
    <x v="1"/>
    <x v="0"/>
    <x v="0"/>
    <x v="0"/>
  </r>
  <r>
    <x v="3657"/>
    <x v="0"/>
    <x v="0"/>
    <x v="1"/>
    <n v="88.4"/>
    <x v="34"/>
    <x v="3338"/>
    <x v="0"/>
    <x v="0"/>
    <x v="0"/>
    <x v="0"/>
  </r>
  <r>
    <x v="3658"/>
    <x v="1"/>
    <x v="0"/>
    <x v="1"/>
    <n v="50.8"/>
    <x v="54"/>
    <x v="3339"/>
    <x v="0"/>
    <x v="0"/>
    <x v="0"/>
    <x v="0"/>
  </r>
  <r>
    <x v="3659"/>
    <x v="1"/>
    <x v="2"/>
    <x v="0"/>
    <n v="99"/>
    <x v="16"/>
    <x v="2414"/>
    <x v="0"/>
    <x v="2"/>
    <x v="1"/>
    <x v="3"/>
  </r>
  <r>
    <x v="3660"/>
    <x v="0"/>
    <x v="0"/>
    <x v="2"/>
    <n v="84.4"/>
    <x v="37"/>
    <x v="3340"/>
    <x v="1"/>
    <x v="1"/>
    <x v="1"/>
    <x v="3"/>
  </r>
  <r>
    <x v="3661"/>
    <x v="0"/>
    <x v="2"/>
    <x v="0"/>
    <n v="96.55"/>
    <x v="65"/>
    <x v="3341"/>
    <x v="0"/>
    <x v="1"/>
    <x v="1"/>
    <x v="2"/>
  </r>
  <r>
    <x v="3662"/>
    <x v="1"/>
    <x v="1"/>
    <x v="2"/>
    <n v="59.75"/>
    <x v="5"/>
    <x v="3342"/>
    <x v="0"/>
    <x v="0"/>
    <x v="2"/>
    <x v="2"/>
  </r>
  <r>
    <x v="3663"/>
    <x v="1"/>
    <x v="0"/>
    <x v="0"/>
    <n v="111.5"/>
    <x v="66"/>
    <x v="3343"/>
    <x v="0"/>
    <x v="1"/>
    <x v="1"/>
    <x v="1"/>
  </r>
  <r>
    <x v="3664"/>
    <x v="0"/>
    <x v="0"/>
    <x v="2"/>
    <n v="24.25"/>
    <x v="55"/>
    <x v="3344"/>
    <x v="0"/>
    <x v="0"/>
    <x v="1"/>
    <x v="1"/>
  </r>
  <r>
    <x v="3665"/>
    <x v="0"/>
    <x v="0"/>
    <x v="0"/>
    <n v="75.099999999999994"/>
    <x v="0"/>
    <x v="453"/>
    <x v="1"/>
    <x v="0"/>
    <x v="0"/>
    <x v="0"/>
  </r>
  <r>
    <x v="3666"/>
    <x v="0"/>
    <x v="1"/>
    <x v="3"/>
    <n v="70.150000000000006"/>
    <x v="68"/>
    <x v="3345"/>
    <x v="1"/>
    <x v="1"/>
    <x v="1"/>
    <x v="3"/>
  </r>
  <r>
    <x v="3667"/>
    <x v="1"/>
    <x v="0"/>
    <x v="0"/>
    <n v="101.75"/>
    <x v="41"/>
    <x v="3346"/>
    <x v="1"/>
    <x v="1"/>
    <x v="1"/>
    <x v="1"/>
  </r>
  <r>
    <x v="3668"/>
    <x v="0"/>
    <x v="0"/>
    <x v="0"/>
    <n v="45.8"/>
    <x v="0"/>
    <x v="2836"/>
    <x v="1"/>
    <x v="0"/>
    <x v="0"/>
    <x v="0"/>
  </r>
  <r>
    <x v="3669"/>
    <x v="0"/>
    <x v="0"/>
    <x v="1"/>
    <n v="20.5"/>
    <x v="0"/>
    <x v="2641"/>
    <x v="0"/>
    <x v="0"/>
    <x v="0"/>
    <x v="0"/>
  </r>
  <r>
    <x v="3670"/>
    <x v="1"/>
    <x v="1"/>
    <x v="0"/>
    <n v="70.400000000000006"/>
    <x v="19"/>
    <x v="3347"/>
    <x v="0"/>
    <x v="1"/>
    <x v="1"/>
    <x v="1"/>
  </r>
  <r>
    <x v="3671"/>
    <x v="0"/>
    <x v="0"/>
    <x v="1"/>
    <n v="30.55"/>
    <x v="0"/>
    <x v="3348"/>
    <x v="0"/>
    <x v="0"/>
    <x v="0"/>
    <x v="0"/>
  </r>
  <r>
    <x v="3672"/>
    <x v="1"/>
    <x v="0"/>
    <x v="0"/>
    <n v="84.9"/>
    <x v="10"/>
    <x v="3349"/>
    <x v="0"/>
    <x v="0"/>
    <x v="2"/>
    <x v="2"/>
  </r>
  <r>
    <x v="3673"/>
    <x v="1"/>
    <x v="0"/>
    <x v="1"/>
    <n v="20.100000000000001"/>
    <x v="0"/>
    <x v="2985"/>
    <x v="1"/>
    <x v="0"/>
    <x v="0"/>
    <x v="0"/>
  </r>
  <r>
    <x v="3674"/>
    <x v="1"/>
    <x v="0"/>
    <x v="1"/>
    <n v="40.65"/>
    <x v="34"/>
    <x v="3350"/>
    <x v="1"/>
    <x v="0"/>
    <x v="0"/>
    <x v="0"/>
  </r>
  <r>
    <x v="3675"/>
    <x v="1"/>
    <x v="0"/>
    <x v="0"/>
    <n v="101"/>
    <x v="25"/>
    <x v="3351"/>
    <x v="1"/>
    <x v="1"/>
    <x v="1"/>
    <x v="1"/>
  </r>
  <r>
    <x v="3676"/>
    <x v="1"/>
    <x v="0"/>
    <x v="0"/>
    <n v="69.099999999999994"/>
    <x v="0"/>
    <x v="3032"/>
    <x v="1"/>
    <x v="0"/>
    <x v="0"/>
    <x v="0"/>
  </r>
  <r>
    <x v="3677"/>
    <x v="1"/>
    <x v="2"/>
    <x v="2"/>
    <n v="54.5"/>
    <x v="16"/>
    <x v="3352"/>
    <x v="0"/>
    <x v="1"/>
    <x v="1"/>
    <x v="3"/>
  </r>
  <r>
    <x v="3678"/>
    <x v="1"/>
    <x v="0"/>
    <x v="3"/>
    <n v="75.349999999999994"/>
    <x v="29"/>
    <x v="3353"/>
    <x v="0"/>
    <x v="1"/>
    <x v="1"/>
    <x v="1"/>
  </r>
  <r>
    <x v="3679"/>
    <x v="1"/>
    <x v="1"/>
    <x v="2"/>
    <n v="44.45"/>
    <x v="37"/>
    <x v="3354"/>
    <x v="0"/>
    <x v="1"/>
    <x v="1"/>
    <x v="3"/>
  </r>
  <r>
    <x v="3680"/>
    <x v="0"/>
    <x v="0"/>
    <x v="1"/>
    <n v="75"/>
    <x v="9"/>
    <x v="3322"/>
    <x v="1"/>
    <x v="0"/>
    <x v="2"/>
    <x v="2"/>
  </r>
  <r>
    <x v="3681"/>
    <x v="1"/>
    <x v="1"/>
    <x v="2"/>
    <n v="100"/>
    <x v="67"/>
    <x v="3355"/>
    <x v="1"/>
    <x v="0"/>
    <x v="2"/>
    <x v="2"/>
  </r>
  <r>
    <x v="3682"/>
    <x v="0"/>
    <x v="0"/>
    <x v="2"/>
    <n v="98.05"/>
    <x v="52"/>
    <x v="3356"/>
    <x v="0"/>
    <x v="1"/>
    <x v="1"/>
    <x v="1"/>
  </r>
  <r>
    <x v="3683"/>
    <x v="0"/>
    <x v="0"/>
    <x v="0"/>
    <n v="71.150000000000006"/>
    <x v="0"/>
    <x v="3357"/>
    <x v="1"/>
    <x v="0"/>
    <x v="0"/>
    <x v="0"/>
  </r>
  <r>
    <x v="3684"/>
    <x v="0"/>
    <x v="0"/>
    <x v="3"/>
    <n v="54.15"/>
    <x v="65"/>
    <x v="3358"/>
    <x v="1"/>
    <x v="0"/>
    <x v="1"/>
    <x v="2"/>
  </r>
  <r>
    <x v="3685"/>
    <x v="0"/>
    <x v="1"/>
    <x v="2"/>
    <n v="63.9"/>
    <x v="63"/>
    <x v="3359"/>
    <x v="0"/>
    <x v="1"/>
    <x v="1"/>
    <x v="1"/>
  </r>
  <r>
    <x v="3686"/>
    <x v="0"/>
    <x v="0"/>
    <x v="2"/>
    <n v="69.150000000000006"/>
    <x v="35"/>
    <x v="3360"/>
    <x v="0"/>
    <x v="0"/>
    <x v="0"/>
    <x v="0"/>
  </r>
  <r>
    <x v="3687"/>
    <x v="0"/>
    <x v="1"/>
    <x v="2"/>
    <n v="64.650000000000006"/>
    <x v="50"/>
    <x v="3361"/>
    <x v="0"/>
    <x v="1"/>
    <x v="1"/>
    <x v="1"/>
  </r>
  <r>
    <x v="3688"/>
    <x v="0"/>
    <x v="2"/>
    <x v="3"/>
    <n v="108.75"/>
    <x v="56"/>
    <x v="3362"/>
    <x v="1"/>
    <x v="2"/>
    <x v="1"/>
    <x v="3"/>
  </r>
  <r>
    <x v="3689"/>
    <x v="0"/>
    <x v="0"/>
    <x v="0"/>
    <n v="98.85"/>
    <x v="48"/>
    <x v="1076"/>
    <x v="0"/>
    <x v="1"/>
    <x v="1"/>
    <x v="1"/>
  </r>
  <r>
    <x v="3690"/>
    <x v="0"/>
    <x v="0"/>
    <x v="0"/>
    <n v="49.15"/>
    <x v="53"/>
    <x v="3363"/>
    <x v="1"/>
    <x v="0"/>
    <x v="0"/>
    <x v="0"/>
  </r>
  <r>
    <x v="3691"/>
    <x v="0"/>
    <x v="0"/>
    <x v="0"/>
    <n v="89.6"/>
    <x v="48"/>
    <x v="3364"/>
    <x v="0"/>
    <x v="1"/>
    <x v="1"/>
    <x v="1"/>
  </r>
  <r>
    <x v="3692"/>
    <x v="0"/>
    <x v="0"/>
    <x v="0"/>
    <n v="83.25"/>
    <x v="64"/>
    <x v="3365"/>
    <x v="0"/>
    <x v="1"/>
    <x v="1"/>
    <x v="3"/>
  </r>
  <r>
    <x v="3693"/>
    <x v="0"/>
    <x v="1"/>
    <x v="2"/>
    <n v="70.25"/>
    <x v="19"/>
    <x v="3366"/>
    <x v="0"/>
    <x v="1"/>
    <x v="1"/>
    <x v="1"/>
  </r>
  <r>
    <x v="3694"/>
    <x v="1"/>
    <x v="0"/>
    <x v="0"/>
    <n v="19.399999999999999"/>
    <x v="61"/>
    <x v="1685"/>
    <x v="1"/>
    <x v="0"/>
    <x v="2"/>
    <x v="2"/>
  </r>
  <r>
    <x v="3695"/>
    <x v="0"/>
    <x v="2"/>
    <x v="0"/>
    <n v="24.5"/>
    <x v="23"/>
    <x v="3367"/>
    <x v="0"/>
    <x v="0"/>
    <x v="1"/>
    <x v="1"/>
  </r>
  <r>
    <x v="3696"/>
    <x v="0"/>
    <x v="0"/>
    <x v="0"/>
    <n v="79.150000000000006"/>
    <x v="61"/>
    <x v="3368"/>
    <x v="1"/>
    <x v="0"/>
    <x v="2"/>
    <x v="2"/>
  </r>
  <r>
    <x v="3697"/>
    <x v="1"/>
    <x v="1"/>
    <x v="1"/>
    <n v="20.100000000000001"/>
    <x v="34"/>
    <x v="3369"/>
    <x v="0"/>
    <x v="0"/>
    <x v="0"/>
    <x v="0"/>
  </r>
  <r>
    <x v="3698"/>
    <x v="0"/>
    <x v="1"/>
    <x v="3"/>
    <n v="73"/>
    <x v="47"/>
    <x v="3370"/>
    <x v="0"/>
    <x v="1"/>
    <x v="1"/>
    <x v="3"/>
  </r>
  <r>
    <x v="3699"/>
    <x v="0"/>
    <x v="2"/>
    <x v="3"/>
    <n v="61.4"/>
    <x v="14"/>
    <x v="3371"/>
    <x v="0"/>
    <x v="1"/>
    <x v="1"/>
    <x v="3"/>
  </r>
  <r>
    <x v="3700"/>
    <x v="1"/>
    <x v="0"/>
    <x v="1"/>
    <n v="84.3"/>
    <x v="70"/>
    <x v="3372"/>
    <x v="0"/>
    <x v="1"/>
    <x v="1"/>
    <x v="1"/>
  </r>
  <r>
    <x v="3701"/>
    <x v="1"/>
    <x v="2"/>
    <x v="2"/>
    <n v="19.899999999999999"/>
    <x v="14"/>
    <x v="164"/>
    <x v="0"/>
    <x v="0"/>
    <x v="1"/>
    <x v="3"/>
  </r>
  <r>
    <x v="3702"/>
    <x v="1"/>
    <x v="2"/>
    <x v="1"/>
    <n v="20.399999999999999"/>
    <x v="26"/>
    <x v="3373"/>
    <x v="0"/>
    <x v="0"/>
    <x v="0"/>
    <x v="0"/>
  </r>
  <r>
    <x v="3703"/>
    <x v="1"/>
    <x v="0"/>
    <x v="1"/>
    <n v="50.75"/>
    <x v="0"/>
    <x v="3253"/>
    <x v="0"/>
    <x v="0"/>
    <x v="0"/>
    <x v="0"/>
  </r>
  <r>
    <x v="3704"/>
    <x v="1"/>
    <x v="1"/>
    <x v="1"/>
    <n v="20.45"/>
    <x v="6"/>
    <x v="3374"/>
    <x v="0"/>
    <x v="0"/>
    <x v="0"/>
    <x v="0"/>
  </r>
  <r>
    <x v="3705"/>
    <x v="0"/>
    <x v="1"/>
    <x v="2"/>
    <n v="75.75"/>
    <x v="49"/>
    <x v="3375"/>
    <x v="0"/>
    <x v="1"/>
    <x v="1"/>
    <x v="3"/>
  </r>
  <r>
    <x v="3706"/>
    <x v="1"/>
    <x v="1"/>
    <x v="0"/>
    <n v="65.400000000000006"/>
    <x v="66"/>
    <x v="3376"/>
    <x v="0"/>
    <x v="1"/>
    <x v="1"/>
    <x v="1"/>
  </r>
  <r>
    <x v="3707"/>
    <x v="1"/>
    <x v="0"/>
    <x v="0"/>
    <n v="80.400000000000006"/>
    <x v="25"/>
    <x v="3377"/>
    <x v="1"/>
    <x v="1"/>
    <x v="1"/>
    <x v="1"/>
  </r>
  <r>
    <x v="3708"/>
    <x v="1"/>
    <x v="2"/>
    <x v="2"/>
    <n v="59.75"/>
    <x v="14"/>
    <x v="3378"/>
    <x v="0"/>
    <x v="1"/>
    <x v="1"/>
    <x v="3"/>
  </r>
  <r>
    <x v="3709"/>
    <x v="1"/>
    <x v="0"/>
    <x v="0"/>
    <n v="78.5"/>
    <x v="26"/>
    <x v="3379"/>
    <x v="0"/>
    <x v="0"/>
    <x v="0"/>
    <x v="0"/>
  </r>
  <r>
    <x v="3710"/>
    <x v="0"/>
    <x v="0"/>
    <x v="0"/>
    <n v="102"/>
    <x v="26"/>
    <x v="3380"/>
    <x v="1"/>
    <x v="0"/>
    <x v="0"/>
    <x v="0"/>
  </r>
  <r>
    <x v="3711"/>
    <x v="1"/>
    <x v="0"/>
    <x v="2"/>
    <n v="48.95"/>
    <x v="44"/>
    <x v="3381"/>
    <x v="0"/>
    <x v="0"/>
    <x v="1"/>
    <x v="1"/>
  </r>
  <r>
    <x v="3712"/>
    <x v="0"/>
    <x v="0"/>
    <x v="0"/>
    <n v="99.65"/>
    <x v="58"/>
    <x v="3382"/>
    <x v="0"/>
    <x v="2"/>
    <x v="1"/>
    <x v="3"/>
  </r>
  <r>
    <x v="3713"/>
    <x v="1"/>
    <x v="1"/>
    <x v="3"/>
    <n v="18.25"/>
    <x v="7"/>
    <x v="778"/>
    <x v="0"/>
    <x v="0"/>
    <x v="1"/>
    <x v="1"/>
  </r>
  <r>
    <x v="3714"/>
    <x v="0"/>
    <x v="0"/>
    <x v="3"/>
    <n v="54.55"/>
    <x v="41"/>
    <x v="3383"/>
    <x v="0"/>
    <x v="1"/>
    <x v="1"/>
    <x v="1"/>
  </r>
  <r>
    <x v="3715"/>
    <x v="0"/>
    <x v="0"/>
    <x v="1"/>
    <n v="20.65"/>
    <x v="2"/>
    <x v="3384"/>
    <x v="1"/>
    <x v="0"/>
    <x v="0"/>
    <x v="0"/>
  </r>
  <r>
    <x v="3716"/>
    <x v="1"/>
    <x v="1"/>
    <x v="2"/>
    <n v="40.65"/>
    <x v="57"/>
    <x v="3385"/>
    <x v="0"/>
    <x v="0"/>
    <x v="2"/>
    <x v="2"/>
  </r>
  <r>
    <x v="3717"/>
    <x v="0"/>
    <x v="0"/>
    <x v="1"/>
    <n v="20.45"/>
    <x v="32"/>
    <x v="3386"/>
    <x v="0"/>
    <x v="0"/>
    <x v="2"/>
    <x v="2"/>
  </r>
  <r>
    <x v="3718"/>
    <x v="1"/>
    <x v="1"/>
    <x v="2"/>
    <n v="24.8"/>
    <x v="8"/>
    <x v="3387"/>
    <x v="0"/>
    <x v="0"/>
    <x v="1"/>
    <x v="3"/>
  </r>
  <r>
    <x v="3719"/>
    <x v="0"/>
    <x v="0"/>
    <x v="1"/>
    <n v="70.8"/>
    <x v="0"/>
    <x v="551"/>
    <x v="1"/>
    <x v="0"/>
    <x v="0"/>
    <x v="0"/>
  </r>
  <r>
    <x v="3720"/>
    <x v="1"/>
    <x v="0"/>
    <x v="3"/>
    <n v="89.05"/>
    <x v="10"/>
    <x v="3388"/>
    <x v="1"/>
    <x v="0"/>
    <x v="2"/>
    <x v="2"/>
  </r>
  <r>
    <x v="3721"/>
    <x v="0"/>
    <x v="0"/>
    <x v="0"/>
    <n v="96.6"/>
    <x v="35"/>
    <x v="3389"/>
    <x v="1"/>
    <x v="0"/>
    <x v="0"/>
    <x v="0"/>
  </r>
  <r>
    <x v="3722"/>
    <x v="1"/>
    <x v="1"/>
    <x v="2"/>
    <n v="88.8"/>
    <x v="56"/>
    <x v="3390"/>
    <x v="0"/>
    <x v="2"/>
    <x v="1"/>
    <x v="3"/>
  </r>
  <r>
    <x v="3723"/>
    <x v="1"/>
    <x v="2"/>
    <x v="3"/>
    <n v="20.05"/>
    <x v="8"/>
    <x v="2237"/>
    <x v="0"/>
    <x v="0"/>
    <x v="1"/>
    <x v="3"/>
  </r>
  <r>
    <x v="3724"/>
    <x v="0"/>
    <x v="0"/>
    <x v="3"/>
    <n v="104.5"/>
    <x v="58"/>
    <x v="3391"/>
    <x v="1"/>
    <x v="2"/>
    <x v="1"/>
    <x v="3"/>
  </r>
  <r>
    <x v="3725"/>
    <x v="1"/>
    <x v="0"/>
    <x v="0"/>
    <n v="69.8"/>
    <x v="2"/>
    <x v="3392"/>
    <x v="0"/>
    <x v="0"/>
    <x v="0"/>
    <x v="0"/>
  </r>
  <r>
    <x v="3726"/>
    <x v="0"/>
    <x v="2"/>
    <x v="2"/>
    <n v="77.150000000000006"/>
    <x v="57"/>
    <x v="3393"/>
    <x v="0"/>
    <x v="0"/>
    <x v="2"/>
    <x v="2"/>
  </r>
  <r>
    <x v="3727"/>
    <x v="0"/>
    <x v="2"/>
    <x v="2"/>
    <n v="35.049999999999997"/>
    <x v="13"/>
    <x v="3394"/>
    <x v="0"/>
    <x v="0"/>
    <x v="1"/>
    <x v="1"/>
  </r>
  <r>
    <x v="3728"/>
    <x v="0"/>
    <x v="2"/>
    <x v="2"/>
    <n v="108.1"/>
    <x v="21"/>
    <x v="3395"/>
    <x v="0"/>
    <x v="2"/>
    <x v="1"/>
    <x v="3"/>
  </r>
  <r>
    <x v="3729"/>
    <x v="0"/>
    <x v="0"/>
    <x v="0"/>
    <n v="84.05"/>
    <x v="2"/>
    <x v="3074"/>
    <x v="0"/>
    <x v="0"/>
    <x v="0"/>
    <x v="0"/>
  </r>
  <r>
    <x v="3730"/>
    <x v="0"/>
    <x v="1"/>
    <x v="2"/>
    <n v="20.2"/>
    <x v="4"/>
    <x v="3396"/>
    <x v="0"/>
    <x v="0"/>
    <x v="0"/>
    <x v="0"/>
  </r>
  <r>
    <x v="3731"/>
    <x v="0"/>
    <x v="0"/>
    <x v="1"/>
    <n v="50.6"/>
    <x v="24"/>
    <x v="3397"/>
    <x v="1"/>
    <x v="0"/>
    <x v="0"/>
    <x v="0"/>
  </r>
  <r>
    <x v="3732"/>
    <x v="1"/>
    <x v="0"/>
    <x v="0"/>
    <n v="49.2"/>
    <x v="42"/>
    <x v="3398"/>
    <x v="0"/>
    <x v="0"/>
    <x v="1"/>
    <x v="1"/>
  </r>
  <r>
    <x v="3733"/>
    <x v="1"/>
    <x v="1"/>
    <x v="0"/>
    <n v="24.6"/>
    <x v="65"/>
    <x v="1408"/>
    <x v="0"/>
    <x v="0"/>
    <x v="1"/>
    <x v="2"/>
  </r>
  <r>
    <x v="3734"/>
    <x v="0"/>
    <x v="0"/>
    <x v="0"/>
    <n v="71.650000000000006"/>
    <x v="2"/>
    <x v="3399"/>
    <x v="0"/>
    <x v="0"/>
    <x v="0"/>
    <x v="0"/>
  </r>
  <r>
    <x v="3735"/>
    <x v="1"/>
    <x v="2"/>
    <x v="3"/>
    <n v="104.9"/>
    <x v="21"/>
    <x v="2093"/>
    <x v="0"/>
    <x v="2"/>
    <x v="1"/>
    <x v="3"/>
  </r>
  <r>
    <x v="3736"/>
    <x v="0"/>
    <x v="0"/>
    <x v="0"/>
    <n v="106.5"/>
    <x v="52"/>
    <x v="3400"/>
    <x v="0"/>
    <x v="1"/>
    <x v="1"/>
    <x v="1"/>
  </r>
  <r>
    <x v="3737"/>
    <x v="1"/>
    <x v="0"/>
    <x v="0"/>
    <n v="49.35"/>
    <x v="54"/>
    <x v="3401"/>
    <x v="1"/>
    <x v="0"/>
    <x v="0"/>
    <x v="0"/>
  </r>
  <r>
    <x v="3738"/>
    <x v="1"/>
    <x v="1"/>
    <x v="2"/>
    <n v="75.5"/>
    <x v="70"/>
    <x v="3402"/>
    <x v="0"/>
    <x v="0"/>
    <x v="1"/>
    <x v="1"/>
  </r>
  <r>
    <x v="3739"/>
    <x v="1"/>
    <x v="0"/>
    <x v="0"/>
    <n v="94.25"/>
    <x v="40"/>
    <x v="3403"/>
    <x v="1"/>
    <x v="0"/>
    <x v="0"/>
    <x v="0"/>
  </r>
  <r>
    <x v="3740"/>
    <x v="0"/>
    <x v="0"/>
    <x v="0"/>
    <n v="68.95"/>
    <x v="0"/>
    <x v="3404"/>
    <x v="1"/>
    <x v="0"/>
    <x v="0"/>
    <x v="0"/>
  </r>
  <r>
    <x v="3741"/>
    <x v="0"/>
    <x v="0"/>
    <x v="1"/>
    <n v="58.5"/>
    <x v="54"/>
    <x v="3405"/>
    <x v="0"/>
    <x v="0"/>
    <x v="0"/>
    <x v="0"/>
  </r>
  <r>
    <x v="3742"/>
    <x v="1"/>
    <x v="2"/>
    <x v="3"/>
    <n v="78.900000000000006"/>
    <x v="43"/>
    <x v="3406"/>
    <x v="0"/>
    <x v="1"/>
    <x v="1"/>
    <x v="1"/>
  </r>
  <r>
    <x v="3743"/>
    <x v="1"/>
    <x v="0"/>
    <x v="0"/>
    <n v="93.85"/>
    <x v="2"/>
    <x v="1355"/>
    <x v="1"/>
    <x v="0"/>
    <x v="0"/>
    <x v="0"/>
  </r>
  <r>
    <x v="3744"/>
    <x v="0"/>
    <x v="1"/>
    <x v="0"/>
    <n v="79.2"/>
    <x v="18"/>
    <x v="2884"/>
    <x v="0"/>
    <x v="0"/>
    <x v="2"/>
    <x v="0"/>
  </r>
  <r>
    <x v="3745"/>
    <x v="1"/>
    <x v="0"/>
    <x v="2"/>
    <n v="109.45"/>
    <x v="31"/>
    <x v="1508"/>
    <x v="0"/>
    <x v="2"/>
    <x v="1"/>
    <x v="3"/>
  </r>
  <r>
    <x v="3746"/>
    <x v="1"/>
    <x v="2"/>
    <x v="0"/>
    <n v="59.2"/>
    <x v="49"/>
    <x v="3407"/>
    <x v="0"/>
    <x v="1"/>
    <x v="1"/>
    <x v="3"/>
  </r>
  <r>
    <x v="3747"/>
    <x v="1"/>
    <x v="0"/>
    <x v="1"/>
    <n v="29.15"/>
    <x v="0"/>
    <x v="3408"/>
    <x v="0"/>
    <x v="0"/>
    <x v="0"/>
    <x v="0"/>
  </r>
  <r>
    <x v="3748"/>
    <x v="1"/>
    <x v="0"/>
    <x v="1"/>
    <n v="20.05"/>
    <x v="0"/>
    <x v="650"/>
    <x v="0"/>
    <x v="0"/>
    <x v="0"/>
    <x v="0"/>
  </r>
  <r>
    <x v="3749"/>
    <x v="1"/>
    <x v="0"/>
    <x v="0"/>
    <n v="76.05"/>
    <x v="54"/>
    <x v="3409"/>
    <x v="1"/>
    <x v="0"/>
    <x v="0"/>
    <x v="0"/>
  </r>
  <r>
    <x v="3750"/>
    <x v="1"/>
    <x v="0"/>
    <x v="1"/>
    <n v="24.45"/>
    <x v="0"/>
    <x v="3410"/>
    <x v="1"/>
    <x v="0"/>
    <x v="0"/>
    <x v="0"/>
  </r>
  <r>
    <x v="3751"/>
    <x v="0"/>
    <x v="2"/>
    <x v="3"/>
    <n v="66.5"/>
    <x v="41"/>
    <x v="3411"/>
    <x v="0"/>
    <x v="1"/>
    <x v="1"/>
    <x v="1"/>
  </r>
  <r>
    <x v="3752"/>
    <x v="0"/>
    <x v="0"/>
    <x v="2"/>
    <n v="49.55"/>
    <x v="0"/>
    <x v="3310"/>
    <x v="0"/>
    <x v="0"/>
    <x v="0"/>
    <x v="0"/>
  </r>
  <r>
    <x v="3753"/>
    <x v="1"/>
    <x v="0"/>
    <x v="3"/>
    <n v="89.35"/>
    <x v="40"/>
    <x v="3412"/>
    <x v="1"/>
    <x v="0"/>
    <x v="0"/>
    <x v="0"/>
  </r>
  <r>
    <x v="3754"/>
    <x v="1"/>
    <x v="0"/>
    <x v="3"/>
    <n v="73.599999999999994"/>
    <x v="35"/>
    <x v="3413"/>
    <x v="0"/>
    <x v="0"/>
    <x v="0"/>
    <x v="0"/>
  </r>
  <r>
    <x v="3755"/>
    <x v="0"/>
    <x v="2"/>
    <x v="3"/>
    <n v="82.65"/>
    <x v="21"/>
    <x v="3414"/>
    <x v="0"/>
    <x v="2"/>
    <x v="1"/>
    <x v="3"/>
  </r>
  <r>
    <x v="3756"/>
    <x v="1"/>
    <x v="0"/>
    <x v="0"/>
    <n v="49"/>
    <x v="30"/>
    <x v="3415"/>
    <x v="0"/>
    <x v="0"/>
    <x v="2"/>
    <x v="2"/>
  </r>
  <r>
    <x v="3757"/>
    <x v="1"/>
    <x v="0"/>
    <x v="0"/>
    <n v="80.349999999999994"/>
    <x v="54"/>
    <x v="3416"/>
    <x v="1"/>
    <x v="0"/>
    <x v="0"/>
    <x v="0"/>
  </r>
  <r>
    <x v="3758"/>
    <x v="0"/>
    <x v="1"/>
    <x v="0"/>
    <n v="25.2"/>
    <x v="26"/>
    <x v="3417"/>
    <x v="0"/>
    <x v="0"/>
    <x v="0"/>
    <x v="0"/>
  </r>
  <r>
    <x v="3759"/>
    <x v="0"/>
    <x v="0"/>
    <x v="1"/>
    <n v="25.45"/>
    <x v="24"/>
    <x v="3418"/>
    <x v="0"/>
    <x v="0"/>
    <x v="0"/>
    <x v="0"/>
  </r>
  <r>
    <x v="3760"/>
    <x v="0"/>
    <x v="0"/>
    <x v="0"/>
    <n v="55.8"/>
    <x v="0"/>
    <x v="3419"/>
    <x v="1"/>
    <x v="0"/>
    <x v="0"/>
    <x v="0"/>
  </r>
  <r>
    <x v="3761"/>
    <x v="1"/>
    <x v="2"/>
    <x v="3"/>
    <n v="110.9"/>
    <x v="21"/>
    <x v="3420"/>
    <x v="0"/>
    <x v="2"/>
    <x v="1"/>
    <x v="3"/>
  </r>
  <r>
    <x v="3762"/>
    <x v="0"/>
    <x v="0"/>
    <x v="3"/>
    <n v="77.75"/>
    <x v="49"/>
    <x v="3421"/>
    <x v="0"/>
    <x v="1"/>
    <x v="1"/>
    <x v="3"/>
  </r>
  <r>
    <x v="3763"/>
    <x v="0"/>
    <x v="0"/>
    <x v="0"/>
    <n v="26.2"/>
    <x v="63"/>
    <x v="3422"/>
    <x v="0"/>
    <x v="0"/>
    <x v="1"/>
    <x v="1"/>
  </r>
  <r>
    <x v="3764"/>
    <x v="0"/>
    <x v="2"/>
    <x v="2"/>
    <n v="19.899999999999999"/>
    <x v="58"/>
    <x v="3423"/>
    <x v="0"/>
    <x v="0"/>
    <x v="1"/>
    <x v="3"/>
  </r>
  <r>
    <x v="3765"/>
    <x v="1"/>
    <x v="0"/>
    <x v="0"/>
    <n v="79.05"/>
    <x v="0"/>
    <x v="3424"/>
    <x v="1"/>
    <x v="0"/>
    <x v="0"/>
    <x v="0"/>
  </r>
  <r>
    <x v="3766"/>
    <x v="1"/>
    <x v="0"/>
    <x v="0"/>
    <n v="95"/>
    <x v="0"/>
    <x v="3425"/>
    <x v="1"/>
    <x v="0"/>
    <x v="0"/>
    <x v="0"/>
  </r>
  <r>
    <x v="3767"/>
    <x v="0"/>
    <x v="0"/>
    <x v="1"/>
    <n v="25.2"/>
    <x v="0"/>
    <x v="1285"/>
    <x v="1"/>
    <x v="0"/>
    <x v="0"/>
    <x v="0"/>
  </r>
  <r>
    <x v="3768"/>
    <x v="1"/>
    <x v="1"/>
    <x v="0"/>
    <n v="80.849999999999994"/>
    <x v="15"/>
    <x v="3426"/>
    <x v="0"/>
    <x v="1"/>
    <x v="1"/>
    <x v="3"/>
  </r>
  <r>
    <x v="3769"/>
    <x v="1"/>
    <x v="0"/>
    <x v="0"/>
    <n v="98.4"/>
    <x v="52"/>
    <x v="3427"/>
    <x v="1"/>
    <x v="1"/>
    <x v="1"/>
    <x v="1"/>
  </r>
  <r>
    <x v="3770"/>
    <x v="1"/>
    <x v="1"/>
    <x v="1"/>
    <n v="56.35"/>
    <x v="29"/>
    <x v="3428"/>
    <x v="0"/>
    <x v="1"/>
    <x v="1"/>
    <x v="1"/>
  </r>
  <r>
    <x v="3771"/>
    <x v="0"/>
    <x v="2"/>
    <x v="2"/>
    <n v="19.3"/>
    <x v="20"/>
    <x v="3429"/>
    <x v="0"/>
    <x v="0"/>
    <x v="1"/>
    <x v="1"/>
  </r>
  <r>
    <x v="3772"/>
    <x v="1"/>
    <x v="0"/>
    <x v="2"/>
    <n v="50.4"/>
    <x v="35"/>
    <x v="3430"/>
    <x v="0"/>
    <x v="0"/>
    <x v="0"/>
    <x v="0"/>
  </r>
  <r>
    <x v="3773"/>
    <x v="1"/>
    <x v="2"/>
    <x v="3"/>
    <n v="79.400000000000006"/>
    <x v="33"/>
    <x v="3431"/>
    <x v="1"/>
    <x v="2"/>
    <x v="1"/>
    <x v="3"/>
  </r>
  <r>
    <x v="3774"/>
    <x v="1"/>
    <x v="2"/>
    <x v="3"/>
    <n v="55.25"/>
    <x v="49"/>
    <x v="3432"/>
    <x v="0"/>
    <x v="1"/>
    <x v="1"/>
    <x v="3"/>
  </r>
  <r>
    <x v="3775"/>
    <x v="1"/>
    <x v="1"/>
    <x v="1"/>
    <n v="19.100000000000001"/>
    <x v="44"/>
    <x v="3433"/>
    <x v="0"/>
    <x v="0"/>
    <x v="1"/>
    <x v="1"/>
  </r>
  <r>
    <x v="3776"/>
    <x v="0"/>
    <x v="0"/>
    <x v="0"/>
    <n v="84.05"/>
    <x v="18"/>
    <x v="3434"/>
    <x v="0"/>
    <x v="0"/>
    <x v="2"/>
    <x v="0"/>
  </r>
  <r>
    <x v="3777"/>
    <x v="0"/>
    <x v="0"/>
    <x v="0"/>
    <n v="105.2"/>
    <x v="33"/>
    <x v="3435"/>
    <x v="0"/>
    <x v="2"/>
    <x v="1"/>
    <x v="3"/>
  </r>
  <r>
    <x v="3778"/>
    <x v="1"/>
    <x v="0"/>
    <x v="0"/>
    <n v="101.4"/>
    <x v="42"/>
    <x v="3436"/>
    <x v="1"/>
    <x v="1"/>
    <x v="1"/>
    <x v="1"/>
  </r>
  <r>
    <x v="3779"/>
    <x v="1"/>
    <x v="0"/>
    <x v="0"/>
    <n v="89.8"/>
    <x v="6"/>
    <x v="3437"/>
    <x v="1"/>
    <x v="0"/>
    <x v="0"/>
    <x v="0"/>
  </r>
  <r>
    <x v="3780"/>
    <x v="1"/>
    <x v="0"/>
    <x v="2"/>
    <n v="75.75"/>
    <x v="23"/>
    <x v="3438"/>
    <x v="0"/>
    <x v="1"/>
    <x v="1"/>
    <x v="1"/>
  </r>
  <r>
    <x v="3781"/>
    <x v="0"/>
    <x v="0"/>
    <x v="0"/>
    <n v="95.3"/>
    <x v="11"/>
    <x v="3439"/>
    <x v="0"/>
    <x v="2"/>
    <x v="1"/>
    <x v="3"/>
  </r>
  <r>
    <x v="3782"/>
    <x v="1"/>
    <x v="2"/>
    <x v="2"/>
    <n v="109.75"/>
    <x v="68"/>
    <x v="3440"/>
    <x v="1"/>
    <x v="2"/>
    <x v="1"/>
    <x v="3"/>
  </r>
  <r>
    <x v="3783"/>
    <x v="1"/>
    <x v="0"/>
    <x v="1"/>
    <n v="19.850000000000001"/>
    <x v="34"/>
    <x v="3441"/>
    <x v="0"/>
    <x v="0"/>
    <x v="0"/>
    <x v="0"/>
  </r>
  <r>
    <x v="3784"/>
    <x v="1"/>
    <x v="1"/>
    <x v="3"/>
    <n v="19.3"/>
    <x v="2"/>
    <x v="3103"/>
    <x v="1"/>
    <x v="0"/>
    <x v="0"/>
    <x v="0"/>
  </r>
  <r>
    <x v="3785"/>
    <x v="1"/>
    <x v="0"/>
    <x v="0"/>
    <n v="69.099999999999994"/>
    <x v="53"/>
    <x v="3442"/>
    <x v="0"/>
    <x v="0"/>
    <x v="0"/>
    <x v="0"/>
  </r>
  <r>
    <x v="3786"/>
    <x v="0"/>
    <x v="0"/>
    <x v="0"/>
    <n v="91.25"/>
    <x v="70"/>
    <x v="3443"/>
    <x v="1"/>
    <x v="1"/>
    <x v="1"/>
    <x v="1"/>
  </r>
  <r>
    <x v="3787"/>
    <x v="0"/>
    <x v="0"/>
    <x v="1"/>
    <n v="20.25"/>
    <x v="34"/>
    <x v="3315"/>
    <x v="0"/>
    <x v="0"/>
    <x v="0"/>
    <x v="0"/>
  </r>
  <r>
    <x v="3788"/>
    <x v="1"/>
    <x v="0"/>
    <x v="1"/>
    <n v="54.75"/>
    <x v="4"/>
    <x v="1645"/>
    <x v="0"/>
    <x v="0"/>
    <x v="0"/>
    <x v="0"/>
  </r>
  <r>
    <x v="3789"/>
    <x v="1"/>
    <x v="0"/>
    <x v="0"/>
    <n v="81.45"/>
    <x v="18"/>
    <x v="3444"/>
    <x v="0"/>
    <x v="0"/>
    <x v="2"/>
    <x v="0"/>
  </r>
  <r>
    <x v="3790"/>
    <x v="0"/>
    <x v="0"/>
    <x v="0"/>
    <n v="49.1"/>
    <x v="30"/>
    <x v="3445"/>
    <x v="1"/>
    <x v="0"/>
    <x v="2"/>
    <x v="2"/>
  </r>
  <r>
    <x v="3791"/>
    <x v="1"/>
    <x v="1"/>
    <x v="0"/>
    <n v="80.2"/>
    <x v="29"/>
    <x v="3446"/>
    <x v="0"/>
    <x v="1"/>
    <x v="1"/>
    <x v="1"/>
  </r>
  <r>
    <x v="3792"/>
    <x v="1"/>
    <x v="0"/>
    <x v="0"/>
    <n v="100.3"/>
    <x v="41"/>
    <x v="3447"/>
    <x v="0"/>
    <x v="1"/>
    <x v="1"/>
    <x v="1"/>
  </r>
  <r>
    <x v="3793"/>
    <x v="0"/>
    <x v="0"/>
    <x v="3"/>
    <n v="65.25"/>
    <x v="36"/>
    <x v="3448"/>
    <x v="1"/>
    <x v="1"/>
    <x v="1"/>
    <x v="1"/>
  </r>
  <r>
    <x v="3794"/>
    <x v="0"/>
    <x v="2"/>
    <x v="3"/>
    <n v="90.95"/>
    <x v="33"/>
    <x v="3449"/>
    <x v="0"/>
    <x v="2"/>
    <x v="1"/>
    <x v="3"/>
  </r>
  <r>
    <x v="3795"/>
    <x v="0"/>
    <x v="0"/>
    <x v="0"/>
    <n v="85.45"/>
    <x v="32"/>
    <x v="3450"/>
    <x v="1"/>
    <x v="0"/>
    <x v="2"/>
    <x v="2"/>
  </r>
  <r>
    <x v="3796"/>
    <x v="1"/>
    <x v="0"/>
    <x v="1"/>
    <n v="20"/>
    <x v="0"/>
    <x v="779"/>
    <x v="0"/>
    <x v="0"/>
    <x v="0"/>
    <x v="0"/>
  </r>
  <r>
    <x v="3797"/>
    <x v="1"/>
    <x v="2"/>
    <x v="0"/>
    <n v="94.1"/>
    <x v="59"/>
    <x v="3451"/>
    <x v="1"/>
    <x v="2"/>
    <x v="1"/>
    <x v="3"/>
  </r>
  <r>
    <x v="3798"/>
    <x v="1"/>
    <x v="0"/>
    <x v="0"/>
    <n v="79.849999999999994"/>
    <x v="6"/>
    <x v="69"/>
    <x v="0"/>
    <x v="0"/>
    <x v="0"/>
    <x v="0"/>
  </r>
  <r>
    <x v="3799"/>
    <x v="1"/>
    <x v="0"/>
    <x v="0"/>
    <n v="71.650000000000006"/>
    <x v="0"/>
    <x v="1707"/>
    <x v="1"/>
    <x v="0"/>
    <x v="0"/>
    <x v="0"/>
  </r>
  <r>
    <x v="3800"/>
    <x v="0"/>
    <x v="0"/>
    <x v="0"/>
    <n v="73.55"/>
    <x v="32"/>
    <x v="3452"/>
    <x v="0"/>
    <x v="0"/>
    <x v="2"/>
    <x v="2"/>
  </r>
  <r>
    <x v="3801"/>
    <x v="1"/>
    <x v="0"/>
    <x v="0"/>
    <n v="104.65"/>
    <x v="65"/>
    <x v="3453"/>
    <x v="1"/>
    <x v="1"/>
    <x v="1"/>
    <x v="2"/>
  </r>
  <r>
    <x v="3802"/>
    <x v="0"/>
    <x v="0"/>
    <x v="1"/>
    <n v="19.3"/>
    <x v="35"/>
    <x v="3454"/>
    <x v="0"/>
    <x v="0"/>
    <x v="0"/>
    <x v="0"/>
  </r>
  <r>
    <x v="3803"/>
    <x v="1"/>
    <x v="1"/>
    <x v="3"/>
    <n v="20.149999999999999"/>
    <x v="37"/>
    <x v="68"/>
    <x v="0"/>
    <x v="0"/>
    <x v="1"/>
    <x v="3"/>
  </r>
  <r>
    <x v="3804"/>
    <x v="1"/>
    <x v="0"/>
    <x v="0"/>
    <n v="44.55"/>
    <x v="0"/>
    <x v="3455"/>
    <x v="0"/>
    <x v="0"/>
    <x v="0"/>
    <x v="0"/>
  </r>
  <r>
    <x v="3805"/>
    <x v="1"/>
    <x v="0"/>
    <x v="1"/>
    <n v="54.45"/>
    <x v="2"/>
    <x v="3456"/>
    <x v="0"/>
    <x v="0"/>
    <x v="0"/>
    <x v="0"/>
  </r>
  <r>
    <x v="3806"/>
    <x v="1"/>
    <x v="1"/>
    <x v="2"/>
    <n v="19.649999999999999"/>
    <x v="22"/>
    <x v="3457"/>
    <x v="0"/>
    <x v="0"/>
    <x v="2"/>
    <x v="2"/>
  </r>
  <r>
    <x v="3807"/>
    <x v="1"/>
    <x v="2"/>
    <x v="0"/>
    <n v="105"/>
    <x v="14"/>
    <x v="3458"/>
    <x v="0"/>
    <x v="2"/>
    <x v="1"/>
    <x v="3"/>
  </r>
  <r>
    <x v="3808"/>
    <x v="1"/>
    <x v="2"/>
    <x v="3"/>
    <n v="88.7"/>
    <x v="21"/>
    <x v="3459"/>
    <x v="0"/>
    <x v="2"/>
    <x v="1"/>
    <x v="3"/>
  </r>
  <r>
    <x v="3809"/>
    <x v="0"/>
    <x v="0"/>
    <x v="0"/>
    <n v="74.25"/>
    <x v="35"/>
    <x v="2556"/>
    <x v="1"/>
    <x v="0"/>
    <x v="0"/>
    <x v="0"/>
  </r>
  <r>
    <x v="3810"/>
    <x v="1"/>
    <x v="2"/>
    <x v="2"/>
    <n v="75.150000000000006"/>
    <x v="37"/>
    <x v="3460"/>
    <x v="0"/>
    <x v="1"/>
    <x v="1"/>
    <x v="3"/>
  </r>
  <r>
    <x v="3811"/>
    <x v="0"/>
    <x v="2"/>
    <x v="1"/>
    <n v="20.25"/>
    <x v="62"/>
    <x v="3461"/>
    <x v="0"/>
    <x v="0"/>
    <x v="1"/>
    <x v="3"/>
  </r>
  <r>
    <x v="3812"/>
    <x v="0"/>
    <x v="2"/>
    <x v="3"/>
    <n v="109.1"/>
    <x v="11"/>
    <x v="3462"/>
    <x v="0"/>
    <x v="2"/>
    <x v="1"/>
    <x v="3"/>
  </r>
  <r>
    <x v="3813"/>
    <x v="1"/>
    <x v="1"/>
    <x v="2"/>
    <n v="30.75"/>
    <x v="25"/>
    <x v="3463"/>
    <x v="0"/>
    <x v="0"/>
    <x v="1"/>
    <x v="1"/>
  </r>
  <r>
    <x v="3814"/>
    <x v="1"/>
    <x v="0"/>
    <x v="3"/>
    <n v="112.9"/>
    <x v="21"/>
    <x v="3464"/>
    <x v="0"/>
    <x v="2"/>
    <x v="1"/>
    <x v="3"/>
  </r>
  <r>
    <x v="3815"/>
    <x v="0"/>
    <x v="0"/>
    <x v="0"/>
    <n v="74.2"/>
    <x v="0"/>
    <x v="3465"/>
    <x v="1"/>
    <x v="0"/>
    <x v="0"/>
    <x v="0"/>
  </r>
  <r>
    <x v="3816"/>
    <x v="0"/>
    <x v="0"/>
    <x v="1"/>
    <n v="94.05"/>
    <x v="53"/>
    <x v="3466"/>
    <x v="0"/>
    <x v="0"/>
    <x v="0"/>
    <x v="0"/>
  </r>
  <r>
    <x v="3817"/>
    <x v="1"/>
    <x v="2"/>
    <x v="2"/>
    <n v="78.849999999999994"/>
    <x v="21"/>
    <x v="3467"/>
    <x v="0"/>
    <x v="2"/>
    <x v="1"/>
    <x v="3"/>
  </r>
  <r>
    <x v="3818"/>
    <x v="1"/>
    <x v="0"/>
    <x v="1"/>
    <n v="55.3"/>
    <x v="54"/>
    <x v="3468"/>
    <x v="0"/>
    <x v="0"/>
    <x v="0"/>
    <x v="0"/>
  </r>
  <r>
    <x v="3819"/>
    <x v="0"/>
    <x v="2"/>
    <x v="1"/>
    <n v="19.350000000000001"/>
    <x v="15"/>
    <x v="3469"/>
    <x v="0"/>
    <x v="0"/>
    <x v="1"/>
    <x v="3"/>
  </r>
  <r>
    <x v="3820"/>
    <x v="0"/>
    <x v="1"/>
    <x v="1"/>
    <n v="20.45"/>
    <x v="2"/>
    <x v="2963"/>
    <x v="0"/>
    <x v="0"/>
    <x v="0"/>
    <x v="0"/>
  </r>
  <r>
    <x v="3821"/>
    <x v="0"/>
    <x v="2"/>
    <x v="2"/>
    <n v="19.350000000000001"/>
    <x v="45"/>
    <x v="3470"/>
    <x v="0"/>
    <x v="0"/>
    <x v="1"/>
    <x v="3"/>
  </r>
  <r>
    <x v="3822"/>
    <x v="1"/>
    <x v="0"/>
    <x v="0"/>
    <n v="101"/>
    <x v="29"/>
    <x v="3471"/>
    <x v="1"/>
    <x v="1"/>
    <x v="1"/>
    <x v="1"/>
  </r>
  <r>
    <x v="3823"/>
    <x v="1"/>
    <x v="0"/>
    <x v="0"/>
    <n v="100.2"/>
    <x v="54"/>
    <x v="3472"/>
    <x v="1"/>
    <x v="0"/>
    <x v="0"/>
    <x v="0"/>
  </r>
  <r>
    <x v="3824"/>
    <x v="1"/>
    <x v="1"/>
    <x v="0"/>
    <n v="89.05"/>
    <x v="13"/>
    <x v="3473"/>
    <x v="1"/>
    <x v="1"/>
    <x v="1"/>
    <x v="1"/>
  </r>
  <r>
    <x v="3825"/>
    <x v="0"/>
    <x v="1"/>
    <x v="3"/>
    <n v="78.650000000000006"/>
    <x v="69"/>
    <x v="3474"/>
    <x v="0"/>
    <x v="1"/>
    <x v="1"/>
    <x v="3"/>
  </r>
  <r>
    <x v="3826"/>
    <x v="1"/>
    <x v="0"/>
    <x v="2"/>
    <n v="74.75"/>
    <x v="18"/>
    <x v="3475"/>
    <x v="0"/>
    <x v="0"/>
    <x v="2"/>
    <x v="0"/>
  </r>
  <r>
    <x v="3827"/>
    <x v="0"/>
    <x v="1"/>
    <x v="2"/>
    <n v="70.099999999999994"/>
    <x v="58"/>
    <x v="3476"/>
    <x v="1"/>
    <x v="1"/>
    <x v="1"/>
    <x v="3"/>
  </r>
  <r>
    <x v="3828"/>
    <x v="0"/>
    <x v="1"/>
    <x v="1"/>
    <n v="19.899999999999999"/>
    <x v="65"/>
    <x v="3477"/>
    <x v="0"/>
    <x v="0"/>
    <x v="1"/>
    <x v="2"/>
  </r>
  <r>
    <x v="3829"/>
    <x v="0"/>
    <x v="1"/>
    <x v="2"/>
    <n v="58.35"/>
    <x v="38"/>
    <x v="3478"/>
    <x v="0"/>
    <x v="1"/>
    <x v="1"/>
    <x v="3"/>
  </r>
  <r>
    <x v="3830"/>
    <x v="0"/>
    <x v="1"/>
    <x v="0"/>
    <n v="105.65"/>
    <x v="54"/>
    <x v="3479"/>
    <x v="1"/>
    <x v="0"/>
    <x v="0"/>
    <x v="0"/>
  </r>
  <r>
    <x v="3831"/>
    <x v="0"/>
    <x v="0"/>
    <x v="2"/>
    <n v="100.5"/>
    <x v="70"/>
    <x v="3480"/>
    <x v="0"/>
    <x v="1"/>
    <x v="1"/>
    <x v="1"/>
  </r>
  <r>
    <x v="3832"/>
    <x v="0"/>
    <x v="0"/>
    <x v="1"/>
    <n v="20.05"/>
    <x v="30"/>
    <x v="3481"/>
    <x v="0"/>
    <x v="0"/>
    <x v="2"/>
    <x v="2"/>
  </r>
  <r>
    <x v="3833"/>
    <x v="1"/>
    <x v="2"/>
    <x v="3"/>
    <n v="25.65"/>
    <x v="38"/>
    <x v="1711"/>
    <x v="0"/>
    <x v="0"/>
    <x v="1"/>
    <x v="3"/>
  </r>
  <r>
    <x v="3834"/>
    <x v="1"/>
    <x v="0"/>
    <x v="0"/>
    <n v="96.5"/>
    <x v="51"/>
    <x v="3482"/>
    <x v="1"/>
    <x v="1"/>
    <x v="1"/>
    <x v="1"/>
  </r>
  <r>
    <x v="3835"/>
    <x v="0"/>
    <x v="0"/>
    <x v="3"/>
    <n v="95"/>
    <x v="23"/>
    <x v="3483"/>
    <x v="0"/>
    <x v="1"/>
    <x v="1"/>
    <x v="1"/>
  </r>
  <r>
    <x v="3836"/>
    <x v="1"/>
    <x v="0"/>
    <x v="1"/>
    <n v="70.849999999999994"/>
    <x v="0"/>
    <x v="3484"/>
    <x v="1"/>
    <x v="0"/>
    <x v="0"/>
    <x v="0"/>
  </r>
  <r>
    <x v="3837"/>
    <x v="0"/>
    <x v="1"/>
    <x v="3"/>
    <n v="85.95"/>
    <x v="42"/>
    <x v="3485"/>
    <x v="1"/>
    <x v="1"/>
    <x v="1"/>
    <x v="1"/>
  </r>
  <r>
    <x v="3838"/>
    <x v="1"/>
    <x v="0"/>
    <x v="0"/>
    <n v="73.900000000000006"/>
    <x v="54"/>
    <x v="3486"/>
    <x v="1"/>
    <x v="0"/>
    <x v="0"/>
    <x v="0"/>
  </r>
  <r>
    <x v="3839"/>
    <x v="0"/>
    <x v="0"/>
    <x v="0"/>
    <n v="45.45"/>
    <x v="4"/>
    <x v="3487"/>
    <x v="0"/>
    <x v="0"/>
    <x v="0"/>
    <x v="0"/>
  </r>
  <r>
    <x v="3840"/>
    <x v="1"/>
    <x v="0"/>
    <x v="3"/>
    <n v="20"/>
    <x v="6"/>
    <x v="2431"/>
    <x v="0"/>
    <x v="0"/>
    <x v="0"/>
    <x v="0"/>
  </r>
  <r>
    <x v="3841"/>
    <x v="0"/>
    <x v="0"/>
    <x v="1"/>
    <n v="49.2"/>
    <x v="2"/>
    <x v="3488"/>
    <x v="0"/>
    <x v="0"/>
    <x v="0"/>
    <x v="0"/>
  </r>
  <r>
    <x v="3842"/>
    <x v="0"/>
    <x v="2"/>
    <x v="2"/>
    <n v="109.45"/>
    <x v="11"/>
    <x v="3489"/>
    <x v="1"/>
    <x v="2"/>
    <x v="1"/>
    <x v="3"/>
  </r>
  <r>
    <x v="3843"/>
    <x v="1"/>
    <x v="2"/>
    <x v="3"/>
    <n v="83.25"/>
    <x v="69"/>
    <x v="3490"/>
    <x v="0"/>
    <x v="1"/>
    <x v="1"/>
    <x v="3"/>
  </r>
  <r>
    <x v="3844"/>
    <x v="0"/>
    <x v="2"/>
    <x v="1"/>
    <n v="19.25"/>
    <x v="25"/>
    <x v="3491"/>
    <x v="0"/>
    <x v="0"/>
    <x v="1"/>
    <x v="1"/>
  </r>
  <r>
    <x v="3845"/>
    <x v="1"/>
    <x v="0"/>
    <x v="2"/>
    <n v="19.649999999999999"/>
    <x v="0"/>
    <x v="1015"/>
    <x v="0"/>
    <x v="0"/>
    <x v="0"/>
    <x v="0"/>
  </r>
  <r>
    <x v="3846"/>
    <x v="1"/>
    <x v="0"/>
    <x v="2"/>
    <n v="72.8"/>
    <x v="25"/>
    <x v="3492"/>
    <x v="0"/>
    <x v="1"/>
    <x v="1"/>
    <x v="1"/>
  </r>
  <r>
    <x v="3847"/>
    <x v="0"/>
    <x v="0"/>
    <x v="2"/>
    <n v="109.65"/>
    <x v="37"/>
    <x v="2604"/>
    <x v="0"/>
    <x v="2"/>
    <x v="1"/>
    <x v="3"/>
  </r>
  <r>
    <x v="3848"/>
    <x v="1"/>
    <x v="0"/>
    <x v="3"/>
    <n v="65"/>
    <x v="62"/>
    <x v="3493"/>
    <x v="0"/>
    <x v="1"/>
    <x v="1"/>
    <x v="3"/>
  </r>
  <r>
    <x v="3849"/>
    <x v="1"/>
    <x v="0"/>
    <x v="0"/>
    <n v="114.1"/>
    <x v="59"/>
    <x v="3494"/>
    <x v="0"/>
    <x v="2"/>
    <x v="1"/>
    <x v="3"/>
  </r>
  <r>
    <x v="3850"/>
    <x v="1"/>
    <x v="0"/>
    <x v="2"/>
    <n v="20.65"/>
    <x v="24"/>
    <x v="3495"/>
    <x v="0"/>
    <x v="0"/>
    <x v="0"/>
    <x v="0"/>
  </r>
  <r>
    <x v="3851"/>
    <x v="1"/>
    <x v="1"/>
    <x v="2"/>
    <n v="86.95"/>
    <x v="20"/>
    <x v="3496"/>
    <x v="0"/>
    <x v="1"/>
    <x v="1"/>
    <x v="1"/>
  </r>
  <r>
    <x v="3852"/>
    <x v="0"/>
    <x v="1"/>
    <x v="2"/>
    <n v="94.75"/>
    <x v="68"/>
    <x v="3497"/>
    <x v="0"/>
    <x v="2"/>
    <x v="1"/>
    <x v="3"/>
  </r>
  <r>
    <x v="3853"/>
    <x v="1"/>
    <x v="0"/>
    <x v="3"/>
    <n v="25.35"/>
    <x v="67"/>
    <x v="3498"/>
    <x v="0"/>
    <x v="0"/>
    <x v="2"/>
    <x v="2"/>
  </r>
  <r>
    <x v="3854"/>
    <x v="0"/>
    <x v="2"/>
    <x v="0"/>
    <n v="105.45"/>
    <x v="70"/>
    <x v="3499"/>
    <x v="0"/>
    <x v="1"/>
    <x v="1"/>
    <x v="1"/>
  </r>
  <r>
    <x v="3855"/>
    <x v="1"/>
    <x v="2"/>
    <x v="1"/>
    <n v="25.4"/>
    <x v="27"/>
    <x v="3500"/>
    <x v="0"/>
    <x v="0"/>
    <x v="1"/>
    <x v="3"/>
  </r>
  <r>
    <x v="3856"/>
    <x v="1"/>
    <x v="0"/>
    <x v="0"/>
    <n v="102.55"/>
    <x v="22"/>
    <x v="3501"/>
    <x v="0"/>
    <x v="0"/>
    <x v="2"/>
    <x v="2"/>
  </r>
  <r>
    <x v="3857"/>
    <x v="0"/>
    <x v="0"/>
    <x v="0"/>
    <n v="100.2"/>
    <x v="19"/>
    <x v="3502"/>
    <x v="1"/>
    <x v="1"/>
    <x v="1"/>
    <x v="1"/>
  </r>
  <r>
    <x v="3858"/>
    <x v="0"/>
    <x v="0"/>
    <x v="1"/>
    <n v="24"/>
    <x v="0"/>
    <x v="3503"/>
    <x v="0"/>
    <x v="0"/>
    <x v="0"/>
    <x v="0"/>
  </r>
  <r>
    <x v="3859"/>
    <x v="0"/>
    <x v="2"/>
    <x v="1"/>
    <n v="25.6"/>
    <x v="67"/>
    <x v="3504"/>
    <x v="0"/>
    <x v="0"/>
    <x v="2"/>
    <x v="2"/>
  </r>
  <r>
    <x v="3860"/>
    <x v="0"/>
    <x v="2"/>
    <x v="3"/>
    <n v="73.5"/>
    <x v="70"/>
    <x v="3505"/>
    <x v="0"/>
    <x v="0"/>
    <x v="1"/>
    <x v="1"/>
  </r>
  <r>
    <x v="3861"/>
    <x v="0"/>
    <x v="0"/>
    <x v="2"/>
    <n v="74.05"/>
    <x v="17"/>
    <x v="3506"/>
    <x v="1"/>
    <x v="0"/>
    <x v="2"/>
    <x v="2"/>
  </r>
  <r>
    <x v="3862"/>
    <x v="1"/>
    <x v="1"/>
    <x v="0"/>
    <n v="98.25"/>
    <x v="37"/>
    <x v="3507"/>
    <x v="0"/>
    <x v="1"/>
    <x v="1"/>
    <x v="3"/>
  </r>
  <r>
    <x v="3863"/>
    <x v="0"/>
    <x v="1"/>
    <x v="0"/>
    <n v="54.4"/>
    <x v="47"/>
    <x v="3508"/>
    <x v="0"/>
    <x v="1"/>
    <x v="1"/>
    <x v="3"/>
  </r>
  <r>
    <x v="3864"/>
    <x v="1"/>
    <x v="0"/>
    <x v="2"/>
    <n v="101.55"/>
    <x v="35"/>
    <x v="3509"/>
    <x v="1"/>
    <x v="0"/>
    <x v="0"/>
    <x v="0"/>
  </r>
  <r>
    <x v="3865"/>
    <x v="1"/>
    <x v="0"/>
    <x v="0"/>
    <n v="103.1"/>
    <x v="34"/>
    <x v="3510"/>
    <x v="0"/>
    <x v="0"/>
    <x v="0"/>
    <x v="0"/>
  </r>
  <r>
    <x v="3866"/>
    <x v="0"/>
    <x v="2"/>
    <x v="2"/>
    <n v="34.200000000000003"/>
    <x v="69"/>
    <x v="3511"/>
    <x v="0"/>
    <x v="0"/>
    <x v="1"/>
    <x v="3"/>
  </r>
  <r>
    <x v="3867"/>
    <x v="0"/>
    <x v="0"/>
    <x v="0"/>
    <n v="43.75"/>
    <x v="34"/>
    <x v="2516"/>
    <x v="0"/>
    <x v="0"/>
    <x v="0"/>
    <x v="0"/>
  </r>
  <r>
    <x v="3868"/>
    <x v="1"/>
    <x v="1"/>
    <x v="0"/>
    <n v="111.95"/>
    <x v="52"/>
    <x v="3512"/>
    <x v="1"/>
    <x v="1"/>
    <x v="1"/>
    <x v="1"/>
  </r>
  <r>
    <x v="3869"/>
    <x v="1"/>
    <x v="0"/>
    <x v="0"/>
    <n v="100.65"/>
    <x v="5"/>
    <x v="3513"/>
    <x v="0"/>
    <x v="1"/>
    <x v="2"/>
    <x v="2"/>
  </r>
  <r>
    <x v="3870"/>
    <x v="0"/>
    <x v="1"/>
    <x v="0"/>
    <n v="55.95"/>
    <x v="17"/>
    <x v="3514"/>
    <x v="1"/>
    <x v="0"/>
    <x v="2"/>
    <x v="2"/>
  </r>
  <r>
    <x v="3871"/>
    <x v="1"/>
    <x v="2"/>
    <x v="2"/>
    <n v="116.05"/>
    <x v="16"/>
    <x v="3515"/>
    <x v="0"/>
    <x v="2"/>
    <x v="1"/>
    <x v="3"/>
  </r>
  <r>
    <x v="3872"/>
    <x v="1"/>
    <x v="0"/>
    <x v="0"/>
    <n v="45.75"/>
    <x v="0"/>
    <x v="3516"/>
    <x v="1"/>
    <x v="0"/>
    <x v="0"/>
    <x v="0"/>
  </r>
  <r>
    <x v="3873"/>
    <x v="1"/>
    <x v="1"/>
    <x v="3"/>
    <n v="82"/>
    <x v="70"/>
    <x v="3517"/>
    <x v="0"/>
    <x v="1"/>
    <x v="1"/>
    <x v="1"/>
  </r>
  <r>
    <x v="3874"/>
    <x v="1"/>
    <x v="2"/>
    <x v="2"/>
    <n v="65.150000000000006"/>
    <x v="16"/>
    <x v="3518"/>
    <x v="0"/>
    <x v="1"/>
    <x v="1"/>
    <x v="3"/>
  </r>
  <r>
    <x v="3875"/>
    <x v="1"/>
    <x v="0"/>
    <x v="3"/>
    <n v="44.8"/>
    <x v="54"/>
    <x v="3519"/>
    <x v="0"/>
    <x v="0"/>
    <x v="0"/>
    <x v="0"/>
  </r>
  <r>
    <x v="3876"/>
    <x v="0"/>
    <x v="0"/>
    <x v="0"/>
    <n v="79.8"/>
    <x v="18"/>
    <x v="1368"/>
    <x v="0"/>
    <x v="0"/>
    <x v="2"/>
    <x v="0"/>
  </r>
  <r>
    <x v="3877"/>
    <x v="0"/>
    <x v="0"/>
    <x v="0"/>
    <n v="88.85"/>
    <x v="32"/>
    <x v="3520"/>
    <x v="0"/>
    <x v="0"/>
    <x v="2"/>
    <x v="2"/>
  </r>
  <r>
    <x v="3878"/>
    <x v="0"/>
    <x v="0"/>
    <x v="0"/>
    <n v="74.95"/>
    <x v="35"/>
    <x v="3521"/>
    <x v="0"/>
    <x v="0"/>
    <x v="0"/>
    <x v="0"/>
  </r>
  <r>
    <x v="3879"/>
    <x v="0"/>
    <x v="1"/>
    <x v="2"/>
    <n v="106.85"/>
    <x v="21"/>
    <x v="3522"/>
    <x v="0"/>
    <x v="2"/>
    <x v="1"/>
    <x v="3"/>
  </r>
  <r>
    <x v="3880"/>
    <x v="1"/>
    <x v="0"/>
    <x v="0"/>
    <n v="74.95"/>
    <x v="26"/>
    <x v="1884"/>
    <x v="1"/>
    <x v="0"/>
    <x v="0"/>
    <x v="0"/>
  </r>
  <r>
    <x v="3881"/>
    <x v="0"/>
    <x v="0"/>
    <x v="3"/>
    <n v="80.150000000000006"/>
    <x v="0"/>
    <x v="3523"/>
    <x v="1"/>
    <x v="0"/>
    <x v="0"/>
    <x v="0"/>
  </r>
  <r>
    <x v="3882"/>
    <x v="1"/>
    <x v="1"/>
    <x v="3"/>
    <n v="19.3"/>
    <x v="9"/>
    <x v="3524"/>
    <x v="0"/>
    <x v="0"/>
    <x v="2"/>
    <x v="2"/>
  </r>
  <r>
    <x v="3883"/>
    <x v="0"/>
    <x v="1"/>
    <x v="0"/>
    <n v="109.25"/>
    <x v="21"/>
    <x v="3525"/>
    <x v="1"/>
    <x v="2"/>
    <x v="1"/>
    <x v="3"/>
  </r>
  <r>
    <x v="3884"/>
    <x v="1"/>
    <x v="1"/>
    <x v="3"/>
    <n v="56.1"/>
    <x v="41"/>
    <x v="3526"/>
    <x v="0"/>
    <x v="1"/>
    <x v="1"/>
    <x v="1"/>
  </r>
  <r>
    <x v="3885"/>
    <x v="0"/>
    <x v="0"/>
    <x v="3"/>
    <n v="19.7"/>
    <x v="22"/>
    <x v="3527"/>
    <x v="0"/>
    <x v="0"/>
    <x v="2"/>
    <x v="2"/>
  </r>
  <r>
    <x v="3886"/>
    <x v="0"/>
    <x v="0"/>
    <x v="1"/>
    <n v="51.3"/>
    <x v="40"/>
    <x v="3528"/>
    <x v="0"/>
    <x v="0"/>
    <x v="0"/>
    <x v="0"/>
  </r>
  <r>
    <x v="3887"/>
    <x v="0"/>
    <x v="2"/>
    <x v="1"/>
    <n v="118.6"/>
    <x v="47"/>
    <x v="3529"/>
    <x v="0"/>
    <x v="2"/>
    <x v="1"/>
    <x v="3"/>
  </r>
  <r>
    <x v="3888"/>
    <x v="1"/>
    <x v="2"/>
    <x v="2"/>
    <n v="24.15"/>
    <x v="39"/>
    <x v="3530"/>
    <x v="0"/>
    <x v="0"/>
    <x v="1"/>
    <x v="3"/>
  </r>
  <r>
    <x v="3889"/>
    <x v="0"/>
    <x v="1"/>
    <x v="1"/>
    <n v="20.3"/>
    <x v="46"/>
    <x v="3531"/>
    <x v="0"/>
    <x v="0"/>
    <x v="1"/>
    <x v="1"/>
  </r>
  <r>
    <x v="3890"/>
    <x v="0"/>
    <x v="2"/>
    <x v="0"/>
    <n v="115.5"/>
    <x v="21"/>
    <x v="3532"/>
    <x v="0"/>
    <x v="2"/>
    <x v="1"/>
    <x v="3"/>
  </r>
  <r>
    <x v="3891"/>
    <x v="0"/>
    <x v="1"/>
    <x v="3"/>
    <n v="25.05"/>
    <x v="43"/>
    <x v="3533"/>
    <x v="0"/>
    <x v="0"/>
    <x v="1"/>
    <x v="1"/>
  </r>
  <r>
    <x v="3892"/>
    <x v="0"/>
    <x v="0"/>
    <x v="0"/>
    <n v="109.1"/>
    <x v="15"/>
    <x v="3534"/>
    <x v="0"/>
    <x v="2"/>
    <x v="1"/>
    <x v="3"/>
  </r>
  <r>
    <x v="3893"/>
    <x v="0"/>
    <x v="1"/>
    <x v="1"/>
    <n v="19.649999999999999"/>
    <x v="42"/>
    <x v="3535"/>
    <x v="0"/>
    <x v="0"/>
    <x v="1"/>
    <x v="1"/>
  </r>
  <r>
    <x v="3894"/>
    <x v="1"/>
    <x v="2"/>
    <x v="2"/>
    <n v="111.3"/>
    <x v="56"/>
    <x v="2094"/>
    <x v="0"/>
    <x v="2"/>
    <x v="1"/>
    <x v="3"/>
  </r>
  <r>
    <x v="3895"/>
    <x v="0"/>
    <x v="0"/>
    <x v="1"/>
    <n v="29.9"/>
    <x v="0"/>
    <x v="3536"/>
    <x v="0"/>
    <x v="0"/>
    <x v="0"/>
    <x v="0"/>
  </r>
  <r>
    <x v="3896"/>
    <x v="1"/>
    <x v="0"/>
    <x v="1"/>
    <n v="80.599999999999994"/>
    <x v="62"/>
    <x v="3537"/>
    <x v="0"/>
    <x v="1"/>
    <x v="1"/>
    <x v="3"/>
  </r>
  <r>
    <x v="3897"/>
    <x v="1"/>
    <x v="0"/>
    <x v="1"/>
    <n v="20.8"/>
    <x v="1"/>
    <x v="3538"/>
    <x v="0"/>
    <x v="0"/>
    <x v="1"/>
    <x v="1"/>
  </r>
  <r>
    <x v="3898"/>
    <x v="0"/>
    <x v="0"/>
    <x v="3"/>
    <n v="35.200000000000003"/>
    <x v="35"/>
    <x v="3539"/>
    <x v="1"/>
    <x v="0"/>
    <x v="0"/>
    <x v="0"/>
  </r>
  <r>
    <x v="3899"/>
    <x v="0"/>
    <x v="0"/>
    <x v="0"/>
    <n v="78.8"/>
    <x v="0"/>
    <x v="3540"/>
    <x v="1"/>
    <x v="0"/>
    <x v="0"/>
    <x v="0"/>
  </r>
  <r>
    <x v="3900"/>
    <x v="1"/>
    <x v="0"/>
    <x v="1"/>
    <n v="89.95"/>
    <x v="67"/>
    <x v="3541"/>
    <x v="0"/>
    <x v="0"/>
    <x v="2"/>
    <x v="2"/>
  </r>
  <r>
    <x v="3901"/>
    <x v="0"/>
    <x v="2"/>
    <x v="2"/>
    <n v="116.05"/>
    <x v="31"/>
    <x v="3542"/>
    <x v="0"/>
    <x v="2"/>
    <x v="1"/>
    <x v="3"/>
  </r>
  <r>
    <x v="3902"/>
    <x v="1"/>
    <x v="2"/>
    <x v="3"/>
    <n v="19.55"/>
    <x v="26"/>
    <x v="3543"/>
    <x v="0"/>
    <x v="0"/>
    <x v="0"/>
    <x v="0"/>
  </r>
  <r>
    <x v="3903"/>
    <x v="0"/>
    <x v="0"/>
    <x v="0"/>
    <n v="106.4"/>
    <x v="20"/>
    <x v="3544"/>
    <x v="1"/>
    <x v="2"/>
    <x v="1"/>
    <x v="1"/>
  </r>
  <r>
    <x v="3904"/>
    <x v="1"/>
    <x v="0"/>
    <x v="0"/>
    <n v="49.4"/>
    <x v="32"/>
    <x v="3545"/>
    <x v="1"/>
    <x v="0"/>
    <x v="2"/>
    <x v="2"/>
  </r>
  <r>
    <x v="3905"/>
    <x v="0"/>
    <x v="2"/>
    <x v="3"/>
    <n v="115.25"/>
    <x v="31"/>
    <x v="3546"/>
    <x v="0"/>
    <x v="2"/>
    <x v="1"/>
    <x v="3"/>
  </r>
  <r>
    <x v="3906"/>
    <x v="1"/>
    <x v="2"/>
    <x v="3"/>
    <n v="24.8"/>
    <x v="21"/>
    <x v="2889"/>
    <x v="0"/>
    <x v="0"/>
    <x v="1"/>
    <x v="3"/>
  </r>
  <r>
    <x v="3907"/>
    <x v="1"/>
    <x v="1"/>
    <x v="1"/>
    <n v="19.899999999999999"/>
    <x v="71"/>
    <x v="3547"/>
    <x v="0"/>
    <x v="0"/>
    <x v="1"/>
    <x v="1"/>
  </r>
  <r>
    <x v="3908"/>
    <x v="0"/>
    <x v="1"/>
    <x v="3"/>
    <n v="81.25"/>
    <x v="64"/>
    <x v="3548"/>
    <x v="0"/>
    <x v="1"/>
    <x v="1"/>
    <x v="3"/>
  </r>
  <r>
    <x v="3909"/>
    <x v="1"/>
    <x v="0"/>
    <x v="1"/>
    <n v="69.95"/>
    <x v="2"/>
    <x v="3549"/>
    <x v="0"/>
    <x v="0"/>
    <x v="0"/>
    <x v="0"/>
  </r>
  <r>
    <x v="3910"/>
    <x v="1"/>
    <x v="0"/>
    <x v="0"/>
    <n v="69.099999999999994"/>
    <x v="0"/>
    <x v="3032"/>
    <x v="1"/>
    <x v="0"/>
    <x v="0"/>
    <x v="0"/>
  </r>
  <r>
    <x v="3911"/>
    <x v="1"/>
    <x v="0"/>
    <x v="0"/>
    <n v="90.2"/>
    <x v="61"/>
    <x v="3550"/>
    <x v="1"/>
    <x v="0"/>
    <x v="2"/>
    <x v="2"/>
  </r>
  <r>
    <x v="3912"/>
    <x v="0"/>
    <x v="0"/>
    <x v="2"/>
    <n v="93.55"/>
    <x v="53"/>
    <x v="3551"/>
    <x v="1"/>
    <x v="0"/>
    <x v="0"/>
    <x v="0"/>
  </r>
  <r>
    <x v="3913"/>
    <x v="1"/>
    <x v="2"/>
    <x v="3"/>
    <n v="86.4"/>
    <x v="16"/>
    <x v="3552"/>
    <x v="0"/>
    <x v="2"/>
    <x v="1"/>
    <x v="3"/>
  </r>
  <r>
    <x v="3914"/>
    <x v="0"/>
    <x v="0"/>
    <x v="1"/>
    <n v="66.3"/>
    <x v="65"/>
    <x v="3553"/>
    <x v="0"/>
    <x v="0"/>
    <x v="1"/>
    <x v="2"/>
  </r>
  <r>
    <x v="3915"/>
    <x v="1"/>
    <x v="0"/>
    <x v="3"/>
    <n v="94.65"/>
    <x v="56"/>
    <x v="3554"/>
    <x v="0"/>
    <x v="2"/>
    <x v="1"/>
    <x v="3"/>
  </r>
  <r>
    <x v="3916"/>
    <x v="1"/>
    <x v="0"/>
    <x v="1"/>
    <n v="80.849999999999994"/>
    <x v="0"/>
    <x v="3555"/>
    <x v="1"/>
    <x v="0"/>
    <x v="0"/>
    <x v="0"/>
  </r>
  <r>
    <x v="3917"/>
    <x v="0"/>
    <x v="1"/>
    <x v="1"/>
    <n v="82.05"/>
    <x v="43"/>
    <x v="3556"/>
    <x v="1"/>
    <x v="1"/>
    <x v="1"/>
    <x v="1"/>
  </r>
  <r>
    <x v="3918"/>
    <x v="0"/>
    <x v="1"/>
    <x v="1"/>
    <n v="72.099999999999994"/>
    <x v="50"/>
    <x v="3557"/>
    <x v="0"/>
    <x v="1"/>
    <x v="1"/>
    <x v="1"/>
  </r>
  <r>
    <x v="3919"/>
    <x v="1"/>
    <x v="0"/>
    <x v="1"/>
    <n v="34.700000000000003"/>
    <x v="26"/>
    <x v="3558"/>
    <x v="0"/>
    <x v="0"/>
    <x v="0"/>
    <x v="0"/>
  </r>
  <r>
    <x v="3920"/>
    <x v="1"/>
    <x v="0"/>
    <x v="3"/>
    <n v="20.55"/>
    <x v="35"/>
    <x v="3559"/>
    <x v="1"/>
    <x v="0"/>
    <x v="0"/>
    <x v="0"/>
  </r>
  <r>
    <x v="3921"/>
    <x v="0"/>
    <x v="0"/>
    <x v="3"/>
    <n v="95.95"/>
    <x v="32"/>
    <x v="3560"/>
    <x v="0"/>
    <x v="0"/>
    <x v="2"/>
    <x v="2"/>
  </r>
  <r>
    <x v="3922"/>
    <x v="1"/>
    <x v="1"/>
    <x v="2"/>
    <n v="44.8"/>
    <x v="37"/>
    <x v="3561"/>
    <x v="0"/>
    <x v="1"/>
    <x v="1"/>
    <x v="3"/>
  </r>
  <r>
    <x v="3923"/>
    <x v="0"/>
    <x v="1"/>
    <x v="0"/>
    <n v="109.4"/>
    <x v="56"/>
    <x v="3562"/>
    <x v="0"/>
    <x v="2"/>
    <x v="1"/>
    <x v="3"/>
  </r>
  <r>
    <x v="3924"/>
    <x v="0"/>
    <x v="0"/>
    <x v="1"/>
    <n v="71.05"/>
    <x v="13"/>
    <x v="3563"/>
    <x v="0"/>
    <x v="0"/>
    <x v="1"/>
    <x v="1"/>
  </r>
  <r>
    <x v="3925"/>
    <x v="0"/>
    <x v="0"/>
    <x v="0"/>
    <n v="78.55"/>
    <x v="2"/>
    <x v="3564"/>
    <x v="1"/>
    <x v="0"/>
    <x v="0"/>
    <x v="0"/>
  </r>
  <r>
    <x v="3926"/>
    <x v="1"/>
    <x v="0"/>
    <x v="3"/>
    <n v="19.7"/>
    <x v="34"/>
    <x v="3565"/>
    <x v="0"/>
    <x v="0"/>
    <x v="0"/>
    <x v="0"/>
  </r>
  <r>
    <x v="3927"/>
    <x v="0"/>
    <x v="1"/>
    <x v="1"/>
    <n v="40.25"/>
    <x v="6"/>
    <x v="3566"/>
    <x v="0"/>
    <x v="0"/>
    <x v="0"/>
    <x v="0"/>
  </r>
  <r>
    <x v="3928"/>
    <x v="0"/>
    <x v="2"/>
    <x v="3"/>
    <n v="19.850000000000001"/>
    <x v="27"/>
    <x v="3187"/>
    <x v="0"/>
    <x v="0"/>
    <x v="1"/>
    <x v="3"/>
  </r>
  <r>
    <x v="3929"/>
    <x v="1"/>
    <x v="0"/>
    <x v="2"/>
    <n v="68.25"/>
    <x v="34"/>
    <x v="3567"/>
    <x v="0"/>
    <x v="0"/>
    <x v="0"/>
    <x v="0"/>
  </r>
  <r>
    <x v="3930"/>
    <x v="0"/>
    <x v="0"/>
    <x v="3"/>
    <n v="20.149999999999999"/>
    <x v="54"/>
    <x v="3568"/>
    <x v="0"/>
    <x v="0"/>
    <x v="0"/>
    <x v="0"/>
  </r>
  <r>
    <x v="3931"/>
    <x v="0"/>
    <x v="0"/>
    <x v="1"/>
    <n v="50.95"/>
    <x v="2"/>
    <x v="3569"/>
    <x v="0"/>
    <x v="0"/>
    <x v="0"/>
    <x v="0"/>
  </r>
  <r>
    <x v="3932"/>
    <x v="0"/>
    <x v="0"/>
    <x v="0"/>
    <n v="78.650000000000006"/>
    <x v="0"/>
    <x v="3570"/>
    <x v="1"/>
    <x v="0"/>
    <x v="0"/>
    <x v="0"/>
  </r>
  <r>
    <x v="3933"/>
    <x v="1"/>
    <x v="0"/>
    <x v="2"/>
    <n v="25.15"/>
    <x v="67"/>
    <x v="3571"/>
    <x v="0"/>
    <x v="0"/>
    <x v="2"/>
    <x v="2"/>
  </r>
  <r>
    <x v="3934"/>
    <x v="1"/>
    <x v="0"/>
    <x v="2"/>
    <n v="20.25"/>
    <x v="40"/>
    <x v="3572"/>
    <x v="0"/>
    <x v="0"/>
    <x v="0"/>
    <x v="0"/>
  </r>
  <r>
    <x v="3935"/>
    <x v="1"/>
    <x v="0"/>
    <x v="0"/>
    <n v="42.9"/>
    <x v="0"/>
    <x v="3573"/>
    <x v="1"/>
    <x v="0"/>
    <x v="0"/>
    <x v="0"/>
  </r>
  <r>
    <x v="3936"/>
    <x v="1"/>
    <x v="0"/>
    <x v="0"/>
    <n v="44"/>
    <x v="0"/>
    <x v="384"/>
    <x v="0"/>
    <x v="0"/>
    <x v="0"/>
    <x v="0"/>
  </r>
  <r>
    <x v="3937"/>
    <x v="0"/>
    <x v="1"/>
    <x v="1"/>
    <n v="20.25"/>
    <x v="34"/>
    <x v="3315"/>
    <x v="0"/>
    <x v="0"/>
    <x v="0"/>
    <x v="0"/>
  </r>
  <r>
    <x v="3938"/>
    <x v="0"/>
    <x v="0"/>
    <x v="1"/>
    <n v="34.25"/>
    <x v="35"/>
    <x v="1457"/>
    <x v="1"/>
    <x v="0"/>
    <x v="0"/>
    <x v="0"/>
  </r>
  <r>
    <x v="3939"/>
    <x v="0"/>
    <x v="0"/>
    <x v="1"/>
    <n v="58.5"/>
    <x v="34"/>
    <x v="2263"/>
    <x v="1"/>
    <x v="0"/>
    <x v="0"/>
    <x v="0"/>
  </r>
  <r>
    <x v="3940"/>
    <x v="0"/>
    <x v="0"/>
    <x v="3"/>
    <n v="55.8"/>
    <x v="24"/>
    <x v="2213"/>
    <x v="0"/>
    <x v="0"/>
    <x v="0"/>
    <x v="0"/>
  </r>
  <r>
    <x v="3941"/>
    <x v="0"/>
    <x v="1"/>
    <x v="2"/>
    <n v="88.9"/>
    <x v="39"/>
    <x v="3574"/>
    <x v="0"/>
    <x v="1"/>
    <x v="1"/>
    <x v="3"/>
  </r>
  <r>
    <x v="3942"/>
    <x v="0"/>
    <x v="0"/>
    <x v="1"/>
    <n v="57.65"/>
    <x v="32"/>
    <x v="3575"/>
    <x v="0"/>
    <x v="0"/>
    <x v="2"/>
    <x v="2"/>
  </r>
  <r>
    <x v="3943"/>
    <x v="1"/>
    <x v="0"/>
    <x v="0"/>
    <n v="96.2"/>
    <x v="12"/>
    <x v="3576"/>
    <x v="1"/>
    <x v="1"/>
    <x v="1"/>
    <x v="3"/>
  </r>
  <r>
    <x v="3944"/>
    <x v="1"/>
    <x v="2"/>
    <x v="1"/>
    <n v="79.150000000000006"/>
    <x v="27"/>
    <x v="3577"/>
    <x v="0"/>
    <x v="2"/>
    <x v="1"/>
    <x v="3"/>
  </r>
  <r>
    <x v="3945"/>
    <x v="0"/>
    <x v="2"/>
    <x v="3"/>
    <n v="108.05"/>
    <x v="21"/>
    <x v="3578"/>
    <x v="0"/>
    <x v="2"/>
    <x v="1"/>
    <x v="3"/>
  </r>
  <r>
    <x v="3946"/>
    <x v="0"/>
    <x v="0"/>
    <x v="0"/>
    <n v="74.400000000000006"/>
    <x v="53"/>
    <x v="3579"/>
    <x v="1"/>
    <x v="0"/>
    <x v="0"/>
    <x v="0"/>
  </r>
  <r>
    <x v="3947"/>
    <x v="1"/>
    <x v="0"/>
    <x v="0"/>
    <n v="94.8"/>
    <x v="22"/>
    <x v="3580"/>
    <x v="0"/>
    <x v="0"/>
    <x v="2"/>
    <x v="2"/>
  </r>
  <r>
    <x v="3948"/>
    <x v="1"/>
    <x v="0"/>
    <x v="0"/>
    <n v="45.9"/>
    <x v="44"/>
    <x v="3581"/>
    <x v="0"/>
    <x v="0"/>
    <x v="1"/>
    <x v="1"/>
  </r>
  <r>
    <x v="3949"/>
    <x v="0"/>
    <x v="0"/>
    <x v="0"/>
    <n v="105.3"/>
    <x v="53"/>
    <x v="3582"/>
    <x v="1"/>
    <x v="0"/>
    <x v="0"/>
    <x v="0"/>
  </r>
  <r>
    <x v="3950"/>
    <x v="1"/>
    <x v="2"/>
    <x v="0"/>
    <n v="102.6"/>
    <x v="28"/>
    <x v="3583"/>
    <x v="0"/>
    <x v="2"/>
    <x v="1"/>
    <x v="3"/>
  </r>
  <r>
    <x v="3951"/>
    <x v="1"/>
    <x v="0"/>
    <x v="2"/>
    <n v="73.849999999999994"/>
    <x v="10"/>
    <x v="3584"/>
    <x v="1"/>
    <x v="0"/>
    <x v="2"/>
    <x v="2"/>
  </r>
  <r>
    <x v="3952"/>
    <x v="1"/>
    <x v="1"/>
    <x v="2"/>
    <n v="61.35"/>
    <x v="64"/>
    <x v="3585"/>
    <x v="0"/>
    <x v="1"/>
    <x v="1"/>
    <x v="3"/>
  </r>
  <r>
    <x v="3953"/>
    <x v="0"/>
    <x v="0"/>
    <x v="0"/>
    <n v="57.55"/>
    <x v="35"/>
    <x v="3586"/>
    <x v="0"/>
    <x v="0"/>
    <x v="0"/>
    <x v="0"/>
  </r>
  <r>
    <x v="3954"/>
    <x v="0"/>
    <x v="0"/>
    <x v="1"/>
    <n v="29.25"/>
    <x v="4"/>
    <x v="3405"/>
    <x v="0"/>
    <x v="0"/>
    <x v="0"/>
    <x v="0"/>
  </r>
  <r>
    <x v="3955"/>
    <x v="0"/>
    <x v="0"/>
    <x v="0"/>
    <n v="84.55"/>
    <x v="40"/>
    <x v="3587"/>
    <x v="1"/>
    <x v="0"/>
    <x v="0"/>
    <x v="0"/>
  </r>
  <r>
    <x v="3956"/>
    <x v="0"/>
    <x v="2"/>
    <x v="3"/>
    <n v="19.600000000000001"/>
    <x v="47"/>
    <x v="3588"/>
    <x v="0"/>
    <x v="0"/>
    <x v="1"/>
    <x v="3"/>
  </r>
  <r>
    <x v="3957"/>
    <x v="0"/>
    <x v="2"/>
    <x v="3"/>
    <n v="111.75"/>
    <x v="47"/>
    <x v="3589"/>
    <x v="0"/>
    <x v="2"/>
    <x v="1"/>
    <x v="3"/>
  </r>
  <r>
    <x v="3958"/>
    <x v="0"/>
    <x v="1"/>
    <x v="0"/>
    <n v="106.5"/>
    <x v="15"/>
    <x v="3590"/>
    <x v="0"/>
    <x v="2"/>
    <x v="1"/>
    <x v="3"/>
  </r>
  <r>
    <x v="3959"/>
    <x v="1"/>
    <x v="2"/>
    <x v="3"/>
    <n v="107.7"/>
    <x v="21"/>
    <x v="3591"/>
    <x v="0"/>
    <x v="2"/>
    <x v="1"/>
    <x v="3"/>
  </r>
  <r>
    <x v="3960"/>
    <x v="0"/>
    <x v="1"/>
    <x v="1"/>
    <n v="19.3"/>
    <x v="48"/>
    <x v="3592"/>
    <x v="0"/>
    <x v="0"/>
    <x v="1"/>
    <x v="1"/>
  </r>
  <r>
    <x v="3961"/>
    <x v="0"/>
    <x v="2"/>
    <x v="2"/>
    <n v="20.05"/>
    <x v="21"/>
    <x v="3593"/>
    <x v="0"/>
    <x v="0"/>
    <x v="1"/>
    <x v="3"/>
  </r>
  <r>
    <x v="3962"/>
    <x v="1"/>
    <x v="0"/>
    <x v="3"/>
    <n v="69.95"/>
    <x v="0"/>
    <x v="1904"/>
    <x v="0"/>
    <x v="0"/>
    <x v="0"/>
    <x v="0"/>
  </r>
  <r>
    <x v="3963"/>
    <x v="1"/>
    <x v="1"/>
    <x v="3"/>
    <n v="63.7"/>
    <x v="41"/>
    <x v="3594"/>
    <x v="0"/>
    <x v="1"/>
    <x v="1"/>
    <x v="1"/>
  </r>
  <r>
    <x v="3964"/>
    <x v="0"/>
    <x v="2"/>
    <x v="3"/>
    <n v="24.75"/>
    <x v="13"/>
    <x v="3595"/>
    <x v="1"/>
    <x v="0"/>
    <x v="1"/>
    <x v="1"/>
  </r>
  <r>
    <x v="3965"/>
    <x v="1"/>
    <x v="0"/>
    <x v="2"/>
    <n v="50.9"/>
    <x v="3"/>
    <x v="1747"/>
    <x v="0"/>
    <x v="1"/>
    <x v="1"/>
    <x v="1"/>
  </r>
  <r>
    <x v="3966"/>
    <x v="0"/>
    <x v="1"/>
    <x v="3"/>
    <n v="60.4"/>
    <x v="29"/>
    <x v="3596"/>
    <x v="0"/>
    <x v="1"/>
    <x v="1"/>
    <x v="1"/>
  </r>
  <r>
    <x v="3967"/>
    <x v="1"/>
    <x v="1"/>
    <x v="1"/>
    <n v="79.25"/>
    <x v="50"/>
    <x v="3597"/>
    <x v="0"/>
    <x v="1"/>
    <x v="1"/>
    <x v="1"/>
  </r>
  <r>
    <x v="3968"/>
    <x v="0"/>
    <x v="0"/>
    <x v="3"/>
    <n v="85.8"/>
    <x v="61"/>
    <x v="3598"/>
    <x v="1"/>
    <x v="0"/>
    <x v="2"/>
    <x v="2"/>
  </r>
  <r>
    <x v="3969"/>
    <x v="0"/>
    <x v="0"/>
    <x v="0"/>
    <n v="24.45"/>
    <x v="54"/>
    <x v="3599"/>
    <x v="1"/>
    <x v="0"/>
    <x v="0"/>
    <x v="0"/>
  </r>
  <r>
    <x v="3970"/>
    <x v="1"/>
    <x v="2"/>
    <x v="3"/>
    <n v="110.1"/>
    <x v="28"/>
    <x v="3600"/>
    <x v="0"/>
    <x v="2"/>
    <x v="1"/>
    <x v="3"/>
  </r>
  <r>
    <x v="3971"/>
    <x v="1"/>
    <x v="0"/>
    <x v="1"/>
    <n v="90.7"/>
    <x v="35"/>
    <x v="3601"/>
    <x v="0"/>
    <x v="0"/>
    <x v="0"/>
    <x v="0"/>
  </r>
  <r>
    <x v="3972"/>
    <x v="1"/>
    <x v="2"/>
    <x v="3"/>
    <n v="25.3"/>
    <x v="33"/>
    <x v="1351"/>
    <x v="0"/>
    <x v="0"/>
    <x v="1"/>
    <x v="3"/>
  </r>
  <r>
    <x v="3973"/>
    <x v="1"/>
    <x v="0"/>
    <x v="0"/>
    <n v="105.7"/>
    <x v="7"/>
    <x v="3602"/>
    <x v="1"/>
    <x v="1"/>
    <x v="1"/>
    <x v="1"/>
  </r>
  <r>
    <x v="3974"/>
    <x v="0"/>
    <x v="0"/>
    <x v="0"/>
    <n v="85.2"/>
    <x v="4"/>
    <x v="2003"/>
    <x v="0"/>
    <x v="0"/>
    <x v="0"/>
    <x v="0"/>
  </r>
  <r>
    <x v="3975"/>
    <x v="1"/>
    <x v="2"/>
    <x v="1"/>
    <n v="24.35"/>
    <x v="16"/>
    <x v="3603"/>
    <x v="0"/>
    <x v="0"/>
    <x v="1"/>
    <x v="3"/>
  </r>
  <r>
    <x v="3976"/>
    <x v="1"/>
    <x v="0"/>
    <x v="0"/>
    <n v="24.25"/>
    <x v="0"/>
    <x v="3604"/>
    <x v="1"/>
    <x v="0"/>
    <x v="0"/>
    <x v="0"/>
  </r>
  <r>
    <x v="3977"/>
    <x v="0"/>
    <x v="2"/>
    <x v="2"/>
    <n v="25.1"/>
    <x v="21"/>
    <x v="434"/>
    <x v="0"/>
    <x v="0"/>
    <x v="1"/>
    <x v="3"/>
  </r>
  <r>
    <x v="3978"/>
    <x v="1"/>
    <x v="0"/>
    <x v="2"/>
    <n v="54.55"/>
    <x v="10"/>
    <x v="3605"/>
    <x v="0"/>
    <x v="0"/>
    <x v="2"/>
    <x v="2"/>
  </r>
  <r>
    <x v="3979"/>
    <x v="1"/>
    <x v="2"/>
    <x v="1"/>
    <n v="96.6"/>
    <x v="33"/>
    <x v="1794"/>
    <x v="0"/>
    <x v="2"/>
    <x v="1"/>
    <x v="3"/>
  </r>
  <r>
    <x v="3980"/>
    <x v="0"/>
    <x v="0"/>
    <x v="0"/>
    <n v="76.5"/>
    <x v="26"/>
    <x v="3606"/>
    <x v="1"/>
    <x v="0"/>
    <x v="0"/>
    <x v="0"/>
  </r>
  <r>
    <x v="3981"/>
    <x v="1"/>
    <x v="1"/>
    <x v="3"/>
    <n v="81.150000000000006"/>
    <x v="69"/>
    <x v="3607"/>
    <x v="0"/>
    <x v="1"/>
    <x v="1"/>
    <x v="3"/>
  </r>
  <r>
    <x v="3982"/>
    <x v="0"/>
    <x v="0"/>
    <x v="0"/>
    <n v="38.5"/>
    <x v="4"/>
    <x v="3608"/>
    <x v="0"/>
    <x v="0"/>
    <x v="0"/>
    <x v="0"/>
  </r>
  <r>
    <x v="3983"/>
    <x v="1"/>
    <x v="0"/>
    <x v="0"/>
    <n v="92.9"/>
    <x v="60"/>
    <x v="3609"/>
    <x v="0"/>
    <x v="0"/>
    <x v="2"/>
    <x v="2"/>
  </r>
  <r>
    <x v="3984"/>
    <x v="0"/>
    <x v="0"/>
    <x v="0"/>
    <n v="93.5"/>
    <x v="54"/>
    <x v="3610"/>
    <x v="1"/>
    <x v="0"/>
    <x v="0"/>
    <x v="0"/>
  </r>
  <r>
    <x v="3985"/>
    <x v="0"/>
    <x v="2"/>
    <x v="1"/>
    <n v="84.7"/>
    <x v="27"/>
    <x v="3611"/>
    <x v="0"/>
    <x v="2"/>
    <x v="1"/>
    <x v="3"/>
  </r>
  <r>
    <x v="3986"/>
    <x v="0"/>
    <x v="2"/>
    <x v="0"/>
    <n v="66"/>
    <x v="27"/>
    <x v="3612"/>
    <x v="0"/>
    <x v="1"/>
    <x v="1"/>
    <x v="3"/>
  </r>
  <r>
    <x v="3987"/>
    <x v="0"/>
    <x v="1"/>
    <x v="3"/>
    <n v="101.5"/>
    <x v="68"/>
    <x v="3613"/>
    <x v="1"/>
    <x v="2"/>
    <x v="1"/>
    <x v="3"/>
  </r>
  <r>
    <x v="3988"/>
    <x v="1"/>
    <x v="0"/>
    <x v="2"/>
    <n v="74.900000000000006"/>
    <x v="7"/>
    <x v="3614"/>
    <x v="1"/>
    <x v="1"/>
    <x v="1"/>
    <x v="1"/>
  </r>
  <r>
    <x v="3989"/>
    <x v="1"/>
    <x v="2"/>
    <x v="1"/>
    <n v="20.75"/>
    <x v="65"/>
    <x v="3615"/>
    <x v="0"/>
    <x v="0"/>
    <x v="1"/>
    <x v="2"/>
  </r>
  <r>
    <x v="3990"/>
    <x v="0"/>
    <x v="2"/>
    <x v="3"/>
    <n v="61.45"/>
    <x v="14"/>
    <x v="3616"/>
    <x v="0"/>
    <x v="1"/>
    <x v="1"/>
    <x v="3"/>
  </r>
  <r>
    <x v="3991"/>
    <x v="1"/>
    <x v="0"/>
    <x v="1"/>
    <n v="54.5"/>
    <x v="41"/>
    <x v="3617"/>
    <x v="0"/>
    <x v="1"/>
    <x v="1"/>
    <x v="1"/>
  </r>
  <r>
    <x v="3992"/>
    <x v="0"/>
    <x v="0"/>
    <x v="0"/>
    <n v="69.599999999999994"/>
    <x v="2"/>
    <x v="3618"/>
    <x v="1"/>
    <x v="0"/>
    <x v="0"/>
    <x v="0"/>
  </r>
  <r>
    <x v="3993"/>
    <x v="0"/>
    <x v="0"/>
    <x v="0"/>
    <n v="99.75"/>
    <x v="71"/>
    <x v="3619"/>
    <x v="0"/>
    <x v="1"/>
    <x v="1"/>
    <x v="1"/>
  </r>
  <r>
    <x v="3994"/>
    <x v="1"/>
    <x v="2"/>
    <x v="2"/>
    <n v="109.75"/>
    <x v="3"/>
    <x v="3620"/>
    <x v="0"/>
    <x v="1"/>
    <x v="1"/>
    <x v="1"/>
  </r>
  <r>
    <x v="3995"/>
    <x v="1"/>
    <x v="2"/>
    <x v="2"/>
    <n v="80.849999999999994"/>
    <x v="21"/>
    <x v="3621"/>
    <x v="0"/>
    <x v="2"/>
    <x v="1"/>
    <x v="3"/>
  </r>
  <r>
    <x v="3996"/>
    <x v="0"/>
    <x v="2"/>
    <x v="1"/>
    <n v="20.3"/>
    <x v="46"/>
    <x v="3531"/>
    <x v="0"/>
    <x v="0"/>
    <x v="1"/>
    <x v="1"/>
  </r>
  <r>
    <x v="3997"/>
    <x v="1"/>
    <x v="2"/>
    <x v="2"/>
    <n v="67.8"/>
    <x v="21"/>
    <x v="3622"/>
    <x v="0"/>
    <x v="1"/>
    <x v="1"/>
    <x v="3"/>
  </r>
  <r>
    <x v="3998"/>
    <x v="1"/>
    <x v="0"/>
    <x v="1"/>
    <n v="24.05"/>
    <x v="0"/>
    <x v="3623"/>
    <x v="1"/>
    <x v="0"/>
    <x v="0"/>
    <x v="0"/>
  </r>
  <r>
    <x v="3999"/>
    <x v="1"/>
    <x v="2"/>
    <x v="3"/>
    <n v="19.8"/>
    <x v="21"/>
    <x v="400"/>
    <x v="0"/>
    <x v="0"/>
    <x v="1"/>
    <x v="3"/>
  </r>
  <r>
    <x v="4000"/>
    <x v="1"/>
    <x v="2"/>
    <x v="2"/>
    <n v="25.7"/>
    <x v="49"/>
    <x v="3624"/>
    <x v="0"/>
    <x v="0"/>
    <x v="1"/>
    <x v="3"/>
  </r>
  <r>
    <x v="4001"/>
    <x v="0"/>
    <x v="1"/>
    <x v="0"/>
    <n v="56.15"/>
    <x v="69"/>
    <x v="3625"/>
    <x v="0"/>
    <x v="1"/>
    <x v="1"/>
    <x v="3"/>
  </r>
  <r>
    <x v="4002"/>
    <x v="1"/>
    <x v="2"/>
    <x v="2"/>
    <n v="86.7"/>
    <x v="28"/>
    <x v="3626"/>
    <x v="0"/>
    <x v="2"/>
    <x v="1"/>
    <x v="3"/>
  </r>
  <r>
    <x v="4003"/>
    <x v="0"/>
    <x v="0"/>
    <x v="1"/>
    <n v="20.399999999999999"/>
    <x v="0"/>
    <x v="486"/>
    <x v="0"/>
    <x v="0"/>
    <x v="0"/>
    <x v="0"/>
  </r>
  <r>
    <x v="4004"/>
    <x v="0"/>
    <x v="2"/>
    <x v="1"/>
    <n v="19.649999999999999"/>
    <x v="57"/>
    <x v="2027"/>
    <x v="0"/>
    <x v="0"/>
    <x v="2"/>
    <x v="2"/>
  </r>
  <r>
    <x v="4005"/>
    <x v="0"/>
    <x v="0"/>
    <x v="0"/>
    <n v="50.55"/>
    <x v="0"/>
    <x v="3627"/>
    <x v="1"/>
    <x v="0"/>
    <x v="0"/>
    <x v="0"/>
  </r>
  <r>
    <x v="4006"/>
    <x v="0"/>
    <x v="0"/>
    <x v="1"/>
    <n v="54.35"/>
    <x v="2"/>
    <x v="3628"/>
    <x v="0"/>
    <x v="0"/>
    <x v="0"/>
    <x v="0"/>
  </r>
  <r>
    <x v="4007"/>
    <x v="0"/>
    <x v="0"/>
    <x v="3"/>
    <n v="108.1"/>
    <x v="15"/>
    <x v="3629"/>
    <x v="0"/>
    <x v="2"/>
    <x v="1"/>
    <x v="3"/>
  </r>
  <r>
    <x v="4008"/>
    <x v="0"/>
    <x v="1"/>
    <x v="1"/>
    <n v="54.45"/>
    <x v="51"/>
    <x v="2011"/>
    <x v="0"/>
    <x v="0"/>
    <x v="1"/>
    <x v="1"/>
  </r>
  <r>
    <x v="4009"/>
    <x v="0"/>
    <x v="0"/>
    <x v="1"/>
    <n v="45.35"/>
    <x v="0"/>
    <x v="3630"/>
    <x v="0"/>
    <x v="0"/>
    <x v="0"/>
    <x v="0"/>
  </r>
  <r>
    <x v="4010"/>
    <x v="0"/>
    <x v="1"/>
    <x v="1"/>
    <n v="59"/>
    <x v="7"/>
    <x v="3631"/>
    <x v="0"/>
    <x v="0"/>
    <x v="1"/>
    <x v="1"/>
  </r>
  <r>
    <x v="4011"/>
    <x v="0"/>
    <x v="1"/>
    <x v="0"/>
    <n v="69.45"/>
    <x v="40"/>
    <x v="3632"/>
    <x v="0"/>
    <x v="0"/>
    <x v="0"/>
    <x v="0"/>
  </r>
  <r>
    <x v="4012"/>
    <x v="1"/>
    <x v="0"/>
    <x v="0"/>
    <n v="100.55"/>
    <x v="60"/>
    <x v="3633"/>
    <x v="1"/>
    <x v="0"/>
    <x v="2"/>
    <x v="2"/>
  </r>
  <r>
    <x v="4013"/>
    <x v="1"/>
    <x v="2"/>
    <x v="3"/>
    <n v="64.95"/>
    <x v="21"/>
    <x v="3634"/>
    <x v="0"/>
    <x v="1"/>
    <x v="1"/>
    <x v="3"/>
  </r>
  <r>
    <x v="4014"/>
    <x v="0"/>
    <x v="0"/>
    <x v="1"/>
    <n v="20.5"/>
    <x v="0"/>
    <x v="2641"/>
    <x v="1"/>
    <x v="0"/>
    <x v="0"/>
    <x v="0"/>
  </r>
  <r>
    <x v="4015"/>
    <x v="0"/>
    <x v="0"/>
    <x v="1"/>
    <n v="18.850000000000001"/>
    <x v="6"/>
    <x v="3635"/>
    <x v="0"/>
    <x v="0"/>
    <x v="0"/>
    <x v="0"/>
  </r>
  <r>
    <x v="4016"/>
    <x v="1"/>
    <x v="1"/>
    <x v="2"/>
    <n v="19.8"/>
    <x v="41"/>
    <x v="3636"/>
    <x v="0"/>
    <x v="0"/>
    <x v="1"/>
    <x v="1"/>
  </r>
  <r>
    <x v="4017"/>
    <x v="0"/>
    <x v="0"/>
    <x v="2"/>
    <n v="25.05"/>
    <x v="40"/>
    <x v="3637"/>
    <x v="0"/>
    <x v="0"/>
    <x v="0"/>
    <x v="0"/>
  </r>
  <r>
    <x v="4018"/>
    <x v="1"/>
    <x v="0"/>
    <x v="2"/>
    <n v="74.8"/>
    <x v="54"/>
    <x v="3638"/>
    <x v="1"/>
    <x v="0"/>
    <x v="0"/>
    <x v="0"/>
  </r>
  <r>
    <x v="4019"/>
    <x v="1"/>
    <x v="2"/>
    <x v="3"/>
    <n v="114.3"/>
    <x v="21"/>
    <x v="3639"/>
    <x v="0"/>
    <x v="2"/>
    <x v="1"/>
    <x v="3"/>
  </r>
  <r>
    <x v="4020"/>
    <x v="0"/>
    <x v="0"/>
    <x v="0"/>
    <n v="24.45"/>
    <x v="61"/>
    <x v="3640"/>
    <x v="1"/>
    <x v="0"/>
    <x v="2"/>
    <x v="2"/>
  </r>
  <r>
    <x v="4021"/>
    <x v="1"/>
    <x v="2"/>
    <x v="3"/>
    <n v="109.2"/>
    <x v="28"/>
    <x v="3641"/>
    <x v="0"/>
    <x v="2"/>
    <x v="1"/>
    <x v="3"/>
  </r>
  <r>
    <x v="4022"/>
    <x v="0"/>
    <x v="2"/>
    <x v="2"/>
    <n v="45.05"/>
    <x v="39"/>
    <x v="2534"/>
    <x v="0"/>
    <x v="1"/>
    <x v="1"/>
    <x v="3"/>
  </r>
  <r>
    <x v="4023"/>
    <x v="0"/>
    <x v="0"/>
    <x v="1"/>
    <n v="51"/>
    <x v="24"/>
    <x v="2665"/>
    <x v="0"/>
    <x v="0"/>
    <x v="0"/>
    <x v="0"/>
  </r>
  <r>
    <x v="4024"/>
    <x v="0"/>
    <x v="2"/>
    <x v="2"/>
    <n v="110.45"/>
    <x v="21"/>
    <x v="2311"/>
    <x v="0"/>
    <x v="2"/>
    <x v="1"/>
    <x v="3"/>
  </r>
  <r>
    <x v="4025"/>
    <x v="1"/>
    <x v="0"/>
    <x v="0"/>
    <n v="84.65"/>
    <x v="47"/>
    <x v="3642"/>
    <x v="0"/>
    <x v="2"/>
    <x v="1"/>
    <x v="3"/>
  </r>
  <r>
    <x v="4026"/>
    <x v="1"/>
    <x v="1"/>
    <x v="1"/>
    <n v="60.05"/>
    <x v="56"/>
    <x v="3643"/>
    <x v="0"/>
    <x v="1"/>
    <x v="1"/>
    <x v="3"/>
  </r>
  <r>
    <x v="4027"/>
    <x v="1"/>
    <x v="0"/>
    <x v="2"/>
    <n v="44.65"/>
    <x v="4"/>
    <x v="1763"/>
    <x v="0"/>
    <x v="0"/>
    <x v="0"/>
    <x v="0"/>
  </r>
  <r>
    <x v="4028"/>
    <x v="1"/>
    <x v="0"/>
    <x v="2"/>
    <n v="93.25"/>
    <x v="15"/>
    <x v="3644"/>
    <x v="0"/>
    <x v="1"/>
    <x v="1"/>
    <x v="3"/>
  </r>
  <r>
    <x v="4029"/>
    <x v="0"/>
    <x v="0"/>
    <x v="1"/>
    <n v="20.25"/>
    <x v="32"/>
    <x v="3645"/>
    <x v="0"/>
    <x v="0"/>
    <x v="2"/>
    <x v="2"/>
  </r>
  <r>
    <x v="4030"/>
    <x v="0"/>
    <x v="2"/>
    <x v="1"/>
    <n v="25.45"/>
    <x v="64"/>
    <x v="3646"/>
    <x v="0"/>
    <x v="0"/>
    <x v="1"/>
    <x v="3"/>
  </r>
  <r>
    <x v="4031"/>
    <x v="0"/>
    <x v="2"/>
    <x v="1"/>
    <n v="20.6"/>
    <x v="31"/>
    <x v="3647"/>
    <x v="0"/>
    <x v="0"/>
    <x v="1"/>
    <x v="3"/>
  </r>
  <r>
    <x v="4032"/>
    <x v="1"/>
    <x v="0"/>
    <x v="0"/>
    <n v="94.1"/>
    <x v="40"/>
    <x v="3648"/>
    <x v="0"/>
    <x v="0"/>
    <x v="0"/>
    <x v="0"/>
  </r>
  <r>
    <x v="4033"/>
    <x v="1"/>
    <x v="1"/>
    <x v="1"/>
    <n v="34.799999999999997"/>
    <x v="64"/>
    <x v="3649"/>
    <x v="0"/>
    <x v="1"/>
    <x v="1"/>
    <x v="3"/>
  </r>
  <r>
    <x v="4034"/>
    <x v="1"/>
    <x v="2"/>
    <x v="2"/>
    <n v="60.75"/>
    <x v="25"/>
    <x v="3650"/>
    <x v="0"/>
    <x v="1"/>
    <x v="1"/>
    <x v="1"/>
  </r>
  <r>
    <x v="4035"/>
    <x v="1"/>
    <x v="0"/>
    <x v="0"/>
    <n v="51.35"/>
    <x v="24"/>
    <x v="3651"/>
    <x v="0"/>
    <x v="0"/>
    <x v="0"/>
    <x v="0"/>
  </r>
  <r>
    <x v="4036"/>
    <x v="1"/>
    <x v="2"/>
    <x v="3"/>
    <n v="64.05"/>
    <x v="64"/>
    <x v="3652"/>
    <x v="0"/>
    <x v="1"/>
    <x v="1"/>
    <x v="3"/>
  </r>
  <r>
    <x v="4037"/>
    <x v="0"/>
    <x v="2"/>
    <x v="2"/>
    <n v="84.8"/>
    <x v="27"/>
    <x v="3653"/>
    <x v="0"/>
    <x v="2"/>
    <x v="1"/>
    <x v="3"/>
  </r>
  <r>
    <x v="4038"/>
    <x v="0"/>
    <x v="0"/>
    <x v="3"/>
    <n v="71"/>
    <x v="60"/>
    <x v="3654"/>
    <x v="1"/>
    <x v="0"/>
    <x v="2"/>
    <x v="2"/>
  </r>
  <r>
    <x v="4039"/>
    <x v="0"/>
    <x v="0"/>
    <x v="1"/>
    <n v="50.15"/>
    <x v="66"/>
    <x v="3655"/>
    <x v="0"/>
    <x v="1"/>
    <x v="1"/>
    <x v="1"/>
  </r>
  <r>
    <x v="4040"/>
    <x v="0"/>
    <x v="2"/>
    <x v="3"/>
    <n v="94.6"/>
    <x v="38"/>
    <x v="3656"/>
    <x v="0"/>
    <x v="2"/>
    <x v="1"/>
    <x v="3"/>
  </r>
  <r>
    <x v="4041"/>
    <x v="0"/>
    <x v="2"/>
    <x v="1"/>
    <n v="59.75"/>
    <x v="11"/>
    <x v="3657"/>
    <x v="0"/>
    <x v="1"/>
    <x v="1"/>
    <x v="3"/>
  </r>
  <r>
    <x v="4042"/>
    <x v="0"/>
    <x v="1"/>
    <x v="0"/>
    <n v="100.25"/>
    <x v="25"/>
    <x v="3658"/>
    <x v="0"/>
    <x v="1"/>
    <x v="1"/>
    <x v="1"/>
  </r>
  <r>
    <x v="4043"/>
    <x v="1"/>
    <x v="0"/>
    <x v="0"/>
    <n v="98.9"/>
    <x v="11"/>
    <x v="3659"/>
    <x v="0"/>
    <x v="2"/>
    <x v="1"/>
    <x v="3"/>
  </r>
  <r>
    <x v="4044"/>
    <x v="0"/>
    <x v="2"/>
    <x v="3"/>
    <n v="97.7"/>
    <x v="21"/>
    <x v="3660"/>
    <x v="0"/>
    <x v="2"/>
    <x v="1"/>
    <x v="3"/>
  </r>
  <r>
    <x v="4045"/>
    <x v="0"/>
    <x v="0"/>
    <x v="0"/>
    <n v="40.299999999999997"/>
    <x v="19"/>
    <x v="3661"/>
    <x v="1"/>
    <x v="0"/>
    <x v="1"/>
    <x v="1"/>
  </r>
  <r>
    <x v="4046"/>
    <x v="1"/>
    <x v="0"/>
    <x v="2"/>
    <n v="60.25"/>
    <x v="26"/>
    <x v="3662"/>
    <x v="0"/>
    <x v="0"/>
    <x v="0"/>
    <x v="0"/>
  </r>
  <r>
    <x v="4047"/>
    <x v="0"/>
    <x v="0"/>
    <x v="0"/>
    <n v="56.25"/>
    <x v="1"/>
    <x v="3663"/>
    <x v="0"/>
    <x v="0"/>
    <x v="1"/>
    <x v="1"/>
  </r>
  <r>
    <x v="4048"/>
    <x v="1"/>
    <x v="2"/>
    <x v="2"/>
    <n v="46.2"/>
    <x v="68"/>
    <x v="3664"/>
    <x v="0"/>
    <x v="1"/>
    <x v="1"/>
    <x v="3"/>
  </r>
  <r>
    <x v="4049"/>
    <x v="0"/>
    <x v="0"/>
    <x v="0"/>
    <n v="50.6"/>
    <x v="35"/>
    <x v="1181"/>
    <x v="1"/>
    <x v="0"/>
    <x v="0"/>
    <x v="0"/>
  </r>
  <r>
    <x v="4050"/>
    <x v="0"/>
    <x v="2"/>
    <x v="1"/>
    <n v="24.9"/>
    <x v="21"/>
    <x v="3665"/>
    <x v="0"/>
    <x v="0"/>
    <x v="1"/>
    <x v="3"/>
  </r>
  <r>
    <x v="4051"/>
    <x v="0"/>
    <x v="0"/>
    <x v="0"/>
    <n v="84.85"/>
    <x v="63"/>
    <x v="3666"/>
    <x v="1"/>
    <x v="1"/>
    <x v="1"/>
    <x v="1"/>
  </r>
  <r>
    <x v="4052"/>
    <x v="0"/>
    <x v="0"/>
    <x v="1"/>
    <n v="65.7"/>
    <x v="2"/>
    <x v="3667"/>
    <x v="1"/>
    <x v="0"/>
    <x v="0"/>
    <x v="0"/>
  </r>
  <r>
    <x v="4053"/>
    <x v="1"/>
    <x v="2"/>
    <x v="3"/>
    <n v="63.35"/>
    <x v="68"/>
    <x v="3668"/>
    <x v="0"/>
    <x v="1"/>
    <x v="1"/>
    <x v="3"/>
  </r>
  <r>
    <x v="4054"/>
    <x v="0"/>
    <x v="0"/>
    <x v="2"/>
    <n v="50.1"/>
    <x v="60"/>
    <x v="3669"/>
    <x v="0"/>
    <x v="0"/>
    <x v="2"/>
    <x v="2"/>
  </r>
  <r>
    <x v="4055"/>
    <x v="0"/>
    <x v="0"/>
    <x v="0"/>
    <n v="70.5"/>
    <x v="0"/>
    <x v="3670"/>
    <x v="1"/>
    <x v="0"/>
    <x v="0"/>
    <x v="0"/>
  </r>
  <r>
    <x v="4056"/>
    <x v="0"/>
    <x v="0"/>
    <x v="0"/>
    <n v="94.85"/>
    <x v="6"/>
    <x v="3671"/>
    <x v="1"/>
    <x v="0"/>
    <x v="0"/>
    <x v="0"/>
  </r>
  <r>
    <x v="4057"/>
    <x v="0"/>
    <x v="0"/>
    <x v="0"/>
    <n v="50.15"/>
    <x v="0"/>
    <x v="1600"/>
    <x v="0"/>
    <x v="0"/>
    <x v="0"/>
    <x v="0"/>
  </r>
  <r>
    <x v="4058"/>
    <x v="1"/>
    <x v="0"/>
    <x v="1"/>
    <n v="19.75"/>
    <x v="0"/>
    <x v="127"/>
    <x v="1"/>
    <x v="0"/>
    <x v="0"/>
    <x v="0"/>
  </r>
  <r>
    <x v="4059"/>
    <x v="1"/>
    <x v="1"/>
    <x v="2"/>
    <n v="64.650000000000006"/>
    <x v="39"/>
    <x v="3672"/>
    <x v="0"/>
    <x v="1"/>
    <x v="1"/>
    <x v="3"/>
  </r>
  <r>
    <x v="4060"/>
    <x v="0"/>
    <x v="2"/>
    <x v="2"/>
    <n v="79.599999999999994"/>
    <x v="47"/>
    <x v="2964"/>
    <x v="0"/>
    <x v="2"/>
    <x v="1"/>
    <x v="3"/>
  </r>
  <r>
    <x v="4061"/>
    <x v="0"/>
    <x v="1"/>
    <x v="1"/>
    <n v="19.5"/>
    <x v="60"/>
    <x v="3673"/>
    <x v="0"/>
    <x v="0"/>
    <x v="2"/>
    <x v="2"/>
  </r>
  <r>
    <x v="4062"/>
    <x v="1"/>
    <x v="2"/>
    <x v="0"/>
    <n v="99.55"/>
    <x v="47"/>
    <x v="3674"/>
    <x v="0"/>
    <x v="2"/>
    <x v="1"/>
    <x v="3"/>
  </r>
  <r>
    <x v="4063"/>
    <x v="1"/>
    <x v="0"/>
    <x v="0"/>
    <n v="74"/>
    <x v="49"/>
    <x v="3675"/>
    <x v="0"/>
    <x v="1"/>
    <x v="1"/>
    <x v="3"/>
  </r>
  <r>
    <x v="4064"/>
    <x v="0"/>
    <x v="0"/>
    <x v="0"/>
    <n v="38.9"/>
    <x v="10"/>
    <x v="2303"/>
    <x v="0"/>
    <x v="0"/>
    <x v="2"/>
    <x v="2"/>
  </r>
  <r>
    <x v="4065"/>
    <x v="1"/>
    <x v="0"/>
    <x v="0"/>
    <n v="79.55"/>
    <x v="34"/>
    <x v="3676"/>
    <x v="0"/>
    <x v="0"/>
    <x v="0"/>
    <x v="0"/>
  </r>
  <r>
    <x v="4066"/>
    <x v="1"/>
    <x v="0"/>
    <x v="0"/>
    <n v="65.45"/>
    <x v="60"/>
    <x v="3677"/>
    <x v="1"/>
    <x v="0"/>
    <x v="2"/>
    <x v="2"/>
  </r>
  <r>
    <x v="4067"/>
    <x v="1"/>
    <x v="0"/>
    <x v="0"/>
    <n v="98.7"/>
    <x v="11"/>
    <x v="3678"/>
    <x v="1"/>
    <x v="2"/>
    <x v="1"/>
    <x v="3"/>
  </r>
  <r>
    <x v="4068"/>
    <x v="1"/>
    <x v="0"/>
    <x v="2"/>
    <n v="46.3"/>
    <x v="62"/>
    <x v="3679"/>
    <x v="0"/>
    <x v="1"/>
    <x v="1"/>
    <x v="3"/>
  </r>
  <r>
    <x v="4069"/>
    <x v="1"/>
    <x v="2"/>
    <x v="3"/>
    <n v="99.35"/>
    <x v="27"/>
    <x v="3680"/>
    <x v="0"/>
    <x v="2"/>
    <x v="1"/>
    <x v="3"/>
  </r>
  <r>
    <x v="4070"/>
    <x v="0"/>
    <x v="0"/>
    <x v="0"/>
    <n v="95.8"/>
    <x v="60"/>
    <x v="3681"/>
    <x v="0"/>
    <x v="0"/>
    <x v="2"/>
    <x v="2"/>
  </r>
  <r>
    <x v="4071"/>
    <x v="1"/>
    <x v="1"/>
    <x v="2"/>
    <n v="67.5"/>
    <x v="5"/>
    <x v="3682"/>
    <x v="1"/>
    <x v="0"/>
    <x v="2"/>
    <x v="2"/>
  </r>
  <r>
    <x v="4072"/>
    <x v="0"/>
    <x v="0"/>
    <x v="3"/>
    <n v="78.150000000000006"/>
    <x v="6"/>
    <x v="3683"/>
    <x v="0"/>
    <x v="0"/>
    <x v="0"/>
    <x v="0"/>
  </r>
  <r>
    <x v="4073"/>
    <x v="0"/>
    <x v="2"/>
    <x v="1"/>
    <n v="26.1"/>
    <x v="44"/>
    <x v="3684"/>
    <x v="0"/>
    <x v="0"/>
    <x v="1"/>
    <x v="1"/>
  </r>
  <r>
    <x v="4074"/>
    <x v="0"/>
    <x v="0"/>
    <x v="0"/>
    <n v="69.599999999999994"/>
    <x v="0"/>
    <x v="1659"/>
    <x v="1"/>
    <x v="0"/>
    <x v="0"/>
    <x v="0"/>
  </r>
  <r>
    <x v="4075"/>
    <x v="1"/>
    <x v="1"/>
    <x v="0"/>
    <n v="84.35"/>
    <x v="12"/>
    <x v="3685"/>
    <x v="1"/>
    <x v="1"/>
    <x v="1"/>
    <x v="3"/>
  </r>
  <r>
    <x v="4076"/>
    <x v="0"/>
    <x v="0"/>
    <x v="0"/>
    <n v="100.2"/>
    <x v="47"/>
    <x v="3686"/>
    <x v="1"/>
    <x v="2"/>
    <x v="1"/>
    <x v="3"/>
  </r>
  <r>
    <x v="4077"/>
    <x v="0"/>
    <x v="0"/>
    <x v="0"/>
    <n v="78.05"/>
    <x v="0"/>
    <x v="3687"/>
    <x v="1"/>
    <x v="0"/>
    <x v="0"/>
    <x v="0"/>
  </r>
  <r>
    <x v="4078"/>
    <x v="0"/>
    <x v="1"/>
    <x v="3"/>
    <n v="40.35"/>
    <x v="19"/>
    <x v="3688"/>
    <x v="0"/>
    <x v="0"/>
    <x v="1"/>
    <x v="1"/>
  </r>
  <r>
    <x v="4079"/>
    <x v="0"/>
    <x v="2"/>
    <x v="3"/>
    <n v="79.2"/>
    <x v="21"/>
    <x v="3689"/>
    <x v="0"/>
    <x v="2"/>
    <x v="1"/>
    <x v="3"/>
  </r>
  <r>
    <x v="4080"/>
    <x v="0"/>
    <x v="0"/>
    <x v="1"/>
    <n v="20.9"/>
    <x v="6"/>
    <x v="3690"/>
    <x v="0"/>
    <x v="0"/>
    <x v="0"/>
    <x v="0"/>
  </r>
  <r>
    <x v="4081"/>
    <x v="1"/>
    <x v="0"/>
    <x v="0"/>
    <n v="73.599999999999994"/>
    <x v="40"/>
    <x v="3691"/>
    <x v="1"/>
    <x v="0"/>
    <x v="0"/>
    <x v="0"/>
  </r>
  <r>
    <x v="4082"/>
    <x v="0"/>
    <x v="0"/>
    <x v="0"/>
    <n v="74.75"/>
    <x v="34"/>
    <x v="3692"/>
    <x v="1"/>
    <x v="0"/>
    <x v="0"/>
    <x v="0"/>
  </r>
  <r>
    <x v="4083"/>
    <x v="0"/>
    <x v="0"/>
    <x v="1"/>
    <n v="49.9"/>
    <x v="0"/>
    <x v="673"/>
    <x v="0"/>
    <x v="0"/>
    <x v="0"/>
    <x v="0"/>
  </r>
  <r>
    <x v="4084"/>
    <x v="0"/>
    <x v="0"/>
    <x v="3"/>
    <n v="68.900000000000006"/>
    <x v="61"/>
    <x v="3693"/>
    <x v="0"/>
    <x v="0"/>
    <x v="2"/>
    <x v="2"/>
  </r>
  <r>
    <x v="4085"/>
    <x v="0"/>
    <x v="0"/>
    <x v="1"/>
    <n v="20.25"/>
    <x v="0"/>
    <x v="291"/>
    <x v="0"/>
    <x v="0"/>
    <x v="0"/>
    <x v="0"/>
  </r>
  <r>
    <x v="4086"/>
    <x v="0"/>
    <x v="0"/>
    <x v="3"/>
    <n v="76"/>
    <x v="44"/>
    <x v="3694"/>
    <x v="0"/>
    <x v="1"/>
    <x v="1"/>
    <x v="1"/>
  </r>
  <r>
    <x v="4087"/>
    <x v="1"/>
    <x v="0"/>
    <x v="0"/>
    <n v="74"/>
    <x v="0"/>
    <x v="3695"/>
    <x v="0"/>
    <x v="0"/>
    <x v="0"/>
    <x v="0"/>
  </r>
  <r>
    <x v="4088"/>
    <x v="1"/>
    <x v="0"/>
    <x v="1"/>
    <n v="82.3"/>
    <x v="35"/>
    <x v="3696"/>
    <x v="0"/>
    <x v="0"/>
    <x v="0"/>
    <x v="0"/>
  </r>
  <r>
    <x v="4089"/>
    <x v="0"/>
    <x v="0"/>
    <x v="2"/>
    <n v="89.4"/>
    <x v="61"/>
    <x v="3697"/>
    <x v="0"/>
    <x v="0"/>
    <x v="2"/>
    <x v="2"/>
  </r>
  <r>
    <x v="4090"/>
    <x v="1"/>
    <x v="0"/>
    <x v="3"/>
    <n v="99.15"/>
    <x v="38"/>
    <x v="3698"/>
    <x v="0"/>
    <x v="2"/>
    <x v="1"/>
    <x v="3"/>
  </r>
  <r>
    <x v="4091"/>
    <x v="1"/>
    <x v="0"/>
    <x v="1"/>
    <n v="20.2"/>
    <x v="0"/>
    <x v="33"/>
    <x v="1"/>
    <x v="0"/>
    <x v="0"/>
    <x v="0"/>
  </r>
  <r>
    <x v="4092"/>
    <x v="0"/>
    <x v="0"/>
    <x v="2"/>
    <n v="29.45"/>
    <x v="53"/>
    <x v="3699"/>
    <x v="0"/>
    <x v="0"/>
    <x v="0"/>
    <x v="0"/>
  </r>
  <r>
    <x v="4093"/>
    <x v="1"/>
    <x v="2"/>
    <x v="0"/>
    <n v="19.8"/>
    <x v="37"/>
    <x v="3700"/>
    <x v="0"/>
    <x v="0"/>
    <x v="1"/>
    <x v="3"/>
  </r>
  <r>
    <x v="4094"/>
    <x v="1"/>
    <x v="0"/>
    <x v="2"/>
    <n v="59.15"/>
    <x v="53"/>
    <x v="122"/>
    <x v="0"/>
    <x v="0"/>
    <x v="0"/>
    <x v="0"/>
  </r>
  <r>
    <x v="4095"/>
    <x v="1"/>
    <x v="0"/>
    <x v="0"/>
    <n v="44.75"/>
    <x v="40"/>
    <x v="3701"/>
    <x v="0"/>
    <x v="0"/>
    <x v="0"/>
    <x v="0"/>
  </r>
  <r>
    <x v="4096"/>
    <x v="1"/>
    <x v="2"/>
    <x v="3"/>
    <n v="90.8"/>
    <x v="21"/>
    <x v="3702"/>
    <x v="0"/>
    <x v="2"/>
    <x v="1"/>
    <x v="3"/>
  </r>
  <r>
    <x v="4097"/>
    <x v="1"/>
    <x v="0"/>
    <x v="2"/>
    <n v="49.55"/>
    <x v="4"/>
    <x v="3703"/>
    <x v="0"/>
    <x v="0"/>
    <x v="0"/>
    <x v="0"/>
  </r>
  <r>
    <x v="4098"/>
    <x v="0"/>
    <x v="2"/>
    <x v="3"/>
    <n v="106.7"/>
    <x v="56"/>
    <x v="3704"/>
    <x v="0"/>
    <x v="2"/>
    <x v="1"/>
    <x v="3"/>
  </r>
  <r>
    <x v="4099"/>
    <x v="0"/>
    <x v="0"/>
    <x v="0"/>
    <n v="93.55"/>
    <x v="65"/>
    <x v="3705"/>
    <x v="1"/>
    <x v="1"/>
    <x v="1"/>
    <x v="2"/>
  </r>
  <r>
    <x v="4100"/>
    <x v="0"/>
    <x v="2"/>
    <x v="3"/>
    <n v="94.45"/>
    <x v="21"/>
    <x v="3706"/>
    <x v="0"/>
    <x v="2"/>
    <x v="1"/>
    <x v="3"/>
  </r>
  <r>
    <x v="4101"/>
    <x v="1"/>
    <x v="1"/>
    <x v="2"/>
    <n v="19.45"/>
    <x v="55"/>
    <x v="3707"/>
    <x v="0"/>
    <x v="0"/>
    <x v="1"/>
    <x v="1"/>
  </r>
  <r>
    <x v="4102"/>
    <x v="1"/>
    <x v="0"/>
    <x v="0"/>
    <n v="25.05"/>
    <x v="2"/>
    <x v="2045"/>
    <x v="1"/>
    <x v="0"/>
    <x v="0"/>
    <x v="0"/>
  </r>
  <r>
    <x v="4103"/>
    <x v="1"/>
    <x v="2"/>
    <x v="1"/>
    <n v="67.95"/>
    <x v="27"/>
    <x v="3708"/>
    <x v="0"/>
    <x v="1"/>
    <x v="1"/>
    <x v="3"/>
  </r>
  <r>
    <x v="4104"/>
    <x v="0"/>
    <x v="1"/>
    <x v="2"/>
    <n v="65.25"/>
    <x v="5"/>
    <x v="3709"/>
    <x v="0"/>
    <x v="0"/>
    <x v="2"/>
    <x v="2"/>
  </r>
  <r>
    <x v="4105"/>
    <x v="0"/>
    <x v="0"/>
    <x v="2"/>
    <n v="99.45"/>
    <x v="64"/>
    <x v="3710"/>
    <x v="0"/>
    <x v="2"/>
    <x v="1"/>
    <x v="3"/>
  </r>
  <r>
    <x v="4106"/>
    <x v="1"/>
    <x v="1"/>
    <x v="3"/>
    <n v="20.350000000000001"/>
    <x v="51"/>
    <x v="1836"/>
    <x v="0"/>
    <x v="0"/>
    <x v="1"/>
    <x v="1"/>
  </r>
  <r>
    <x v="4107"/>
    <x v="0"/>
    <x v="2"/>
    <x v="1"/>
    <n v="19.95"/>
    <x v="69"/>
    <x v="3711"/>
    <x v="0"/>
    <x v="0"/>
    <x v="1"/>
    <x v="3"/>
  </r>
  <r>
    <x v="4108"/>
    <x v="1"/>
    <x v="1"/>
    <x v="2"/>
    <n v="77.400000000000006"/>
    <x v="62"/>
    <x v="3712"/>
    <x v="0"/>
    <x v="1"/>
    <x v="1"/>
    <x v="3"/>
  </r>
  <r>
    <x v="4109"/>
    <x v="0"/>
    <x v="1"/>
    <x v="2"/>
    <n v="19.7"/>
    <x v="61"/>
    <x v="399"/>
    <x v="0"/>
    <x v="0"/>
    <x v="2"/>
    <x v="2"/>
  </r>
  <r>
    <x v="4110"/>
    <x v="1"/>
    <x v="2"/>
    <x v="3"/>
    <n v="99.7"/>
    <x v="28"/>
    <x v="3713"/>
    <x v="0"/>
    <x v="2"/>
    <x v="1"/>
    <x v="3"/>
  </r>
  <r>
    <x v="4111"/>
    <x v="0"/>
    <x v="0"/>
    <x v="3"/>
    <n v="74.8"/>
    <x v="63"/>
    <x v="2706"/>
    <x v="0"/>
    <x v="1"/>
    <x v="1"/>
    <x v="1"/>
  </r>
  <r>
    <x v="4112"/>
    <x v="1"/>
    <x v="1"/>
    <x v="1"/>
    <n v="19.149999999999999"/>
    <x v="42"/>
    <x v="3714"/>
    <x v="0"/>
    <x v="0"/>
    <x v="1"/>
    <x v="1"/>
  </r>
  <r>
    <x v="4113"/>
    <x v="1"/>
    <x v="1"/>
    <x v="2"/>
    <n v="78.95"/>
    <x v="70"/>
    <x v="3715"/>
    <x v="0"/>
    <x v="1"/>
    <x v="1"/>
    <x v="1"/>
  </r>
  <r>
    <x v="4114"/>
    <x v="1"/>
    <x v="0"/>
    <x v="0"/>
    <n v="95.55"/>
    <x v="23"/>
    <x v="3716"/>
    <x v="1"/>
    <x v="1"/>
    <x v="1"/>
    <x v="1"/>
  </r>
  <r>
    <x v="4115"/>
    <x v="1"/>
    <x v="1"/>
    <x v="3"/>
    <n v="62.85"/>
    <x v="62"/>
    <x v="3717"/>
    <x v="0"/>
    <x v="1"/>
    <x v="1"/>
    <x v="3"/>
  </r>
  <r>
    <x v="4116"/>
    <x v="1"/>
    <x v="0"/>
    <x v="3"/>
    <n v="71.55"/>
    <x v="1"/>
    <x v="3718"/>
    <x v="0"/>
    <x v="1"/>
    <x v="1"/>
    <x v="1"/>
  </r>
  <r>
    <x v="4117"/>
    <x v="0"/>
    <x v="0"/>
    <x v="0"/>
    <n v="94.95"/>
    <x v="67"/>
    <x v="3719"/>
    <x v="0"/>
    <x v="0"/>
    <x v="2"/>
    <x v="2"/>
  </r>
  <r>
    <x v="4118"/>
    <x v="1"/>
    <x v="0"/>
    <x v="3"/>
    <n v="86.1"/>
    <x v="29"/>
    <x v="3720"/>
    <x v="0"/>
    <x v="1"/>
    <x v="1"/>
    <x v="1"/>
  </r>
  <r>
    <x v="4119"/>
    <x v="1"/>
    <x v="0"/>
    <x v="1"/>
    <n v="19.55"/>
    <x v="53"/>
    <x v="2041"/>
    <x v="0"/>
    <x v="0"/>
    <x v="0"/>
    <x v="0"/>
  </r>
  <r>
    <x v="4120"/>
    <x v="1"/>
    <x v="2"/>
    <x v="1"/>
    <n v="24.8"/>
    <x v="39"/>
    <x v="3721"/>
    <x v="0"/>
    <x v="0"/>
    <x v="1"/>
    <x v="3"/>
  </r>
  <r>
    <x v="4121"/>
    <x v="1"/>
    <x v="0"/>
    <x v="0"/>
    <n v="39.299999999999997"/>
    <x v="58"/>
    <x v="3722"/>
    <x v="1"/>
    <x v="1"/>
    <x v="1"/>
    <x v="3"/>
  </r>
  <r>
    <x v="4122"/>
    <x v="1"/>
    <x v="0"/>
    <x v="1"/>
    <n v="84.05"/>
    <x v="1"/>
    <x v="3723"/>
    <x v="0"/>
    <x v="1"/>
    <x v="1"/>
    <x v="1"/>
  </r>
  <r>
    <x v="4123"/>
    <x v="0"/>
    <x v="0"/>
    <x v="0"/>
    <n v="36.25"/>
    <x v="6"/>
    <x v="3724"/>
    <x v="0"/>
    <x v="0"/>
    <x v="0"/>
    <x v="0"/>
  </r>
  <r>
    <x v="4124"/>
    <x v="0"/>
    <x v="0"/>
    <x v="1"/>
    <n v="20.25"/>
    <x v="0"/>
    <x v="291"/>
    <x v="1"/>
    <x v="0"/>
    <x v="0"/>
    <x v="0"/>
  </r>
  <r>
    <x v="4125"/>
    <x v="0"/>
    <x v="0"/>
    <x v="0"/>
    <n v="23.9"/>
    <x v="9"/>
    <x v="3725"/>
    <x v="1"/>
    <x v="0"/>
    <x v="2"/>
    <x v="2"/>
  </r>
  <r>
    <x v="4126"/>
    <x v="1"/>
    <x v="0"/>
    <x v="0"/>
    <n v="98.6"/>
    <x v="39"/>
    <x v="3726"/>
    <x v="0"/>
    <x v="2"/>
    <x v="1"/>
    <x v="3"/>
  </r>
  <r>
    <x v="4127"/>
    <x v="0"/>
    <x v="0"/>
    <x v="3"/>
    <n v="103.65"/>
    <x v="49"/>
    <x v="3727"/>
    <x v="0"/>
    <x v="2"/>
    <x v="1"/>
    <x v="3"/>
  </r>
  <r>
    <x v="4128"/>
    <x v="0"/>
    <x v="2"/>
    <x v="3"/>
    <n v="92.9"/>
    <x v="51"/>
    <x v="3728"/>
    <x v="0"/>
    <x v="1"/>
    <x v="1"/>
    <x v="1"/>
  </r>
  <r>
    <x v="4129"/>
    <x v="1"/>
    <x v="1"/>
    <x v="2"/>
    <n v="19.899999999999999"/>
    <x v="20"/>
    <x v="3729"/>
    <x v="0"/>
    <x v="0"/>
    <x v="1"/>
    <x v="1"/>
  </r>
  <r>
    <x v="4130"/>
    <x v="0"/>
    <x v="0"/>
    <x v="3"/>
    <n v="20.100000000000001"/>
    <x v="18"/>
    <x v="1120"/>
    <x v="0"/>
    <x v="0"/>
    <x v="2"/>
    <x v="0"/>
  </r>
  <r>
    <x v="4131"/>
    <x v="0"/>
    <x v="0"/>
    <x v="0"/>
    <n v="85.45"/>
    <x v="0"/>
    <x v="3079"/>
    <x v="1"/>
    <x v="0"/>
    <x v="0"/>
    <x v="0"/>
  </r>
  <r>
    <x v="4132"/>
    <x v="1"/>
    <x v="0"/>
    <x v="0"/>
    <n v="80.5"/>
    <x v="65"/>
    <x v="3730"/>
    <x v="0"/>
    <x v="0"/>
    <x v="1"/>
    <x v="2"/>
  </r>
  <r>
    <x v="4133"/>
    <x v="0"/>
    <x v="1"/>
    <x v="2"/>
    <n v="99.9"/>
    <x v="28"/>
    <x v="3731"/>
    <x v="1"/>
    <x v="2"/>
    <x v="1"/>
    <x v="3"/>
  </r>
  <r>
    <x v="4134"/>
    <x v="0"/>
    <x v="0"/>
    <x v="0"/>
    <n v="39.85"/>
    <x v="42"/>
    <x v="3732"/>
    <x v="0"/>
    <x v="0"/>
    <x v="1"/>
    <x v="1"/>
  </r>
  <r>
    <x v="4135"/>
    <x v="0"/>
    <x v="1"/>
    <x v="3"/>
    <n v="60.5"/>
    <x v="56"/>
    <x v="3733"/>
    <x v="0"/>
    <x v="1"/>
    <x v="1"/>
    <x v="3"/>
  </r>
  <r>
    <x v="4136"/>
    <x v="1"/>
    <x v="0"/>
    <x v="0"/>
    <n v="84.8"/>
    <x v="13"/>
    <x v="3734"/>
    <x v="1"/>
    <x v="1"/>
    <x v="1"/>
    <x v="1"/>
  </r>
  <r>
    <x v="4137"/>
    <x v="1"/>
    <x v="0"/>
    <x v="1"/>
    <n v="103.85"/>
    <x v="17"/>
    <x v="3735"/>
    <x v="0"/>
    <x v="1"/>
    <x v="2"/>
    <x v="2"/>
  </r>
  <r>
    <x v="4138"/>
    <x v="0"/>
    <x v="0"/>
    <x v="2"/>
    <n v="67.8"/>
    <x v="9"/>
    <x v="3736"/>
    <x v="0"/>
    <x v="0"/>
    <x v="2"/>
    <x v="2"/>
  </r>
  <r>
    <x v="4139"/>
    <x v="1"/>
    <x v="0"/>
    <x v="0"/>
    <n v="75.2"/>
    <x v="42"/>
    <x v="3737"/>
    <x v="1"/>
    <x v="1"/>
    <x v="1"/>
    <x v="1"/>
  </r>
  <r>
    <x v="4140"/>
    <x v="1"/>
    <x v="2"/>
    <x v="2"/>
    <n v="24.85"/>
    <x v="16"/>
    <x v="3738"/>
    <x v="0"/>
    <x v="0"/>
    <x v="1"/>
    <x v="3"/>
  </r>
  <r>
    <x v="4141"/>
    <x v="0"/>
    <x v="0"/>
    <x v="3"/>
    <n v="19.350000000000001"/>
    <x v="44"/>
    <x v="3739"/>
    <x v="0"/>
    <x v="0"/>
    <x v="1"/>
    <x v="1"/>
  </r>
  <r>
    <x v="4142"/>
    <x v="1"/>
    <x v="2"/>
    <x v="0"/>
    <n v="49.35"/>
    <x v="16"/>
    <x v="3740"/>
    <x v="1"/>
    <x v="1"/>
    <x v="1"/>
    <x v="3"/>
  </r>
  <r>
    <x v="4143"/>
    <x v="1"/>
    <x v="0"/>
    <x v="0"/>
    <n v="89"/>
    <x v="40"/>
    <x v="3741"/>
    <x v="0"/>
    <x v="0"/>
    <x v="0"/>
    <x v="0"/>
  </r>
  <r>
    <x v="4144"/>
    <x v="0"/>
    <x v="0"/>
    <x v="0"/>
    <n v="55"/>
    <x v="58"/>
    <x v="3742"/>
    <x v="0"/>
    <x v="1"/>
    <x v="1"/>
    <x v="3"/>
  </r>
  <r>
    <x v="4145"/>
    <x v="1"/>
    <x v="2"/>
    <x v="2"/>
    <n v="76.150000000000006"/>
    <x v="45"/>
    <x v="3743"/>
    <x v="0"/>
    <x v="1"/>
    <x v="1"/>
    <x v="3"/>
  </r>
  <r>
    <x v="4146"/>
    <x v="1"/>
    <x v="1"/>
    <x v="1"/>
    <n v="20.3"/>
    <x v="23"/>
    <x v="3744"/>
    <x v="0"/>
    <x v="0"/>
    <x v="1"/>
    <x v="1"/>
  </r>
  <r>
    <x v="4147"/>
    <x v="1"/>
    <x v="0"/>
    <x v="0"/>
    <n v="74.900000000000006"/>
    <x v="53"/>
    <x v="1472"/>
    <x v="1"/>
    <x v="0"/>
    <x v="0"/>
    <x v="0"/>
  </r>
  <r>
    <x v="4148"/>
    <x v="0"/>
    <x v="2"/>
    <x v="3"/>
    <n v="117.35"/>
    <x v="21"/>
    <x v="3745"/>
    <x v="0"/>
    <x v="2"/>
    <x v="1"/>
    <x v="3"/>
  </r>
  <r>
    <x v="4149"/>
    <x v="1"/>
    <x v="0"/>
    <x v="1"/>
    <n v="19.75"/>
    <x v="0"/>
    <x v="127"/>
    <x v="0"/>
    <x v="0"/>
    <x v="0"/>
    <x v="0"/>
  </r>
  <r>
    <x v="4150"/>
    <x v="1"/>
    <x v="0"/>
    <x v="3"/>
    <n v="45.2"/>
    <x v="26"/>
    <x v="3746"/>
    <x v="0"/>
    <x v="0"/>
    <x v="0"/>
    <x v="0"/>
  </r>
  <r>
    <x v="4151"/>
    <x v="1"/>
    <x v="2"/>
    <x v="1"/>
    <n v="25.2"/>
    <x v="71"/>
    <x v="1008"/>
    <x v="0"/>
    <x v="0"/>
    <x v="1"/>
    <x v="1"/>
  </r>
  <r>
    <x v="4152"/>
    <x v="0"/>
    <x v="0"/>
    <x v="0"/>
    <n v="89.75"/>
    <x v="64"/>
    <x v="3747"/>
    <x v="0"/>
    <x v="2"/>
    <x v="1"/>
    <x v="3"/>
  </r>
  <r>
    <x v="4153"/>
    <x v="1"/>
    <x v="1"/>
    <x v="2"/>
    <n v="75"/>
    <x v="70"/>
    <x v="3748"/>
    <x v="0"/>
    <x v="0"/>
    <x v="1"/>
    <x v="1"/>
  </r>
  <r>
    <x v="4154"/>
    <x v="1"/>
    <x v="0"/>
    <x v="1"/>
    <n v="49.95"/>
    <x v="2"/>
    <x v="3749"/>
    <x v="0"/>
    <x v="0"/>
    <x v="0"/>
    <x v="0"/>
  </r>
  <r>
    <x v="4155"/>
    <x v="0"/>
    <x v="2"/>
    <x v="2"/>
    <n v="65.7"/>
    <x v="21"/>
    <x v="3750"/>
    <x v="0"/>
    <x v="1"/>
    <x v="1"/>
    <x v="3"/>
  </r>
  <r>
    <x v="4156"/>
    <x v="1"/>
    <x v="1"/>
    <x v="3"/>
    <n v="67.05"/>
    <x v="45"/>
    <x v="3751"/>
    <x v="0"/>
    <x v="1"/>
    <x v="1"/>
    <x v="3"/>
  </r>
  <r>
    <x v="4157"/>
    <x v="1"/>
    <x v="2"/>
    <x v="3"/>
    <n v="110.9"/>
    <x v="21"/>
    <x v="3420"/>
    <x v="0"/>
    <x v="2"/>
    <x v="1"/>
    <x v="3"/>
  </r>
  <r>
    <x v="4158"/>
    <x v="1"/>
    <x v="0"/>
    <x v="2"/>
    <n v="87.95"/>
    <x v="53"/>
    <x v="3752"/>
    <x v="0"/>
    <x v="0"/>
    <x v="0"/>
    <x v="0"/>
  </r>
  <r>
    <x v="4159"/>
    <x v="1"/>
    <x v="1"/>
    <x v="3"/>
    <n v="19.8"/>
    <x v="48"/>
    <x v="3753"/>
    <x v="0"/>
    <x v="0"/>
    <x v="1"/>
    <x v="1"/>
  </r>
  <r>
    <x v="4160"/>
    <x v="0"/>
    <x v="1"/>
    <x v="2"/>
    <n v="75.7"/>
    <x v="37"/>
    <x v="3754"/>
    <x v="0"/>
    <x v="1"/>
    <x v="1"/>
    <x v="3"/>
  </r>
  <r>
    <x v="4161"/>
    <x v="1"/>
    <x v="2"/>
    <x v="1"/>
    <n v="62.15"/>
    <x v="59"/>
    <x v="3755"/>
    <x v="0"/>
    <x v="1"/>
    <x v="1"/>
    <x v="3"/>
  </r>
  <r>
    <x v="4162"/>
    <x v="0"/>
    <x v="0"/>
    <x v="0"/>
    <n v="101.25"/>
    <x v="30"/>
    <x v="3756"/>
    <x v="1"/>
    <x v="0"/>
    <x v="2"/>
    <x v="2"/>
  </r>
  <r>
    <x v="4163"/>
    <x v="1"/>
    <x v="2"/>
    <x v="2"/>
    <n v="115.15"/>
    <x v="21"/>
    <x v="3757"/>
    <x v="0"/>
    <x v="2"/>
    <x v="1"/>
    <x v="3"/>
  </r>
  <r>
    <x v="4164"/>
    <x v="1"/>
    <x v="0"/>
    <x v="1"/>
    <n v="18.95"/>
    <x v="34"/>
    <x v="3758"/>
    <x v="1"/>
    <x v="0"/>
    <x v="0"/>
    <x v="0"/>
  </r>
  <r>
    <x v="4165"/>
    <x v="0"/>
    <x v="0"/>
    <x v="1"/>
    <n v="19.5"/>
    <x v="0"/>
    <x v="1663"/>
    <x v="0"/>
    <x v="0"/>
    <x v="0"/>
    <x v="0"/>
  </r>
  <r>
    <x v="4166"/>
    <x v="0"/>
    <x v="0"/>
    <x v="0"/>
    <n v="86.55"/>
    <x v="18"/>
    <x v="3759"/>
    <x v="0"/>
    <x v="0"/>
    <x v="2"/>
    <x v="0"/>
  </r>
  <r>
    <x v="4167"/>
    <x v="0"/>
    <x v="0"/>
    <x v="3"/>
    <n v="28.6"/>
    <x v="50"/>
    <x v="3760"/>
    <x v="1"/>
    <x v="0"/>
    <x v="1"/>
    <x v="1"/>
  </r>
  <r>
    <x v="4168"/>
    <x v="1"/>
    <x v="1"/>
    <x v="1"/>
    <n v="20.399999999999999"/>
    <x v="59"/>
    <x v="3761"/>
    <x v="0"/>
    <x v="0"/>
    <x v="1"/>
    <x v="3"/>
  </r>
  <r>
    <x v="4169"/>
    <x v="1"/>
    <x v="1"/>
    <x v="2"/>
    <n v="19.8"/>
    <x v="32"/>
    <x v="1352"/>
    <x v="0"/>
    <x v="0"/>
    <x v="2"/>
    <x v="2"/>
  </r>
  <r>
    <x v="4170"/>
    <x v="1"/>
    <x v="0"/>
    <x v="1"/>
    <n v="45.65"/>
    <x v="17"/>
    <x v="3762"/>
    <x v="0"/>
    <x v="0"/>
    <x v="2"/>
    <x v="2"/>
  </r>
  <r>
    <x v="4171"/>
    <x v="1"/>
    <x v="2"/>
    <x v="1"/>
    <n v="56.4"/>
    <x v="47"/>
    <x v="3763"/>
    <x v="0"/>
    <x v="1"/>
    <x v="1"/>
    <x v="3"/>
  </r>
  <r>
    <x v="4172"/>
    <x v="1"/>
    <x v="0"/>
    <x v="3"/>
    <n v="73.3"/>
    <x v="18"/>
    <x v="3764"/>
    <x v="0"/>
    <x v="0"/>
    <x v="2"/>
    <x v="0"/>
  </r>
  <r>
    <x v="4173"/>
    <x v="0"/>
    <x v="0"/>
    <x v="0"/>
    <n v="24.35"/>
    <x v="2"/>
    <x v="3765"/>
    <x v="1"/>
    <x v="0"/>
    <x v="0"/>
    <x v="0"/>
  </r>
  <r>
    <x v="4174"/>
    <x v="0"/>
    <x v="0"/>
    <x v="0"/>
    <n v="101.35"/>
    <x v="8"/>
    <x v="3766"/>
    <x v="0"/>
    <x v="2"/>
    <x v="1"/>
    <x v="3"/>
  </r>
  <r>
    <x v="4175"/>
    <x v="0"/>
    <x v="0"/>
    <x v="0"/>
    <n v="98.65"/>
    <x v="44"/>
    <x v="3767"/>
    <x v="1"/>
    <x v="1"/>
    <x v="1"/>
    <x v="1"/>
  </r>
  <r>
    <x v="4176"/>
    <x v="1"/>
    <x v="0"/>
    <x v="1"/>
    <n v="33.6"/>
    <x v="0"/>
    <x v="3768"/>
    <x v="0"/>
    <x v="0"/>
    <x v="0"/>
    <x v="0"/>
  </r>
  <r>
    <x v="4177"/>
    <x v="1"/>
    <x v="0"/>
    <x v="2"/>
    <n v="79.900000000000006"/>
    <x v="24"/>
    <x v="3769"/>
    <x v="1"/>
    <x v="0"/>
    <x v="0"/>
    <x v="0"/>
  </r>
  <r>
    <x v="4178"/>
    <x v="0"/>
    <x v="0"/>
    <x v="0"/>
    <n v="20.7"/>
    <x v="0"/>
    <x v="3770"/>
    <x v="0"/>
    <x v="0"/>
    <x v="0"/>
    <x v="0"/>
  </r>
  <r>
    <x v="4179"/>
    <x v="1"/>
    <x v="2"/>
    <x v="0"/>
    <n v="104.05"/>
    <x v="8"/>
    <x v="3771"/>
    <x v="0"/>
    <x v="2"/>
    <x v="1"/>
    <x v="3"/>
  </r>
  <r>
    <x v="4180"/>
    <x v="0"/>
    <x v="2"/>
    <x v="2"/>
    <n v="20.25"/>
    <x v="51"/>
    <x v="3772"/>
    <x v="0"/>
    <x v="0"/>
    <x v="1"/>
    <x v="1"/>
  </r>
  <r>
    <x v="4181"/>
    <x v="0"/>
    <x v="0"/>
    <x v="0"/>
    <n v="103.3"/>
    <x v="7"/>
    <x v="3773"/>
    <x v="1"/>
    <x v="1"/>
    <x v="1"/>
    <x v="1"/>
  </r>
  <r>
    <x v="4182"/>
    <x v="0"/>
    <x v="1"/>
    <x v="3"/>
    <n v="73.7"/>
    <x v="14"/>
    <x v="3774"/>
    <x v="0"/>
    <x v="2"/>
    <x v="1"/>
    <x v="3"/>
  </r>
  <r>
    <x v="4183"/>
    <x v="0"/>
    <x v="0"/>
    <x v="3"/>
    <n v="96.2"/>
    <x v="26"/>
    <x v="3760"/>
    <x v="1"/>
    <x v="0"/>
    <x v="0"/>
    <x v="0"/>
  </r>
  <r>
    <x v="4184"/>
    <x v="0"/>
    <x v="0"/>
    <x v="0"/>
    <n v="108.75"/>
    <x v="28"/>
    <x v="3775"/>
    <x v="0"/>
    <x v="2"/>
    <x v="1"/>
    <x v="3"/>
  </r>
  <r>
    <x v="4185"/>
    <x v="1"/>
    <x v="1"/>
    <x v="2"/>
    <n v="20.149999999999999"/>
    <x v="57"/>
    <x v="3776"/>
    <x v="0"/>
    <x v="0"/>
    <x v="2"/>
    <x v="2"/>
  </r>
  <r>
    <x v="4186"/>
    <x v="1"/>
    <x v="0"/>
    <x v="3"/>
    <n v="19.75"/>
    <x v="6"/>
    <x v="1019"/>
    <x v="0"/>
    <x v="0"/>
    <x v="0"/>
    <x v="0"/>
  </r>
  <r>
    <x v="4187"/>
    <x v="0"/>
    <x v="2"/>
    <x v="3"/>
    <n v="25.95"/>
    <x v="16"/>
    <x v="3777"/>
    <x v="0"/>
    <x v="0"/>
    <x v="1"/>
    <x v="3"/>
  </r>
  <r>
    <x v="4188"/>
    <x v="0"/>
    <x v="0"/>
    <x v="0"/>
    <n v="70.05"/>
    <x v="3"/>
    <x v="3778"/>
    <x v="0"/>
    <x v="1"/>
    <x v="1"/>
    <x v="1"/>
  </r>
  <r>
    <x v="4189"/>
    <x v="0"/>
    <x v="2"/>
    <x v="1"/>
    <n v="24.05"/>
    <x v="27"/>
    <x v="3779"/>
    <x v="0"/>
    <x v="0"/>
    <x v="1"/>
    <x v="3"/>
  </r>
  <r>
    <x v="4190"/>
    <x v="0"/>
    <x v="0"/>
    <x v="0"/>
    <n v="84.75"/>
    <x v="5"/>
    <x v="3780"/>
    <x v="0"/>
    <x v="0"/>
    <x v="2"/>
    <x v="2"/>
  </r>
  <r>
    <x v="4191"/>
    <x v="0"/>
    <x v="2"/>
    <x v="1"/>
    <n v="23.05"/>
    <x v="15"/>
    <x v="3781"/>
    <x v="0"/>
    <x v="0"/>
    <x v="1"/>
    <x v="3"/>
  </r>
  <r>
    <x v="4192"/>
    <x v="1"/>
    <x v="1"/>
    <x v="0"/>
    <n v="104.15"/>
    <x v="49"/>
    <x v="3782"/>
    <x v="1"/>
    <x v="2"/>
    <x v="1"/>
    <x v="3"/>
  </r>
  <r>
    <x v="4193"/>
    <x v="0"/>
    <x v="2"/>
    <x v="3"/>
    <n v="59.95"/>
    <x v="45"/>
    <x v="3783"/>
    <x v="0"/>
    <x v="1"/>
    <x v="1"/>
    <x v="3"/>
  </r>
  <r>
    <x v="4194"/>
    <x v="0"/>
    <x v="2"/>
    <x v="2"/>
    <n v="19.55"/>
    <x v="21"/>
    <x v="3784"/>
    <x v="0"/>
    <x v="0"/>
    <x v="1"/>
    <x v="3"/>
  </r>
  <r>
    <x v="4195"/>
    <x v="1"/>
    <x v="1"/>
    <x v="2"/>
    <n v="19.600000000000001"/>
    <x v="6"/>
    <x v="3785"/>
    <x v="0"/>
    <x v="0"/>
    <x v="0"/>
    <x v="0"/>
  </r>
  <r>
    <x v="4196"/>
    <x v="0"/>
    <x v="1"/>
    <x v="1"/>
    <n v="20.05"/>
    <x v="40"/>
    <x v="3786"/>
    <x v="0"/>
    <x v="0"/>
    <x v="0"/>
    <x v="0"/>
  </r>
  <r>
    <x v="4197"/>
    <x v="1"/>
    <x v="0"/>
    <x v="0"/>
    <n v="85.55"/>
    <x v="24"/>
    <x v="3787"/>
    <x v="0"/>
    <x v="0"/>
    <x v="0"/>
    <x v="0"/>
  </r>
  <r>
    <x v="4198"/>
    <x v="0"/>
    <x v="2"/>
    <x v="3"/>
    <n v="78.599999999999994"/>
    <x v="65"/>
    <x v="3788"/>
    <x v="0"/>
    <x v="0"/>
    <x v="1"/>
    <x v="2"/>
  </r>
  <r>
    <x v="4199"/>
    <x v="0"/>
    <x v="2"/>
    <x v="3"/>
    <n v="116.8"/>
    <x v="21"/>
    <x v="3789"/>
    <x v="0"/>
    <x v="2"/>
    <x v="1"/>
    <x v="3"/>
  </r>
  <r>
    <x v="4200"/>
    <x v="1"/>
    <x v="0"/>
    <x v="1"/>
    <n v="43.55"/>
    <x v="17"/>
    <x v="3790"/>
    <x v="0"/>
    <x v="0"/>
    <x v="2"/>
    <x v="2"/>
  </r>
  <r>
    <x v="4201"/>
    <x v="1"/>
    <x v="1"/>
    <x v="3"/>
    <n v="60.8"/>
    <x v="14"/>
    <x v="3791"/>
    <x v="0"/>
    <x v="1"/>
    <x v="1"/>
    <x v="3"/>
  </r>
  <r>
    <x v="4202"/>
    <x v="1"/>
    <x v="0"/>
    <x v="2"/>
    <n v="54.9"/>
    <x v="66"/>
    <x v="3792"/>
    <x v="0"/>
    <x v="1"/>
    <x v="1"/>
    <x v="1"/>
  </r>
  <r>
    <x v="4203"/>
    <x v="0"/>
    <x v="1"/>
    <x v="0"/>
    <n v="65.2"/>
    <x v="59"/>
    <x v="3793"/>
    <x v="0"/>
    <x v="1"/>
    <x v="1"/>
    <x v="3"/>
  </r>
  <r>
    <x v="4204"/>
    <x v="1"/>
    <x v="0"/>
    <x v="3"/>
    <n v="102.95"/>
    <x v="65"/>
    <x v="3794"/>
    <x v="1"/>
    <x v="1"/>
    <x v="1"/>
    <x v="2"/>
  </r>
  <r>
    <x v="4205"/>
    <x v="0"/>
    <x v="0"/>
    <x v="0"/>
    <n v="90.6"/>
    <x v="0"/>
    <x v="3795"/>
    <x v="1"/>
    <x v="0"/>
    <x v="0"/>
    <x v="0"/>
  </r>
  <r>
    <x v="4206"/>
    <x v="0"/>
    <x v="0"/>
    <x v="2"/>
    <n v="50.8"/>
    <x v="53"/>
    <x v="2031"/>
    <x v="1"/>
    <x v="0"/>
    <x v="0"/>
    <x v="0"/>
  </r>
  <r>
    <x v="4207"/>
    <x v="1"/>
    <x v="0"/>
    <x v="0"/>
    <n v="90.05"/>
    <x v="54"/>
    <x v="3796"/>
    <x v="1"/>
    <x v="0"/>
    <x v="0"/>
    <x v="0"/>
  </r>
  <r>
    <x v="4208"/>
    <x v="1"/>
    <x v="2"/>
    <x v="0"/>
    <n v="108.2"/>
    <x v="21"/>
    <x v="3797"/>
    <x v="0"/>
    <x v="2"/>
    <x v="1"/>
    <x v="3"/>
  </r>
  <r>
    <x v="4209"/>
    <x v="1"/>
    <x v="2"/>
    <x v="2"/>
    <n v="92"/>
    <x v="21"/>
    <x v="827"/>
    <x v="0"/>
    <x v="2"/>
    <x v="1"/>
    <x v="3"/>
  </r>
  <r>
    <x v="4210"/>
    <x v="1"/>
    <x v="0"/>
    <x v="0"/>
    <n v="75.099999999999994"/>
    <x v="60"/>
    <x v="3798"/>
    <x v="0"/>
    <x v="0"/>
    <x v="2"/>
    <x v="2"/>
  </r>
  <r>
    <x v="4211"/>
    <x v="1"/>
    <x v="0"/>
    <x v="2"/>
    <n v="25.05"/>
    <x v="40"/>
    <x v="3637"/>
    <x v="0"/>
    <x v="0"/>
    <x v="0"/>
    <x v="0"/>
  </r>
  <r>
    <x v="4212"/>
    <x v="0"/>
    <x v="1"/>
    <x v="0"/>
    <n v="75.150000000000006"/>
    <x v="43"/>
    <x v="3799"/>
    <x v="0"/>
    <x v="1"/>
    <x v="1"/>
    <x v="1"/>
  </r>
  <r>
    <x v="4213"/>
    <x v="1"/>
    <x v="1"/>
    <x v="1"/>
    <n v="19.5"/>
    <x v="49"/>
    <x v="3800"/>
    <x v="0"/>
    <x v="0"/>
    <x v="1"/>
    <x v="3"/>
  </r>
  <r>
    <x v="4214"/>
    <x v="1"/>
    <x v="0"/>
    <x v="3"/>
    <n v="19.3"/>
    <x v="0"/>
    <x v="1996"/>
    <x v="0"/>
    <x v="0"/>
    <x v="0"/>
    <x v="0"/>
  </r>
  <r>
    <x v="4215"/>
    <x v="1"/>
    <x v="1"/>
    <x v="3"/>
    <n v="112.2"/>
    <x v="3"/>
    <x v="2746"/>
    <x v="0"/>
    <x v="2"/>
    <x v="1"/>
    <x v="1"/>
  </r>
  <r>
    <x v="4216"/>
    <x v="1"/>
    <x v="0"/>
    <x v="1"/>
    <n v="70.3"/>
    <x v="35"/>
    <x v="744"/>
    <x v="0"/>
    <x v="0"/>
    <x v="0"/>
    <x v="0"/>
  </r>
  <r>
    <x v="4217"/>
    <x v="0"/>
    <x v="2"/>
    <x v="1"/>
    <n v="19.600000000000001"/>
    <x v="16"/>
    <x v="3801"/>
    <x v="0"/>
    <x v="0"/>
    <x v="1"/>
    <x v="3"/>
  </r>
  <r>
    <x v="4218"/>
    <x v="1"/>
    <x v="0"/>
    <x v="1"/>
    <n v="20.25"/>
    <x v="4"/>
    <x v="1596"/>
    <x v="0"/>
    <x v="0"/>
    <x v="0"/>
    <x v="0"/>
  </r>
  <r>
    <x v="4219"/>
    <x v="0"/>
    <x v="0"/>
    <x v="0"/>
    <n v="75.849999999999994"/>
    <x v="35"/>
    <x v="3802"/>
    <x v="1"/>
    <x v="0"/>
    <x v="0"/>
    <x v="0"/>
  </r>
  <r>
    <x v="4220"/>
    <x v="1"/>
    <x v="2"/>
    <x v="2"/>
    <n v="80.650000000000006"/>
    <x v="14"/>
    <x v="3803"/>
    <x v="0"/>
    <x v="2"/>
    <x v="1"/>
    <x v="3"/>
  </r>
  <r>
    <x v="4221"/>
    <x v="1"/>
    <x v="0"/>
    <x v="0"/>
    <n v="68.5"/>
    <x v="0"/>
    <x v="3804"/>
    <x v="1"/>
    <x v="0"/>
    <x v="0"/>
    <x v="0"/>
  </r>
  <r>
    <x v="4222"/>
    <x v="0"/>
    <x v="2"/>
    <x v="3"/>
    <n v="115.75"/>
    <x v="21"/>
    <x v="517"/>
    <x v="0"/>
    <x v="2"/>
    <x v="1"/>
    <x v="3"/>
  </r>
  <r>
    <x v="4223"/>
    <x v="1"/>
    <x v="0"/>
    <x v="0"/>
    <n v="73.5"/>
    <x v="26"/>
    <x v="3805"/>
    <x v="1"/>
    <x v="0"/>
    <x v="0"/>
    <x v="0"/>
  </r>
  <r>
    <x v="4224"/>
    <x v="1"/>
    <x v="2"/>
    <x v="2"/>
    <n v="80.599999999999994"/>
    <x v="16"/>
    <x v="1410"/>
    <x v="0"/>
    <x v="2"/>
    <x v="1"/>
    <x v="3"/>
  </r>
  <r>
    <x v="4225"/>
    <x v="0"/>
    <x v="0"/>
    <x v="1"/>
    <n v="69.95"/>
    <x v="0"/>
    <x v="1904"/>
    <x v="1"/>
    <x v="0"/>
    <x v="0"/>
    <x v="0"/>
  </r>
  <r>
    <x v="4226"/>
    <x v="0"/>
    <x v="2"/>
    <x v="2"/>
    <n v="59.55"/>
    <x v="55"/>
    <x v="3806"/>
    <x v="0"/>
    <x v="0"/>
    <x v="1"/>
    <x v="1"/>
  </r>
  <r>
    <x v="4227"/>
    <x v="0"/>
    <x v="1"/>
    <x v="1"/>
    <n v="19.05"/>
    <x v="10"/>
    <x v="3807"/>
    <x v="0"/>
    <x v="0"/>
    <x v="2"/>
    <x v="2"/>
  </r>
  <r>
    <x v="4228"/>
    <x v="0"/>
    <x v="1"/>
    <x v="0"/>
    <n v="95.65"/>
    <x v="39"/>
    <x v="3808"/>
    <x v="0"/>
    <x v="2"/>
    <x v="1"/>
    <x v="3"/>
  </r>
  <r>
    <x v="4229"/>
    <x v="0"/>
    <x v="0"/>
    <x v="3"/>
    <n v="19.95"/>
    <x v="0"/>
    <x v="3809"/>
    <x v="0"/>
    <x v="0"/>
    <x v="0"/>
    <x v="0"/>
  </r>
  <r>
    <x v="4230"/>
    <x v="1"/>
    <x v="0"/>
    <x v="0"/>
    <n v="70.05"/>
    <x v="24"/>
    <x v="508"/>
    <x v="1"/>
    <x v="0"/>
    <x v="0"/>
    <x v="0"/>
  </r>
  <r>
    <x v="4231"/>
    <x v="1"/>
    <x v="1"/>
    <x v="1"/>
    <n v="19.399999999999999"/>
    <x v="58"/>
    <x v="2090"/>
    <x v="0"/>
    <x v="0"/>
    <x v="1"/>
    <x v="3"/>
  </r>
  <r>
    <x v="4232"/>
    <x v="1"/>
    <x v="1"/>
    <x v="3"/>
    <n v="36.1"/>
    <x v="39"/>
    <x v="3810"/>
    <x v="0"/>
    <x v="1"/>
    <x v="1"/>
    <x v="3"/>
  </r>
  <r>
    <x v="4233"/>
    <x v="1"/>
    <x v="0"/>
    <x v="0"/>
    <n v="94"/>
    <x v="4"/>
    <x v="3811"/>
    <x v="1"/>
    <x v="0"/>
    <x v="0"/>
    <x v="0"/>
  </r>
  <r>
    <x v="4234"/>
    <x v="0"/>
    <x v="0"/>
    <x v="1"/>
    <n v="61.15"/>
    <x v="5"/>
    <x v="3812"/>
    <x v="1"/>
    <x v="0"/>
    <x v="2"/>
    <x v="2"/>
  </r>
  <r>
    <x v="4235"/>
    <x v="0"/>
    <x v="0"/>
    <x v="1"/>
    <n v="19.75"/>
    <x v="0"/>
    <x v="127"/>
    <x v="0"/>
    <x v="0"/>
    <x v="0"/>
    <x v="0"/>
  </r>
  <r>
    <x v="4236"/>
    <x v="0"/>
    <x v="0"/>
    <x v="3"/>
    <n v="64.099999999999994"/>
    <x v="63"/>
    <x v="3813"/>
    <x v="0"/>
    <x v="1"/>
    <x v="1"/>
    <x v="1"/>
  </r>
  <r>
    <x v="4237"/>
    <x v="1"/>
    <x v="2"/>
    <x v="3"/>
    <n v="19.75"/>
    <x v="25"/>
    <x v="3814"/>
    <x v="0"/>
    <x v="0"/>
    <x v="1"/>
    <x v="1"/>
  </r>
  <r>
    <x v="4238"/>
    <x v="1"/>
    <x v="2"/>
    <x v="1"/>
    <n v="19.7"/>
    <x v="28"/>
    <x v="3815"/>
    <x v="0"/>
    <x v="0"/>
    <x v="1"/>
    <x v="3"/>
  </r>
  <r>
    <x v="4239"/>
    <x v="1"/>
    <x v="2"/>
    <x v="0"/>
    <n v="110.2"/>
    <x v="47"/>
    <x v="3816"/>
    <x v="0"/>
    <x v="2"/>
    <x v="1"/>
    <x v="3"/>
  </r>
  <r>
    <x v="4240"/>
    <x v="1"/>
    <x v="2"/>
    <x v="3"/>
    <n v="106.35"/>
    <x v="14"/>
    <x v="3817"/>
    <x v="0"/>
    <x v="2"/>
    <x v="1"/>
    <x v="3"/>
  </r>
  <r>
    <x v="4241"/>
    <x v="0"/>
    <x v="0"/>
    <x v="0"/>
    <n v="90.55"/>
    <x v="39"/>
    <x v="3818"/>
    <x v="0"/>
    <x v="2"/>
    <x v="1"/>
    <x v="3"/>
  </r>
  <r>
    <x v="4242"/>
    <x v="0"/>
    <x v="1"/>
    <x v="1"/>
    <n v="65.900000000000006"/>
    <x v="6"/>
    <x v="3819"/>
    <x v="0"/>
    <x v="0"/>
    <x v="0"/>
    <x v="0"/>
  </r>
  <r>
    <x v="4243"/>
    <x v="1"/>
    <x v="1"/>
    <x v="3"/>
    <n v="104.5"/>
    <x v="28"/>
    <x v="3820"/>
    <x v="0"/>
    <x v="2"/>
    <x v="1"/>
    <x v="3"/>
  </r>
  <r>
    <x v="4244"/>
    <x v="0"/>
    <x v="2"/>
    <x v="1"/>
    <n v="52.5"/>
    <x v="65"/>
    <x v="1097"/>
    <x v="0"/>
    <x v="0"/>
    <x v="1"/>
    <x v="2"/>
  </r>
  <r>
    <x v="4245"/>
    <x v="0"/>
    <x v="0"/>
    <x v="1"/>
    <n v="56.1"/>
    <x v="67"/>
    <x v="3821"/>
    <x v="0"/>
    <x v="0"/>
    <x v="2"/>
    <x v="2"/>
  </r>
  <r>
    <x v="4246"/>
    <x v="1"/>
    <x v="0"/>
    <x v="0"/>
    <n v="88.75"/>
    <x v="5"/>
    <x v="3822"/>
    <x v="0"/>
    <x v="0"/>
    <x v="2"/>
    <x v="2"/>
  </r>
  <r>
    <x v="4247"/>
    <x v="1"/>
    <x v="0"/>
    <x v="0"/>
    <n v="84.45"/>
    <x v="44"/>
    <x v="3823"/>
    <x v="1"/>
    <x v="1"/>
    <x v="1"/>
    <x v="1"/>
  </r>
  <r>
    <x v="4248"/>
    <x v="1"/>
    <x v="1"/>
    <x v="1"/>
    <n v="75.3"/>
    <x v="9"/>
    <x v="3824"/>
    <x v="1"/>
    <x v="0"/>
    <x v="2"/>
    <x v="2"/>
  </r>
  <r>
    <x v="4249"/>
    <x v="0"/>
    <x v="2"/>
    <x v="2"/>
    <n v="26"/>
    <x v="27"/>
    <x v="3825"/>
    <x v="0"/>
    <x v="0"/>
    <x v="1"/>
    <x v="3"/>
  </r>
  <r>
    <x v="4250"/>
    <x v="0"/>
    <x v="0"/>
    <x v="0"/>
    <n v="99.4"/>
    <x v="12"/>
    <x v="3826"/>
    <x v="0"/>
    <x v="1"/>
    <x v="1"/>
    <x v="3"/>
  </r>
  <r>
    <x v="4251"/>
    <x v="0"/>
    <x v="1"/>
    <x v="1"/>
    <n v="109.55"/>
    <x v="29"/>
    <x v="3827"/>
    <x v="1"/>
    <x v="1"/>
    <x v="1"/>
    <x v="1"/>
  </r>
  <r>
    <x v="4252"/>
    <x v="0"/>
    <x v="0"/>
    <x v="1"/>
    <n v="19.600000000000001"/>
    <x v="35"/>
    <x v="145"/>
    <x v="1"/>
    <x v="0"/>
    <x v="0"/>
    <x v="0"/>
  </r>
  <r>
    <x v="4253"/>
    <x v="1"/>
    <x v="1"/>
    <x v="0"/>
    <n v="73.150000000000006"/>
    <x v="41"/>
    <x v="3828"/>
    <x v="0"/>
    <x v="1"/>
    <x v="1"/>
    <x v="1"/>
  </r>
  <r>
    <x v="4254"/>
    <x v="1"/>
    <x v="1"/>
    <x v="1"/>
    <n v="54.65"/>
    <x v="58"/>
    <x v="3829"/>
    <x v="0"/>
    <x v="1"/>
    <x v="1"/>
    <x v="3"/>
  </r>
  <r>
    <x v="4255"/>
    <x v="1"/>
    <x v="0"/>
    <x v="2"/>
    <n v="66.400000000000006"/>
    <x v="2"/>
    <x v="3830"/>
    <x v="1"/>
    <x v="0"/>
    <x v="0"/>
    <x v="0"/>
  </r>
  <r>
    <x v="4256"/>
    <x v="0"/>
    <x v="2"/>
    <x v="3"/>
    <n v="115.55"/>
    <x v="21"/>
    <x v="2412"/>
    <x v="0"/>
    <x v="2"/>
    <x v="1"/>
    <x v="3"/>
  </r>
  <r>
    <x v="4257"/>
    <x v="0"/>
    <x v="0"/>
    <x v="0"/>
    <n v="104.45"/>
    <x v="25"/>
    <x v="3831"/>
    <x v="0"/>
    <x v="1"/>
    <x v="1"/>
    <x v="1"/>
  </r>
  <r>
    <x v="4258"/>
    <x v="1"/>
    <x v="0"/>
    <x v="3"/>
    <n v="100.05"/>
    <x v="33"/>
    <x v="3832"/>
    <x v="1"/>
    <x v="2"/>
    <x v="1"/>
    <x v="3"/>
  </r>
  <r>
    <x v="4259"/>
    <x v="1"/>
    <x v="1"/>
    <x v="0"/>
    <n v="102"/>
    <x v="8"/>
    <x v="3833"/>
    <x v="1"/>
    <x v="2"/>
    <x v="1"/>
    <x v="3"/>
  </r>
  <r>
    <x v="4260"/>
    <x v="0"/>
    <x v="2"/>
    <x v="2"/>
    <n v="91.15"/>
    <x v="21"/>
    <x v="3834"/>
    <x v="0"/>
    <x v="2"/>
    <x v="1"/>
    <x v="3"/>
  </r>
  <r>
    <x v="4261"/>
    <x v="1"/>
    <x v="1"/>
    <x v="0"/>
    <n v="89.7"/>
    <x v="42"/>
    <x v="3835"/>
    <x v="0"/>
    <x v="1"/>
    <x v="1"/>
    <x v="1"/>
  </r>
  <r>
    <x v="4262"/>
    <x v="1"/>
    <x v="0"/>
    <x v="3"/>
    <n v="90.2"/>
    <x v="22"/>
    <x v="1722"/>
    <x v="1"/>
    <x v="0"/>
    <x v="2"/>
    <x v="2"/>
  </r>
  <r>
    <x v="4263"/>
    <x v="0"/>
    <x v="2"/>
    <x v="0"/>
    <n v="92.4"/>
    <x v="21"/>
    <x v="2129"/>
    <x v="0"/>
    <x v="2"/>
    <x v="1"/>
    <x v="3"/>
  </r>
  <r>
    <x v="4264"/>
    <x v="0"/>
    <x v="1"/>
    <x v="1"/>
    <n v="19.899999999999999"/>
    <x v="7"/>
    <x v="3836"/>
    <x v="0"/>
    <x v="0"/>
    <x v="1"/>
    <x v="1"/>
  </r>
  <r>
    <x v="4265"/>
    <x v="1"/>
    <x v="2"/>
    <x v="3"/>
    <n v="25.15"/>
    <x v="39"/>
    <x v="3837"/>
    <x v="1"/>
    <x v="0"/>
    <x v="1"/>
    <x v="3"/>
  </r>
  <r>
    <x v="4266"/>
    <x v="0"/>
    <x v="0"/>
    <x v="3"/>
    <n v="79.849999999999994"/>
    <x v="36"/>
    <x v="3838"/>
    <x v="1"/>
    <x v="1"/>
    <x v="1"/>
    <x v="1"/>
  </r>
  <r>
    <x v="4267"/>
    <x v="1"/>
    <x v="1"/>
    <x v="2"/>
    <n v="18.850000000000001"/>
    <x v="3"/>
    <x v="3839"/>
    <x v="0"/>
    <x v="0"/>
    <x v="1"/>
    <x v="1"/>
  </r>
  <r>
    <x v="4268"/>
    <x v="0"/>
    <x v="0"/>
    <x v="1"/>
    <n v="25.75"/>
    <x v="0"/>
    <x v="3840"/>
    <x v="0"/>
    <x v="0"/>
    <x v="0"/>
    <x v="0"/>
  </r>
  <r>
    <x v="4269"/>
    <x v="0"/>
    <x v="0"/>
    <x v="1"/>
    <n v="49.6"/>
    <x v="2"/>
    <x v="3841"/>
    <x v="1"/>
    <x v="0"/>
    <x v="0"/>
    <x v="0"/>
  </r>
  <r>
    <x v="4270"/>
    <x v="0"/>
    <x v="0"/>
    <x v="1"/>
    <n v="20.95"/>
    <x v="53"/>
    <x v="3842"/>
    <x v="0"/>
    <x v="0"/>
    <x v="0"/>
    <x v="0"/>
  </r>
  <r>
    <x v="4271"/>
    <x v="0"/>
    <x v="1"/>
    <x v="0"/>
    <n v="97.05"/>
    <x v="43"/>
    <x v="3843"/>
    <x v="0"/>
    <x v="1"/>
    <x v="1"/>
    <x v="1"/>
  </r>
  <r>
    <x v="4272"/>
    <x v="1"/>
    <x v="0"/>
    <x v="2"/>
    <n v="25.4"/>
    <x v="13"/>
    <x v="3844"/>
    <x v="0"/>
    <x v="0"/>
    <x v="1"/>
    <x v="1"/>
  </r>
  <r>
    <x v="4273"/>
    <x v="1"/>
    <x v="2"/>
    <x v="2"/>
    <n v="19.7"/>
    <x v="38"/>
    <x v="3845"/>
    <x v="0"/>
    <x v="0"/>
    <x v="1"/>
    <x v="3"/>
  </r>
  <r>
    <x v="4274"/>
    <x v="1"/>
    <x v="0"/>
    <x v="1"/>
    <n v="35"/>
    <x v="37"/>
    <x v="3846"/>
    <x v="0"/>
    <x v="0"/>
    <x v="1"/>
    <x v="3"/>
  </r>
  <r>
    <x v="4275"/>
    <x v="0"/>
    <x v="1"/>
    <x v="2"/>
    <n v="101.25"/>
    <x v="15"/>
    <x v="3847"/>
    <x v="0"/>
    <x v="2"/>
    <x v="1"/>
    <x v="3"/>
  </r>
  <r>
    <x v="4276"/>
    <x v="1"/>
    <x v="0"/>
    <x v="0"/>
    <n v="70.2"/>
    <x v="54"/>
    <x v="1310"/>
    <x v="0"/>
    <x v="0"/>
    <x v="0"/>
    <x v="0"/>
  </r>
  <r>
    <x v="4277"/>
    <x v="0"/>
    <x v="0"/>
    <x v="0"/>
    <n v="90.95"/>
    <x v="48"/>
    <x v="3848"/>
    <x v="0"/>
    <x v="1"/>
    <x v="1"/>
    <x v="1"/>
  </r>
  <r>
    <x v="4278"/>
    <x v="1"/>
    <x v="2"/>
    <x v="3"/>
    <n v="73.849999999999994"/>
    <x v="3"/>
    <x v="3849"/>
    <x v="0"/>
    <x v="1"/>
    <x v="1"/>
    <x v="1"/>
  </r>
  <r>
    <x v="4279"/>
    <x v="1"/>
    <x v="0"/>
    <x v="0"/>
    <n v="88.05"/>
    <x v="34"/>
    <x v="3850"/>
    <x v="0"/>
    <x v="0"/>
    <x v="0"/>
    <x v="0"/>
  </r>
  <r>
    <x v="4280"/>
    <x v="0"/>
    <x v="1"/>
    <x v="3"/>
    <n v="105.95"/>
    <x v="33"/>
    <x v="3851"/>
    <x v="1"/>
    <x v="2"/>
    <x v="1"/>
    <x v="3"/>
  </r>
  <r>
    <x v="4281"/>
    <x v="1"/>
    <x v="0"/>
    <x v="0"/>
    <n v="91.85"/>
    <x v="35"/>
    <x v="3852"/>
    <x v="1"/>
    <x v="0"/>
    <x v="0"/>
    <x v="0"/>
  </r>
  <r>
    <x v="4282"/>
    <x v="0"/>
    <x v="2"/>
    <x v="1"/>
    <n v="20.100000000000001"/>
    <x v="68"/>
    <x v="3853"/>
    <x v="0"/>
    <x v="0"/>
    <x v="1"/>
    <x v="3"/>
  </r>
  <r>
    <x v="4283"/>
    <x v="0"/>
    <x v="0"/>
    <x v="0"/>
    <n v="40.1"/>
    <x v="0"/>
    <x v="2403"/>
    <x v="1"/>
    <x v="0"/>
    <x v="0"/>
    <x v="0"/>
  </r>
  <r>
    <x v="4284"/>
    <x v="0"/>
    <x v="2"/>
    <x v="2"/>
    <n v="110.3"/>
    <x v="38"/>
    <x v="3854"/>
    <x v="0"/>
    <x v="2"/>
    <x v="1"/>
    <x v="3"/>
  </r>
  <r>
    <x v="4285"/>
    <x v="0"/>
    <x v="0"/>
    <x v="0"/>
    <n v="73.900000000000006"/>
    <x v="36"/>
    <x v="3855"/>
    <x v="1"/>
    <x v="1"/>
    <x v="1"/>
    <x v="1"/>
  </r>
  <r>
    <x v="4286"/>
    <x v="0"/>
    <x v="0"/>
    <x v="1"/>
    <n v="89.8"/>
    <x v="60"/>
    <x v="3856"/>
    <x v="1"/>
    <x v="0"/>
    <x v="2"/>
    <x v="2"/>
  </r>
  <r>
    <x v="4287"/>
    <x v="0"/>
    <x v="1"/>
    <x v="3"/>
    <n v="85.15"/>
    <x v="18"/>
    <x v="3857"/>
    <x v="0"/>
    <x v="0"/>
    <x v="2"/>
    <x v="0"/>
  </r>
  <r>
    <x v="4288"/>
    <x v="1"/>
    <x v="1"/>
    <x v="2"/>
    <n v="60.95"/>
    <x v="56"/>
    <x v="3858"/>
    <x v="0"/>
    <x v="1"/>
    <x v="1"/>
    <x v="3"/>
  </r>
  <r>
    <x v="4289"/>
    <x v="0"/>
    <x v="0"/>
    <x v="0"/>
    <n v="72.25"/>
    <x v="42"/>
    <x v="3859"/>
    <x v="1"/>
    <x v="1"/>
    <x v="1"/>
    <x v="1"/>
  </r>
  <r>
    <x v="4290"/>
    <x v="0"/>
    <x v="2"/>
    <x v="1"/>
    <n v="73.55"/>
    <x v="3"/>
    <x v="3860"/>
    <x v="0"/>
    <x v="1"/>
    <x v="1"/>
    <x v="1"/>
  </r>
  <r>
    <x v="4291"/>
    <x v="1"/>
    <x v="0"/>
    <x v="1"/>
    <n v="46"/>
    <x v="6"/>
    <x v="3861"/>
    <x v="0"/>
    <x v="0"/>
    <x v="0"/>
    <x v="0"/>
  </r>
  <r>
    <x v="4292"/>
    <x v="0"/>
    <x v="0"/>
    <x v="2"/>
    <n v="58.55"/>
    <x v="44"/>
    <x v="3862"/>
    <x v="0"/>
    <x v="0"/>
    <x v="1"/>
    <x v="1"/>
  </r>
  <r>
    <x v="4293"/>
    <x v="0"/>
    <x v="1"/>
    <x v="2"/>
    <n v="24.6"/>
    <x v="65"/>
    <x v="1408"/>
    <x v="0"/>
    <x v="0"/>
    <x v="1"/>
    <x v="2"/>
  </r>
  <r>
    <x v="4294"/>
    <x v="1"/>
    <x v="2"/>
    <x v="1"/>
    <n v="19.75"/>
    <x v="33"/>
    <x v="3863"/>
    <x v="0"/>
    <x v="0"/>
    <x v="1"/>
    <x v="3"/>
  </r>
  <r>
    <x v="4295"/>
    <x v="1"/>
    <x v="1"/>
    <x v="1"/>
    <n v="86.35"/>
    <x v="69"/>
    <x v="3864"/>
    <x v="0"/>
    <x v="1"/>
    <x v="1"/>
    <x v="3"/>
  </r>
  <r>
    <x v="4296"/>
    <x v="0"/>
    <x v="2"/>
    <x v="1"/>
    <n v="25.5"/>
    <x v="3"/>
    <x v="3865"/>
    <x v="0"/>
    <x v="0"/>
    <x v="1"/>
    <x v="1"/>
  </r>
  <r>
    <x v="4297"/>
    <x v="0"/>
    <x v="1"/>
    <x v="3"/>
    <n v="19"/>
    <x v="12"/>
    <x v="3866"/>
    <x v="0"/>
    <x v="0"/>
    <x v="1"/>
    <x v="3"/>
  </r>
  <r>
    <x v="4298"/>
    <x v="0"/>
    <x v="2"/>
    <x v="1"/>
    <n v="19.55"/>
    <x v="44"/>
    <x v="3867"/>
    <x v="0"/>
    <x v="0"/>
    <x v="1"/>
    <x v="1"/>
  </r>
  <r>
    <x v="4299"/>
    <x v="1"/>
    <x v="0"/>
    <x v="3"/>
    <n v="110.1"/>
    <x v="63"/>
    <x v="3868"/>
    <x v="0"/>
    <x v="1"/>
    <x v="1"/>
    <x v="1"/>
  </r>
  <r>
    <x v="4300"/>
    <x v="0"/>
    <x v="0"/>
    <x v="0"/>
    <n v="96.55"/>
    <x v="50"/>
    <x v="3869"/>
    <x v="1"/>
    <x v="1"/>
    <x v="1"/>
    <x v="1"/>
  </r>
  <r>
    <x v="4301"/>
    <x v="1"/>
    <x v="0"/>
    <x v="0"/>
    <n v="69.75"/>
    <x v="13"/>
    <x v="3870"/>
    <x v="0"/>
    <x v="0"/>
    <x v="1"/>
    <x v="1"/>
  </r>
  <r>
    <x v="4302"/>
    <x v="0"/>
    <x v="0"/>
    <x v="0"/>
    <n v="50.6"/>
    <x v="5"/>
    <x v="3871"/>
    <x v="0"/>
    <x v="0"/>
    <x v="2"/>
    <x v="2"/>
  </r>
  <r>
    <x v="4303"/>
    <x v="1"/>
    <x v="2"/>
    <x v="2"/>
    <n v="65.599999999999994"/>
    <x v="21"/>
    <x v="3872"/>
    <x v="0"/>
    <x v="1"/>
    <x v="1"/>
    <x v="3"/>
  </r>
  <r>
    <x v="4304"/>
    <x v="0"/>
    <x v="0"/>
    <x v="3"/>
    <n v="40.1"/>
    <x v="40"/>
    <x v="3873"/>
    <x v="1"/>
    <x v="0"/>
    <x v="0"/>
    <x v="0"/>
  </r>
  <r>
    <x v="4305"/>
    <x v="1"/>
    <x v="2"/>
    <x v="3"/>
    <n v="82.1"/>
    <x v="55"/>
    <x v="3874"/>
    <x v="0"/>
    <x v="1"/>
    <x v="1"/>
    <x v="1"/>
  </r>
  <r>
    <x v="4306"/>
    <x v="0"/>
    <x v="0"/>
    <x v="1"/>
    <n v="79.099999999999994"/>
    <x v="57"/>
    <x v="3875"/>
    <x v="0"/>
    <x v="0"/>
    <x v="2"/>
    <x v="2"/>
  </r>
  <r>
    <x v="4307"/>
    <x v="1"/>
    <x v="0"/>
    <x v="0"/>
    <n v="101.25"/>
    <x v="65"/>
    <x v="3876"/>
    <x v="1"/>
    <x v="1"/>
    <x v="1"/>
    <x v="2"/>
  </r>
  <r>
    <x v="4308"/>
    <x v="0"/>
    <x v="0"/>
    <x v="0"/>
    <n v="79.55"/>
    <x v="0"/>
    <x v="2807"/>
    <x v="1"/>
    <x v="0"/>
    <x v="0"/>
    <x v="0"/>
  </r>
  <r>
    <x v="4309"/>
    <x v="1"/>
    <x v="2"/>
    <x v="1"/>
    <n v="90.65"/>
    <x v="14"/>
    <x v="3877"/>
    <x v="0"/>
    <x v="2"/>
    <x v="1"/>
    <x v="3"/>
  </r>
  <r>
    <x v="4310"/>
    <x v="0"/>
    <x v="1"/>
    <x v="3"/>
    <n v="20.55"/>
    <x v="35"/>
    <x v="3559"/>
    <x v="0"/>
    <x v="0"/>
    <x v="0"/>
    <x v="0"/>
  </r>
  <r>
    <x v="4311"/>
    <x v="1"/>
    <x v="1"/>
    <x v="2"/>
    <n v="75.75"/>
    <x v="39"/>
    <x v="3878"/>
    <x v="0"/>
    <x v="1"/>
    <x v="1"/>
    <x v="3"/>
  </r>
  <r>
    <x v="4312"/>
    <x v="1"/>
    <x v="1"/>
    <x v="3"/>
    <n v="110"/>
    <x v="45"/>
    <x v="3879"/>
    <x v="0"/>
    <x v="2"/>
    <x v="1"/>
    <x v="3"/>
  </r>
  <r>
    <x v="4313"/>
    <x v="1"/>
    <x v="1"/>
    <x v="0"/>
    <n v="20.85"/>
    <x v="16"/>
    <x v="3880"/>
    <x v="0"/>
    <x v="0"/>
    <x v="1"/>
    <x v="3"/>
  </r>
  <r>
    <x v="4314"/>
    <x v="0"/>
    <x v="0"/>
    <x v="2"/>
    <n v="80.349999999999994"/>
    <x v="60"/>
    <x v="3881"/>
    <x v="0"/>
    <x v="0"/>
    <x v="2"/>
    <x v="2"/>
  </r>
  <r>
    <x v="4315"/>
    <x v="0"/>
    <x v="0"/>
    <x v="0"/>
    <n v="70.150000000000006"/>
    <x v="2"/>
    <x v="3882"/>
    <x v="0"/>
    <x v="0"/>
    <x v="0"/>
    <x v="0"/>
  </r>
  <r>
    <x v="4316"/>
    <x v="0"/>
    <x v="1"/>
    <x v="0"/>
    <n v="84.05"/>
    <x v="48"/>
    <x v="3883"/>
    <x v="1"/>
    <x v="1"/>
    <x v="1"/>
    <x v="1"/>
  </r>
  <r>
    <x v="4317"/>
    <x v="1"/>
    <x v="0"/>
    <x v="0"/>
    <n v="67.45"/>
    <x v="63"/>
    <x v="3884"/>
    <x v="0"/>
    <x v="1"/>
    <x v="1"/>
    <x v="1"/>
  </r>
  <r>
    <x v="4318"/>
    <x v="1"/>
    <x v="0"/>
    <x v="3"/>
    <n v="20.75"/>
    <x v="0"/>
    <x v="198"/>
    <x v="0"/>
    <x v="0"/>
    <x v="0"/>
    <x v="0"/>
  </r>
  <r>
    <x v="4319"/>
    <x v="1"/>
    <x v="0"/>
    <x v="0"/>
    <n v="89.1"/>
    <x v="0"/>
    <x v="3885"/>
    <x v="1"/>
    <x v="0"/>
    <x v="0"/>
    <x v="0"/>
  </r>
  <r>
    <x v="4320"/>
    <x v="0"/>
    <x v="0"/>
    <x v="1"/>
    <n v="69.900000000000006"/>
    <x v="40"/>
    <x v="3886"/>
    <x v="0"/>
    <x v="0"/>
    <x v="0"/>
    <x v="0"/>
  </r>
  <r>
    <x v="4321"/>
    <x v="0"/>
    <x v="0"/>
    <x v="0"/>
    <n v="51.1"/>
    <x v="30"/>
    <x v="3887"/>
    <x v="0"/>
    <x v="0"/>
    <x v="2"/>
    <x v="2"/>
  </r>
  <r>
    <x v="4322"/>
    <x v="0"/>
    <x v="0"/>
    <x v="0"/>
    <n v="94.4"/>
    <x v="22"/>
    <x v="3888"/>
    <x v="1"/>
    <x v="0"/>
    <x v="2"/>
    <x v="2"/>
  </r>
  <r>
    <x v="4323"/>
    <x v="1"/>
    <x v="0"/>
    <x v="0"/>
    <n v="78.25"/>
    <x v="67"/>
    <x v="3889"/>
    <x v="1"/>
    <x v="0"/>
    <x v="2"/>
    <x v="2"/>
  </r>
  <r>
    <x v="4324"/>
    <x v="1"/>
    <x v="2"/>
    <x v="2"/>
    <n v="25.55"/>
    <x v="16"/>
    <x v="3890"/>
    <x v="0"/>
    <x v="0"/>
    <x v="1"/>
    <x v="3"/>
  </r>
  <r>
    <x v="4325"/>
    <x v="0"/>
    <x v="2"/>
    <x v="2"/>
    <n v="60"/>
    <x v="68"/>
    <x v="3891"/>
    <x v="0"/>
    <x v="1"/>
    <x v="1"/>
    <x v="3"/>
  </r>
  <r>
    <x v="4326"/>
    <x v="1"/>
    <x v="0"/>
    <x v="3"/>
    <n v="90.55"/>
    <x v="36"/>
    <x v="3892"/>
    <x v="0"/>
    <x v="1"/>
    <x v="1"/>
    <x v="1"/>
  </r>
  <r>
    <x v="4327"/>
    <x v="0"/>
    <x v="0"/>
    <x v="0"/>
    <n v="76.400000000000006"/>
    <x v="26"/>
    <x v="3893"/>
    <x v="0"/>
    <x v="0"/>
    <x v="0"/>
    <x v="0"/>
  </r>
  <r>
    <x v="4328"/>
    <x v="0"/>
    <x v="0"/>
    <x v="0"/>
    <n v="84.95"/>
    <x v="32"/>
    <x v="3894"/>
    <x v="0"/>
    <x v="0"/>
    <x v="2"/>
    <x v="2"/>
  </r>
  <r>
    <x v="4329"/>
    <x v="0"/>
    <x v="2"/>
    <x v="2"/>
    <n v="110.1"/>
    <x v="21"/>
    <x v="3895"/>
    <x v="0"/>
    <x v="2"/>
    <x v="1"/>
    <x v="3"/>
  </r>
  <r>
    <x v="4330"/>
    <x v="0"/>
    <x v="0"/>
    <x v="3"/>
    <n v="99.65"/>
    <x v="16"/>
    <x v="3896"/>
    <x v="0"/>
    <x v="2"/>
    <x v="1"/>
    <x v="3"/>
  </r>
  <r>
    <x v="4331"/>
    <x v="1"/>
    <x v="0"/>
    <x v="3"/>
    <n v="45.4"/>
    <x v="24"/>
    <x v="929"/>
    <x v="0"/>
    <x v="0"/>
    <x v="0"/>
    <x v="0"/>
  </r>
  <r>
    <x v="4332"/>
    <x v="1"/>
    <x v="1"/>
    <x v="3"/>
    <n v="69"/>
    <x v="46"/>
    <x v="3897"/>
    <x v="0"/>
    <x v="1"/>
    <x v="1"/>
    <x v="1"/>
  </r>
  <r>
    <x v="4333"/>
    <x v="1"/>
    <x v="0"/>
    <x v="2"/>
    <n v="48.65"/>
    <x v="24"/>
    <x v="3898"/>
    <x v="0"/>
    <x v="0"/>
    <x v="0"/>
    <x v="0"/>
  </r>
  <r>
    <x v="4334"/>
    <x v="1"/>
    <x v="0"/>
    <x v="0"/>
    <n v="44.15"/>
    <x v="2"/>
    <x v="3899"/>
    <x v="1"/>
    <x v="0"/>
    <x v="0"/>
    <x v="0"/>
  </r>
  <r>
    <x v="4335"/>
    <x v="0"/>
    <x v="2"/>
    <x v="2"/>
    <n v="59.85"/>
    <x v="15"/>
    <x v="3900"/>
    <x v="0"/>
    <x v="1"/>
    <x v="1"/>
    <x v="3"/>
  </r>
  <r>
    <x v="4336"/>
    <x v="0"/>
    <x v="0"/>
    <x v="0"/>
    <n v="75.75"/>
    <x v="4"/>
    <x v="3901"/>
    <x v="1"/>
    <x v="0"/>
    <x v="0"/>
    <x v="0"/>
  </r>
  <r>
    <x v="4337"/>
    <x v="0"/>
    <x v="2"/>
    <x v="0"/>
    <n v="80.650000000000006"/>
    <x v="47"/>
    <x v="3902"/>
    <x v="0"/>
    <x v="2"/>
    <x v="1"/>
    <x v="3"/>
  </r>
  <r>
    <x v="4338"/>
    <x v="1"/>
    <x v="1"/>
    <x v="3"/>
    <n v="20.55"/>
    <x v="14"/>
    <x v="3903"/>
    <x v="0"/>
    <x v="0"/>
    <x v="1"/>
    <x v="3"/>
  </r>
  <r>
    <x v="4339"/>
    <x v="0"/>
    <x v="0"/>
    <x v="3"/>
    <n v="66.400000000000006"/>
    <x v="41"/>
    <x v="3904"/>
    <x v="0"/>
    <x v="1"/>
    <x v="1"/>
    <x v="1"/>
  </r>
  <r>
    <x v="4340"/>
    <x v="0"/>
    <x v="2"/>
    <x v="1"/>
    <n v="100.2"/>
    <x v="37"/>
    <x v="3905"/>
    <x v="0"/>
    <x v="2"/>
    <x v="1"/>
    <x v="3"/>
  </r>
  <r>
    <x v="4341"/>
    <x v="0"/>
    <x v="0"/>
    <x v="1"/>
    <n v="19.100000000000001"/>
    <x v="0"/>
    <x v="2875"/>
    <x v="1"/>
    <x v="0"/>
    <x v="0"/>
    <x v="0"/>
  </r>
  <r>
    <x v="4342"/>
    <x v="1"/>
    <x v="0"/>
    <x v="0"/>
    <n v="80.3"/>
    <x v="0"/>
    <x v="3906"/>
    <x v="1"/>
    <x v="0"/>
    <x v="0"/>
    <x v="0"/>
  </r>
  <r>
    <x v="4343"/>
    <x v="1"/>
    <x v="0"/>
    <x v="3"/>
    <n v="44.55"/>
    <x v="55"/>
    <x v="3907"/>
    <x v="0"/>
    <x v="0"/>
    <x v="1"/>
    <x v="1"/>
  </r>
  <r>
    <x v="4344"/>
    <x v="0"/>
    <x v="0"/>
    <x v="1"/>
    <n v="20.350000000000001"/>
    <x v="40"/>
    <x v="3908"/>
    <x v="0"/>
    <x v="0"/>
    <x v="0"/>
    <x v="0"/>
  </r>
  <r>
    <x v="4345"/>
    <x v="1"/>
    <x v="0"/>
    <x v="0"/>
    <n v="91.8"/>
    <x v="38"/>
    <x v="3909"/>
    <x v="0"/>
    <x v="2"/>
    <x v="1"/>
    <x v="3"/>
  </r>
  <r>
    <x v="4346"/>
    <x v="0"/>
    <x v="0"/>
    <x v="0"/>
    <n v="74.900000000000006"/>
    <x v="0"/>
    <x v="1164"/>
    <x v="1"/>
    <x v="0"/>
    <x v="0"/>
    <x v="0"/>
  </r>
  <r>
    <x v="4347"/>
    <x v="1"/>
    <x v="2"/>
    <x v="2"/>
    <n v="20.2"/>
    <x v="64"/>
    <x v="3910"/>
    <x v="0"/>
    <x v="0"/>
    <x v="1"/>
    <x v="3"/>
  </r>
  <r>
    <x v="4348"/>
    <x v="0"/>
    <x v="0"/>
    <x v="0"/>
    <n v="50.35"/>
    <x v="53"/>
    <x v="3911"/>
    <x v="0"/>
    <x v="0"/>
    <x v="0"/>
    <x v="0"/>
  </r>
  <r>
    <x v="4349"/>
    <x v="0"/>
    <x v="0"/>
    <x v="1"/>
    <n v="18.8"/>
    <x v="35"/>
    <x v="3912"/>
    <x v="0"/>
    <x v="0"/>
    <x v="0"/>
    <x v="0"/>
  </r>
  <r>
    <x v="4350"/>
    <x v="0"/>
    <x v="0"/>
    <x v="3"/>
    <n v="20.45"/>
    <x v="30"/>
    <x v="3913"/>
    <x v="0"/>
    <x v="0"/>
    <x v="2"/>
    <x v="2"/>
  </r>
  <r>
    <x v="4351"/>
    <x v="1"/>
    <x v="1"/>
    <x v="0"/>
    <n v="64.75"/>
    <x v="9"/>
    <x v="3914"/>
    <x v="0"/>
    <x v="0"/>
    <x v="2"/>
    <x v="2"/>
  </r>
  <r>
    <x v="4352"/>
    <x v="0"/>
    <x v="0"/>
    <x v="3"/>
    <n v="98.7"/>
    <x v="57"/>
    <x v="3915"/>
    <x v="0"/>
    <x v="1"/>
    <x v="2"/>
    <x v="2"/>
  </r>
  <r>
    <x v="4353"/>
    <x v="1"/>
    <x v="0"/>
    <x v="0"/>
    <n v="89.45"/>
    <x v="36"/>
    <x v="3916"/>
    <x v="0"/>
    <x v="1"/>
    <x v="1"/>
    <x v="1"/>
  </r>
  <r>
    <x v="4354"/>
    <x v="1"/>
    <x v="1"/>
    <x v="0"/>
    <n v="58.75"/>
    <x v="44"/>
    <x v="3917"/>
    <x v="0"/>
    <x v="0"/>
    <x v="1"/>
    <x v="1"/>
  </r>
  <r>
    <x v="4355"/>
    <x v="0"/>
    <x v="1"/>
    <x v="3"/>
    <n v="20.7"/>
    <x v="12"/>
    <x v="3918"/>
    <x v="0"/>
    <x v="0"/>
    <x v="1"/>
    <x v="3"/>
  </r>
  <r>
    <x v="4356"/>
    <x v="0"/>
    <x v="0"/>
    <x v="2"/>
    <n v="85.6"/>
    <x v="39"/>
    <x v="3919"/>
    <x v="0"/>
    <x v="1"/>
    <x v="1"/>
    <x v="3"/>
  </r>
  <r>
    <x v="4357"/>
    <x v="0"/>
    <x v="2"/>
    <x v="3"/>
    <n v="80.3"/>
    <x v="28"/>
    <x v="1477"/>
    <x v="0"/>
    <x v="2"/>
    <x v="1"/>
    <x v="3"/>
  </r>
  <r>
    <x v="4358"/>
    <x v="1"/>
    <x v="2"/>
    <x v="3"/>
    <n v="79.8"/>
    <x v="28"/>
    <x v="3920"/>
    <x v="0"/>
    <x v="2"/>
    <x v="1"/>
    <x v="3"/>
  </r>
  <r>
    <x v="4359"/>
    <x v="1"/>
    <x v="0"/>
    <x v="0"/>
    <n v="79.849999999999994"/>
    <x v="65"/>
    <x v="916"/>
    <x v="0"/>
    <x v="0"/>
    <x v="1"/>
    <x v="2"/>
  </r>
  <r>
    <x v="4360"/>
    <x v="1"/>
    <x v="1"/>
    <x v="3"/>
    <n v="54.1"/>
    <x v="51"/>
    <x v="3921"/>
    <x v="0"/>
    <x v="0"/>
    <x v="1"/>
    <x v="1"/>
  </r>
  <r>
    <x v="4361"/>
    <x v="0"/>
    <x v="0"/>
    <x v="0"/>
    <n v="80.849999999999994"/>
    <x v="34"/>
    <x v="3922"/>
    <x v="1"/>
    <x v="0"/>
    <x v="0"/>
    <x v="0"/>
  </r>
  <r>
    <x v="4362"/>
    <x v="1"/>
    <x v="0"/>
    <x v="0"/>
    <n v="24.75"/>
    <x v="35"/>
    <x v="2366"/>
    <x v="1"/>
    <x v="0"/>
    <x v="0"/>
    <x v="0"/>
  </r>
  <r>
    <x v="4363"/>
    <x v="0"/>
    <x v="1"/>
    <x v="1"/>
    <n v="80.900000000000006"/>
    <x v="17"/>
    <x v="3923"/>
    <x v="0"/>
    <x v="0"/>
    <x v="2"/>
    <x v="2"/>
  </r>
  <r>
    <x v="4364"/>
    <x v="1"/>
    <x v="1"/>
    <x v="2"/>
    <n v="24.5"/>
    <x v="9"/>
    <x v="3924"/>
    <x v="0"/>
    <x v="0"/>
    <x v="2"/>
    <x v="2"/>
  </r>
  <r>
    <x v="4365"/>
    <x v="1"/>
    <x v="0"/>
    <x v="2"/>
    <n v="20.149999999999999"/>
    <x v="0"/>
    <x v="22"/>
    <x v="0"/>
    <x v="0"/>
    <x v="0"/>
    <x v="0"/>
  </r>
  <r>
    <x v="4366"/>
    <x v="0"/>
    <x v="1"/>
    <x v="1"/>
    <n v="20.05"/>
    <x v="13"/>
    <x v="3925"/>
    <x v="0"/>
    <x v="0"/>
    <x v="1"/>
    <x v="1"/>
  </r>
  <r>
    <x v="4367"/>
    <x v="1"/>
    <x v="2"/>
    <x v="2"/>
    <n v="19.600000000000001"/>
    <x v="16"/>
    <x v="3801"/>
    <x v="0"/>
    <x v="0"/>
    <x v="1"/>
    <x v="3"/>
  </r>
  <r>
    <x v="4368"/>
    <x v="1"/>
    <x v="1"/>
    <x v="2"/>
    <n v="114.3"/>
    <x v="33"/>
    <x v="3926"/>
    <x v="0"/>
    <x v="2"/>
    <x v="1"/>
    <x v="3"/>
  </r>
  <r>
    <x v="4369"/>
    <x v="0"/>
    <x v="1"/>
    <x v="0"/>
    <n v="100.3"/>
    <x v="3"/>
    <x v="3927"/>
    <x v="0"/>
    <x v="1"/>
    <x v="1"/>
    <x v="1"/>
  </r>
  <r>
    <x v="4370"/>
    <x v="0"/>
    <x v="0"/>
    <x v="3"/>
    <n v="80"/>
    <x v="5"/>
    <x v="3928"/>
    <x v="0"/>
    <x v="0"/>
    <x v="2"/>
    <x v="2"/>
  </r>
  <r>
    <x v="4371"/>
    <x v="0"/>
    <x v="1"/>
    <x v="2"/>
    <n v="20.85"/>
    <x v="56"/>
    <x v="3929"/>
    <x v="0"/>
    <x v="0"/>
    <x v="1"/>
    <x v="3"/>
  </r>
  <r>
    <x v="4372"/>
    <x v="0"/>
    <x v="2"/>
    <x v="2"/>
    <n v="89.95"/>
    <x v="47"/>
    <x v="3930"/>
    <x v="0"/>
    <x v="2"/>
    <x v="1"/>
    <x v="3"/>
  </r>
  <r>
    <x v="4373"/>
    <x v="0"/>
    <x v="0"/>
    <x v="3"/>
    <n v="90.85"/>
    <x v="12"/>
    <x v="3931"/>
    <x v="1"/>
    <x v="1"/>
    <x v="1"/>
    <x v="3"/>
  </r>
  <r>
    <x v="4374"/>
    <x v="0"/>
    <x v="0"/>
    <x v="1"/>
    <n v="48.75"/>
    <x v="54"/>
    <x v="2101"/>
    <x v="0"/>
    <x v="0"/>
    <x v="0"/>
    <x v="0"/>
  </r>
  <r>
    <x v="4375"/>
    <x v="1"/>
    <x v="1"/>
    <x v="3"/>
    <n v="80"/>
    <x v="28"/>
    <x v="3932"/>
    <x v="0"/>
    <x v="2"/>
    <x v="1"/>
    <x v="3"/>
  </r>
  <r>
    <x v="4376"/>
    <x v="0"/>
    <x v="0"/>
    <x v="2"/>
    <n v="79.7"/>
    <x v="2"/>
    <x v="3933"/>
    <x v="1"/>
    <x v="0"/>
    <x v="0"/>
    <x v="0"/>
  </r>
  <r>
    <x v="4377"/>
    <x v="1"/>
    <x v="1"/>
    <x v="1"/>
    <n v="20.350000000000001"/>
    <x v="17"/>
    <x v="3934"/>
    <x v="0"/>
    <x v="0"/>
    <x v="2"/>
    <x v="2"/>
  </r>
  <r>
    <x v="4378"/>
    <x v="1"/>
    <x v="2"/>
    <x v="2"/>
    <n v="57.55"/>
    <x v="49"/>
    <x v="3935"/>
    <x v="1"/>
    <x v="1"/>
    <x v="1"/>
    <x v="3"/>
  </r>
  <r>
    <x v="4379"/>
    <x v="1"/>
    <x v="0"/>
    <x v="1"/>
    <n v="20.25"/>
    <x v="0"/>
    <x v="291"/>
    <x v="0"/>
    <x v="0"/>
    <x v="0"/>
    <x v="0"/>
  </r>
  <r>
    <x v="4380"/>
    <x v="0"/>
    <x v="2"/>
    <x v="1"/>
    <n v="19.399999999999999"/>
    <x v="22"/>
    <x v="3936"/>
    <x v="0"/>
    <x v="0"/>
    <x v="2"/>
    <x v="2"/>
  </r>
  <r>
    <x v="4381"/>
    <x v="1"/>
    <x v="0"/>
    <x v="2"/>
    <n v="100.4"/>
    <x v="19"/>
    <x v="3937"/>
    <x v="0"/>
    <x v="1"/>
    <x v="1"/>
    <x v="1"/>
  </r>
  <r>
    <x v="4382"/>
    <x v="1"/>
    <x v="0"/>
    <x v="1"/>
    <n v="57.95"/>
    <x v="5"/>
    <x v="3938"/>
    <x v="0"/>
    <x v="0"/>
    <x v="2"/>
    <x v="2"/>
  </r>
  <r>
    <x v="4383"/>
    <x v="0"/>
    <x v="0"/>
    <x v="2"/>
    <n v="59.5"/>
    <x v="34"/>
    <x v="3939"/>
    <x v="0"/>
    <x v="0"/>
    <x v="0"/>
    <x v="0"/>
  </r>
  <r>
    <x v="4384"/>
    <x v="1"/>
    <x v="0"/>
    <x v="1"/>
    <n v="19.2"/>
    <x v="0"/>
    <x v="1736"/>
    <x v="0"/>
    <x v="0"/>
    <x v="0"/>
    <x v="0"/>
  </r>
  <r>
    <x v="4385"/>
    <x v="0"/>
    <x v="0"/>
    <x v="0"/>
    <n v="86.5"/>
    <x v="17"/>
    <x v="3940"/>
    <x v="1"/>
    <x v="0"/>
    <x v="2"/>
    <x v="2"/>
  </r>
  <r>
    <x v="4386"/>
    <x v="1"/>
    <x v="0"/>
    <x v="0"/>
    <n v="59.55"/>
    <x v="67"/>
    <x v="3941"/>
    <x v="0"/>
    <x v="0"/>
    <x v="2"/>
    <x v="2"/>
  </r>
  <r>
    <x v="4387"/>
    <x v="0"/>
    <x v="0"/>
    <x v="0"/>
    <n v="103.95"/>
    <x v="14"/>
    <x v="3942"/>
    <x v="1"/>
    <x v="2"/>
    <x v="1"/>
    <x v="3"/>
  </r>
  <r>
    <x v="4388"/>
    <x v="1"/>
    <x v="0"/>
    <x v="0"/>
    <n v="25.1"/>
    <x v="0"/>
    <x v="2859"/>
    <x v="1"/>
    <x v="0"/>
    <x v="0"/>
    <x v="0"/>
  </r>
  <r>
    <x v="4389"/>
    <x v="0"/>
    <x v="2"/>
    <x v="2"/>
    <n v="103.95"/>
    <x v="21"/>
    <x v="3943"/>
    <x v="0"/>
    <x v="2"/>
    <x v="1"/>
    <x v="3"/>
  </r>
  <r>
    <x v="4390"/>
    <x v="1"/>
    <x v="2"/>
    <x v="3"/>
    <n v="68.95"/>
    <x v="27"/>
    <x v="3944"/>
    <x v="0"/>
    <x v="1"/>
    <x v="1"/>
    <x v="3"/>
  </r>
  <r>
    <x v="4391"/>
    <x v="0"/>
    <x v="0"/>
    <x v="2"/>
    <n v="103.1"/>
    <x v="33"/>
    <x v="3945"/>
    <x v="0"/>
    <x v="2"/>
    <x v="1"/>
    <x v="3"/>
  </r>
  <r>
    <x v="4392"/>
    <x v="0"/>
    <x v="0"/>
    <x v="0"/>
    <n v="24.7"/>
    <x v="40"/>
    <x v="3946"/>
    <x v="0"/>
    <x v="0"/>
    <x v="0"/>
    <x v="0"/>
  </r>
  <r>
    <x v="4393"/>
    <x v="0"/>
    <x v="0"/>
    <x v="0"/>
    <n v="110.2"/>
    <x v="25"/>
    <x v="3947"/>
    <x v="0"/>
    <x v="2"/>
    <x v="1"/>
    <x v="1"/>
  </r>
  <r>
    <x v="4394"/>
    <x v="1"/>
    <x v="0"/>
    <x v="3"/>
    <n v="48.95"/>
    <x v="71"/>
    <x v="3948"/>
    <x v="1"/>
    <x v="0"/>
    <x v="1"/>
    <x v="1"/>
  </r>
  <r>
    <x v="4395"/>
    <x v="0"/>
    <x v="0"/>
    <x v="2"/>
    <n v="62.45"/>
    <x v="48"/>
    <x v="3949"/>
    <x v="0"/>
    <x v="0"/>
    <x v="1"/>
    <x v="1"/>
  </r>
  <r>
    <x v="4396"/>
    <x v="1"/>
    <x v="0"/>
    <x v="0"/>
    <n v="89.55"/>
    <x v="65"/>
    <x v="3950"/>
    <x v="0"/>
    <x v="1"/>
    <x v="1"/>
    <x v="2"/>
  </r>
  <r>
    <x v="4397"/>
    <x v="1"/>
    <x v="0"/>
    <x v="3"/>
    <n v="83.55"/>
    <x v="53"/>
    <x v="3951"/>
    <x v="1"/>
    <x v="0"/>
    <x v="0"/>
    <x v="0"/>
  </r>
  <r>
    <x v="4398"/>
    <x v="0"/>
    <x v="0"/>
    <x v="3"/>
    <n v="78.900000000000006"/>
    <x v="50"/>
    <x v="3952"/>
    <x v="0"/>
    <x v="1"/>
    <x v="1"/>
    <x v="1"/>
  </r>
  <r>
    <x v="4399"/>
    <x v="1"/>
    <x v="0"/>
    <x v="1"/>
    <n v="20.350000000000001"/>
    <x v="4"/>
    <x v="3953"/>
    <x v="0"/>
    <x v="0"/>
    <x v="0"/>
    <x v="0"/>
  </r>
  <r>
    <x v="4400"/>
    <x v="0"/>
    <x v="2"/>
    <x v="2"/>
    <n v="71.45"/>
    <x v="21"/>
    <x v="3954"/>
    <x v="0"/>
    <x v="2"/>
    <x v="1"/>
    <x v="3"/>
  </r>
  <r>
    <x v="4401"/>
    <x v="1"/>
    <x v="2"/>
    <x v="3"/>
    <n v="46.35"/>
    <x v="16"/>
    <x v="3955"/>
    <x v="0"/>
    <x v="1"/>
    <x v="1"/>
    <x v="3"/>
  </r>
  <r>
    <x v="4402"/>
    <x v="0"/>
    <x v="0"/>
    <x v="2"/>
    <n v="94.65"/>
    <x v="10"/>
    <x v="3956"/>
    <x v="0"/>
    <x v="0"/>
    <x v="2"/>
    <x v="2"/>
  </r>
  <r>
    <x v="4403"/>
    <x v="0"/>
    <x v="0"/>
    <x v="2"/>
    <n v="49.9"/>
    <x v="58"/>
    <x v="3957"/>
    <x v="0"/>
    <x v="1"/>
    <x v="1"/>
    <x v="3"/>
  </r>
  <r>
    <x v="4404"/>
    <x v="1"/>
    <x v="1"/>
    <x v="2"/>
    <n v="25.45"/>
    <x v="33"/>
    <x v="3958"/>
    <x v="0"/>
    <x v="0"/>
    <x v="1"/>
    <x v="3"/>
  </r>
  <r>
    <x v="4405"/>
    <x v="0"/>
    <x v="0"/>
    <x v="0"/>
    <n v="89.15"/>
    <x v="22"/>
    <x v="3959"/>
    <x v="1"/>
    <x v="0"/>
    <x v="2"/>
    <x v="2"/>
  </r>
  <r>
    <x v="4406"/>
    <x v="0"/>
    <x v="0"/>
    <x v="1"/>
    <n v="20.75"/>
    <x v="17"/>
    <x v="3960"/>
    <x v="0"/>
    <x v="0"/>
    <x v="2"/>
    <x v="2"/>
  </r>
  <r>
    <x v="4407"/>
    <x v="1"/>
    <x v="2"/>
    <x v="3"/>
    <n v="66.099999999999994"/>
    <x v="33"/>
    <x v="3961"/>
    <x v="0"/>
    <x v="1"/>
    <x v="1"/>
    <x v="3"/>
  </r>
  <r>
    <x v="4408"/>
    <x v="0"/>
    <x v="0"/>
    <x v="2"/>
    <n v="75.400000000000006"/>
    <x v="22"/>
    <x v="3962"/>
    <x v="0"/>
    <x v="0"/>
    <x v="2"/>
    <x v="2"/>
  </r>
  <r>
    <x v="4409"/>
    <x v="1"/>
    <x v="0"/>
    <x v="1"/>
    <n v="70.45"/>
    <x v="0"/>
    <x v="138"/>
    <x v="1"/>
    <x v="0"/>
    <x v="0"/>
    <x v="0"/>
  </r>
  <r>
    <x v="4410"/>
    <x v="1"/>
    <x v="1"/>
    <x v="3"/>
    <n v="60.3"/>
    <x v="11"/>
    <x v="3963"/>
    <x v="1"/>
    <x v="1"/>
    <x v="1"/>
    <x v="3"/>
  </r>
  <r>
    <x v="4411"/>
    <x v="0"/>
    <x v="0"/>
    <x v="3"/>
    <n v="21.05"/>
    <x v="4"/>
    <x v="3964"/>
    <x v="0"/>
    <x v="0"/>
    <x v="0"/>
    <x v="0"/>
  </r>
  <r>
    <x v="4412"/>
    <x v="1"/>
    <x v="1"/>
    <x v="3"/>
    <n v="69.349999999999994"/>
    <x v="23"/>
    <x v="3965"/>
    <x v="0"/>
    <x v="0"/>
    <x v="1"/>
    <x v="1"/>
  </r>
  <r>
    <x v="4413"/>
    <x v="1"/>
    <x v="0"/>
    <x v="1"/>
    <n v="88.85"/>
    <x v="1"/>
    <x v="3966"/>
    <x v="0"/>
    <x v="1"/>
    <x v="1"/>
    <x v="1"/>
  </r>
  <r>
    <x v="4414"/>
    <x v="1"/>
    <x v="1"/>
    <x v="2"/>
    <n v="97"/>
    <x v="19"/>
    <x v="3967"/>
    <x v="0"/>
    <x v="1"/>
    <x v="1"/>
    <x v="1"/>
  </r>
  <r>
    <x v="4415"/>
    <x v="1"/>
    <x v="0"/>
    <x v="3"/>
    <n v="66.400000000000006"/>
    <x v="55"/>
    <x v="3968"/>
    <x v="0"/>
    <x v="1"/>
    <x v="1"/>
    <x v="1"/>
  </r>
  <r>
    <x v="4416"/>
    <x v="1"/>
    <x v="0"/>
    <x v="0"/>
    <n v="24.75"/>
    <x v="0"/>
    <x v="3969"/>
    <x v="1"/>
    <x v="0"/>
    <x v="0"/>
    <x v="0"/>
  </r>
  <r>
    <x v="4417"/>
    <x v="1"/>
    <x v="0"/>
    <x v="1"/>
    <n v="69.2"/>
    <x v="60"/>
    <x v="3970"/>
    <x v="0"/>
    <x v="0"/>
    <x v="2"/>
    <x v="2"/>
  </r>
  <r>
    <x v="4418"/>
    <x v="0"/>
    <x v="1"/>
    <x v="3"/>
    <n v="79.5"/>
    <x v="10"/>
    <x v="3971"/>
    <x v="0"/>
    <x v="0"/>
    <x v="2"/>
    <x v="2"/>
  </r>
  <r>
    <x v="4419"/>
    <x v="0"/>
    <x v="2"/>
    <x v="3"/>
    <n v="100.65"/>
    <x v="12"/>
    <x v="3972"/>
    <x v="0"/>
    <x v="1"/>
    <x v="1"/>
    <x v="3"/>
  </r>
  <r>
    <x v="4420"/>
    <x v="1"/>
    <x v="0"/>
    <x v="0"/>
    <n v="103.3"/>
    <x v="67"/>
    <x v="3973"/>
    <x v="1"/>
    <x v="0"/>
    <x v="2"/>
    <x v="2"/>
  </r>
  <r>
    <x v="4421"/>
    <x v="0"/>
    <x v="2"/>
    <x v="2"/>
    <n v="79.7"/>
    <x v="27"/>
    <x v="3974"/>
    <x v="0"/>
    <x v="2"/>
    <x v="1"/>
    <x v="3"/>
  </r>
  <r>
    <x v="4422"/>
    <x v="0"/>
    <x v="0"/>
    <x v="2"/>
    <n v="61.4"/>
    <x v="48"/>
    <x v="3975"/>
    <x v="0"/>
    <x v="0"/>
    <x v="1"/>
    <x v="1"/>
  </r>
  <r>
    <x v="4423"/>
    <x v="0"/>
    <x v="0"/>
    <x v="0"/>
    <n v="69.8"/>
    <x v="32"/>
    <x v="3976"/>
    <x v="0"/>
    <x v="0"/>
    <x v="2"/>
    <x v="2"/>
  </r>
  <r>
    <x v="4424"/>
    <x v="1"/>
    <x v="2"/>
    <x v="1"/>
    <n v="40.549999999999997"/>
    <x v="50"/>
    <x v="3977"/>
    <x v="0"/>
    <x v="0"/>
    <x v="1"/>
    <x v="1"/>
  </r>
  <r>
    <x v="4425"/>
    <x v="0"/>
    <x v="0"/>
    <x v="0"/>
    <n v="75.650000000000006"/>
    <x v="54"/>
    <x v="3978"/>
    <x v="0"/>
    <x v="0"/>
    <x v="0"/>
    <x v="0"/>
  </r>
  <r>
    <x v="4426"/>
    <x v="0"/>
    <x v="0"/>
    <x v="0"/>
    <n v="90.7"/>
    <x v="10"/>
    <x v="3979"/>
    <x v="0"/>
    <x v="0"/>
    <x v="2"/>
    <x v="2"/>
  </r>
  <r>
    <x v="4427"/>
    <x v="1"/>
    <x v="0"/>
    <x v="2"/>
    <n v="80.5"/>
    <x v="22"/>
    <x v="3327"/>
    <x v="0"/>
    <x v="0"/>
    <x v="2"/>
    <x v="2"/>
  </r>
  <r>
    <x v="4428"/>
    <x v="0"/>
    <x v="0"/>
    <x v="0"/>
    <n v="60.6"/>
    <x v="67"/>
    <x v="3980"/>
    <x v="0"/>
    <x v="0"/>
    <x v="2"/>
    <x v="2"/>
  </r>
  <r>
    <x v="4429"/>
    <x v="1"/>
    <x v="2"/>
    <x v="3"/>
    <n v="101.15"/>
    <x v="31"/>
    <x v="3981"/>
    <x v="0"/>
    <x v="2"/>
    <x v="1"/>
    <x v="3"/>
  </r>
  <r>
    <x v="4430"/>
    <x v="1"/>
    <x v="2"/>
    <x v="1"/>
    <n v="24.95"/>
    <x v="69"/>
    <x v="3982"/>
    <x v="0"/>
    <x v="0"/>
    <x v="1"/>
    <x v="3"/>
  </r>
  <r>
    <x v="4431"/>
    <x v="1"/>
    <x v="2"/>
    <x v="3"/>
    <n v="20.3"/>
    <x v="7"/>
    <x v="3983"/>
    <x v="0"/>
    <x v="0"/>
    <x v="1"/>
    <x v="1"/>
  </r>
  <r>
    <x v="4432"/>
    <x v="1"/>
    <x v="2"/>
    <x v="0"/>
    <n v="60"/>
    <x v="29"/>
    <x v="3984"/>
    <x v="0"/>
    <x v="1"/>
    <x v="1"/>
    <x v="1"/>
  </r>
  <r>
    <x v="4433"/>
    <x v="1"/>
    <x v="2"/>
    <x v="0"/>
    <n v="20.25"/>
    <x v="41"/>
    <x v="2639"/>
    <x v="0"/>
    <x v="0"/>
    <x v="1"/>
    <x v="1"/>
  </r>
  <r>
    <x v="4434"/>
    <x v="1"/>
    <x v="0"/>
    <x v="0"/>
    <n v="78.5"/>
    <x v="35"/>
    <x v="3985"/>
    <x v="1"/>
    <x v="0"/>
    <x v="0"/>
    <x v="0"/>
  </r>
  <r>
    <x v="4435"/>
    <x v="0"/>
    <x v="0"/>
    <x v="1"/>
    <n v="44.75"/>
    <x v="0"/>
    <x v="2239"/>
    <x v="0"/>
    <x v="0"/>
    <x v="0"/>
    <x v="0"/>
  </r>
  <r>
    <x v="4436"/>
    <x v="0"/>
    <x v="0"/>
    <x v="1"/>
    <n v="19.850000000000001"/>
    <x v="35"/>
    <x v="739"/>
    <x v="1"/>
    <x v="0"/>
    <x v="0"/>
    <x v="0"/>
  </r>
  <r>
    <x v="4437"/>
    <x v="0"/>
    <x v="2"/>
    <x v="3"/>
    <n v="98"/>
    <x v="28"/>
    <x v="3986"/>
    <x v="0"/>
    <x v="2"/>
    <x v="1"/>
    <x v="3"/>
  </r>
  <r>
    <x v="4438"/>
    <x v="1"/>
    <x v="0"/>
    <x v="0"/>
    <n v="79.900000000000006"/>
    <x v="35"/>
    <x v="3987"/>
    <x v="1"/>
    <x v="0"/>
    <x v="0"/>
    <x v="0"/>
  </r>
  <r>
    <x v="4439"/>
    <x v="1"/>
    <x v="0"/>
    <x v="0"/>
    <n v="107.7"/>
    <x v="47"/>
    <x v="3988"/>
    <x v="0"/>
    <x v="2"/>
    <x v="1"/>
    <x v="3"/>
  </r>
  <r>
    <x v="4440"/>
    <x v="0"/>
    <x v="0"/>
    <x v="0"/>
    <n v="99.7"/>
    <x v="19"/>
    <x v="3989"/>
    <x v="1"/>
    <x v="1"/>
    <x v="1"/>
    <x v="1"/>
  </r>
  <r>
    <x v="4441"/>
    <x v="0"/>
    <x v="2"/>
    <x v="0"/>
    <n v="104.7"/>
    <x v="31"/>
    <x v="3990"/>
    <x v="0"/>
    <x v="2"/>
    <x v="1"/>
    <x v="3"/>
  </r>
  <r>
    <x v="4442"/>
    <x v="1"/>
    <x v="0"/>
    <x v="3"/>
    <n v="58.6"/>
    <x v="30"/>
    <x v="3991"/>
    <x v="1"/>
    <x v="0"/>
    <x v="2"/>
    <x v="2"/>
  </r>
  <r>
    <x v="4443"/>
    <x v="1"/>
    <x v="0"/>
    <x v="2"/>
    <n v="93.9"/>
    <x v="3"/>
    <x v="3992"/>
    <x v="0"/>
    <x v="1"/>
    <x v="1"/>
    <x v="1"/>
  </r>
  <r>
    <x v="4444"/>
    <x v="0"/>
    <x v="2"/>
    <x v="3"/>
    <n v="86.45"/>
    <x v="27"/>
    <x v="3993"/>
    <x v="0"/>
    <x v="2"/>
    <x v="1"/>
    <x v="3"/>
  </r>
  <r>
    <x v="4445"/>
    <x v="1"/>
    <x v="0"/>
    <x v="0"/>
    <n v="98.5"/>
    <x v="6"/>
    <x v="782"/>
    <x v="1"/>
    <x v="0"/>
    <x v="0"/>
    <x v="0"/>
  </r>
  <r>
    <x v="4446"/>
    <x v="1"/>
    <x v="0"/>
    <x v="1"/>
    <n v="19.399999999999999"/>
    <x v="54"/>
    <x v="3994"/>
    <x v="0"/>
    <x v="0"/>
    <x v="0"/>
    <x v="0"/>
  </r>
  <r>
    <x v="4447"/>
    <x v="0"/>
    <x v="0"/>
    <x v="1"/>
    <n v="50.45"/>
    <x v="0"/>
    <x v="1372"/>
    <x v="1"/>
    <x v="0"/>
    <x v="0"/>
    <x v="0"/>
  </r>
  <r>
    <x v="4448"/>
    <x v="0"/>
    <x v="2"/>
    <x v="3"/>
    <n v="24.95"/>
    <x v="47"/>
    <x v="3995"/>
    <x v="0"/>
    <x v="0"/>
    <x v="1"/>
    <x v="3"/>
  </r>
  <r>
    <x v="4449"/>
    <x v="1"/>
    <x v="0"/>
    <x v="2"/>
    <n v="75"/>
    <x v="5"/>
    <x v="3301"/>
    <x v="0"/>
    <x v="0"/>
    <x v="2"/>
    <x v="2"/>
  </r>
  <r>
    <x v="4450"/>
    <x v="1"/>
    <x v="0"/>
    <x v="0"/>
    <n v="94.65"/>
    <x v="46"/>
    <x v="3996"/>
    <x v="1"/>
    <x v="1"/>
    <x v="1"/>
    <x v="1"/>
  </r>
  <r>
    <x v="4451"/>
    <x v="0"/>
    <x v="0"/>
    <x v="3"/>
    <n v="100.25"/>
    <x v="0"/>
    <x v="794"/>
    <x v="1"/>
    <x v="0"/>
    <x v="0"/>
    <x v="0"/>
  </r>
  <r>
    <x v="4452"/>
    <x v="1"/>
    <x v="0"/>
    <x v="0"/>
    <n v="78.2"/>
    <x v="32"/>
    <x v="3784"/>
    <x v="0"/>
    <x v="0"/>
    <x v="2"/>
    <x v="2"/>
  </r>
  <r>
    <x v="4453"/>
    <x v="1"/>
    <x v="0"/>
    <x v="0"/>
    <n v="94.2"/>
    <x v="44"/>
    <x v="3997"/>
    <x v="0"/>
    <x v="1"/>
    <x v="1"/>
    <x v="1"/>
  </r>
  <r>
    <x v="4454"/>
    <x v="0"/>
    <x v="0"/>
    <x v="0"/>
    <n v="88.45"/>
    <x v="10"/>
    <x v="3998"/>
    <x v="1"/>
    <x v="0"/>
    <x v="2"/>
    <x v="2"/>
  </r>
  <r>
    <x v="4455"/>
    <x v="1"/>
    <x v="0"/>
    <x v="0"/>
    <n v="69.849999999999994"/>
    <x v="0"/>
    <x v="3999"/>
    <x v="1"/>
    <x v="0"/>
    <x v="0"/>
    <x v="0"/>
  </r>
  <r>
    <x v="4456"/>
    <x v="1"/>
    <x v="0"/>
    <x v="2"/>
    <n v="81.7"/>
    <x v="18"/>
    <x v="4000"/>
    <x v="1"/>
    <x v="0"/>
    <x v="2"/>
    <x v="0"/>
  </r>
  <r>
    <x v="4457"/>
    <x v="1"/>
    <x v="1"/>
    <x v="0"/>
    <n v="50.05"/>
    <x v="36"/>
    <x v="4001"/>
    <x v="0"/>
    <x v="0"/>
    <x v="1"/>
    <x v="1"/>
  </r>
  <r>
    <x v="4458"/>
    <x v="1"/>
    <x v="0"/>
    <x v="0"/>
    <n v="79.900000000000006"/>
    <x v="54"/>
    <x v="4002"/>
    <x v="1"/>
    <x v="0"/>
    <x v="0"/>
    <x v="0"/>
  </r>
  <r>
    <x v="4459"/>
    <x v="0"/>
    <x v="1"/>
    <x v="1"/>
    <n v="69.55"/>
    <x v="43"/>
    <x v="4003"/>
    <x v="0"/>
    <x v="1"/>
    <x v="1"/>
    <x v="1"/>
  </r>
  <r>
    <x v="4460"/>
    <x v="0"/>
    <x v="0"/>
    <x v="3"/>
    <n v="25.4"/>
    <x v="30"/>
    <x v="4004"/>
    <x v="1"/>
    <x v="0"/>
    <x v="2"/>
    <x v="2"/>
  </r>
  <r>
    <x v="4461"/>
    <x v="1"/>
    <x v="1"/>
    <x v="3"/>
    <n v="90.1"/>
    <x v="37"/>
    <x v="4005"/>
    <x v="0"/>
    <x v="1"/>
    <x v="1"/>
    <x v="3"/>
  </r>
  <r>
    <x v="4462"/>
    <x v="1"/>
    <x v="0"/>
    <x v="2"/>
    <n v="44.65"/>
    <x v="40"/>
    <x v="4006"/>
    <x v="0"/>
    <x v="0"/>
    <x v="0"/>
    <x v="0"/>
  </r>
  <r>
    <x v="4463"/>
    <x v="1"/>
    <x v="0"/>
    <x v="2"/>
    <n v="83.75"/>
    <x v="52"/>
    <x v="4007"/>
    <x v="1"/>
    <x v="1"/>
    <x v="1"/>
    <x v="1"/>
  </r>
  <r>
    <x v="4464"/>
    <x v="1"/>
    <x v="2"/>
    <x v="3"/>
    <n v="80.349999999999994"/>
    <x v="47"/>
    <x v="704"/>
    <x v="0"/>
    <x v="2"/>
    <x v="1"/>
    <x v="3"/>
  </r>
  <r>
    <x v="4465"/>
    <x v="0"/>
    <x v="0"/>
    <x v="2"/>
    <n v="98.1"/>
    <x v="70"/>
    <x v="4008"/>
    <x v="0"/>
    <x v="1"/>
    <x v="1"/>
    <x v="1"/>
  </r>
  <r>
    <x v="4466"/>
    <x v="1"/>
    <x v="2"/>
    <x v="3"/>
    <n v="53.35"/>
    <x v="58"/>
    <x v="4009"/>
    <x v="0"/>
    <x v="1"/>
    <x v="1"/>
    <x v="3"/>
  </r>
  <r>
    <x v="4467"/>
    <x v="0"/>
    <x v="0"/>
    <x v="0"/>
    <n v="19.55"/>
    <x v="35"/>
    <x v="4010"/>
    <x v="0"/>
    <x v="0"/>
    <x v="0"/>
    <x v="0"/>
  </r>
  <r>
    <x v="4468"/>
    <x v="0"/>
    <x v="0"/>
    <x v="1"/>
    <n v="20.9"/>
    <x v="0"/>
    <x v="1848"/>
    <x v="1"/>
    <x v="0"/>
    <x v="0"/>
    <x v="0"/>
  </r>
  <r>
    <x v="4469"/>
    <x v="1"/>
    <x v="1"/>
    <x v="2"/>
    <n v="48.95"/>
    <x v="67"/>
    <x v="4011"/>
    <x v="0"/>
    <x v="0"/>
    <x v="2"/>
    <x v="2"/>
  </r>
  <r>
    <x v="4470"/>
    <x v="0"/>
    <x v="0"/>
    <x v="0"/>
    <n v="54.2"/>
    <x v="35"/>
    <x v="4012"/>
    <x v="0"/>
    <x v="0"/>
    <x v="0"/>
    <x v="0"/>
  </r>
  <r>
    <x v="4471"/>
    <x v="0"/>
    <x v="2"/>
    <x v="0"/>
    <n v="24.45"/>
    <x v="64"/>
    <x v="4013"/>
    <x v="0"/>
    <x v="0"/>
    <x v="1"/>
    <x v="3"/>
  </r>
  <r>
    <x v="4472"/>
    <x v="0"/>
    <x v="0"/>
    <x v="1"/>
    <n v="69.400000000000006"/>
    <x v="0"/>
    <x v="665"/>
    <x v="1"/>
    <x v="0"/>
    <x v="0"/>
    <x v="0"/>
  </r>
  <r>
    <x v="4473"/>
    <x v="1"/>
    <x v="0"/>
    <x v="2"/>
    <n v="40.15"/>
    <x v="41"/>
    <x v="4014"/>
    <x v="0"/>
    <x v="0"/>
    <x v="1"/>
    <x v="1"/>
  </r>
  <r>
    <x v="4474"/>
    <x v="0"/>
    <x v="0"/>
    <x v="0"/>
    <n v="74.900000000000006"/>
    <x v="40"/>
    <x v="2308"/>
    <x v="1"/>
    <x v="0"/>
    <x v="0"/>
    <x v="0"/>
  </r>
  <r>
    <x v="4475"/>
    <x v="1"/>
    <x v="2"/>
    <x v="3"/>
    <n v="25.6"/>
    <x v="56"/>
    <x v="4015"/>
    <x v="0"/>
    <x v="0"/>
    <x v="1"/>
    <x v="3"/>
  </r>
  <r>
    <x v="4476"/>
    <x v="1"/>
    <x v="0"/>
    <x v="0"/>
    <n v="70.349999999999994"/>
    <x v="0"/>
    <x v="4016"/>
    <x v="0"/>
    <x v="0"/>
    <x v="0"/>
    <x v="0"/>
  </r>
  <r>
    <x v="4477"/>
    <x v="1"/>
    <x v="2"/>
    <x v="2"/>
    <n v="91.7"/>
    <x v="33"/>
    <x v="4017"/>
    <x v="0"/>
    <x v="2"/>
    <x v="1"/>
    <x v="3"/>
  </r>
  <r>
    <x v="4478"/>
    <x v="0"/>
    <x v="0"/>
    <x v="1"/>
    <n v="89.2"/>
    <x v="59"/>
    <x v="4018"/>
    <x v="0"/>
    <x v="2"/>
    <x v="1"/>
    <x v="3"/>
  </r>
  <r>
    <x v="4479"/>
    <x v="1"/>
    <x v="1"/>
    <x v="3"/>
    <n v="24.1"/>
    <x v="54"/>
    <x v="4019"/>
    <x v="0"/>
    <x v="0"/>
    <x v="0"/>
    <x v="0"/>
  </r>
  <r>
    <x v="4480"/>
    <x v="0"/>
    <x v="0"/>
    <x v="3"/>
    <n v="74.150000000000006"/>
    <x v="41"/>
    <x v="4020"/>
    <x v="1"/>
    <x v="1"/>
    <x v="1"/>
    <x v="1"/>
  </r>
  <r>
    <x v="4481"/>
    <x v="0"/>
    <x v="1"/>
    <x v="2"/>
    <n v="53.85"/>
    <x v="38"/>
    <x v="4021"/>
    <x v="0"/>
    <x v="1"/>
    <x v="1"/>
    <x v="3"/>
  </r>
  <r>
    <x v="4482"/>
    <x v="0"/>
    <x v="1"/>
    <x v="2"/>
    <n v="115.6"/>
    <x v="68"/>
    <x v="4022"/>
    <x v="0"/>
    <x v="2"/>
    <x v="1"/>
    <x v="3"/>
  </r>
  <r>
    <x v="4483"/>
    <x v="1"/>
    <x v="0"/>
    <x v="3"/>
    <n v="19.75"/>
    <x v="0"/>
    <x v="127"/>
    <x v="0"/>
    <x v="0"/>
    <x v="0"/>
    <x v="0"/>
  </r>
  <r>
    <x v="4484"/>
    <x v="1"/>
    <x v="2"/>
    <x v="2"/>
    <n v="24.05"/>
    <x v="68"/>
    <x v="4023"/>
    <x v="0"/>
    <x v="0"/>
    <x v="1"/>
    <x v="3"/>
  </r>
  <r>
    <x v="4485"/>
    <x v="0"/>
    <x v="2"/>
    <x v="3"/>
    <n v="25.3"/>
    <x v="32"/>
    <x v="4024"/>
    <x v="0"/>
    <x v="0"/>
    <x v="2"/>
    <x v="2"/>
  </r>
  <r>
    <x v="4486"/>
    <x v="1"/>
    <x v="0"/>
    <x v="0"/>
    <n v="84.3"/>
    <x v="35"/>
    <x v="4025"/>
    <x v="0"/>
    <x v="0"/>
    <x v="0"/>
    <x v="0"/>
  </r>
  <r>
    <x v="4487"/>
    <x v="0"/>
    <x v="0"/>
    <x v="0"/>
    <n v="70.099999999999994"/>
    <x v="0"/>
    <x v="2447"/>
    <x v="1"/>
    <x v="0"/>
    <x v="0"/>
    <x v="0"/>
  </r>
  <r>
    <x v="4488"/>
    <x v="0"/>
    <x v="2"/>
    <x v="3"/>
    <n v="89.75"/>
    <x v="21"/>
    <x v="4026"/>
    <x v="0"/>
    <x v="2"/>
    <x v="1"/>
    <x v="3"/>
  </r>
  <r>
    <x v="4489"/>
    <x v="1"/>
    <x v="1"/>
    <x v="0"/>
    <n v="97.95"/>
    <x v="31"/>
    <x v="4027"/>
    <x v="0"/>
    <x v="2"/>
    <x v="1"/>
    <x v="3"/>
  </r>
  <r>
    <x v="4490"/>
    <x v="0"/>
    <x v="1"/>
    <x v="1"/>
    <n v="20"/>
    <x v="26"/>
    <x v="2789"/>
    <x v="0"/>
    <x v="0"/>
    <x v="0"/>
    <x v="0"/>
  </r>
  <r>
    <x v="4491"/>
    <x v="0"/>
    <x v="0"/>
    <x v="0"/>
    <n v="78.3"/>
    <x v="18"/>
    <x v="4028"/>
    <x v="1"/>
    <x v="0"/>
    <x v="2"/>
    <x v="0"/>
  </r>
  <r>
    <x v="4492"/>
    <x v="1"/>
    <x v="1"/>
    <x v="3"/>
    <n v="103.9"/>
    <x v="59"/>
    <x v="4029"/>
    <x v="0"/>
    <x v="2"/>
    <x v="1"/>
    <x v="3"/>
  </r>
  <r>
    <x v="4493"/>
    <x v="0"/>
    <x v="2"/>
    <x v="3"/>
    <n v="20.7"/>
    <x v="71"/>
    <x v="4030"/>
    <x v="0"/>
    <x v="0"/>
    <x v="1"/>
    <x v="1"/>
  </r>
  <r>
    <x v="4494"/>
    <x v="1"/>
    <x v="0"/>
    <x v="0"/>
    <n v="96.8"/>
    <x v="49"/>
    <x v="4031"/>
    <x v="1"/>
    <x v="2"/>
    <x v="1"/>
    <x v="3"/>
  </r>
  <r>
    <x v="4495"/>
    <x v="0"/>
    <x v="0"/>
    <x v="0"/>
    <n v="94.4"/>
    <x v="22"/>
    <x v="3888"/>
    <x v="1"/>
    <x v="0"/>
    <x v="2"/>
    <x v="2"/>
  </r>
  <r>
    <x v="4496"/>
    <x v="1"/>
    <x v="1"/>
    <x v="3"/>
    <n v="20.149999999999999"/>
    <x v="50"/>
    <x v="4032"/>
    <x v="0"/>
    <x v="0"/>
    <x v="1"/>
    <x v="1"/>
  </r>
  <r>
    <x v="4497"/>
    <x v="0"/>
    <x v="2"/>
    <x v="1"/>
    <n v="26"/>
    <x v="21"/>
    <x v="4033"/>
    <x v="0"/>
    <x v="0"/>
    <x v="1"/>
    <x v="3"/>
  </r>
  <r>
    <x v="4498"/>
    <x v="1"/>
    <x v="2"/>
    <x v="3"/>
    <n v="77.349999999999994"/>
    <x v="21"/>
    <x v="4034"/>
    <x v="0"/>
    <x v="2"/>
    <x v="1"/>
    <x v="3"/>
  </r>
  <r>
    <x v="4499"/>
    <x v="0"/>
    <x v="0"/>
    <x v="2"/>
    <n v="66.05"/>
    <x v="4"/>
    <x v="4035"/>
    <x v="0"/>
    <x v="0"/>
    <x v="0"/>
    <x v="0"/>
  </r>
  <r>
    <x v="4500"/>
    <x v="0"/>
    <x v="0"/>
    <x v="1"/>
    <n v="19.899999999999999"/>
    <x v="5"/>
    <x v="4036"/>
    <x v="0"/>
    <x v="0"/>
    <x v="2"/>
    <x v="2"/>
  </r>
  <r>
    <x v="4501"/>
    <x v="0"/>
    <x v="0"/>
    <x v="0"/>
    <n v="84.3"/>
    <x v="0"/>
    <x v="4037"/>
    <x v="1"/>
    <x v="0"/>
    <x v="0"/>
    <x v="0"/>
  </r>
  <r>
    <x v="4502"/>
    <x v="0"/>
    <x v="0"/>
    <x v="3"/>
    <n v="68.150000000000006"/>
    <x v="46"/>
    <x v="4038"/>
    <x v="0"/>
    <x v="1"/>
    <x v="1"/>
    <x v="1"/>
  </r>
  <r>
    <x v="4503"/>
    <x v="1"/>
    <x v="1"/>
    <x v="0"/>
    <n v="80.849999999999994"/>
    <x v="22"/>
    <x v="1987"/>
    <x v="0"/>
    <x v="0"/>
    <x v="2"/>
    <x v="2"/>
  </r>
  <r>
    <x v="4504"/>
    <x v="0"/>
    <x v="2"/>
    <x v="2"/>
    <n v="75.5"/>
    <x v="27"/>
    <x v="4039"/>
    <x v="0"/>
    <x v="2"/>
    <x v="1"/>
    <x v="3"/>
  </r>
  <r>
    <x v="4505"/>
    <x v="0"/>
    <x v="2"/>
    <x v="3"/>
    <n v="92.45"/>
    <x v="21"/>
    <x v="4040"/>
    <x v="1"/>
    <x v="2"/>
    <x v="1"/>
    <x v="3"/>
  </r>
  <r>
    <x v="4506"/>
    <x v="0"/>
    <x v="0"/>
    <x v="0"/>
    <n v="80.599999999999994"/>
    <x v="7"/>
    <x v="4041"/>
    <x v="0"/>
    <x v="1"/>
    <x v="1"/>
    <x v="1"/>
  </r>
  <r>
    <x v="4507"/>
    <x v="0"/>
    <x v="0"/>
    <x v="2"/>
    <n v="83.2"/>
    <x v="30"/>
    <x v="4042"/>
    <x v="0"/>
    <x v="0"/>
    <x v="2"/>
    <x v="2"/>
  </r>
  <r>
    <x v="4508"/>
    <x v="1"/>
    <x v="2"/>
    <x v="2"/>
    <n v="87.55"/>
    <x v="21"/>
    <x v="4043"/>
    <x v="0"/>
    <x v="2"/>
    <x v="1"/>
    <x v="3"/>
  </r>
  <r>
    <x v="4509"/>
    <x v="0"/>
    <x v="0"/>
    <x v="0"/>
    <n v="99.55"/>
    <x v="26"/>
    <x v="4044"/>
    <x v="1"/>
    <x v="0"/>
    <x v="0"/>
    <x v="0"/>
  </r>
  <r>
    <x v="4510"/>
    <x v="1"/>
    <x v="0"/>
    <x v="0"/>
    <n v="81.25"/>
    <x v="4"/>
    <x v="4045"/>
    <x v="1"/>
    <x v="0"/>
    <x v="0"/>
    <x v="0"/>
  </r>
  <r>
    <x v="4511"/>
    <x v="0"/>
    <x v="1"/>
    <x v="2"/>
    <n v="109.4"/>
    <x v="58"/>
    <x v="4046"/>
    <x v="0"/>
    <x v="2"/>
    <x v="1"/>
    <x v="3"/>
  </r>
  <r>
    <x v="4512"/>
    <x v="1"/>
    <x v="0"/>
    <x v="2"/>
    <n v="19.95"/>
    <x v="0"/>
    <x v="3809"/>
    <x v="1"/>
    <x v="0"/>
    <x v="0"/>
    <x v="0"/>
  </r>
  <r>
    <x v="4513"/>
    <x v="0"/>
    <x v="0"/>
    <x v="0"/>
    <n v="45.55"/>
    <x v="25"/>
    <x v="4047"/>
    <x v="0"/>
    <x v="1"/>
    <x v="1"/>
    <x v="1"/>
  </r>
  <r>
    <x v="4514"/>
    <x v="1"/>
    <x v="1"/>
    <x v="3"/>
    <n v="20.7"/>
    <x v="19"/>
    <x v="4048"/>
    <x v="0"/>
    <x v="0"/>
    <x v="1"/>
    <x v="1"/>
  </r>
  <r>
    <x v="4515"/>
    <x v="1"/>
    <x v="0"/>
    <x v="0"/>
    <n v="75.3"/>
    <x v="6"/>
    <x v="3169"/>
    <x v="0"/>
    <x v="0"/>
    <x v="0"/>
    <x v="0"/>
  </r>
  <r>
    <x v="4516"/>
    <x v="1"/>
    <x v="0"/>
    <x v="0"/>
    <n v="99.25"/>
    <x v="57"/>
    <x v="4049"/>
    <x v="1"/>
    <x v="1"/>
    <x v="2"/>
    <x v="2"/>
  </r>
  <r>
    <x v="4517"/>
    <x v="1"/>
    <x v="0"/>
    <x v="3"/>
    <n v="93.4"/>
    <x v="48"/>
    <x v="4050"/>
    <x v="0"/>
    <x v="1"/>
    <x v="1"/>
    <x v="1"/>
  </r>
  <r>
    <x v="4518"/>
    <x v="1"/>
    <x v="0"/>
    <x v="3"/>
    <n v="73.75"/>
    <x v="9"/>
    <x v="4051"/>
    <x v="0"/>
    <x v="0"/>
    <x v="2"/>
    <x v="2"/>
  </r>
  <r>
    <x v="4519"/>
    <x v="0"/>
    <x v="2"/>
    <x v="0"/>
    <n v="80.45"/>
    <x v="71"/>
    <x v="4052"/>
    <x v="1"/>
    <x v="1"/>
    <x v="1"/>
    <x v="1"/>
  </r>
  <r>
    <x v="4520"/>
    <x v="0"/>
    <x v="0"/>
    <x v="3"/>
    <n v="88.15"/>
    <x v="66"/>
    <x v="4053"/>
    <x v="0"/>
    <x v="1"/>
    <x v="1"/>
    <x v="1"/>
  </r>
  <r>
    <x v="4521"/>
    <x v="1"/>
    <x v="0"/>
    <x v="1"/>
    <n v="49.2"/>
    <x v="34"/>
    <x v="4054"/>
    <x v="0"/>
    <x v="0"/>
    <x v="0"/>
    <x v="0"/>
  </r>
  <r>
    <x v="4522"/>
    <x v="0"/>
    <x v="2"/>
    <x v="1"/>
    <n v="19.649999999999999"/>
    <x v="56"/>
    <x v="4055"/>
    <x v="0"/>
    <x v="0"/>
    <x v="1"/>
    <x v="3"/>
  </r>
  <r>
    <x v="4523"/>
    <x v="1"/>
    <x v="0"/>
    <x v="2"/>
    <n v="79.349999999999994"/>
    <x v="34"/>
    <x v="4056"/>
    <x v="1"/>
    <x v="0"/>
    <x v="0"/>
    <x v="0"/>
  </r>
  <r>
    <x v="4524"/>
    <x v="0"/>
    <x v="0"/>
    <x v="0"/>
    <n v="79.75"/>
    <x v="30"/>
    <x v="4057"/>
    <x v="1"/>
    <x v="0"/>
    <x v="2"/>
    <x v="2"/>
  </r>
  <r>
    <x v="4525"/>
    <x v="0"/>
    <x v="2"/>
    <x v="2"/>
    <n v="105.15"/>
    <x v="16"/>
    <x v="4058"/>
    <x v="0"/>
    <x v="2"/>
    <x v="1"/>
    <x v="3"/>
  </r>
  <r>
    <x v="4526"/>
    <x v="1"/>
    <x v="0"/>
    <x v="3"/>
    <n v="49"/>
    <x v="0"/>
    <x v="2547"/>
    <x v="0"/>
    <x v="0"/>
    <x v="0"/>
    <x v="0"/>
  </r>
  <r>
    <x v="4527"/>
    <x v="0"/>
    <x v="0"/>
    <x v="0"/>
    <n v="100.05"/>
    <x v="19"/>
    <x v="4059"/>
    <x v="1"/>
    <x v="1"/>
    <x v="1"/>
    <x v="1"/>
  </r>
  <r>
    <x v="4528"/>
    <x v="1"/>
    <x v="0"/>
    <x v="0"/>
    <n v="69.349999999999994"/>
    <x v="0"/>
    <x v="4060"/>
    <x v="1"/>
    <x v="0"/>
    <x v="0"/>
    <x v="0"/>
  </r>
  <r>
    <x v="4529"/>
    <x v="1"/>
    <x v="0"/>
    <x v="1"/>
    <n v="49.8"/>
    <x v="22"/>
    <x v="4061"/>
    <x v="0"/>
    <x v="0"/>
    <x v="2"/>
    <x v="2"/>
  </r>
  <r>
    <x v="4530"/>
    <x v="0"/>
    <x v="0"/>
    <x v="0"/>
    <n v="85.8"/>
    <x v="35"/>
    <x v="4062"/>
    <x v="1"/>
    <x v="0"/>
    <x v="0"/>
    <x v="0"/>
  </r>
  <r>
    <x v="4531"/>
    <x v="1"/>
    <x v="2"/>
    <x v="0"/>
    <n v="79.7"/>
    <x v="56"/>
    <x v="4063"/>
    <x v="1"/>
    <x v="2"/>
    <x v="1"/>
    <x v="3"/>
  </r>
  <r>
    <x v="4532"/>
    <x v="1"/>
    <x v="0"/>
    <x v="2"/>
    <n v="20.95"/>
    <x v="0"/>
    <x v="2575"/>
    <x v="0"/>
    <x v="0"/>
    <x v="0"/>
    <x v="0"/>
  </r>
  <r>
    <x v="4533"/>
    <x v="0"/>
    <x v="0"/>
    <x v="1"/>
    <n v="50.55"/>
    <x v="0"/>
    <x v="3627"/>
    <x v="1"/>
    <x v="0"/>
    <x v="0"/>
    <x v="0"/>
  </r>
  <r>
    <x v="4534"/>
    <x v="0"/>
    <x v="0"/>
    <x v="1"/>
    <n v="79.3"/>
    <x v="48"/>
    <x v="1395"/>
    <x v="0"/>
    <x v="1"/>
    <x v="1"/>
    <x v="1"/>
  </r>
  <r>
    <x v="4535"/>
    <x v="1"/>
    <x v="1"/>
    <x v="2"/>
    <n v="19.5"/>
    <x v="52"/>
    <x v="1297"/>
    <x v="0"/>
    <x v="0"/>
    <x v="1"/>
    <x v="1"/>
  </r>
  <r>
    <x v="4536"/>
    <x v="1"/>
    <x v="0"/>
    <x v="0"/>
    <n v="80.55"/>
    <x v="0"/>
    <x v="1058"/>
    <x v="1"/>
    <x v="0"/>
    <x v="0"/>
    <x v="0"/>
  </r>
  <r>
    <x v="4537"/>
    <x v="0"/>
    <x v="0"/>
    <x v="2"/>
    <n v="44.15"/>
    <x v="0"/>
    <x v="3078"/>
    <x v="0"/>
    <x v="0"/>
    <x v="0"/>
    <x v="0"/>
  </r>
  <r>
    <x v="4538"/>
    <x v="0"/>
    <x v="0"/>
    <x v="0"/>
    <n v="84.5"/>
    <x v="18"/>
    <x v="4064"/>
    <x v="1"/>
    <x v="0"/>
    <x v="2"/>
    <x v="0"/>
  </r>
  <r>
    <x v="4539"/>
    <x v="1"/>
    <x v="0"/>
    <x v="0"/>
    <n v="105.5"/>
    <x v="8"/>
    <x v="4065"/>
    <x v="0"/>
    <x v="2"/>
    <x v="1"/>
    <x v="3"/>
  </r>
  <r>
    <x v="4540"/>
    <x v="0"/>
    <x v="0"/>
    <x v="1"/>
    <n v="84.3"/>
    <x v="5"/>
    <x v="4066"/>
    <x v="1"/>
    <x v="0"/>
    <x v="2"/>
    <x v="2"/>
  </r>
  <r>
    <x v="4541"/>
    <x v="0"/>
    <x v="0"/>
    <x v="3"/>
    <n v="92.7"/>
    <x v="22"/>
    <x v="4067"/>
    <x v="0"/>
    <x v="0"/>
    <x v="2"/>
    <x v="2"/>
  </r>
  <r>
    <x v="4542"/>
    <x v="0"/>
    <x v="2"/>
    <x v="2"/>
    <n v="26.25"/>
    <x v="21"/>
    <x v="4068"/>
    <x v="0"/>
    <x v="0"/>
    <x v="1"/>
    <x v="3"/>
  </r>
  <r>
    <x v="4543"/>
    <x v="1"/>
    <x v="0"/>
    <x v="3"/>
    <n v="96.95"/>
    <x v="39"/>
    <x v="4069"/>
    <x v="0"/>
    <x v="2"/>
    <x v="1"/>
    <x v="3"/>
  </r>
  <r>
    <x v="4544"/>
    <x v="0"/>
    <x v="0"/>
    <x v="3"/>
    <n v="20.45"/>
    <x v="34"/>
    <x v="4070"/>
    <x v="0"/>
    <x v="0"/>
    <x v="0"/>
    <x v="0"/>
  </r>
  <r>
    <x v="4545"/>
    <x v="1"/>
    <x v="2"/>
    <x v="2"/>
    <n v="115.8"/>
    <x v="21"/>
    <x v="829"/>
    <x v="0"/>
    <x v="2"/>
    <x v="1"/>
    <x v="3"/>
  </r>
  <r>
    <x v="4546"/>
    <x v="1"/>
    <x v="0"/>
    <x v="2"/>
    <n v="108.2"/>
    <x v="61"/>
    <x v="4071"/>
    <x v="0"/>
    <x v="1"/>
    <x v="2"/>
    <x v="2"/>
  </r>
  <r>
    <x v="4547"/>
    <x v="1"/>
    <x v="2"/>
    <x v="1"/>
    <n v="20.2"/>
    <x v="67"/>
    <x v="2086"/>
    <x v="0"/>
    <x v="0"/>
    <x v="2"/>
    <x v="2"/>
  </r>
  <r>
    <x v="4548"/>
    <x v="1"/>
    <x v="0"/>
    <x v="0"/>
    <n v="67.75"/>
    <x v="2"/>
    <x v="4072"/>
    <x v="1"/>
    <x v="0"/>
    <x v="0"/>
    <x v="0"/>
  </r>
  <r>
    <x v="4549"/>
    <x v="1"/>
    <x v="1"/>
    <x v="3"/>
    <n v="54.9"/>
    <x v="62"/>
    <x v="4073"/>
    <x v="0"/>
    <x v="1"/>
    <x v="1"/>
    <x v="3"/>
  </r>
  <r>
    <x v="4550"/>
    <x v="0"/>
    <x v="0"/>
    <x v="0"/>
    <n v="85.25"/>
    <x v="23"/>
    <x v="4074"/>
    <x v="1"/>
    <x v="1"/>
    <x v="1"/>
    <x v="1"/>
  </r>
  <r>
    <x v="4551"/>
    <x v="1"/>
    <x v="0"/>
    <x v="2"/>
    <n v="20.149999999999999"/>
    <x v="53"/>
    <x v="757"/>
    <x v="0"/>
    <x v="0"/>
    <x v="0"/>
    <x v="0"/>
  </r>
  <r>
    <x v="4552"/>
    <x v="1"/>
    <x v="1"/>
    <x v="0"/>
    <n v="90.35"/>
    <x v="34"/>
    <x v="4075"/>
    <x v="0"/>
    <x v="0"/>
    <x v="0"/>
    <x v="0"/>
  </r>
  <r>
    <x v="4553"/>
    <x v="0"/>
    <x v="0"/>
    <x v="0"/>
    <n v="55.75"/>
    <x v="4"/>
    <x v="4076"/>
    <x v="0"/>
    <x v="0"/>
    <x v="0"/>
    <x v="0"/>
  </r>
  <r>
    <x v="4554"/>
    <x v="0"/>
    <x v="2"/>
    <x v="2"/>
    <n v="114.6"/>
    <x v="16"/>
    <x v="4077"/>
    <x v="0"/>
    <x v="2"/>
    <x v="1"/>
    <x v="3"/>
  </r>
  <r>
    <x v="4555"/>
    <x v="0"/>
    <x v="0"/>
    <x v="2"/>
    <n v="80.05"/>
    <x v="6"/>
    <x v="4078"/>
    <x v="1"/>
    <x v="0"/>
    <x v="0"/>
    <x v="0"/>
  </r>
  <r>
    <x v="4556"/>
    <x v="1"/>
    <x v="0"/>
    <x v="1"/>
    <n v="20"/>
    <x v="0"/>
    <x v="779"/>
    <x v="1"/>
    <x v="0"/>
    <x v="0"/>
    <x v="0"/>
  </r>
  <r>
    <x v="4557"/>
    <x v="0"/>
    <x v="1"/>
    <x v="2"/>
    <n v="66.8"/>
    <x v="16"/>
    <x v="4079"/>
    <x v="0"/>
    <x v="1"/>
    <x v="1"/>
    <x v="3"/>
  </r>
  <r>
    <x v="4558"/>
    <x v="1"/>
    <x v="1"/>
    <x v="0"/>
    <n v="100.3"/>
    <x v="47"/>
    <x v="4080"/>
    <x v="0"/>
    <x v="2"/>
    <x v="1"/>
    <x v="3"/>
  </r>
  <r>
    <x v="4559"/>
    <x v="1"/>
    <x v="0"/>
    <x v="0"/>
    <n v="105.35"/>
    <x v="1"/>
    <x v="4081"/>
    <x v="0"/>
    <x v="1"/>
    <x v="1"/>
    <x v="1"/>
  </r>
  <r>
    <x v="4560"/>
    <x v="1"/>
    <x v="1"/>
    <x v="0"/>
    <n v="85.2"/>
    <x v="70"/>
    <x v="4082"/>
    <x v="0"/>
    <x v="1"/>
    <x v="1"/>
    <x v="1"/>
  </r>
  <r>
    <x v="4561"/>
    <x v="0"/>
    <x v="0"/>
    <x v="3"/>
    <n v="48.8"/>
    <x v="5"/>
    <x v="4083"/>
    <x v="1"/>
    <x v="0"/>
    <x v="2"/>
    <x v="2"/>
  </r>
  <r>
    <x v="4562"/>
    <x v="1"/>
    <x v="0"/>
    <x v="1"/>
    <n v="18.95"/>
    <x v="40"/>
    <x v="4084"/>
    <x v="0"/>
    <x v="0"/>
    <x v="0"/>
    <x v="0"/>
  </r>
  <r>
    <x v="4563"/>
    <x v="0"/>
    <x v="0"/>
    <x v="2"/>
    <n v="69.8"/>
    <x v="61"/>
    <x v="4085"/>
    <x v="0"/>
    <x v="0"/>
    <x v="2"/>
    <x v="2"/>
  </r>
  <r>
    <x v="4564"/>
    <x v="0"/>
    <x v="0"/>
    <x v="0"/>
    <n v="106.15"/>
    <x v="31"/>
    <x v="4086"/>
    <x v="0"/>
    <x v="2"/>
    <x v="1"/>
    <x v="3"/>
  </r>
  <r>
    <x v="4565"/>
    <x v="1"/>
    <x v="2"/>
    <x v="0"/>
    <n v="20.55"/>
    <x v="21"/>
    <x v="4087"/>
    <x v="0"/>
    <x v="0"/>
    <x v="1"/>
    <x v="3"/>
  </r>
  <r>
    <x v="4566"/>
    <x v="0"/>
    <x v="1"/>
    <x v="3"/>
    <n v="105.75"/>
    <x v="21"/>
    <x v="4088"/>
    <x v="0"/>
    <x v="2"/>
    <x v="1"/>
    <x v="3"/>
  </r>
  <r>
    <x v="4567"/>
    <x v="1"/>
    <x v="0"/>
    <x v="1"/>
    <n v="25.25"/>
    <x v="54"/>
    <x v="355"/>
    <x v="0"/>
    <x v="0"/>
    <x v="0"/>
    <x v="0"/>
  </r>
  <r>
    <x v="4568"/>
    <x v="1"/>
    <x v="0"/>
    <x v="0"/>
    <n v="19.75"/>
    <x v="10"/>
    <x v="237"/>
    <x v="0"/>
    <x v="0"/>
    <x v="2"/>
    <x v="2"/>
  </r>
  <r>
    <x v="4569"/>
    <x v="0"/>
    <x v="1"/>
    <x v="0"/>
    <n v="104.85"/>
    <x v="8"/>
    <x v="4089"/>
    <x v="0"/>
    <x v="2"/>
    <x v="1"/>
    <x v="3"/>
  </r>
  <r>
    <x v="4570"/>
    <x v="0"/>
    <x v="0"/>
    <x v="1"/>
    <n v="60.95"/>
    <x v="6"/>
    <x v="4090"/>
    <x v="0"/>
    <x v="0"/>
    <x v="0"/>
    <x v="0"/>
  </r>
  <r>
    <x v="4571"/>
    <x v="1"/>
    <x v="0"/>
    <x v="0"/>
    <n v="81.150000000000006"/>
    <x v="36"/>
    <x v="224"/>
    <x v="0"/>
    <x v="1"/>
    <x v="1"/>
    <x v="1"/>
  </r>
  <r>
    <x v="4572"/>
    <x v="0"/>
    <x v="2"/>
    <x v="3"/>
    <n v="19.100000000000001"/>
    <x v="16"/>
    <x v="4091"/>
    <x v="0"/>
    <x v="0"/>
    <x v="1"/>
    <x v="3"/>
  </r>
  <r>
    <x v="4573"/>
    <x v="1"/>
    <x v="2"/>
    <x v="1"/>
    <n v="20.8"/>
    <x v="11"/>
    <x v="897"/>
    <x v="0"/>
    <x v="0"/>
    <x v="1"/>
    <x v="3"/>
  </r>
  <r>
    <x v="4574"/>
    <x v="1"/>
    <x v="2"/>
    <x v="3"/>
    <n v="90.15"/>
    <x v="27"/>
    <x v="4092"/>
    <x v="0"/>
    <x v="2"/>
    <x v="1"/>
    <x v="3"/>
  </r>
  <r>
    <x v="4575"/>
    <x v="0"/>
    <x v="2"/>
    <x v="0"/>
    <n v="90.1"/>
    <x v="16"/>
    <x v="4093"/>
    <x v="0"/>
    <x v="2"/>
    <x v="1"/>
    <x v="3"/>
  </r>
  <r>
    <x v="4576"/>
    <x v="1"/>
    <x v="2"/>
    <x v="3"/>
    <n v="74.099999999999994"/>
    <x v="14"/>
    <x v="4094"/>
    <x v="0"/>
    <x v="2"/>
    <x v="1"/>
    <x v="3"/>
  </r>
  <r>
    <x v="4577"/>
    <x v="0"/>
    <x v="0"/>
    <x v="0"/>
    <n v="85.05"/>
    <x v="0"/>
    <x v="4095"/>
    <x v="1"/>
    <x v="0"/>
    <x v="0"/>
    <x v="0"/>
  </r>
  <r>
    <x v="4578"/>
    <x v="0"/>
    <x v="2"/>
    <x v="2"/>
    <n v="118.75"/>
    <x v="21"/>
    <x v="4096"/>
    <x v="0"/>
    <x v="2"/>
    <x v="1"/>
    <x v="3"/>
  </r>
  <r>
    <x v="4579"/>
    <x v="0"/>
    <x v="0"/>
    <x v="3"/>
    <n v="85.9"/>
    <x v="70"/>
    <x v="4097"/>
    <x v="0"/>
    <x v="1"/>
    <x v="1"/>
    <x v="1"/>
  </r>
  <r>
    <x v="4580"/>
    <x v="0"/>
    <x v="0"/>
    <x v="3"/>
    <n v="95"/>
    <x v="55"/>
    <x v="3742"/>
    <x v="0"/>
    <x v="1"/>
    <x v="1"/>
    <x v="1"/>
  </r>
  <r>
    <x v="4581"/>
    <x v="0"/>
    <x v="2"/>
    <x v="1"/>
    <n v="20.149999999999999"/>
    <x v="6"/>
    <x v="4098"/>
    <x v="0"/>
    <x v="0"/>
    <x v="0"/>
    <x v="0"/>
  </r>
  <r>
    <x v="4582"/>
    <x v="0"/>
    <x v="2"/>
    <x v="3"/>
    <n v="101.3"/>
    <x v="58"/>
    <x v="4099"/>
    <x v="0"/>
    <x v="2"/>
    <x v="1"/>
    <x v="3"/>
  </r>
  <r>
    <x v="4583"/>
    <x v="0"/>
    <x v="0"/>
    <x v="0"/>
    <n v="21.2"/>
    <x v="6"/>
    <x v="4100"/>
    <x v="0"/>
    <x v="0"/>
    <x v="0"/>
    <x v="0"/>
  </r>
  <r>
    <x v="4584"/>
    <x v="0"/>
    <x v="1"/>
    <x v="1"/>
    <n v="24.2"/>
    <x v="71"/>
    <x v="4101"/>
    <x v="0"/>
    <x v="0"/>
    <x v="1"/>
    <x v="1"/>
  </r>
  <r>
    <x v="4585"/>
    <x v="0"/>
    <x v="0"/>
    <x v="2"/>
    <n v="20.3"/>
    <x v="26"/>
    <x v="4102"/>
    <x v="0"/>
    <x v="0"/>
    <x v="0"/>
    <x v="0"/>
  </r>
  <r>
    <x v="4586"/>
    <x v="0"/>
    <x v="0"/>
    <x v="0"/>
    <n v="102.8"/>
    <x v="17"/>
    <x v="4103"/>
    <x v="1"/>
    <x v="1"/>
    <x v="2"/>
    <x v="2"/>
  </r>
  <r>
    <x v="4587"/>
    <x v="0"/>
    <x v="2"/>
    <x v="2"/>
    <n v="85.3"/>
    <x v="47"/>
    <x v="4104"/>
    <x v="0"/>
    <x v="2"/>
    <x v="1"/>
    <x v="3"/>
  </r>
  <r>
    <x v="4588"/>
    <x v="1"/>
    <x v="1"/>
    <x v="3"/>
    <n v="89.6"/>
    <x v="32"/>
    <x v="4105"/>
    <x v="0"/>
    <x v="0"/>
    <x v="2"/>
    <x v="2"/>
  </r>
  <r>
    <x v="4589"/>
    <x v="0"/>
    <x v="0"/>
    <x v="1"/>
    <n v="99.95"/>
    <x v="53"/>
    <x v="4106"/>
    <x v="1"/>
    <x v="0"/>
    <x v="0"/>
    <x v="0"/>
  </r>
  <r>
    <x v="4590"/>
    <x v="1"/>
    <x v="0"/>
    <x v="1"/>
    <n v="56.25"/>
    <x v="32"/>
    <x v="4107"/>
    <x v="0"/>
    <x v="0"/>
    <x v="2"/>
    <x v="2"/>
  </r>
  <r>
    <x v="4591"/>
    <x v="0"/>
    <x v="1"/>
    <x v="2"/>
    <n v="50.95"/>
    <x v="15"/>
    <x v="4108"/>
    <x v="0"/>
    <x v="1"/>
    <x v="1"/>
    <x v="3"/>
  </r>
  <r>
    <x v="4592"/>
    <x v="1"/>
    <x v="2"/>
    <x v="1"/>
    <n v="115.85"/>
    <x v="39"/>
    <x v="4109"/>
    <x v="0"/>
    <x v="2"/>
    <x v="1"/>
    <x v="3"/>
  </r>
  <r>
    <x v="4593"/>
    <x v="1"/>
    <x v="0"/>
    <x v="2"/>
    <n v="103.65"/>
    <x v="3"/>
    <x v="4110"/>
    <x v="0"/>
    <x v="1"/>
    <x v="1"/>
    <x v="1"/>
  </r>
  <r>
    <x v="4594"/>
    <x v="0"/>
    <x v="2"/>
    <x v="1"/>
    <n v="26.1"/>
    <x v="56"/>
    <x v="4111"/>
    <x v="0"/>
    <x v="0"/>
    <x v="1"/>
    <x v="3"/>
  </r>
  <r>
    <x v="4595"/>
    <x v="1"/>
    <x v="0"/>
    <x v="1"/>
    <n v="35.1"/>
    <x v="35"/>
    <x v="4112"/>
    <x v="0"/>
    <x v="0"/>
    <x v="0"/>
    <x v="0"/>
  </r>
  <r>
    <x v="4596"/>
    <x v="1"/>
    <x v="0"/>
    <x v="2"/>
    <n v="99.1"/>
    <x v="45"/>
    <x v="4113"/>
    <x v="0"/>
    <x v="2"/>
    <x v="1"/>
    <x v="3"/>
  </r>
  <r>
    <x v="4597"/>
    <x v="1"/>
    <x v="2"/>
    <x v="1"/>
    <n v="67.25"/>
    <x v="28"/>
    <x v="4114"/>
    <x v="0"/>
    <x v="1"/>
    <x v="1"/>
    <x v="3"/>
  </r>
  <r>
    <x v="4598"/>
    <x v="0"/>
    <x v="2"/>
    <x v="1"/>
    <n v="25"/>
    <x v="26"/>
    <x v="4115"/>
    <x v="0"/>
    <x v="0"/>
    <x v="0"/>
    <x v="0"/>
  </r>
  <r>
    <x v="4599"/>
    <x v="1"/>
    <x v="0"/>
    <x v="1"/>
    <n v="59.55"/>
    <x v="0"/>
    <x v="739"/>
    <x v="0"/>
    <x v="0"/>
    <x v="0"/>
    <x v="0"/>
  </r>
  <r>
    <x v="4600"/>
    <x v="1"/>
    <x v="2"/>
    <x v="2"/>
    <n v="77.8"/>
    <x v="49"/>
    <x v="4116"/>
    <x v="0"/>
    <x v="1"/>
    <x v="1"/>
    <x v="3"/>
  </r>
  <r>
    <x v="4601"/>
    <x v="1"/>
    <x v="1"/>
    <x v="1"/>
    <n v="55.1"/>
    <x v="13"/>
    <x v="4117"/>
    <x v="0"/>
    <x v="0"/>
    <x v="1"/>
    <x v="1"/>
  </r>
  <r>
    <x v="4602"/>
    <x v="1"/>
    <x v="1"/>
    <x v="2"/>
    <n v="117.8"/>
    <x v="21"/>
    <x v="4118"/>
    <x v="1"/>
    <x v="2"/>
    <x v="1"/>
    <x v="3"/>
  </r>
  <r>
    <x v="4603"/>
    <x v="0"/>
    <x v="2"/>
    <x v="3"/>
    <n v="24.15"/>
    <x v="21"/>
    <x v="514"/>
    <x v="0"/>
    <x v="0"/>
    <x v="1"/>
    <x v="3"/>
  </r>
  <r>
    <x v="4604"/>
    <x v="0"/>
    <x v="2"/>
    <x v="1"/>
    <n v="45.25"/>
    <x v="45"/>
    <x v="4119"/>
    <x v="0"/>
    <x v="1"/>
    <x v="1"/>
    <x v="3"/>
  </r>
  <r>
    <x v="4605"/>
    <x v="0"/>
    <x v="0"/>
    <x v="0"/>
    <n v="79.5"/>
    <x v="68"/>
    <x v="4120"/>
    <x v="1"/>
    <x v="1"/>
    <x v="1"/>
    <x v="3"/>
  </r>
  <r>
    <x v="4606"/>
    <x v="1"/>
    <x v="0"/>
    <x v="1"/>
    <n v="20.25"/>
    <x v="40"/>
    <x v="3572"/>
    <x v="0"/>
    <x v="0"/>
    <x v="0"/>
    <x v="0"/>
  </r>
  <r>
    <x v="4607"/>
    <x v="0"/>
    <x v="2"/>
    <x v="2"/>
    <n v="64.75"/>
    <x v="21"/>
    <x v="4121"/>
    <x v="0"/>
    <x v="1"/>
    <x v="1"/>
    <x v="3"/>
  </r>
  <r>
    <x v="4608"/>
    <x v="1"/>
    <x v="0"/>
    <x v="2"/>
    <n v="54.6"/>
    <x v="17"/>
    <x v="4122"/>
    <x v="0"/>
    <x v="0"/>
    <x v="2"/>
    <x v="2"/>
  </r>
  <r>
    <x v="4609"/>
    <x v="0"/>
    <x v="0"/>
    <x v="2"/>
    <n v="20.7"/>
    <x v="2"/>
    <x v="4123"/>
    <x v="0"/>
    <x v="0"/>
    <x v="0"/>
    <x v="0"/>
  </r>
  <r>
    <x v="4610"/>
    <x v="1"/>
    <x v="0"/>
    <x v="0"/>
    <n v="94.75"/>
    <x v="54"/>
    <x v="4124"/>
    <x v="0"/>
    <x v="0"/>
    <x v="0"/>
    <x v="0"/>
  </r>
  <r>
    <x v="4611"/>
    <x v="1"/>
    <x v="0"/>
    <x v="2"/>
    <n v="79.650000000000006"/>
    <x v="35"/>
    <x v="4125"/>
    <x v="1"/>
    <x v="0"/>
    <x v="0"/>
    <x v="0"/>
  </r>
  <r>
    <x v="4612"/>
    <x v="1"/>
    <x v="2"/>
    <x v="3"/>
    <n v="115.8"/>
    <x v="21"/>
    <x v="829"/>
    <x v="0"/>
    <x v="2"/>
    <x v="1"/>
    <x v="3"/>
  </r>
  <r>
    <x v="4613"/>
    <x v="0"/>
    <x v="0"/>
    <x v="0"/>
    <n v="49.45"/>
    <x v="53"/>
    <x v="4126"/>
    <x v="0"/>
    <x v="0"/>
    <x v="0"/>
    <x v="0"/>
  </r>
  <r>
    <x v="4614"/>
    <x v="1"/>
    <x v="0"/>
    <x v="3"/>
    <n v="83.8"/>
    <x v="15"/>
    <x v="4127"/>
    <x v="0"/>
    <x v="1"/>
    <x v="1"/>
    <x v="3"/>
  </r>
  <r>
    <x v="4615"/>
    <x v="1"/>
    <x v="0"/>
    <x v="2"/>
    <n v="95.35"/>
    <x v="14"/>
    <x v="4128"/>
    <x v="0"/>
    <x v="2"/>
    <x v="1"/>
    <x v="3"/>
  </r>
  <r>
    <x v="4616"/>
    <x v="1"/>
    <x v="0"/>
    <x v="0"/>
    <n v="94.7"/>
    <x v="4"/>
    <x v="4129"/>
    <x v="1"/>
    <x v="0"/>
    <x v="0"/>
    <x v="0"/>
  </r>
  <r>
    <x v="4617"/>
    <x v="0"/>
    <x v="0"/>
    <x v="2"/>
    <n v="74.05"/>
    <x v="4"/>
    <x v="4130"/>
    <x v="0"/>
    <x v="0"/>
    <x v="0"/>
    <x v="0"/>
  </r>
  <r>
    <x v="4618"/>
    <x v="0"/>
    <x v="0"/>
    <x v="2"/>
    <n v="89.6"/>
    <x v="28"/>
    <x v="4131"/>
    <x v="0"/>
    <x v="2"/>
    <x v="1"/>
    <x v="3"/>
  </r>
  <r>
    <x v="4619"/>
    <x v="1"/>
    <x v="1"/>
    <x v="3"/>
    <n v="116.6"/>
    <x v="31"/>
    <x v="4132"/>
    <x v="0"/>
    <x v="2"/>
    <x v="1"/>
    <x v="3"/>
  </r>
  <r>
    <x v="4620"/>
    <x v="0"/>
    <x v="0"/>
    <x v="2"/>
    <n v="54.2"/>
    <x v="18"/>
    <x v="4133"/>
    <x v="0"/>
    <x v="0"/>
    <x v="2"/>
    <x v="0"/>
  </r>
  <r>
    <x v="4621"/>
    <x v="0"/>
    <x v="0"/>
    <x v="1"/>
    <n v="19.3"/>
    <x v="9"/>
    <x v="3524"/>
    <x v="0"/>
    <x v="0"/>
    <x v="2"/>
    <x v="2"/>
  </r>
  <r>
    <x v="4622"/>
    <x v="1"/>
    <x v="0"/>
    <x v="1"/>
    <n v="65.05"/>
    <x v="5"/>
    <x v="4134"/>
    <x v="0"/>
    <x v="0"/>
    <x v="2"/>
    <x v="2"/>
  </r>
  <r>
    <x v="4623"/>
    <x v="1"/>
    <x v="0"/>
    <x v="0"/>
    <n v="92.5"/>
    <x v="24"/>
    <x v="4135"/>
    <x v="1"/>
    <x v="0"/>
    <x v="0"/>
    <x v="0"/>
  </r>
  <r>
    <x v="4624"/>
    <x v="0"/>
    <x v="0"/>
    <x v="1"/>
    <n v="19.45"/>
    <x v="0"/>
    <x v="100"/>
    <x v="1"/>
    <x v="0"/>
    <x v="0"/>
    <x v="0"/>
  </r>
  <r>
    <x v="4625"/>
    <x v="0"/>
    <x v="2"/>
    <x v="2"/>
    <n v="24.05"/>
    <x v="21"/>
    <x v="4136"/>
    <x v="0"/>
    <x v="0"/>
    <x v="1"/>
    <x v="3"/>
  </r>
  <r>
    <x v="4626"/>
    <x v="0"/>
    <x v="0"/>
    <x v="2"/>
    <n v="18.75"/>
    <x v="2"/>
    <x v="4137"/>
    <x v="0"/>
    <x v="0"/>
    <x v="0"/>
    <x v="0"/>
  </r>
  <r>
    <x v="4627"/>
    <x v="0"/>
    <x v="2"/>
    <x v="2"/>
    <n v="20.149999999999999"/>
    <x v="63"/>
    <x v="1617"/>
    <x v="0"/>
    <x v="0"/>
    <x v="1"/>
    <x v="1"/>
  </r>
  <r>
    <x v="4628"/>
    <x v="1"/>
    <x v="1"/>
    <x v="2"/>
    <n v="20"/>
    <x v="66"/>
    <x v="4138"/>
    <x v="0"/>
    <x v="0"/>
    <x v="1"/>
    <x v="1"/>
  </r>
  <r>
    <x v="4629"/>
    <x v="1"/>
    <x v="1"/>
    <x v="2"/>
    <n v="71"/>
    <x v="16"/>
    <x v="4139"/>
    <x v="0"/>
    <x v="2"/>
    <x v="1"/>
    <x v="3"/>
  </r>
  <r>
    <x v="4630"/>
    <x v="0"/>
    <x v="0"/>
    <x v="0"/>
    <n v="75.55"/>
    <x v="2"/>
    <x v="4140"/>
    <x v="1"/>
    <x v="0"/>
    <x v="0"/>
    <x v="0"/>
  </r>
  <r>
    <x v="4631"/>
    <x v="1"/>
    <x v="0"/>
    <x v="0"/>
    <n v="93.6"/>
    <x v="70"/>
    <x v="4141"/>
    <x v="0"/>
    <x v="1"/>
    <x v="1"/>
    <x v="1"/>
  </r>
  <r>
    <x v="4632"/>
    <x v="1"/>
    <x v="0"/>
    <x v="0"/>
    <n v="70"/>
    <x v="0"/>
    <x v="284"/>
    <x v="1"/>
    <x v="0"/>
    <x v="0"/>
    <x v="0"/>
  </r>
  <r>
    <x v="4633"/>
    <x v="0"/>
    <x v="0"/>
    <x v="1"/>
    <n v="24.4"/>
    <x v="0"/>
    <x v="3001"/>
    <x v="0"/>
    <x v="0"/>
    <x v="0"/>
    <x v="0"/>
  </r>
  <r>
    <x v="4634"/>
    <x v="1"/>
    <x v="2"/>
    <x v="2"/>
    <n v="74.8"/>
    <x v="45"/>
    <x v="4142"/>
    <x v="1"/>
    <x v="1"/>
    <x v="1"/>
    <x v="3"/>
  </r>
  <r>
    <x v="4635"/>
    <x v="1"/>
    <x v="0"/>
    <x v="1"/>
    <n v="65.25"/>
    <x v="35"/>
    <x v="4143"/>
    <x v="0"/>
    <x v="0"/>
    <x v="0"/>
    <x v="0"/>
  </r>
  <r>
    <x v="4636"/>
    <x v="1"/>
    <x v="0"/>
    <x v="1"/>
    <n v="50.55"/>
    <x v="9"/>
    <x v="4144"/>
    <x v="0"/>
    <x v="0"/>
    <x v="2"/>
    <x v="2"/>
  </r>
  <r>
    <x v="4637"/>
    <x v="0"/>
    <x v="0"/>
    <x v="0"/>
    <n v="104.4"/>
    <x v="55"/>
    <x v="4145"/>
    <x v="1"/>
    <x v="1"/>
    <x v="1"/>
    <x v="1"/>
  </r>
  <r>
    <x v="4638"/>
    <x v="0"/>
    <x v="0"/>
    <x v="1"/>
    <n v="70.7"/>
    <x v="0"/>
    <x v="4146"/>
    <x v="0"/>
    <x v="0"/>
    <x v="0"/>
    <x v="0"/>
  </r>
  <r>
    <x v="4639"/>
    <x v="1"/>
    <x v="0"/>
    <x v="1"/>
    <n v="45.25"/>
    <x v="54"/>
    <x v="4147"/>
    <x v="0"/>
    <x v="0"/>
    <x v="0"/>
    <x v="0"/>
  </r>
  <r>
    <x v="4640"/>
    <x v="1"/>
    <x v="0"/>
    <x v="0"/>
    <n v="70.3"/>
    <x v="2"/>
    <x v="967"/>
    <x v="0"/>
    <x v="0"/>
    <x v="0"/>
    <x v="0"/>
  </r>
  <r>
    <x v="4641"/>
    <x v="1"/>
    <x v="2"/>
    <x v="3"/>
    <n v="108.95"/>
    <x v="21"/>
    <x v="4148"/>
    <x v="0"/>
    <x v="2"/>
    <x v="1"/>
    <x v="3"/>
  </r>
  <r>
    <x v="4642"/>
    <x v="0"/>
    <x v="0"/>
    <x v="1"/>
    <n v="26.45"/>
    <x v="50"/>
    <x v="4149"/>
    <x v="0"/>
    <x v="0"/>
    <x v="1"/>
    <x v="1"/>
  </r>
  <r>
    <x v="4643"/>
    <x v="0"/>
    <x v="0"/>
    <x v="0"/>
    <n v="86.2"/>
    <x v="30"/>
    <x v="4150"/>
    <x v="1"/>
    <x v="0"/>
    <x v="2"/>
    <x v="2"/>
  </r>
  <r>
    <x v="4644"/>
    <x v="0"/>
    <x v="1"/>
    <x v="3"/>
    <n v="19.649999999999999"/>
    <x v="57"/>
    <x v="2027"/>
    <x v="0"/>
    <x v="0"/>
    <x v="2"/>
    <x v="2"/>
  </r>
  <r>
    <x v="4645"/>
    <x v="0"/>
    <x v="0"/>
    <x v="3"/>
    <n v="51.2"/>
    <x v="19"/>
    <x v="4151"/>
    <x v="1"/>
    <x v="0"/>
    <x v="1"/>
    <x v="1"/>
  </r>
  <r>
    <x v="4646"/>
    <x v="0"/>
    <x v="1"/>
    <x v="0"/>
    <n v="19.05"/>
    <x v="41"/>
    <x v="4152"/>
    <x v="0"/>
    <x v="0"/>
    <x v="1"/>
    <x v="1"/>
  </r>
  <r>
    <x v="4647"/>
    <x v="0"/>
    <x v="1"/>
    <x v="1"/>
    <n v="74.75"/>
    <x v="48"/>
    <x v="4153"/>
    <x v="0"/>
    <x v="1"/>
    <x v="1"/>
    <x v="1"/>
  </r>
  <r>
    <x v="4648"/>
    <x v="0"/>
    <x v="0"/>
    <x v="2"/>
    <n v="75.8"/>
    <x v="5"/>
    <x v="4154"/>
    <x v="0"/>
    <x v="0"/>
    <x v="2"/>
    <x v="2"/>
  </r>
  <r>
    <x v="4649"/>
    <x v="1"/>
    <x v="0"/>
    <x v="3"/>
    <n v="25.1"/>
    <x v="41"/>
    <x v="4155"/>
    <x v="0"/>
    <x v="0"/>
    <x v="1"/>
    <x v="1"/>
  </r>
  <r>
    <x v="4650"/>
    <x v="0"/>
    <x v="0"/>
    <x v="1"/>
    <n v="44.45"/>
    <x v="4"/>
    <x v="4156"/>
    <x v="0"/>
    <x v="0"/>
    <x v="0"/>
    <x v="0"/>
  </r>
  <r>
    <x v="4651"/>
    <x v="0"/>
    <x v="2"/>
    <x v="3"/>
    <n v="104.3"/>
    <x v="45"/>
    <x v="4157"/>
    <x v="0"/>
    <x v="2"/>
    <x v="1"/>
    <x v="3"/>
  </r>
  <r>
    <x v="4652"/>
    <x v="0"/>
    <x v="0"/>
    <x v="1"/>
    <n v="19.5"/>
    <x v="2"/>
    <x v="876"/>
    <x v="1"/>
    <x v="0"/>
    <x v="0"/>
    <x v="0"/>
  </r>
  <r>
    <x v="4653"/>
    <x v="0"/>
    <x v="2"/>
    <x v="2"/>
    <n v="89"/>
    <x v="27"/>
    <x v="4158"/>
    <x v="0"/>
    <x v="2"/>
    <x v="1"/>
    <x v="3"/>
  </r>
  <r>
    <x v="4654"/>
    <x v="1"/>
    <x v="0"/>
    <x v="3"/>
    <n v="20.149999999999999"/>
    <x v="5"/>
    <x v="156"/>
    <x v="0"/>
    <x v="0"/>
    <x v="2"/>
    <x v="2"/>
  </r>
  <r>
    <x v="4655"/>
    <x v="0"/>
    <x v="0"/>
    <x v="0"/>
    <n v="74.900000000000006"/>
    <x v="54"/>
    <x v="4159"/>
    <x v="1"/>
    <x v="0"/>
    <x v="0"/>
    <x v="0"/>
  </r>
  <r>
    <x v="4656"/>
    <x v="0"/>
    <x v="0"/>
    <x v="3"/>
    <n v="74.900000000000006"/>
    <x v="2"/>
    <x v="4160"/>
    <x v="1"/>
    <x v="0"/>
    <x v="0"/>
    <x v="0"/>
  </r>
  <r>
    <x v="4657"/>
    <x v="0"/>
    <x v="2"/>
    <x v="2"/>
    <n v="36.15"/>
    <x v="56"/>
    <x v="4161"/>
    <x v="0"/>
    <x v="1"/>
    <x v="1"/>
    <x v="3"/>
  </r>
  <r>
    <x v="4658"/>
    <x v="0"/>
    <x v="0"/>
    <x v="3"/>
    <n v="19.2"/>
    <x v="13"/>
    <x v="2408"/>
    <x v="0"/>
    <x v="0"/>
    <x v="1"/>
    <x v="1"/>
  </r>
  <r>
    <x v="4659"/>
    <x v="0"/>
    <x v="0"/>
    <x v="2"/>
    <n v="19.25"/>
    <x v="61"/>
    <x v="4162"/>
    <x v="0"/>
    <x v="0"/>
    <x v="2"/>
    <x v="2"/>
  </r>
  <r>
    <x v="4660"/>
    <x v="0"/>
    <x v="0"/>
    <x v="3"/>
    <n v="61.2"/>
    <x v="2"/>
    <x v="4163"/>
    <x v="0"/>
    <x v="0"/>
    <x v="0"/>
    <x v="0"/>
  </r>
  <r>
    <x v="4661"/>
    <x v="1"/>
    <x v="2"/>
    <x v="1"/>
    <n v="20.45"/>
    <x v="69"/>
    <x v="4164"/>
    <x v="0"/>
    <x v="0"/>
    <x v="1"/>
    <x v="3"/>
  </r>
  <r>
    <x v="4662"/>
    <x v="0"/>
    <x v="0"/>
    <x v="2"/>
    <n v="35.049999999999997"/>
    <x v="25"/>
    <x v="4165"/>
    <x v="0"/>
    <x v="0"/>
    <x v="1"/>
    <x v="1"/>
  </r>
  <r>
    <x v="4663"/>
    <x v="0"/>
    <x v="0"/>
    <x v="0"/>
    <n v="100.25"/>
    <x v="13"/>
    <x v="4166"/>
    <x v="1"/>
    <x v="1"/>
    <x v="1"/>
    <x v="1"/>
  </r>
  <r>
    <x v="4664"/>
    <x v="1"/>
    <x v="0"/>
    <x v="1"/>
    <n v="44"/>
    <x v="9"/>
    <x v="4167"/>
    <x v="0"/>
    <x v="0"/>
    <x v="2"/>
    <x v="2"/>
  </r>
  <r>
    <x v="4665"/>
    <x v="0"/>
    <x v="0"/>
    <x v="1"/>
    <n v="102.8"/>
    <x v="13"/>
    <x v="4168"/>
    <x v="1"/>
    <x v="1"/>
    <x v="1"/>
    <x v="1"/>
  </r>
  <r>
    <x v="4666"/>
    <x v="1"/>
    <x v="1"/>
    <x v="1"/>
    <n v="50.35"/>
    <x v="70"/>
    <x v="703"/>
    <x v="0"/>
    <x v="0"/>
    <x v="1"/>
    <x v="1"/>
  </r>
  <r>
    <x v="4667"/>
    <x v="1"/>
    <x v="1"/>
    <x v="0"/>
    <n v="100"/>
    <x v="29"/>
    <x v="4169"/>
    <x v="1"/>
    <x v="1"/>
    <x v="1"/>
    <x v="1"/>
  </r>
  <r>
    <x v="4668"/>
    <x v="1"/>
    <x v="0"/>
    <x v="0"/>
    <n v="20"/>
    <x v="67"/>
    <x v="4170"/>
    <x v="0"/>
    <x v="0"/>
    <x v="2"/>
    <x v="2"/>
  </r>
  <r>
    <x v="4669"/>
    <x v="1"/>
    <x v="0"/>
    <x v="0"/>
    <n v="99.85"/>
    <x v="6"/>
    <x v="4171"/>
    <x v="1"/>
    <x v="0"/>
    <x v="0"/>
    <x v="0"/>
  </r>
  <r>
    <x v="4670"/>
    <x v="0"/>
    <x v="0"/>
    <x v="2"/>
    <n v="94.2"/>
    <x v="2"/>
    <x v="498"/>
    <x v="1"/>
    <x v="0"/>
    <x v="0"/>
    <x v="0"/>
  </r>
  <r>
    <x v="4671"/>
    <x v="0"/>
    <x v="2"/>
    <x v="2"/>
    <n v="86.4"/>
    <x v="21"/>
    <x v="4172"/>
    <x v="0"/>
    <x v="2"/>
    <x v="1"/>
    <x v="3"/>
  </r>
  <r>
    <x v="4672"/>
    <x v="1"/>
    <x v="0"/>
    <x v="3"/>
    <n v="58.4"/>
    <x v="32"/>
    <x v="4173"/>
    <x v="0"/>
    <x v="0"/>
    <x v="2"/>
    <x v="2"/>
  </r>
  <r>
    <x v="4673"/>
    <x v="1"/>
    <x v="0"/>
    <x v="0"/>
    <n v="83.85"/>
    <x v="34"/>
    <x v="1974"/>
    <x v="1"/>
    <x v="0"/>
    <x v="0"/>
    <x v="0"/>
  </r>
  <r>
    <x v="4674"/>
    <x v="0"/>
    <x v="0"/>
    <x v="3"/>
    <n v="88.3"/>
    <x v="23"/>
    <x v="4174"/>
    <x v="1"/>
    <x v="1"/>
    <x v="1"/>
    <x v="1"/>
  </r>
  <r>
    <x v="4675"/>
    <x v="1"/>
    <x v="0"/>
    <x v="0"/>
    <n v="94.1"/>
    <x v="65"/>
    <x v="4175"/>
    <x v="0"/>
    <x v="1"/>
    <x v="1"/>
    <x v="2"/>
  </r>
  <r>
    <x v="4676"/>
    <x v="1"/>
    <x v="1"/>
    <x v="2"/>
    <n v="104.05"/>
    <x v="14"/>
    <x v="4176"/>
    <x v="1"/>
    <x v="2"/>
    <x v="1"/>
    <x v="3"/>
  </r>
  <r>
    <x v="4677"/>
    <x v="0"/>
    <x v="2"/>
    <x v="3"/>
    <n v="108.9"/>
    <x v="25"/>
    <x v="4177"/>
    <x v="0"/>
    <x v="2"/>
    <x v="1"/>
    <x v="1"/>
  </r>
  <r>
    <x v="4678"/>
    <x v="0"/>
    <x v="2"/>
    <x v="2"/>
    <n v="107.4"/>
    <x v="21"/>
    <x v="4178"/>
    <x v="0"/>
    <x v="2"/>
    <x v="1"/>
    <x v="3"/>
  </r>
  <r>
    <x v="4679"/>
    <x v="1"/>
    <x v="0"/>
    <x v="3"/>
    <n v="94.7"/>
    <x v="5"/>
    <x v="4179"/>
    <x v="1"/>
    <x v="1"/>
    <x v="2"/>
    <x v="2"/>
  </r>
  <r>
    <x v="4680"/>
    <x v="0"/>
    <x v="0"/>
    <x v="0"/>
    <n v="90.85"/>
    <x v="27"/>
    <x v="4180"/>
    <x v="0"/>
    <x v="2"/>
    <x v="1"/>
    <x v="3"/>
  </r>
  <r>
    <x v="4681"/>
    <x v="0"/>
    <x v="0"/>
    <x v="0"/>
    <n v="19.899999999999999"/>
    <x v="2"/>
    <x v="4181"/>
    <x v="0"/>
    <x v="0"/>
    <x v="0"/>
    <x v="0"/>
  </r>
  <r>
    <x v="4682"/>
    <x v="1"/>
    <x v="0"/>
    <x v="3"/>
    <n v="66.400000000000006"/>
    <x v="36"/>
    <x v="4182"/>
    <x v="0"/>
    <x v="1"/>
    <x v="1"/>
    <x v="1"/>
  </r>
  <r>
    <x v="4683"/>
    <x v="0"/>
    <x v="0"/>
    <x v="2"/>
    <n v="100.65"/>
    <x v="39"/>
    <x v="4183"/>
    <x v="1"/>
    <x v="2"/>
    <x v="1"/>
    <x v="3"/>
  </r>
  <r>
    <x v="4684"/>
    <x v="0"/>
    <x v="0"/>
    <x v="2"/>
    <n v="100.7"/>
    <x v="10"/>
    <x v="4184"/>
    <x v="0"/>
    <x v="0"/>
    <x v="2"/>
    <x v="2"/>
  </r>
  <r>
    <x v="4685"/>
    <x v="1"/>
    <x v="2"/>
    <x v="3"/>
    <n v="25.6"/>
    <x v="15"/>
    <x v="4185"/>
    <x v="0"/>
    <x v="0"/>
    <x v="1"/>
    <x v="3"/>
  </r>
  <r>
    <x v="4686"/>
    <x v="1"/>
    <x v="0"/>
    <x v="1"/>
    <n v="19.850000000000001"/>
    <x v="9"/>
    <x v="4186"/>
    <x v="0"/>
    <x v="0"/>
    <x v="2"/>
    <x v="2"/>
  </r>
  <r>
    <x v="4687"/>
    <x v="0"/>
    <x v="1"/>
    <x v="1"/>
    <n v="20.75"/>
    <x v="42"/>
    <x v="1376"/>
    <x v="0"/>
    <x v="0"/>
    <x v="1"/>
    <x v="1"/>
  </r>
  <r>
    <x v="4688"/>
    <x v="0"/>
    <x v="2"/>
    <x v="0"/>
    <n v="95.8"/>
    <x v="64"/>
    <x v="4187"/>
    <x v="0"/>
    <x v="2"/>
    <x v="1"/>
    <x v="3"/>
  </r>
  <r>
    <x v="4689"/>
    <x v="1"/>
    <x v="0"/>
    <x v="0"/>
    <n v="94.65"/>
    <x v="21"/>
    <x v="4188"/>
    <x v="0"/>
    <x v="2"/>
    <x v="1"/>
    <x v="3"/>
  </r>
  <r>
    <x v="4690"/>
    <x v="0"/>
    <x v="2"/>
    <x v="2"/>
    <n v="80.55"/>
    <x v="33"/>
    <x v="4189"/>
    <x v="1"/>
    <x v="2"/>
    <x v="1"/>
    <x v="3"/>
  </r>
  <r>
    <x v="4691"/>
    <x v="0"/>
    <x v="2"/>
    <x v="3"/>
    <n v="106.65"/>
    <x v="12"/>
    <x v="2552"/>
    <x v="0"/>
    <x v="2"/>
    <x v="1"/>
    <x v="3"/>
  </r>
  <r>
    <x v="4692"/>
    <x v="0"/>
    <x v="0"/>
    <x v="1"/>
    <n v="45.85"/>
    <x v="2"/>
    <x v="1490"/>
    <x v="0"/>
    <x v="0"/>
    <x v="0"/>
    <x v="0"/>
  </r>
  <r>
    <x v="4693"/>
    <x v="1"/>
    <x v="0"/>
    <x v="0"/>
    <n v="104.35"/>
    <x v="17"/>
    <x v="4190"/>
    <x v="0"/>
    <x v="1"/>
    <x v="2"/>
    <x v="2"/>
  </r>
  <r>
    <x v="4694"/>
    <x v="1"/>
    <x v="1"/>
    <x v="0"/>
    <n v="55.45"/>
    <x v="68"/>
    <x v="4191"/>
    <x v="0"/>
    <x v="1"/>
    <x v="1"/>
    <x v="3"/>
  </r>
  <r>
    <x v="4695"/>
    <x v="1"/>
    <x v="0"/>
    <x v="0"/>
    <n v="78.849999999999994"/>
    <x v="65"/>
    <x v="4192"/>
    <x v="1"/>
    <x v="0"/>
    <x v="1"/>
    <x v="2"/>
  </r>
  <r>
    <x v="4696"/>
    <x v="1"/>
    <x v="0"/>
    <x v="0"/>
    <n v="61.15"/>
    <x v="0"/>
    <x v="4193"/>
    <x v="0"/>
    <x v="0"/>
    <x v="0"/>
    <x v="0"/>
  </r>
  <r>
    <x v="4697"/>
    <x v="1"/>
    <x v="0"/>
    <x v="0"/>
    <n v="78.95"/>
    <x v="53"/>
    <x v="4194"/>
    <x v="0"/>
    <x v="0"/>
    <x v="0"/>
    <x v="0"/>
  </r>
  <r>
    <x v="4698"/>
    <x v="0"/>
    <x v="0"/>
    <x v="1"/>
    <n v="44.45"/>
    <x v="0"/>
    <x v="2022"/>
    <x v="1"/>
    <x v="0"/>
    <x v="0"/>
    <x v="0"/>
  </r>
  <r>
    <x v="4699"/>
    <x v="1"/>
    <x v="1"/>
    <x v="3"/>
    <n v="109.2"/>
    <x v="12"/>
    <x v="4195"/>
    <x v="0"/>
    <x v="2"/>
    <x v="1"/>
    <x v="3"/>
  </r>
  <r>
    <x v="4700"/>
    <x v="0"/>
    <x v="2"/>
    <x v="3"/>
    <n v="61.3"/>
    <x v="39"/>
    <x v="4196"/>
    <x v="0"/>
    <x v="1"/>
    <x v="1"/>
    <x v="3"/>
  </r>
  <r>
    <x v="4701"/>
    <x v="0"/>
    <x v="0"/>
    <x v="0"/>
    <n v="96.85"/>
    <x v="39"/>
    <x v="4197"/>
    <x v="0"/>
    <x v="2"/>
    <x v="1"/>
    <x v="3"/>
  </r>
  <r>
    <x v="4702"/>
    <x v="0"/>
    <x v="2"/>
    <x v="1"/>
    <n v="40.549999999999997"/>
    <x v="53"/>
    <x v="4198"/>
    <x v="0"/>
    <x v="0"/>
    <x v="0"/>
    <x v="0"/>
  </r>
  <r>
    <x v="4703"/>
    <x v="1"/>
    <x v="1"/>
    <x v="1"/>
    <n v="19.8"/>
    <x v="48"/>
    <x v="3753"/>
    <x v="0"/>
    <x v="0"/>
    <x v="1"/>
    <x v="1"/>
  </r>
  <r>
    <x v="4704"/>
    <x v="1"/>
    <x v="1"/>
    <x v="0"/>
    <n v="108.25"/>
    <x v="37"/>
    <x v="4199"/>
    <x v="0"/>
    <x v="2"/>
    <x v="1"/>
    <x v="3"/>
  </r>
  <r>
    <x v="4705"/>
    <x v="1"/>
    <x v="1"/>
    <x v="2"/>
    <n v="105.05"/>
    <x v="11"/>
    <x v="4200"/>
    <x v="0"/>
    <x v="2"/>
    <x v="1"/>
    <x v="3"/>
  </r>
  <r>
    <x v="4706"/>
    <x v="0"/>
    <x v="2"/>
    <x v="1"/>
    <n v="90.45"/>
    <x v="45"/>
    <x v="4201"/>
    <x v="0"/>
    <x v="2"/>
    <x v="1"/>
    <x v="3"/>
  </r>
  <r>
    <x v="4707"/>
    <x v="0"/>
    <x v="2"/>
    <x v="3"/>
    <n v="86.4"/>
    <x v="38"/>
    <x v="4202"/>
    <x v="0"/>
    <x v="2"/>
    <x v="1"/>
    <x v="3"/>
  </r>
  <r>
    <x v="4708"/>
    <x v="0"/>
    <x v="2"/>
    <x v="2"/>
    <n v="66.900000000000006"/>
    <x v="33"/>
    <x v="4203"/>
    <x v="0"/>
    <x v="1"/>
    <x v="1"/>
    <x v="3"/>
  </r>
  <r>
    <x v="4709"/>
    <x v="1"/>
    <x v="1"/>
    <x v="0"/>
    <n v="110.7"/>
    <x v="46"/>
    <x v="4204"/>
    <x v="0"/>
    <x v="1"/>
    <x v="1"/>
    <x v="1"/>
  </r>
  <r>
    <x v="4710"/>
    <x v="0"/>
    <x v="1"/>
    <x v="1"/>
    <n v="20"/>
    <x v="61"/>
    <x v="1022"/>
    <x v="0"/>
    <x v="0"/>
    <x v="2"/>
    <x v="2"/>
  </r>
  <r>
    <x v="4711"/>
    <x v="1"/>
    <x v="0"/>
    <x v="0"/>
    <n v="84.9"/>
    <x v="51"/>
    <x v="4205"/>
    <x v="1"/>
    <x v="1"/>
    <x v="1"/>
    <x v="1"/>
  </r>
  <r>
    <x v="4712"/>
    <x v="1"/>
    <x v="1"/>
    <x v="0"/>
    <n v="102.1"/>
    <x v="38"/>
    <x v="460"/>
    <x v="0"/>
    <x v="2"/>
    <x v="1"/>
    <x v="3"/>
  </r>
  <r>
    <x v="4713"/>
    <x v="1"/>
    <x v="0"/>
    <x v="1"/>
    <n v="20.25"/>
    <x v="0"/>
    <x v="291"/>
    <x v="1"/>
    <x v="0"/>
    <x v="0"/>
    <x v="0"/>
  </r>
  <r>
    <x v="4714"/>
    <x v="0"/>
    <x v="1"/>
    <x v="3"/>
    <n v="70.150000000000006"/>
    <x v="31"/>
    <x v="4206"/>
    <x v="0"/>
    <x v="1"/>
    <x v="1"/>
    <x v="3"/>
  </r>
  <r>
    <x v="4715"/>
    <x v="1"/>
    <x v="0"/>
    <x v="0"/>
    <n v="74.349999999999994"/>
    <x v="0"/>
    <x v="481"/>
    <x v="1"/>
    <x v="0"/>
    <x v="0"/>
    <x v="0"/>
  </r>
  <r>
    <x v="4716"/>
    <x v="0"/>
    <x v="1"/>
    <x v="2"/>
    <n v="80.05"/>
    <x v="37"/>
    <x v="4207"/>
    <x v="0"/>
    <x v="1"/>
    <x v="1"/>
    <x v="3"/>
  </r>
  <r>
    <x v="4717"/>
    <x v="1"/>
    <x v="0"/>
    <x v="1"/>
    <n v="62.05"/>
    <x v="0"/>
    <x v="4208"/>
    <x v="1"/>
    <x v="0"/>
    <x v="0"/>
    <x v="0"/>
  </r>
  <r>
    <x v="4718"/>
    <x v="0"/>
    <x v="2"/>
    <x v="0"/>
    <n v="49.2"/>
    <x v="21"/>
    <x v="4209"/>
    <x v="0"/>
    <x v="1"/>
    <x v="1"/>
    <x v="3"/>
  </r>
  <r>
    <x v="4719"/>
    <x v="1"/>
    <x v="2"/>
    <x v="2"/>
    <n v="20.5"/>
    <x v="31"/>
    <x v="4210"/>
    <x v="0"/>
    <x v="0"/>
    <x v="1"/>
    <x v="3"/>
  </r>
  <r>
    <x v="4720"/>
    <x v="1"/>
    <x v="2"/>
    <x v="1"/>
    <n v="38.25"/>
    <x v="25"/>
    <x v="4211"/>
    <x v="0"/>
    <x v="0"/>
    <x v="1"/>
    <x v="1"/>
  </r>
  <r>
    <x v="4721"/>
    <x v="0"/>
    <x v="2"/>
    <x v="3"/>
    <n v="54.95"/>
    <x v="14"/>
    <x v="4212"/>
    <x v="0"/>
    <x v="1"/>
    <x v="1"/>
    <x v="3"/>
  </r>
  <r>
    <x v="4722"/>
    <x v="1"/>
    <x v="0"/>
    <x v="2"/>
    <n v="96.6"/>
    <x v="36"/>
    <x v="4213"/>
    <x v="0"/>
    <x v="1"/>
    <x v="1"/>
    <x v="1"/>
  </r>
  <r>
    <x v="4723"/>
    <x v="1"/>
    <x v="1"/>
    <x v="1"/>
    <n v="19.899999999999999"/>
    <x v="67"/>
    <x v="388"/>
    <x v="0"/>
    <x v="0"/>
    <x v="2"/>
    <x v="2"/>
  </r>
  <r>
    <x v="4724"/>
    <x v="0"/>
    <x v="2"/>
    <x v="3"/>
    <n v="19.899999999999999"/>
    <x v="16"/>
    <x v="312"/>
    <x v="0"/>
    <x v="0"/>
    <x v="1"/>
    <x v="3"/>
  </r>
  <r>
    <x v="4725"/>
    <x v="1"/>
    <x v="0"/>
    <x v="0"/>
    <n v="84.6"/>
    <x v="18"/>
    <x v="2667"/>
    <x v="0"/>
    <x v="0"/>
    <x v="2"/>
    <x v="0"/>
  </r>
  <r>
    <x v="4726"/>
    <x v="1"/>
    <x v="1"/>
    <x v="3"/>
    <n v="80"/>
    <x v="71"/>
    <x v="4214"/>
    <x v="1"/>
    <x v="1"/>
    <x v="1"/>
    <x v="1"/>
  </r>
  <r>
    <x v="4727"/>
    <x v="1"/>
    <x v="1"/>
    <x v="2"/>
    <n v="85.25"/>
    <x v="66"/>
    <x v="4215"/>
    <x v="0"/>
    <x v="1"/>
    <x v="1"/>
    <x v="1"/>
  </r>
  <r>
    <x v="4728"/>
    <x v="0"/>
    <x v="2"/>
    <x v="3"/>
    <n v="81.25"/>
    <x v="39"/>
    <x v="4216"/>
    <x v="0"/>
    <x v="1"/>
    <x v="1"/>
    <x v="3"/>
  </r>
  <r>
    <x v="4729"/>
    <x v="0"/>
    <x v="2"/>
    <x v="2"/>
    <n v="115.5"/>
    <x v="21"/>
    <x v="3532"/>
    <x v="0"/>
    <x v="2"/>
    <x v="1"/>
    <x v="3"/>
  </r>
  <r>
    <x v="4730"/>
    <x v="1"/>
    <x v="0"/>
    <x v="1"/>
    <n v="104.1"/>
    <x v="24"/>
    <x v="4217"/>
    <x v="1"/>
    <x v="0"/>
    <x v="0"/>
    <x v="0"/>
  </r>
  <r>
    <x v="4731"/>
    <x v="0"/>
    <x v="0"/>
    <x v="2"/>
    <n v="79"/>
    <x v="26"/>
    <x v="4218"/>
    <x v="0"/>
    <x v="0"/>
    <x v="0"/>
    <x v="0"/>
  </r>
  <r>
    <x v="4732"/>
    <x v="1"/>
    <x v="0"/>
    <x v="2"/>
    <n v="39.1"/>
    <x v="65"/>
    <x v="2321"/>
    <x v="1"/>
    <x v="0"/>
    <x v="1"/>
    <x v="2"/>
  </r>
  <r>
    <x v="4733"/>
    <x v="0"/>
    <x v="0"/>
    <x v="0"/>
    <n v="94.65"/>
    <x v="30"/>
    <x v="4219"/>
    <x v="0"/>
    <x v="0"/>
    <x v="2"/>
    <x v="2"/>
  </r>
  <r>
    <x v="4734"/>
    <x v="1"/>
    <x v="2"/>
    <x v="1"/>
    <n v="20.8"/>
    <x v="21"/>
    <x v="4220"/>
    <x v="0"/>
    <x v="0"/>
    <x v="1"/>
    <x v="3"/>
  </r>
  <r>
    <x v="4735"/>
    <x v="1"/>
    <x v="2"/>
    <x v="3"/>
    <n v="59.5"/>
    <x v="39"/>
    <x v="4221"/>
    <x v="0"/>
    <x v="1"/>
    <x v="1"/>
    <x v="3"/>
  </r>
  <r>
    <x v="4736"/>
    <x v="1"/>
    <x v="2"/>
    <x v="2"/>
    <n v="20.05"/>
    <x v="38"/>
    <x v="4222"/>
    <x v="0"/>
    <x v="0"/>
    <x v="1"/>
    <x v="3"/>
  </r>
  <r>
    <x v="4737"/>
    <x v="0"/>
    <x v="0"/>
    <x v="0"/>
    <n v="100.45"/>
    <x v="1"/>
    <x v="4223"/>
    <x v="0"/>
    <x v="1"/>
    <x v="1"/>
    <x v="1"/>
  </r>
  <r>
    <x v="4738"/>
    <x v="1"/>
    <x v="0"/>
    <x v="0"/>
    <n v="76.5"/>
    <x v="2"/>
    <x v="4224"/>
    <x v="1"/>
    <x v="0"/>
    <x v="0"/>
    <x v="0"/>
  </r>
  <r>
    <x v="4739"/>
    <x v="1"/>
    <x v="1"/>
    <x v="2"/>
    <n v="20.6"/>
    <x v="42"/>
    <x v="4225"/>
    <x v="0"/>
    <x v="0"/>
    <x v="1"/>
    <x v="1"/>
  </r>
  <r>
    <x v="4740"/>
    <x v="1"/>
    <x v="1"/>
    <x v="3"/>
    <n v="20.3"/>
    <x v="5"/>
    <x v="4226"/>
    <x v="0"/>
    <x v="0"/>
    <x v="2"/>
    <x v="2"/>
  </r>
  <r>
    <x v="4741"/>
    <x v="1"/>
    <x v="0"/>
    <x v="0"/>
    <n v="49.2"/>
    <x v="24"/>
    <x v="2342"/>
    <x v="1"/>
    <x v="0"/>
    <x v="0"/>
    <x v="0"/>
  </r>
  <r>
    <x v="4742"/>
    <x v="1"/>
    <x v="1"/>
    <x v="1"/>
    <n v="39.549999999999997"/>
    <x v="34"/>
    <x v="4227"/>
    <x v="0"/>
    <x v="0"/>
    <x v="0"/>
    <x v="0"/>
  </r>
  <r>
    <x v="4743"/>
    <x v="1"/>
    <x v="0"/>
    <x v="3"/>
    <n v="23.15"/>
    <x v="26"/>
    <x v="4228"/>
    <x v="1"/>
    <x v="0"/>
    <x v="0"/>
    <x v="0"/>
  </r>
  <r>
    <x v="4744"/>
    <x v="1"/>
    <x v="1"/>
    <x v="1"/>
    <n v="20.45"/>
    <x v="57"/>
    <x v="4229"/>
    <x v="0"/>
    <x v="0"/>
    <x v="2"/>
    <x v="2"/>
  </r>
  <r>
    <x v="4745"/>
    <x v="0"/>
    <x v="0"/>
    <x v="0"/>
    <n v="80.849999999999994"/>
    <x v="54"/>
    <x v="4230"/>
    <x v="1"/>
    <x v="0"/>
    <x v="0"/>
    <x v="0"/>
  </r>
  <r>
    <x v="4746"/>
    <x v="1"/>
    <x v="2"/>
    <x v="2"/>
    <n v="25.25"/>
    <x v="47"/>
    <x v="4231"/>
    <x v="0"/>
    <x v="0"/>
    <x v="1"/>
    <x v="3"/>
  </r>
  <r>
    <x v="4747"/>
    <x v="1"/>
    <x v="0"/>
    <x v="0"/>
    <n v="91.25"/>
    <x v="55"/>
    <x v="4232"/>
    <x v="0"/>
    <x v="1"/>
    <x v="1"/>
    <x v="1"/>
  </r>
  <r>
    <x v="4748"/>
    <x v="1"/>
    <x v="0"/>
    <x v="2"/>
    <n v="72.45"/>
    <x v="36"/>
    <x v="4233"/>
    <x v="0"/>
    <x v="1"/>
    <x v="1"/>
    <x v="1"/>
  </r>
  <r>
    <x v="4749"/>
    <x v="1"/>
    <x v="0"/>
    <x v="1"/>
    <n v="60.1"/>
    <x v="0"/>
    <x v="4234"/>
    <x v="1"/>
    <x v="0"/>
    <x v="0"/>
    <x v="0"/>
  </r>
  <r>
    <x v="4750"/>
    <x v="0"/>
    <x v="2"/>
    <x v="2"/>
    <n v="19.7"/>
    <x v="39"/>
    <x v="4235"/>
    <x v="0"/>
    <x v="0"/>
    <x v="1"/>
    <x v="3"/>
  </r>
  <r>
    <x v="4751"/>
    <x v="1"/>
    <x v="0"/>
    <x v="0"/>
    <n v="78.95"/>
    <x v="0"/>
    <x v="4236"/>
    <x v="1"/>
    <x v="0"/>
    <x v="0"/>
    <x v="0"/>
  </r>
  <r>
    <x v="4752"/>
    <x v="1"/>
    <x v="1"/>
    <x v="0"/>
    <n v="75.099999999999994"/>
    <x v="33"/>
    <x v="4237"/>
    <x v="0"/>
    <x v="1"/>
    <x v="1"/>
    <x v="3"/>
  </r>
  <r>
    <x v="4753"/>
    <x v="1"/>
    <x v="2"/>
    <x v="2"/>
    <n v="25"/>
    <x v="21"/>
    <x v="1610"/>
    <x v="0"/>
    <x v="0"/>
    <x v="1"/>
    <x v="3"/>
  </r>
  <r>
    <x v="4754"/>
    <x v="1"/>
    <x v="0"/>
    <x v="3"/>
    <n v="69.150000000000006"/>
    <x v="1"/>
    <x v="4238"/>
    <x v="0"/>
    <x v="1"/>
    <x v="1"/>
    <x v="1"/>
  </r>
  <r>
    <x v="4755"/>
    <x v="0"/>
    <x v="0"/>
    <x v="0"/>
    <n v="91.55"/>
    <x v="11"/>
    <x v="4239"/>
    <x v="0"/>
    <x v="2"/>
    <x v="1"/>
    <x v="3"/>
  </r>
  <r>
    <x v="4756"/>
    <x v="1"/>
    <x v="0"/>
    <x v="0"/>
    <n v="45.15"/>
    <x v="2"/>
    <x v="4240"/>
    <x v="1"/>
    <x v="0"/>
    <x v="0"/>
    <x v="0"/>
  </r>
  <r>
    <x v="4757"/>
    <x v="1"/>
    <x v="2"/>
    <x v="3"/>
    <n v="35.799999999999997"/>
    <x v="50"/>
    <x v="4241"/>
    <x v="0"/>
    <x v="0"/>
    <x v="1"/>
    <x v="1"/>
  </r>
  <r>
    <x v="4758"/>
    <x v="0"/>
    <x v="2"/>
    <x v="3"/>
    <n v="113.15"/>
    <x v="16"/>
    <x v="4242"/>
    <x v="0"/>
    <x v="2"/>
    <x v="1"/>
    <x v="3"/>
  </r>
  <r>
    <x v="4759"/>
    <x v="1"/>
    <x v="1"/>
    <x v="3"/>
    <n v="19.850000000000001"/>
    <x v="0"/>
    <x v="500"/>
    <x v="0"/>
    <x v="0"/>
    <x v="0"/>
    <x v="0"/>
  </r>
  <r>
    <x v="4760"/>
    <x v="1"/>
    <x v="2"/>
    <x v="3"/>
    <n v="19.8"/>
    <x v="16"/>
    <x v="1098"/>
    <x v="0"/>
    <x v="0"/>
    <x v="1"/>
    <x v="3"/>
  </r>
  <r>
    <x v="4761"/>
    <x v="1"/>
    <x v="1"/>
    <x v="0"/>
    <n v="19.899999999999999"/>
    <x v="42"/>
    <x v="4243"/>
    <x v="0"/>
    <x v="0"/>
    <x v="1"/>
    <x v="1"/>
  </r>
  <r>
    <x v="4762"/>
    <x v="0"/>
    <x v="1"/>
    <x v="1"/>
    <n v="19.7"/>
    <x v="53"/>
    <x v="153"/>
    <x v="0"/>
    <x v="0"/>
    <x v="0"/>
    <x v="0"/>
  </r>
  <r>
    <x v="4763"/>
    <x v="0"/>
    <x v="0"/>
    <x v="0"/>
    <n v="79.400000000000006"/>
    <x v="35"/>
    <x v="901"/>
    <x v="1"/>
    <x v="0"/>
    <x v="0"/>
    <x v="0"/>
  </r>
  <r>
    <x v="4764"/>
    <x v="0"/>
    <x v="1"/>
    <x v="2"/>
    <n v="59.1"/>
    <x v="14"/>
    <x v="4244"/>
    <x v="0"/>
    <x v="1"/>
    <x v="1"/>
    <x v="3"/>
  </r>
  <r>
    <x v="4765"/>
    <x v="1"/>
    <x v="1"/>
    <x v="1"/>
    <n v="53.95"/>
    <x v="66"/>
    <x v="4245"/>
    <x v="1"/>
    <x v="1"/>
    <x v="1"/>
    <x v="1"/>
  </r>
  <r>
    <x v="4766"/>
    <x v="0"/>
    <x v="1"/>
    <x v="0"/>
    <n v="91.15"/>
    <x v="62"/>
    <x v="4246"/>
    <x v="0"/>
    <x v="1"/>
    <x v="1"/>
    <x v="3"/>
  </r>
  <r>
    <x v="4767"/>
    <x v="0"/>
    <x v="0"/>
    <x v="3"/>
    <n v="99.3"/>
    <x v="65"/>
    <x v="4247"/>
    <x v="1"/>
    <x v="1"/>
    <x v="1"/>
    <x v="2"/>
  </r>
  <r>
    <x v="4768"/>
    <x v="0"/>
    <x v="0"/>
    <x v="0"/>
    <n v="68.95"/>
    <x v="24"/>
    <x v="4248"/>
    <x v="0"/>
    <x v="0"/>
    <x v="0"/>
    <x v="0"/>
  </r>
  <r>
    <x v="4769"/>
    <x v="0"/>
    <x v="0"/>
    <x v="1"/>
    <n v="51.55"/>
    <x v="2"/>
    <x v="4249"/>
    <x v="0"/>
    <x v="0"/>
    <x v="0"/>
    <x v="0"/>
  </r>
  <r>
    <x v="4770"/>
    <x v="1"/>
    <x v="2"/>
    <x v="1"/>
    <n v="24.4"/>
    <x v="8"/>
    <x v="4250"/>
    <x v="0"/>
    <x v="0"/>
    <x v="1"/>
    <x v="3"/>
  </r>
  <r>
    <x v="4771"/>
    <x v="0"/>
    <x v="0"/>
    <x v="0"/>
    <n v="96.8"/>
    <x v="67"/>
    <x v="4251"/>
    <x v="0"/>
    <x v="0"/>
    <x v="2"/>
    <x v="2"/>
  </r>
  <r>
    <x v="4772"/>
    <x v="1"/>
    <x v="0"/>
    <x v="1"/>
    <n v="70.05"/>
    <x v="34"/>
    <x v="466"/>
    <x v="0"/>
    <x v="0"/>
    <x v="0"/>
    <x v="0"/>
  </r>
  <r>
    <x v="4773"/>
    <x v="1"/>
    <x v="2"/>
    <x v="3"/>
    <n v="19.5"/>
    <x v="62"/>
    <x v="4252"/>
    <x v="0"/>
    <x v="0"/>
    <x v="1"/>
    <x v="3"/>
  </r>
  <r>
    <x v="4774"/>
    <x v="1"/>
    <x v="0"/>
    <x v="1"/>
    <n v="78.75"/>
    <x v="24"/>
    <x v="2516"/>
    <x v="0"/>
    <x v="0"/>
    <x v="0"/>
    <x v="0"/>
  </r>
  <r>
    <x v="4775"/>
    <x v="0"/>
    <x v="1"/>
    <x v="0"/>
    <n v="69.2"/>
    <x v="16"/>
    <x v="4253"/>
    <x v="0"/>
    <x v="1"/>
    <x v="1"/>
    <x v="3"/>
  </r>
  <r>
    <x v="4776"/>
    <x v="0"/>
    <x v="0"/>
    <x v="1"/>
    <n v="19.55"/>
    <x v="0"/>
    <x v="533"/>
    <x v="0"/>
    <x v="0"/>
    <x v="0"/>
    <x v="0"/>
  </r>
  <r>
    <x v="4777"/>
    <x v="1"/>
    <x v="0"/>
    <x v="0"/>
    <n v="80.650000000000006"/>
    <x v="32"/>
    <x v="4254"/>
    <x v="1"/>
    <x v="0"/>
    <x v="2"/>
    <x v="2"/>
  </r>
  <r>
    <x v="4778"/>
    <x v="1"/>
    <x v="2"/>
    <x v="0"/>
    <n v="103.65"/>
    <x v="21"/>
    <x v="4255"/>
    <x v="0"/>
    <x v="2"/>
    <x v="1"/>
    <x v="3"/>
  </r>
  <r>
    <x v="4779"/>
    <x v="0"/>
    <x v="0"/>
    <x v="1"/>
    <n v="54.7"/>
    <x v="54"/>
    <x v="4256"/>
    <x v="0"/>
    <x v="0"/>
    <x v="0"/>
    <x v="0"/>
  </r>
  <r>
    <x v="4780"/>
    <x v="1"/>
    <x v="2"/>
    <x v="3"/>
    <n v="54.15"/>
    <x v="64"/>
    <x v="4257"/>
    <x v="0"/>
    <x v="1"/>
    <x v="1"/>
    <x v="3"/>
  </r>
  <r>
    <x v="4781"/>
    <x v="0"/>
    <x v="0"/>
    <x v="1"/>
    <n v="71.099999999999994"/>
    <x v="0"/>
    <x v="672"/>
    <x v="1"/>
    <x v="0"/>
    <x v="0"/>
    <x v="0"/>
  </r>
  <r>
    <x v="4782"/>
    <x v="0"/>
    <x v="0"/>
    <x v="0"/>
    <n v="84.85"/>
    <x v="36"/>
    <x v="4258"/>
    <x v="0"/>
    <x v="1"/>
    <x v="1"/>
    <x v="1"/>
  </r>
  <r>
    <x v="4783"/>
    <x v="1"/>
    <x v="0"/>
    <x v="2"/>
    <n v="20"/>
    <x v="35"/>
    <x v="573"/>
    <x v="0"/>
    <x v="0"/>
    <x v="0"/>
    <x v="0"/>
  </r>
  <r>
    <x v="4784"/>
    <x v="0"/>
    <x v="1"/>
    <x v="0"/>
    <n v="106.25"/>
    <x v="45"/>
    <x v="4259"/>
    <x v="1"/>
    <x v="2"/>
    <x v="1"/>
    <x v="3"/>
  </r>
  <r>
    <x v="4785"/>
    <x v="1"/>
    <x v="1"/>
    <x v="3"/>
    <n v="99.25"/>
    <x v="12"/>
    <x v="4260"/>
    <x v="0"/>
    <x v="1"/>
    <x v="1"/>
    <x v="3"/>
  </r>
  <r>
    <x v="4786"/>
    <x v="1"/>
    <x v="0"/>
    <x v="1"/>
    <n v="19.350000000000001"/>
    <x v="2"/>
    <x v="4261"/>
    <x v="0"/>
    <x v="0"/>
    <x v="0"/>
    <x v="0"/>
  </r>
  <r>
    <x v="4787"/>
    <x v="0"/>
    <x v="1"/>
    <x v="2"/>
    <n v="20.8"/>
    <x v="62"/>
    <x v="4262"/>
    <x v="1"/>
    <x v="0"/>
    <x v="1"/>
    <x v="3"/>
  </r>
  <r>
    <x v="4788"/>
    <x v="0"/>
    <x v="1"/>
    <x v="0"/>
    <n v="94.75"/>
    <x v="49"/>
    <x v="4263"/>
    <x v="0"/>
    <x v="2"/>
    <x v="1"/>
    <x v="3"/>
  </r>
  <r>
    <x v="4789"/>
    <x v="1"/>
    <x v="2"/>
    <x v="3"/>
    <n v="114.05"/>
    <x v="21"/>
    <x v="431"/>
    <x v="0"/>
    <x v="2"/>
    <x v="1"/>
    <x v="3"/>
  </r>
  <r>
    <x v="4790"/>
    <x v="0"/>
    <x v="0"/>
    <x v="2"/>
    <n v="74.900000000000006"/>
    <x v="51"/>
    <x v="4264"/>
    <x v="0"/>
    <x v="1"/>
    <x v="1"/>
    <x v="1"/>
  </r>
  <r>
    <x v="4791"/>
    <x v="0"/>
    <x v="0"/>
    <x v="2"/>
    <n v="19.8"/>
    <x v="6"/>
    <x v="3225"/>
    <x v="0"/>
    <x v="0"/>
    <x v="0"/>
    <x v="0"/>
  </r>
  <r>
    <x v="4792"/>
    <x v="1"/>
    <x v="0"/>
    <x v="0"/>
    <n v="94"/>
    <x v="0"/>
    <x v="4265"/>
    <x v="1"/>
    <x v="0"/>
    <x v="0"/>
    <x v="0"/>
  </r>
  <r>
    <x v="4793"/>
    <x v="0"/>
    <x v="2"/>
    <x v="2"/>
    <n v="80.849999999999994"/>
    <x v="21"/>
    <x v="3621"/>
    <x v="0"/>
    <x v="2"/>
    <x v="1"/>
    <x v="3"/>
  </r>
  <r>
    <x v="4794"/>
    <x v="0"/>
    <x v="0"/>
    <x v="2"/>
    <n v="54.65"/>
    <x v="7"/>
    <x v="4266"/>
    <x v="0"/>
    <x v="0"/>
    <x v="1"/>
    <x v="1"/>
  </r>
  <r>
    <x v="4795"/>
    <x v="1"/>
    <x v="0"/>
    <x v="2"/>
    <n v="91.7"/>
    <x v="46"/>
    <x v="4267"/>
    <x v="0"/>
    <x v="1"/>
    <x v="1"/>
    <x v="1"/>
  </r>
  <r>
    <x v="4796"/>
    <x v="0"/>
    <x v="1"/>
    <x v="0"/>
    <n v="118.6"/>
    <x v="59"/>
    <x v="4268"/>
    <x v="0"/>
    <x v="2"/>
    <x v="1"/>
    <x v="3"/>
  </r>
  <r>
    <x v="4797"/>
    <x v="1"/>
    <x v="2"/>
    <x v="1"/>
    <n v="24.55"/>
    <x v="15"/>
    <x v="4269"/>
    <x v="0"/>
    <x v="0"/>
    <x v="1"/>
    <x v="3"/>
  </r>
  <r>
    <x v="4798"/>
    <x v="1"/>
    <x v="1"/>
    <x v="1"/>
    <n v="19.45"/>
    <x v="56"/>
    <x v="4270"/>
    <x v="0"/>
    <x v="0"/>
    <x v="1"/>
    <x v="3"/>
  </r>
  <r>
    <x v="4799"/>
    <x v="0"/>
    <x v="2"/>
    <x v="3"/>
    <n v="116.15"/>
    <x v="1"/>
    <x v="4271"/>
    <x v="0"/>
    <x v="1"/>
    <x v="1"/>
    <x v="1"/>
  </r>
  <r>
    <x v="4800"/>
    <x v="0"/>
    <x v="2"/>
    <x v="0"/>
    <n v="80.599999999999994"/>
    <x v="68"/>
    <x v="4272"/>
    <x v="0"/>
    <x v="1"/>
    <x v="1"/>
    <x v="3"/>
  </r>
  <r>
    <x v="4801"/>
    <x v="0"/>
    <x v="0"/>
    <x v="2"/>
    <n v="20.3"/>
    <x v="0"/>
    <x v="3045"/>
    <x v="0"/>
    <x v="0"/>
    <x v="0"/>
    <x v="0"/>
  </r>
  <r>
    <x v="4802"/>
    <x v="0"/>
    <x v="0"/>
    <x v="0"/>
    <n v="89.85"/>
    <x v="30"/>
    <x v="4273"/>
    <x v="1"/>
    <x v="0"/>
    <x v="2"/>
    <x v="2"/>
  </r>
  <r>
    <x v="4803"/>
    <x v="0"/>
    <x v="0"/>
    <x v="1"/>
    <n v="46"/>
    <x v="54"/>
    <x v="4274"/>
    <x v="1"/>
    <x v="0"/>
    <x v="0"/>
    <x v="0"/>
  </r>
  <r>
    <x v="4804"/>
    <x v="0"/>
    <x v="0"/>
    <x v="1"/>
    <n v="66.25"/>
    <x v="34"/>
    <x v="4275"/>
    <x v="1"/>
    <x v="0"/>
    <x v="0"/>
    <x v="0"/>
  </r>
  <r>
    <x v="4805"/>
    <x v="0"/>
    <x v="0"/>
    <x v="0"/>
    <n v="99.8"/>
    <x v="25"/>
    <x v="4276"/>
    <x v="0"/>
    <x v="1"/>
    <x v="1"/>
    <x v="1"/>
  </r>
  <r>
    <x v="4806"/>
    <x v="0"/>
    <x v="0"/>
    <x v="0"/>
    <n v="90"/>
    <x v="5"/>
    <x v="4277"/>
    <x v="1"/>
    <x v="0"/>
    <x v="2"/>
    <x v="2"/>
  </r>
  <r>
    <x v="4807"/>
    <x v="1"/>
    <x v="1"/>
    <x v="2"/>
    <n v="70.45"/>
    <x v="46"/>
    <x v="4278"/>
    <x v="1"/>
    <x v="1"/>
    <x v="1"/>
    <x v="1"/>
  </r>
  <r>
    <x v="4808"/>
    <x v="0"/>
    <x v="1"/>
    <x v="3"/>
    <n v="75"/>
    <x v="49"/>
    <x v="1083"/>
    <x v="0"/>
    <x v="1"/>
    <x v="1"/>
    <x v="3"/>
  </r>
  <r>
    <x v="4809"/>
    <x v="0"/>
    <x v="0"/>
    <x v="1"/>
    <n v="19.899999999999999"/>
    <x v="0"/>
    <x v="403"/>
    <x v="0"/>
    <x v="0"/>
    <x v="0"/>
    <x v="0"/>
  </r>
  <r>
    <x v="4810"/>
    <x v="1"/>
    <x v="1"/>
    <x v="3"/>
    <n v="80.3"/>
    <x v="38"/>
    <x v="4279"/>
    <x v="0"/>
    <x v="2"/>
    <x v="1"/>
    <x v="3"/>
  </r>
  <r>
    <x v="4811"/>
    <x v="1"/>
    <x v="2"/>
    <x v="2"/>
    <n v="19.75"/>
    <x v="62"/>
    <x v="4280"/>
    <x v="1"/>
    <x v="0"/>
    <x v="1"/>
    <x v="3"/>
  </r>
  <r>
    <x v="4812"/>
    <x v="0"/>
    <x v="2"/>
    <x v="0"/>
    <n v="84.3"/>
    <x v="11"/>
    <x v="4281"/>
    <x v="0"/>
    <x v="1"/>
    <x v="1"/>
    <x v="3"/>
  </r>
  <r>
    <x v="4813"/>
    <x v="1"/>
    <x v="1"/>
    <x v="2"/>
    <n v="54.05"/>
    <x v="39"/>
    <x v="4282"/>
    <x v="0"/>
    <x v="1"/>
    <x v="1"/>
    <x v="3"/>
  </r>
  <r>
    <x v="4814"/>
    <x v="1"/>
    <x v="2"/>
    <x v="3"/>
    <n v="104.9"/>
    <x v="21"/>
    <x v="2093"/>
    <x v="0"/>
    <x v="2"/>
    <x v="1"/>
    <x v="3"/>
  </r>
  <r>
    <x v="4815"/>
    <x v="1"/>
    <x v="0"/>
    <x v="0"/>
    <n v="53.95"/>
    <x v="0"/>
    <x v="4283"/>
    <x v="1"/>
    <x v="0"/>
    <x v="0"/>
    <x v="0"/>
  </r>
  <r>
    <x v="4816"/>
    <x v="1"/>
    <x v="1"/>
    <x v="3"/>
    <n v="97.25"/>
    <x v="21"/>
    <x v="4284"/>
    <x v="0"/>
    <x v="2"/>
    <x v="1"/>
    <x v="3"/>
  </r>
  <r>
    <x v="4817"/>
    <x v="1"/>
    <x v="0"/>
    <x v="0"/>
    <n v="83.05"/>
    <x v="5"/>
    <x v="4285"/>
    <x v="0"/>
    <x v="0"/>
    <x v="2"/>
    <x v="2"/>
  </r>
  <r>
    <x v="4818"/>
    <x v="0"/>
    <x v="0"/>
    <x v="0"/>
    <n v="105.5"/>
    <x v="4"/>
    <x v="4286"/>
    <x v="1"/>
    <x v="0"/>
    <x v="0"/>
    <x v="0"/>
  </r>
  <r>
    <x v="4819"/>
    <x v="0"/>
    <x v="0"/>
    <x v="0"/>
    <n v="81"/>
    <x v="10"/>
    <x v="4287"/>
    <x v="1"/>
    <x v="0"/>
    <x v="2"/>
    <x v="2"/>
  </r>
  <r>
    <x v="4820"/>
    <x v="0"/>
    <x v="0"/>
    <x v="2"/>
    <n v="41.1"/>
    <x v="71"/>
    <x v="4288"/>
    <x v="0"/>
    <x v="0"/>
    <x v="1"/>
    <x v="1"/>
  </r>
  <r>
    <x v="4821"/>
    <x v="0"/>
    <x v="0"/>
    <x v="2"/>
    <n v="45"/>
    <x v="18"/>
    <x v="4289"/>
    <x v="0"/>
    <x v="0"/>
    <x v="2"/>
    <x v="0"/>
  </r>
  <r>
    <x v="4822"/>
    <x v="1"/>
    <x v="2"/>
    <x v="2"/>
    <n v="74.55"/>
    <x v="68"/>
    <x v="4290"/>
    <x v="0"/>
    <x v="1"/>
    <x v="1"/>
    <x v="3"/>
  </r>
  <r>
    <x v="4823"/>
    <x v="0"/>
    <x v="1"/>
    <x v="1"/>
    <n v="40.200000000000003"/>
    <x v="32"/>
    <x v="4291"/>
    <x v="0"/>
    <x v="0"/>
    <x v="2"/>
    <x v="2"/>
  </r>
  <r>
    <x v="4824"/>
    <x v="1"/>
    <x v="1"/>
    <x v="1"/>
    <n v="70.5"/>
    <x v="48"/>
    <x v="4292"/>
    <x v="0"/>
    <x v="1"/>
    <x v="1"/>
    <x v="1"/>
  </r>
  <r>
    <x v="4825"/>
    <x v="0"/>
    <x v="1"/>
    <x v="1"/>
    <n v="19.75"/>
    <x v="52"/>
    <x v="428"/>
    <x v="0"/>
    <x v="0"/>
    <x v="1"/>
    <x v="1"/>
  </r>
  <r>
    <x v="4826"/>
    <x v="1"/>
    <x v="2"/>
    <x v="2"/>
    <n v="24.65"/>
    <x v="56"/>
    <x v="4293"/>
    <x v="0"/>
    <x v="0"/>
    <x v="1"/>
    <x v="3"/>
  </r>
  <r>
    <x v="4827"/>
    <x v="1"/>
    <x v="0"/>
    <x v="0"/>
    <n v="104.25"/>
    <x v="45"/>
    <x v="4294"/>
    <x v="0"/>
    <x v="2"/>
    <x v="1"/>
    <x v="3"/>
  </r>
  <r>
    <x v="4828"/>
    <x v="0"/>
    <x v="0"/>
    <x v="2"/>
    <n v="78.349999999999994"/>
    <x v="13"/>
    <x v="4295"/>
    <x v="0"/>
    <x v="0"/>
    <x v="1"/>
    <x v="1"/>
  </r>
  <r>
    <x v="4829"/>
    <x v="0"/>
    <x v="0"/>
    <x v="0"/>
    <n v="69.8"/>
    <x v="0"/>
    <x v="3143"/>
    <x v="1"/>
    <x v="0"/>
    <x v="0"/>
    <x v="0"/>
  </r>
  <r>
    <x v="4830"/>
    <x v="0"/>
    <x v="1"/>
    <x v="3"/>
    <n v="109.7"/>
    <x v="56"/>
    <x v="4296"/>
    <x v="0"/>
    <x v="2"/>
    <x v="1"/>
    <x v="3"/>
  </r>
  <r>
    <x v="4831"/>
    <x v="1"/>
    <x v="0"/>
    <x v="1"/>
    <n v="73.75"/>
    <x v="40"/>
    <x v="4297"/>
    <x v="1"/>
    <x v="0"/>
    <x v="0"/>
    <x v="0"/>
  </r>
  <r>
    <x v="4832"/>
    <x v="0"/>
    <x v="0"/>
    <x v="3"/>
    <n v="33.450000000000003"/>
    <x v="29"/>
    <x v="4298"/>
    <x v="0"/>
    <x v="0"/>
    <x v="1"/>
    <x v="1"/>
  </r>
  <r>
    <x v="4833"/>
    <x v="0"/>
    <x v="0"/>
    <x v="0"/>
    <n v="94.6"/>
    <x v="65"/>
    <x v="4299"/>
    <x v="0"/>
    <x v="1"/>
    <x v="1"/>
    <x v="2"/>
  </r>
  <r>
    <x v="4834"/>
    <x v="1"/>
    <x v="0"/>
    <x v="0"/>
    <n v="54.55"/>
    <x v="34"/>
    <x v="4300"/>
    <x v="1"/>
    <x v="0"/>
    <x v="0"/>
    <x v="0"/>
  </r>
  <r>
    <x v="4835"/>
    <x v="1"/>
    <x v="2"/>
    <x v="2"/>
    <n v="20.2"/>
    <x v="14"/>
    <x v="1172"/>
    <x v="0"/>
    <x v="0"/>
    <x v="1"/>
    <x v="3"/>
  </r>
  <r>
    <x v="4836"/>
    <x v="0"/>
    <x v="1"/>
    <x v="2"/>
    <n v="20.3"/>
    <x v="50"/>
    <x v="4301"/>
    <x v="0"/>
    <x v="0"/>
    <x v="1"/>
    <x v="1"/>
  </r>
  <r>
    <x v="4837"/>
    <x v="1"/>
    <x v="2"/>
    <x v="3"/>
    <n v="39.4"/>
    <x v="61"/>
    <x v="4302"/>
    <x v="0"/>
    <x v="0"/>
    <x v="2"/>
    <x v="2"/>
  </r>
  <r>
    <x v="4838"/>
    <x v="1"/>
    <x v="0"/>
    <x v="2"/>
    <n v="69.150000000000006"/>
    <x v="40"/>
    <x v="4303"/>
    <x v="0"/>
    <x v="0"/>
    <x v="0"/>
    <x v="0"/>
  </r>
  <r>
    <x v="4839"/>
    <x v="0"/>
    <x v="0"/>
    <x v="0"/>
    <n v="76.25"/>
    <x v="50"/>
    <x v="4304"/>
    <x v="1"/>
    <x v="1"/>
    <x v="1"/>
    <x v="1"/>
  </r>
  <r>
    <x v="4840"/>
    <x v="0"/>
    <x v="0"/>
    <x v="1"/>
    <n v="93.9"/>
    <x v="24"/>
    <x v="4305"/>
    <x v="1"/>
    <x v="0"/>
    <x v="0"/>
    <x v="0"/>
  </r>
  <r>
    <x v="4841"/>
    <x v="1"/>
    <x v="1"/>
    <x v="0"/>
    <n v="51.35"/>
    <x v="52"/>
    <x v="4306"/>
    <x v="0"/>
    <x v="1"/>
    <x v="1"/>
    <x v="1"/>
  </r>
  <r>
    <x v="4842"/>
    <x v="0"/>
    <x v="1"/>
    <x v="3"/>
    <n v="100.05"/>
    <x v="68"/>
    <x v="4307"/>
    <x v="0"/>
    <x v="2"/>
    <x v="1"/>
    <x v="3"/>
  </r>
  <r>
    <x v="4843"/>
    <x v="0"/>
    <x v="0"/>
    <x v="0"/>
    <n v="70.400000000000006"/>
    <x v="35"/>
    <x v="4308"/>
    <x v="1"/>
    <x v="0"/>
    <x v="0"/>
    <x v="0"/>
  </r>
  <r>
    <x v="4844"/>
    <x v="1"/>
    <x v="2"/>
    <x v="3"/>
    <n v="20.3"/>
    <x v="14"/>
    <x v="4309"/>
    <x v="0"/>
    <x v="0"/>
    <x v="1"/>
    <x v="3"/>
  </r>
  <r>
    <x v="4845"/>
    <x v="0"/>
    <x v="1"/>
    <x v="3"/>
    <n v="94.45"/>
    <x v="62"/>
    <x v="4310"/>
    <x v="0"/>
    <x v="2"/>
    <x v="1"/>
    <x v="3"/>
  </r>
  <r>
    <x v="4846"/>
    <x v="1"/>
    <x v="1"/>
    <x v="3"/>
    <n v="46.4"/>
    <x v="32"/>
    <x v="4311"/>
    <x v="0"/>
    <x v="0"/>
    <x v="2"/>
    <x v="2"/>
  </r>
  <r>
    <x v="4847"/>
    <x v="1"/>
    <x v="2"/>
    <x v="3"/>
    <n v="104.05"/>
    <x v="38"/>
    <x v="4312"/>
    <x v="0"/>
    <x v="2"/>
    <x v="1"/>
    <x v="3"/>
  </r>
  <r>
    <x v="4848"/>
    <x v="0"/>
    <x v="0"/>
    <x v="0"/>
    <n v="91.15"/>
    <x v="36"/>
    <x v="4313"/>
    <x v="1"/>
    <x v="1"/>
    <x v="1"/>
    <x v="1"/>
  </r>
  <r>
    <x v="4849"/>
    <x v="0"/>
    <x v="0"/>
    <x v="3"/>
    <n v="24.9"/>
    <x v="61"/>
    <x v="3615"/>
    <x v="0"/>
    <x v="0"/>
    <x v="2"/>
    <x v="2"/>
  </r>
  <r>
    <x v="4850"/>
    <x v="1"/>
    <x v="1"/>
    <x v="1"/>
    <n v="59.6"/>
    <x v="58"/>
    <x v="4314"/>
    <x v="0"/>
    <x v="1"/>
    <x v="1"/>
    <x v="3"/>
  </r>
  <r>
    <x v="4851"/>
    <x v="1"/>
    <x v="2"/>
    <x v="3"/>
    <n v="108.5"/>
    <x v="28"/>
    <x v="3166"/>
    <x v="0"/>
    <x v="2"/>
    <x v="1"/>
    <x v="3"/>
  </r>
  <r>
    <x v="4852"/>
    <x v="1"/>
    <x v="2"/>
    <x v="1"/>
    <n v="40.549999999999997"/>
    <x v="9"/>
    <x v="4315"/>
    <x v="0"/>
    <x v="0"/>
    <x v="2"/>
    <x v="2"/>
  </r>
  <r>
    <x v="4853"/>
    <x v="0"/>
    <x v="1"/>
    <x v="2"/>
    <n v="58.95"/>
    <x v="43"/>
    <x v="4316"/>
    <x v="0"/>
    <x v="1"/>
    <x v="1"/>
    <x v="1"/>
  </r>
  <r>
    <x v="4854"/>
    <x v="0"/>
    <x v="0"/>
    <x v="0"/>
    <n v="70.95"/>
    <x v="2"/>
    <x v="4317"/>
    <x v="1"/>
    <x v="0"/>
    <x v="0"/>
    <x v="0"/>
  </r>
  <r>
    <x v="4855"/>
    <x v="1"/>
    <x v="2"/>
    <x v="1"/>
    <n v="20.75"/>
    <x v="58"/>
    <x v="4318"/>
    <x v="0"/>
    <x v="0"/>
    <x v="1"/>
    <x v="3"/>
  </r>
  <r>
    <x v="4856"/>
    <x v="1"/>
    <x v="1"/>
    <x v="2"/>
    <n v="113.15"/>
    <x v="16"/>
    <x v="4242"/>
    <x v="0"/>
    <x v="2"/>
    <x v="1"/>
    <x v="3"/>
  </r>
  <r>
    <x v="4857"/>
    <x v="0"/>
    <x v="0"/>
    <x v="0"/>
    <n v="48.8"/>
    <x v="40"/>
    <x v="4319"/>
    <x v="0"/>
    <x v="0"/>
    <x v="0"/>
    <x v="0"/>
  </r>
  <r>
    <x v="4858"/>
    <x v="0"/>
    <x v="0"/>
    <x v="2"/>
    <n v="63.05"/>
    <x v="10"/>
    <x v="4320"/>
    <x v="0"/>
    <x v="0"/>
    <x v="2"/>
    <x v="2"/>
  </r>
  <r>
    <x v="4859"/>
    <x v="1"/>
    <x v="0"/>
    <x v="0"/>
    <n v="100.85"/>
    <x v="1"/>
    <x v="4321"/>
    <x v="0"/>
    <x v="1"/>
    <x v="1"/>
    <x v="1"/>
  </r>
  <r>
    <x v="4860"/>
    <x v="0"/>
    <x v="0"/>
    <x v="0"/>
    <n v="99.5"/>
    <x v="50"/>
    <x v="4322"/>
    <x v="1"/>
    <x v="1"/>
    <x v="1"/>
    <x v="1"/>
  </r>
  <r>
    <x v="4861"/>
    <x v="1"/>
    <x v="0"/>
    <x v="1"/>
    <n v="80.55"/>
    <x v="10"/>
    <x v="4323"/>
    <x v="0"/>
    <x v="0"/>
    <x v="2"/>
    <x v="2"/>
  </r>
  <r>
    <x v="4862"/>
    <x v="1"/>
    <x v="1"/>
    <x v="2"/>
    <n v="64.400000000000006"/>
    <x v="43"/>
    <x v="4324"/>
    <x v="0"/>
    <x v="1"/>
    <x v="1"/>
    <x v="1"/>
  </r>
  <r>
    <x v="4863"/>
    <x v="1"/>
    <x v="1"/>
    <x v="3"/>
    <n v="75.2"/>
    <x v="11"/>
    <x v="4325"/>
    <x v="0"/>
    <x v="1"/>
    <x v="1"/>
    <x v="3"/>
  </r>
  <r>
    <x v="4864"/>
    <x v="0"/>
    <x v="2"/>
    <x v="2"/>
    <n v="84.9"/>
    <x v="21"/>
    <x v="4326"/>
    <x v="0"/>
    <x v="2"/>
    <x v="1"/>
    <x v="3"/>
  </r>
  <r>
    <x v="4865"/>
    <x v="0"/>
    <x v="0"/>
    <x v="1"/>
    <n v="19.3"/>
    <x v="40"/>
    <x v="4327"/>
    <x v="0"/>
    <x v="0"/>
    <x v="0"/>
    <x v="0"/>
  </r>
  <r>
    <x v="4866"/>
    <x v="0"/>
    <x v="0"/>
    <x v="3"/>
    <n v="83.9"/>
    <x v="46"/>
    <x v="4328"/>
    <x v="1"/>
    <x v="1"/>
    <x v="1"/>
    <x v="1"/>
  </r>
  <r>
    <x v="4867"/>
    <x v="0"/>
    <x v="0"/>
    <x v="0"/>
    <n v="117.45"/>
    <x v="43"/>
    <x v="4329"/>
    <x v="1"/>
    <x v="2"/>
    <x v="1"/>
    <x v="1"/>
  </r>
  <r>
    <x v="4868"/>
    <x v="1"/>
    <x v="0"/>
    <x v="0"/>
    <n v="104.4"/>
    <x v="6"/>
    <x v="4330"/>
    <x v="1"/>
    <x v="0"/>
    <x v="0"/>
    <x v="0"/>
  </r>
  <r>
    <x v="4869"/>
    <x v="0"/>
    <x v="1"/>
    <x v="3"/>
    <n v="74.650000000000006"/>
    <x v="19"/>
    <x v="4331"/>
    <x v="0"/>
    <x v="1"/>
    <x v="1"/>
    <x v="1"/>
  </r>
  <r>
    <x v="4870"/>
    <x v="1"/>
    <x v="0"/>
    <x v="3"/>
    <n v="59.05"/>
    <x v="36"/>
    <x v="4332"/>
    <x v="0"/>
    <x v="0"/>
    <x v="1"/>
    <x v="1"/>
  </r>
  <r>
    <x v="4871"/>
    <x v="0"/>
    <x v="1"/>
    <x v="3"/>
    <n v="69.099999999999994"/>
    <x v="25"/>
    <x v="4333"/>
    <x v="0"/>
    <x v="1"/>
    <x v="1"/>
    <x v="1"/>
  </r>
  <r>
    <x v="4872"/>
    <x v="1"/>
    <x v="2"/>
    <x v="1"/>
    <n v="20.55"/>
    <x v="37"/>
    <x v="4334"/>
    <x v="0"/>
    <x v="0"/>
    <x v="1"/>
    <x v="3"/>
  </r>
  <r>
    <x v="4873"/>
    <x v="1"/>
    <x v="0"/>
    <x v="2"/>
    <n v="76.55"/>
    <x v="7"/>
    <x v="4335"/>
    <x v="0"/>
    <x v="1"/>
    <x v="1"/>
    <x v="1"/>
  </r>
  <r>
    <x v="4874"/>
    <x v="0"/>
    <x v="2"/>
    <x v="2"/>
    <n v="62.5"/>
    <x v="33"/>
    <x v="1083"/>
    <x v="0"/>
    <x v="1"/>
    <x v="1"/>
    <x v="3"/>
  </r>
  <r>
    <x v="4875"/>
    <x v="1"/>
    <x v="0"/>
    <x v="0"/>
    <n v="29.4"/>
    <x v="4"/>
    <x v="4336"/>
    <x v="1"/>
    <x v="0"/>
    <x v="0"/>
    <x v="0"/>
  </r>
  <r>
    <x v="4876"/>
    <x v="0"/>
    <x v="0"/>
    <x v="2"/>
    <n v="94.9"/>
    <x v="52"/>
    <x v="4337"/>
    <x v="0"/>
    <x v="1"/>
    <x v="1"/>
    <x v="1"/>
  </r>
  <r>
    <x v="4877"/>
    <x v="1"/>
    <x v="2"/>
    <x v="2"/>
    <n v="111.65"/>
    <x v="21"/>
    <x v="616"/>
    <x v="0"/>
    <x v="2"/>
    <x v="1"/>
    <x v="3"/>
  </r>
  <r>
    <x v="4878"/>
    <x v="0"/>
    <x v="1"/>
    <x v="1"/>
    <n v="19.899999999999999"/>
    <x v="40"/>
    <x v="4338"/>
    <x v="0"/>
    <x v="0"/>
    <x v="0"/>
    <x v="0"/>
  </r>
  <r>
    <x v="4879"/>
    <x v="0"/>
    <x v="0"/>
    <x v="1"/>
    <n v="20.45"/>
    <x v="46"/>
    <x v="4339"/>
    <x v="0"/>
    <x v="0"/>
    <x v="1"/>
    <x v="1"/>
  </r>
  <r>
    <x v="4880"/>
    <x v="1"/>
    <x v="1"/>
    <x v="0"/>
    <n v="106.05"/>
    <x v="66"/>
    <x v="4340"/>
    <x v="0"/>
    <x v="1"/>
    <x v="1"/>
    <x v="1"/>
  </r>
  <r>
    <x v="4881"/>
    <x v="1"/>
    <x v="1"/>
    <x v="2"/>
    <n v="113.45"/>
    <x v="20"/>
    <x v="4341"/>
    <x v="0"/>
    <x v="2"/>
    <x v="1"/>
    <x v="1"/>
  </r>
  <r>
    <x v="4882"/>
    <x v="1"/>
    <x v="0"/>
    <x v="0"/>
    <n v="92.55"/>
    <x v="62"/>
    <x v="4342"/>
    <x v="0"/>
    <x v="1"/>
    <x v="1"/>
    <x v="3"/>
  </r>
  <r>
    <x v="4883"/>
    <x v="1"/>
    <x v="0"/>
    <x v="0"/>
    <n v="65.599999999999994"/>
    <x v="54"/>
    <x v="4343"/>
    <x v="0"/>
    <x v="0"/>
    <x v="0"/>
    <x v="0"/>
  </r>
  <r>
    <x v="4884"/>
    <x v="1"/>
    <x v="0"/>
    <x v="0"/>
    <n v="84.35"/>
    <x v="61"/>
    <x v="4344"/>
    <x v="0"/>
    <x v="0"/>
    <x v="2"/>
    <x v="2"/>
  </r>
  <r>
    <x v="4885"/>
    <x v="1"/>
    <x v="0"/>
    <x v="1"/>
    <n v="44.65"/>
    <x v="2"/>
    <x v="4345"/>
    <x v="1"/>
    <x v="0"/>
    <x v="0"/>
    <x v="0"/>
  </r>
  <r>
    <x v="4886"/>
    <x v="1"/>
    <x v="1"/>
    <x v="3"/>
    <n v="71.099999999999994"/>
    <x v="58"/>
    <x v="4346"/>
    <x v="0"/>
    <x v="1"/>
    <x v="1"/>
    <x v="3"/>
  </r>
  <r>
    <x v="4887"/>
    <x v="0"/>
    <x v="0"/>
    <x v="0"/>
    <n v="85.15"/>
    <x v="66"/>
    <x v="4347"/>
    <x v="0"/>
    <x v="1"/>
    <x v="1"/>
    <x v="1"/>
  </r>
  <r>
    <x v="4888"/>
    <x v="1"/>
    <x v="0"/>
    <x v="1"/>
    <n v="49.7"/>
    <x v="65"/>
    <x v="589"/>
    <x v="0"/>
    <x v="0"/>
    <x v="1"/>
    <x v="2"/>
  </r>
  <r>
    <x v="4889"/>
    <x v="1"/>
    <x v="0"/>
    <x v="2"/>
    <n v="30.2"/>
    <x v="30"/>
    <x v="3107"/>
    <x v="0"/>
    <x v="0"/>
    <x v="2"/>
    <x v="2"/>
  </r>
  <r>
    <x v="4890"/>
    <x v="0"/>
    <x v="0"/>
    <x v="0"/>
    <n v="25.25"/>
    <x v="35"/>
    <x v="4348"/>
    <x v="1"/>
    <x v="0"/>
    <x v="0"/>
    <x v="0"/>
  </r>
  <r>
    <x v="4891"/>
    <x v="0"/>
    <x v="0"/>
    <x v="2"/>
    <n v="84.05"/>
    <x v="54"/>
    <x v="4349"/>
    <x v="1"/>
    <x v="0"/>
    <x v="0"/>
    <x v="0"/>
  </r>
  <r>
    <x v="4892"/>
    <x v="1"/>
    <x v="0"/>
    <x v="0"/>
    <n v="85.7"/>
    <x v="50"/>
    <x v="4350"/>
    <x v="1"/>
    <x v="1"/>
    <x v="1"/>
    <x v="1"/>
  </r>
  <r>
    <x v="4893"/>
    <x v="0"/>
    <x v="0"/>
    <x v="0"/>
    <n v="74.7"/>
    <x v="0"/>
    <x v="91"/>
    <x v="1"/>
    <x v="0"/>
    <x v="0"/>
    <x v="0"/>
  </r>
  <r>
    <x v="4894"/>
    <x v="0"/>
    <x v="0"/>
    <x v="3"/>
    <n v="56.35"/>
    <x v="65"/>
    <x v="4351"/>
    <x v="0"/>
    <x v="0"/>
    <x v="1"/>
    <x v="2"/>
  </r>
  <r>
    <x v="4895"/>
    <x v="0"/>
    <x v="0"/>
    <x v="0"/>
    <n v="90.8"/>
    <x v="24"/>
    <x v="4352"/>
    <x v="1"/>
    <x v="0"/>
    <x v="0"/>
    <x v="0"/>
  </r>
  <r>
    <x v="4896"/>
    <x v="0"/>
    <x v="0"/>
    <x v="0"/>
    <n v="107.55"/>
    <x v="55"/>
    <x v="4353"/>
    <x v="0"/>
    <x v="1"/>
    <x v="1"/>
    <x v="1"/>
  </r>
  <r>
    <x v="4897"/>
    <x v="0"/>
    <x v="2"/>
    <x v="1"/>
    <n v="19.850000000000001"/>
    <x v="11"/>
    <x v="4354"/>
    <x v="0"/>
    <x v="0"/>
    <x v="1"/>
    <x v="3"/>
  </r>
  <r>
    <x v="4898"/>
    <x v="0"/>
    <x v="2"/>
    <x v="2"/>
    <n v="95.9"/>
    <x v="21"/>
    <x v="4355"/>
    <x v="0"/>
    <x v="2"/>
    <x v="1"/>
    <x v="3"/>
  </r>
  <r>
    <x v="4899"/>
    <x v="0"/>
    <x v="2"/>
    <x v="1"/>
    <n v="23.85"/>
    <x v="16"/>
    <x v="4356"/>
    <x v="0"/>
    <x v="0"/>
    <x v="1"/>
    <x v="3"/>
  </r>
  <r>
    <x v="4900"/>
    <x v="0"/>
    <x v="0"/>
    <x v="0"/>
    <n v="106.15"/>
    <x v="7"/>
    <x v="4357"/>
    <x v="1"/>
    <x v="1"/>
    <x v="1"/>
    <x v="1"/>
  </r>
  <r>
    <x v="4901"/>
    <x v="1"/>
    <x v="2"/>
    <x v="3"/>
    <n v="83.85"/>
    <x v="69"/>
    <x v="4358"/>
    <x v="0"/>
    <x v="1"/>
    <x v="1"/>
    <x v="3"/>
  </r>
  <r>
    <x v="4902"/>
    <x v="0"/>
    <x v="1"/>
    <x v="2"/>
    <n v="85.35"/>
    <x v="19"/>
    <x v="4359"/>
    <x v="1"/>
    <x v="1"/>
    <x v="1"/>
    <x v="1"/>
  </r>
  <r>
    <x v="4903"/>
    <x v="1"/>
    <x v="2"/>
    <x v="3"/>
    <n v="84.8"/>
    <x v="21"/>
    <x v="4360"/>
    <x v="0"/>
    <x v="2"/>
    <x v="1"/>
    <x v="3"/>
  </r>
  <r>
    <x v="4904"/>
    <x v="1"/>
    <x v="0"/>
    <x v="0"/>
    <n v="90.85"/>
    <x v="51"/>
    <x v="4361"/>
    <x v="1"/>
    <x v="1"/>
    <x v="1"/>
    <x v="1"/>
  </r>
  <r>
    <x v="4905"/>
    <x v="1"/>
    <x v="2"/>
    <x v="2"/>
    <n v="76.099999999999994"/>
    <x v="60"/>
    <x v="4362"/>
    <x v="0"/>
    <x v="0"/>
    <x v="2"/>
    <x v="2"/>
  </r>
  <r>
    <x v="4906"/>
    <x v="0"/>
    <x v="2"/>
    <x v="1"/>
    <n v="74.55"/>
    <x v="21"/>
    <x v="4363"/>
    <x v="0"/>
    <x v="2"/>
    <x v="1"/>
    <x v="3"/>
  </r>
  <r>
    <x v="4907"/>
    <x v="0"/>
    <x v="0"/>
    <x v="0"/>
    <n v="39.200000000000003"/>
    <x v="5"/>
    <x v="2435"/>
    <x v="0"/>
    <x v="0"/>
    <x v="2"/>
    <x v="2"/>
  </r>
  <r>
    <x v="4908"/>
    <x v="0"/>
    <x v="0"/>
    <x v="0"/>
    <n v="79.55"/>
    <x v="2"/>
    <x v="4364"/>
    <x v="0"/>
    <x v="0"/>
    <x v="0"/>
    <x v="0"/>
  </r>
  <r>
    <x v="4909"/>
    <x v="0"/>
    <x v="0"/>
    <x v="1"/>
    <n v="19.600000000000001"/>
    <x v="30"/>
    <x v="1934"/>
    <x v="0"/>
    <x v="0"/>
    <x v="2"/>
    <x v="2"/>
  </r>
  <r>
    <x v="4910"/>
    <x v="1"/>
    <x v="2"/>
    <x v="3"/>
    <n v="19.55"/>
    <x v="69"/>
    <x v="4365"/>
    <x v="0"/>
    <x v="0"/>
    <x v="1"/>
    <x v="3"/>
  </r>
  <r>
    <x v="4911"/>
    <x v="1"/>
    <x v="2"/>
    <x v="3"/>
    <n v="39.15"/>
    <x v="27"/>
    <x v="4366"/>
    <x v="0"/>
    <x v="1"/>
    <x v="1"/>
    <x v="3"/>
  </r>
  <r>
    <x v="4912"/>
    <x v="0"/>
    <x v="2"/>
    <x v="2"/>
    <n v="20.100000000000001"/>
    <x v="16"/>
    <x v="4367"/>
    <x v="0"/>
    <x v="0"/>
    <x v="1"/>
    <x v="3"/>
  </r>
  <r>
    <x v="4913"/>
    <x v="0"/>
    <x v="0"/>
    <x v="3"/>
    <n v="99.95"/>
    <x v="71"/>
    <x v="4368"/>
    <x v="0"/>
    <x v="1"/>
    <x v="1"/>
    <x v="1"/>
  </r>
  <r>
    <x v="4914"/>
    <x v="0"/>
    <x v="0"/>
    <x v="0"/>
    <n v="59.8"/>
    <x v="59"/>
    <x v="4369"/>
    <x v="0"/>
    <x v="1"/>
    <x v="1"/>
    <x v="3"/>
  </r>
  <r>
    <x v="4915"/>
    <x v="0"/>
    <x v="0"/>
    <x v="2"/>
    <n v="49.75"/>
    <x v="15"/>
    <x v="4370"/>
    <x v="0"/>
    <x v="1"/>
    <x v="1"/>
    <x v="3"/>
  </r>
  <r>
    <x v="4916"/>
    <x v="0"/>
    <x v="0"/>
    <x v="0"/>
    <n v="35.75"/>
    <x v="0"/>
    <x v="4371"/>
    <x v="1"/>
    <x v="0"/>
    <x v="0"/>
    <x v="0"/>
  </r>
  <r>
    <x v="4917"/>
    <x v="1"/>
    <x v="1"/>
    <x v="1"/>
    <n v="108.5"/>
    <x v="38"/>
    <x v="4372"/>
    <x v="0"/>
    <x v="2"/>
    <x v="1"/>
    <x v="3"/>
  </r>
  <r>
    <x v="4918"/>
    <x v="1"/>
    <x v="2"/>
    <x v="3"/>
    <n v="60.15"/>
    <x v="8"/>
    <x v="4373"/>
    <x v="0"/>
    <x v="1"/>
    <x v="1"/>
    <x v="3"/>
  </r>
  <r>
    <x v="4919"/>
    <x v="1"/>
    <x v="2"/>
    <x v="1"/>
    <n v="19.05"/>
    <x v="19"/>
    <x v="4374"/>
    <x v="0"/>
    <x v="0"/>
    <x v="1"/>
    <x v="1"/>
  </r>
  <r>
    <x v="4920"/>
    <x v="0"/>
    <x v="0"/>
    <x v="0"/>
    <n v="46"/>
    <x v="54"/>
    <x v="4274"/>
    <x v="1"/>
    <x v="0"/>
    <x v="0"/>
    <x v="0"/>
  </r>
  <r>
    <x v="4921"/>
    <x v="1"/>
    <x v="1"/>
    <x v="2"/>
    <n v="84"/>
    <x v="28"/>
    <x v="4375"/>
    <x v="0"/>
    <x v="2"/>
    <x v="1"/>
    <x v="3"/>
  </r>
  <r>
    <x v="4922"/>
    <x v="0"/>
    <x v="0"/>
    <x v="3"/>
    <n v="44.55"/>
    <x v="0"/>
    <x v="3455"/>
    <x v="0"/>
    <x v="0"/>
    <x v="0"/>
    <x v="0"/>
  </r>
  <r>
    <x v="4923"/>
    <x v="1"/>
    <x v="0"/>
    <x v="0"/>
    <n v="103.45"/>
    <x v="30"/>
    <x v="4376"/>
    <x v="0"/>
    <x v="0"/>
    <x v="2"/>
    <x v="2"/>
  </r>
  <r>
    <x v="4924"/>
    <x v="1"/>
    <x v="1"/>
    <x v="3"/>
    <n v="80.650000000000006"/>
    <x v="23"/>
    <x v="4377"/>
    <x v="0"/>
    <x v="1"/>
    <x v="1"/>
    <x v="1"/>
  </r>
  <r>
    <x v="4925"/>
    <x v="0"/>
    <x v="0"/>
    <x v="1"/>
    <n v="57.2"/>
    <x v="54"/>
    <x v="4378"/>
    <x v="0"/>
    <x v="0"/>
    <x v="0"/>
    <x v="0"/>
  </r>
  <r>
    <x v="4926"/>
    <x v="0"/>
    <x v="2"/>
    <x v="0"/>
    <n v="110.75"/>
    <x v="21"/>
    <x v="4379"/>
    <x v="0"/>
    <x v="2"/>
    <x v="1"/>
    <x v="3"/>
  </r>
  <r>
    <x v="4927"/>
    <x v="1"/>
    <x v="1"/>
    <x v="3"/>
    <n v="24.7"/>
    <x v="3"/>
    <x v="652"/>
    <x v="0"/>
    <x v="0"/>
    <x v="1"/>
    <x v="1"/>
  </r>
  <r>
    <x v="4928"/>
    <x v="0"/>
    <x v="0"/>
    <x v="0"/>
    <n v="97.05"/>
    <x v="3"/>
    <x v="4380"/>
    <x v="0"/>
    <x v="1"/>
    <x v="1"/>
    <x v="1"/>
  </r>
  <r>
    <x v="4929"/>
    <x v="0"/>
    <x v="1"/>
    <x v="1"/>
    <n v="76.349999999999994"/>
    <x v="51"/>
    <x v="4381"/>
    <x v="0"/>
    <x v="1"/>
    <x v="1"/>
    <x v="1"/>
  </r>
  <r>
    <x v="4930"/>
    <x v="1"/>
    <x v="0"/>
    <x v="0"/>
    <n v="89.4"/>
    <x v="22"/>
    <x v="4382"/>
    <x v="1"/>
    <x v="0"/>
    <x v="2"/>
    <x v="2"/>
  </r>
  <r>
    <x v="4931"/>
    <x v="1"/>
    <x v="0"/>
    <x v="1"/>
    <n v="18.899999999999999"/>
    <x v="0"/>
    <x v="4383"/>
    <x v="0"/>
    <x v="0"/>
    <x v="0"/>
    <x v="0"/>
  </r>
  <r>
    <x v="4932"/>
    <x v="1"/>
    <x v="0"/>
    <x v="2"/>
    <n v="74.45"/>
    <x v="10"/>
    <x v="4384"/>
    <x v="0"/>
    <x v="0"/>
    <x v="2"/>
    <x v="2"/>
  </r>
  <r>
    <x v="4933"/>
    <x v="1"/>
    <x v="0"/>
    <x v="1"/>
    <n v="19.8"/>
    <x v="35"/>
    <x v="4385"/>
    <x v="1"/>
    <x v="0"/>
    <x v="0"/>
    <x v="0"/>
  </r>
  <r>
    <x v="4934"/>
    <x v="1"/>
    <x v="0"/>
    <x v="0"/>
    <n v="50.9"/>
    <x v="54"/>
    <x v="4386"/>
    <x v="1"/>
    <x v="0"/>
    <x v="0"/>
    <x v="0"/>
  </r>
  <r>
    <x v="4935"/>
    <x v="0"/>
    <x v="2"/>
    <x v="3"/>
    <n v="84.4"/>
    <x v="16"/>
    <x v="4387"/>
    <x v="0"/>
    <x v="2"/>
    <x v="1"/>
    <x v="3"/>
  </r>
  <r>
    <x v="4936"/>
    <x v="1"/>
    <x v="0"/>
    <x v="1"/>
    <n v="24.4"/>
    <x v="6"/>
    <x v="4388"/>
    <x v="0"/>
    <x v="0"/>
    <x v="0"/>
    <x v="0"/>
  </r>
  <r>
    <x v="4937"/>
    <x v="1"/>
    <x v="2"/>
    <x v="1"/>
    <n v="20.05"/>
    <x v="61"/>
    <x v="4389"/>
    <x v="0"/>
    <x v="0"/>
    <x v="2"/>
    <x v="2"/>
  </r>
  <r>
    <x v="4938"/>
    <x v="1"/>
    <x v="0"/>
    <x v="0"/>
    <n v="81"/>
    <x v="54"/>
    <x v="4390"/>
    <x v="1"/>
    <x v="0"/>
    <x v="0"/>
    <x v="0"/>
  </r>
  <r>
    <x v="4939"/>
    <x v="1"/>
    <x v="0"/>
    <x v="0"/>
    <n v="98.35"/>
    <x v="70"/>
    <x v="4391"/>
    <x v="1"/>
    <x v="1"/>
    <x v="1"/>
    <x v="1"/>
  </r>
  <r>
    <x v="4940"/>
    <x v="0"/>
    <x v="0"/>
    <x v="3"/>
    <n v="55.5"/>
    <x v="54"/>
    <x v="4392"/>
    <x v="0"/>
    <x v="0"/>
    <x v="0"/>
    <x v="0"/>
  </r>
  <r>
    <x v="4941"/>
    <x v="1"/>
    <x v="0"/>
    <x v="1"/>
    <n v="51"/>
    <x v="24"/>
    <x v="2665"/>
    <x v="1"/>
    <x v="0"/>
    <x v="0"/>
    <x v="0"/>
  </r>
  <r>
    <x v="4942"/>
    <x v="0"/>
    <x v="0"/>
    <x v="0"/>
    <n v="91.65"/>
    <x v="54"/>
    <x v="4393"/>
    <x v="1"/>
    <x v="0"/>
    <x v="0"/>
    <x v="0"/>
  </r>
  <r>
    <x v="4943"/>
    <x v="1"/>
    <x v="0"/>
    <x v="0"/>
    <n v="84.3"/>
    <x v="44"/>
    <x v="4394"/>
    <x v="0"/>
    <x v="1"/>
    <x v="1"/>
    <x v="1"/>
  </r>
  <r>
    <x v="4944"/>
    <x v="1"/>
    <x v="0"/>
    <x v="0"/>
    <n v="100.2"/>
    <x v="2"/>
    <x v="4395"/>
    <x v="0"/>
    <x v="0"/>
    <x v="0"/>
    <x v="0"/>
  </r>
  <r>
    <x v="4945"/>
    <x v="0"/>
    <x v="2"/>
    <x v="1"/>
    <n v="19.399999999999999"/>
    <x v="44"/>
    <x v="4396"/>
    <x v="0"/>
    <x v="0"/>
    <x v="1"/>
    <x v="1"/>
  </r>
  <r>
    <x v="4946"/>
    <x v="1"/>
    <x v="0"/>
    <x v="0"/>
    <n v="90.85"/>
    <x v="0"/>
    <x v="378"/>
    <x v="1"/>
    <x v="0"/>
    <x v="0"/>
    <x v="0"/>
  </r>
  <r>
    <x v="4947"/>
    <x v="1"/>
    <x v="0"/>
    <x v="1"/>
    <n v="69.400000000000006"/>
    <x v="0"/>
    <x v="665"/>
    <x v="1"/>
    <x v="0"/>
    <x v="0"/>
    <x v="0"/>
  </r>
  <r>
    <x v="4948"/>
    <x v="0"/>
    <x v="0"/>
    <x v="3"/>
    <n v="94.45"/>
    <x v="4"/>
    <x v="4397"/>
    <x v="1"/>
    <x v="0"/>
    <x v="0"/>
    <x v="0"/>
  </r>
  <r>
    <x v="4949"/>
    <x v="1"/>
    <x v="0"/>
    <x v="0"/>
    <n v="20.399999999999999"/>
    <x v="9"/>
    <x v="2451"/>
    <x v="0"/>
    <x v="0"/>
    <x v="2"/>
    <x v="2"/>
  </r>
  <r>
    <x v="4950"/>
    <x v="0"/>
    <x v="0"/>
    <x v="0"/>
    <n v="94.75"/>
    <x v="64"/>
    <x v="4398"/>
    <x v="0"/>
    <x v="2"/>
    <x v="1"/>
    <x v="3"/>
  </r>
  <r>
    <x v="4951"/>
    <x v="0"/>
    <x v="0"/>
    <x v="3"/>
    <n v="20.149999999999999"/>
    <x v="0"/>
    <x v="22"/>
    <x v="1"/>
    <x v="0"/>
    <x v="0"/>
    <x v="0"/>
  </r>
  <r>
    <x v="4952"/>
    <x v="1"/>
    <x v="0"/>
    <x v="0"/>
    <n v="95.7"/>
    <x v="37"/>
    <x v="3235"/>
    <x v="1"/>
    <x v="1"/>
    <x v="1"/>
    <x v="3"/>
  </r>
  <r>
    <x v="4953"/>
    <x v="1"/>
    <x v="0"/>
    <x v="2"/>
    <n v="44.35"/>
    <x v="32"/>
    <x v="4399"/>
    <x v="0"/>
    <x v="0"/>
    <x v="2"/>
    <x v="2"/>
  </r>
  <r>
    <x v="4954"/>
    <x v="0"/>
    <x v="0"/>
    <x v="1"/>
    <n v="74.55"/>
    <x v="22"/>
    <x v="4400"/>
    <x v="0"/>
    <x v="0"/>
    <x v="2"/>
    <x v="2"/>
  </r>
  <r>
    <x v="4955"/>
    <x v="1"/>
    <x v="2"/>
    <x v="0"/>
    <n v="73.599999999999994"/>
    <x v="20"/>
    <x v="4401"/>
    <x v="0"/>
    <x v="1"/>
    <x v="1"/>
    <x v="1"/>
  </r>
  <r>
    <x v="4956"/>
    <x v="0"/>
    <x v="0"/>
    <x v="2"/>
    <n v="74.95"/>
    <x v="70"/>
    <x v="4402"/>
    <x v="1"/>
    <x v="0"/>
    <x v="1"/>
    <x v="1"/>
  </r>
  <r>
    <x v="4957"/>
    <x v="0"/>
    <x v="0"/>
    <x v="0"/>
    <n v="47.95"/>
    <x v="53"/>
    <x v="4403"/>
    <x v="1"/>
    <x v="0"/>
    <x v="0"/>
    <x v="0"/>
  </r>
  <r>
    <x v="4958"/>
    <x v="1"/>
    <x v="0"/>
    <x v="3"/>
    <n v="50.1"/>
    <x v="67"/>
    <x v="811"/>
    <x v="0"/>
    <x v="0"/>
    <x v="2"/>
    <x v="2"/>
  </r>
  <r>
    <x v="4959"/>
    <x v="0"/>
    <x v="0"/>
    <x v="0"/>
    <n v="63.6"/>
    <x v="35"/>
    <x v="4404"/>
    <x v="1"/>
    <x v="0"/>
    <x v="0"/>
    <x v="0"/>
  </r>
  <r>
    <x v="4960"/>
    <x v="0"/>
    <x v="2"/>
    <x v="0"/>
    <n v="53"/>
    <x v="47"/>
    <x v="4405"/>
    <x v="0"/>
    <x v="1"/>
    <x v="1"/>
    <x v="3"/>
  </r>
  <r>
    <x v="4961"/>
    <x v="0"/>
    <x v="0"/>
    <x v="2"/>
    <n v="19.850000000000001"/>
    <x v="2"/>
    <x v="646"/>
    <x v="0"/>
    <x v="0"/>
    <x v="0"/>
    <x v="0"/>
  </r>
  <r>
    <x v="4962"/>
    <x v="1"/>
    <x v="1"/>
    <x v="3"/>
    <n v="24.35"/>
    <x v="40"/>
    <x v="4406"/>
    <x v="0"/>
    <x v="0"/>
    <x v="0"/>
    <x v="0"/>
  </r>
  <r>
    <x v="4963"/>
    <x v="0"/>
    <x v="0"/>
    <x v="1"/>
    <n v="19.55"/>
    <x v="32"/>
    <x v="4407"/>
    <x v="0"/>
    <x v="0"/>
    <x v="2"/>
    <x v="2"/>
  </r>
  <r>
    <x v="4964"/>
    <x v="0"/>
    <x v="2"/>
    <x v="3"/>
    <n v="25.05"/>
    <x v="16"/>
    <x v="4408"/>
    <x v="0"/>
    <x v="0"/>
    <x v="1"/>
    <x v="3"/>
  </r>
  <r>
    <x v="4965"/>
    <x v="1"/>
    <x v="0"/>
    <x v="3"/>
    <n v="93.8"/>
    <x v="9"/>
    <x v="4409"/>
    <x v="0"/>
    <x v="0"/>
    <x v="2"/>
    <x v="2"/>
  </r>
  <r>
    <x v="4966"/>
    <x v="1"/>
    <x v="0"/>
    <x v="1"/>
    <n v="36.85"/>
    <x v="35"/>
    <x v="4410"/>
    <x v="1"/>
    <x v="0"/>
    <x v="0"/>
    <x v="0"/>
  </r>
  <r>
    <x v="4967"/>
    <x v="1"/>
    <x v="2"/>
    <x v="2"/>
    <n v="103.75"/>
    <x v="21"/>
    <x v="4411"/>
    <x v="0"/>
    <x v="2"/>
    <x v="1"/>
    <x v="3"/>
  </r>
  <r>
    <x v="4968"/>
    <x v="1"/>
    <x v="2"/>
    <x v="3"/>
    <n v="56.75"/>
    <x v="33"/>
    <x v="4412"/>
    <x v="0"/>
    <x v="1"/>
    <x v="1"/>
    <x v="3"/>
  </r>
  <r>
    <x v="4969"/>
    <x v="1"/>
    <x v="1"/>
    <x v="3"/>
    <n v="20.8"/>
    <x v="65"/>
    <x v="4413"/>
    <x v="0"/>
    <x v="0"/>
    <x v="1"/>
    <x v="2"/>
  </r>
  <r>
    <x v="4970"/>
    <x v="0"/>
    <x v="0"/>
    <x v="0"/>
    <n v="44.1"/>
    <x v="0"/>
    <x v="4414"/>
    <x v="1"/>
    <x v="0"/>
    <x v="0"/>
    <x v="0"/>
  </r>
  <r>
    <x v="4971"/>
    <x v="0"/>
    <x v="2"/>
    <x v="1"/>
    <n v="24.45"/>
    <x v="39"/>
    <x v="1609"/>
    <x v="0"/>
    <x v="0"/>
    <x v="1"/>
    <x v="3"/>
  </r>
  <r>
    <x v="4972"/>
    <x v="0"/>
    <x v="1"/>
    <x v="2"/>
    <n v="25.6"/>
    <x v="5"/>
    <x v="4415"/>
    <x v="0"/>
    <x v="0"/>
    <x v="2"/>
    <x v="2"/>
  </r>
  <r>
    <x v="4973"/>
    <x v="1"/>
    <x v="0"/>
    <x v="0"/>
    <n v="50.75"/>
    <x v="60"/>
    <x v="4416"/>
    <x v="1"/>
    <x v="0"/>
    <x v="2"/>
    <x v="2"/>
  </r>
  <r>
    <x v="4974"/>
    <x v="0"/>
    <x v="1"/>
    <x v="3"/>
    <n v="104.4"/>
    <x v="59"/>
    <x v="4417"/>
    <x v="1"/>
    <x v="2"/>
    <x v="1"/>
    <x v="3"/>
  </r>
  <r>
    <x v="4975"/>
    <x v="0"/>
    <x v="0"/>
    <x v="0"/>
    <n v="39.299999999999997"/>
    <x v="63"/>
    <x v="4418"/>
    <x v="1"/>
    <x v="0"/>
    <x v="1"/>
    <x v="1"/>
  </r>
  <r>
    <x v="4976"/>
    <x v="0"/>
    <x v="0"/>
    <x v="2"/>
    <n v="59.65"/>
    <x v="41"/>
    <x v="4419"/>
    <x v="0"/>
    <x v="1"/>
    <x v="1"/>
    <x v="1"/>
  </r>
  <r>
    <x v="4977"/>
    <x v="0"/>
    <x v="2"/>
    <x v="2"/>
    <n v="83.3"/>
    <x v="21"/>
    <x v="4420"/>
    <x v="0"/>
    <x v="2"/>
    <x v="1"/>
    <x v="3"/>
  </r>
  <r>
    <x v="4978"/>
    <x v="0"/>
    <x v="0"/>
    <x v="3"/>
    <n v="79.55"/>
    <x v="18"/>
    <x v="4421"/>
    <x v="0"/>
    <x v="0"/>
    <x v="2"/>
    <x v="0"/>
  </r>
  <r>
    <x v="4979"/>
    <x v="1"/>
    <x v="2"/>
    <x v="2"/>
    <n v="24.45"/>
    <x v="16"/>
    <x v="2385"/>
    <x v="0"/>
    <x v="0"/>
    <x v="1"/>
    <x v="3"/>
  </r>
  <r>
    <x v="4980"/>
    <x v="0"/>
    <x v="1"/>
    <x v="1"/>
    <n v="19.2"/>
    <x v="70"/>
    <x v="4413"/>
    <x v="0"/>
    <x v="0"/>
    <x v="1"/>
    <x v="1"/>
  </r>
  <r>
    <x v="4981"/>
    <x v="0"/>
    <x v="0"/>
    <x v="1"/>
    <n v="29.8"/>
    <x v="40"/>
    <x v="932"/>
    <x v="0"/>
    <x v="0"/>
    <x v="0"/>
    <x v="0"/>
  </r>
  <r>
    <x v="4982"/>
    <x v="0"/>
    <x v="0"/>
    <x v="1"/>
    <n v="45.5"/>
    <x v="53"/>
    <x v="3673"/>
    <x v="0"/>
    <x v="0"/>
    <x v="0"/>
    <x v="0"/>
  </r>
  <r>
    <x v="4983"/>
    <x v="0"/>
    <x v="1"/>
    <x v="0"/>
    <n v="106.45"/>
    <x v="11"/>
    <x v="4422"/>
    <x v="1"/>
    <x v="2"/>
    <x v="1"/>
    <x v="3"/>
  </r>
  <r>
    <x v="4984"/>
    <x v="1"/>
    <x v="0"/>
    <x v="3"/>
    <n v="30.05"/>
    <x v="69"/>
    <x v="4423"/>
    <x v="0"/>
    <x v="0"/>
    <x v="1"/>
    <x v="3"/>
  </r>
  <r>
    <x v="4985"/>
    <x v="1"/>
    <x v="2"/>
    <x v="2"/>
    <n v="65.650000000000006"/>
    <x v="21"/>
    <x v="4424"/>
    <x v="0"/>
    <x v="1"/>
    <x v="1"/>
    <x v="3"/>
  </r>
  <r>
    <x v="4986"/>
    <x v="0"/>
    <x v="0"/>
    <x v="0"/>
    <n v="96.05"/>
    <x v="32"/>
    <x v="4425"/>
    <x v="1"/>
    <x v="0"/>
    <x v="2"/>
    <x v="2"/>
  </r>
  <r>
    <x v="4987"/>
    <x v="0"/>
    <x v="0"/>
    <x v="2"/>
    <n v="75.099999999999994"/>
    <x v="40"/>
    <x v="4426"/>
    <x v="1"/>
    <x v="0"/>
    <x v="0"/>
    <x v="0"/>
  </r>
  <r>
    <x v="4988"/>
    <x v="0"/>
    <x v="2"/>
    <x v="1"/>
    <n v="74.05"/>
    <x v="20"/>
    <x v="4427"/>
    <x v="0"/>
    <x v="1"/>
    <x v="1"/>
    <x v="1"/>
  </r>
  <r>
    <x v="4989"/>
    <x v="1"/>
    <x v="0"/>
    <x v="0"/>
    <n v="44.7"/>
    <x v="2"/>
    <x v="2968"/>
    <x v="1"/>
    <x v="0"/>
    <x v="0"/>
    <x v="0"/>
  </r>
  <r>
    <x v="4990"/>
    <x v="1"/>
    <x v="1"/>
    <x v="2"/>
    <n v="110.75"/>
    <x v="8"/>
    <x v="4428"/>
    <x v="0"/>
    <x v="2"/>
    <x v="1"/>
    <x v="3"/>
  </r>
  <r>
    <x v="4991"/>
    <x v="0"/>
    <x v="2"/>
    <x v="1"/>
    <n v="19.7"/>
    <x v="10"/>
    <x v="3221"/>
    <x v="0"/>
    <x v="0"/>
    <x v="2"/>
    <x v="2"/>
  </r>
  <r>
    <x v="4992"/>
    <x v="1"/>
    <x v="0"/>
    <x v="3"/>
    <n v="49.5"/>
    <x v="53"/>
    <x v="2940"/>
    <x v="0"/>
    <x v="0"/>
    <x v="0"/>
    <x v="0"/>
  </r>
  <r>
    <x v="4993"/>
    <x v="1"/>
    <x v="0"/>
    <x v="3"/>
    <n v="55"/>
    <x v="67"/>
    <x v="236"/>
    <x v="1"/>
    <x v="0"/>
    <x v="2"/>
    <x v="2"/>
  </r>
  <r>
    <x v="4994"/>
    <x v="0"/>
    <x v="2"/>
    <x v="3"/>
    <n v="43.95"/>
    <x v="14"/>
    <x v="4429"/>
    <x v="0"/>
    <x v="1"/>
    <x v="1"/>
    <x v="3"/>
  </r>
  <r>
    <x v="4995"/>
    <x v="1"/>
    <x v="0"/>
    <x v="0"/>
    <n v="74.349999999999994"/>
    <x v="26"/>
    <x v="4430"/>
    <x v="1"/>
    <x v="0"/>
    <x v="0"/>
    <x v="0"/>
  </r>
  <r>
    <x v="4996"/>
    <x v="0"/>
    <x v="0"/>
    <x v="0"/>
    <n v="111.15"/>
    <x v="38"/>
    <x v="4431"/>
    <x v="0"/>
    <x v="2"/>
    <x v="1"/>
    <x v="3"/>
  </r>
  <r>
    <x v="4997"/>
    <x v="0"/>
    <x v="1"/>
    <x v="3"/>
    <n v="104.7"/>
    <x v="71"/>
    <x v="4432"/>
    <x v="1"/>
    <x v="1"/>
    <x v="1"/>
    <x v="1"/>
  </r>
  <r>
    <x v="4998"/>
    <x v="0"/>
    <x v="0"/>
    <x v="1"/>
    <n v="55.7"/>
    <x v="30"/>
    <x v="4433"/>
    <x v="1"/>
    <x v="0"/>
    <x v="2"/>
    <x v="2"/>
  </r>
  <r>
    <x v="4999"/>
    <x v="1"/>
    <x v="0"/>
    <x v="1"/>
    <n v="20.6"/>
    <x v="13"/>
    <x v="4434"/>
    <x v="0"/>
    <x v="0"/>
    <x v="1"/>
    <x v="1"/>
  </r>
  <r>
    <x v="5000"/>
    <x v="0"/>
    <x v="2"/>
    <x v="3"/>
    <n v="19.649999999999999"/>
    <x v="53"/>
    <x v="454"/>
    <x v="0"/>
    <x v="0"/>
    <x v="0"/>
    <x v="0"/>
  </r>
  <r>
    <x v="5001"/>
    <x v="1"/>
    <x v="1"/>
    <x v="2"/>
    <n v="115.8"/>
    <x v="33"/>
    <x v="4435"/>
    <x v="0"/>
    <x v="2"/>
    <x v="1"/>
    <x v="3"/>
  </r>
  <r>
    <x v="5002"/>
    <x v="0"/>
    <x v="2"/>
    <x v="3"/>
    <n v="88.65"/>
    <x v="59"/>
    <x v="4436"/>
    <x v="0"/>
    <x v="2"/>
    <x v="1"/>
    <x v="3"/>
  </r>
  <r>
    <x v="5003"/>
    <x v="0"/>
    <x v="0"/>
    <x v="0"/>
    <n v="94.5"/>
    <x v="29"/>
    <x v="4437"/>
    <x v="0"/>
    <x v="1"/>
    <x v="1"/>
    <x v="1"/>
  </r>
  <r>
    <x v="5004"/>
    <x v="0"/>
    <x v="0"/>
    <x v="1"/>
    <n v="20.100000000000001"/>
    <x v="18"/>
    <x v="1120"/>
    <x v="0"/>
    <x v="0"/>
    <x v="2"/>
    <x v="0"/>
  </r>
  <r>
    <x v="5005"/>
    <x v="1"/>
    <x v="0"/>
    <x v="2"/>
    <n v="34.65"/>
    <x v="57"/>
    <x v="4438"/>
    <x v="0"/>
    <x v="0"/>
    <x v="2"/>
    <x v="2"/>
  </r>
  <r>
    <x v="5006"/>
    <x v="1"/>
    <x v="0"/>
    <x v="2"/>
    <n v="52.3"/>
    <x v="16"/>
    <x v="4439"/>
    <x v="0"/>
    <x v="1"/>
    <x v="1"/>
    <x v="3"/>
  </r>
  <r>
    <x v="5007"/>
    <x v="0"/>
    <x v="0"/>
    <x v="1"/>
    <n v="65"/>
    <x v="1"/>
    <x v="2439"/>
    <x v="0"/>
    <x v="1"/>
    <x v="1"/>
    <x v="1"/>
  </r>
  <r>
    <x v="5008"/>
    <x v="0"/>
    <x v="0"/>
    <x v="3"/>
    <n v="19.850000000000001"/>
    <x v="24"/>
    <x v="4440"/>
    <x v="1"/>
    <x v="0"/>
    <x v="0"/>
    <x v="0"/>
  </r>
  <r>
    <x v="5009"/>
    <x v="0"/>
    <x v="1"/>
    <x v="1"/>
    <n v="35.450000000000003"/>
    <x v="52"/>
    <x v="4441"/>
    <x v="0"/>
    <x v="0"/>
    <x v="1"/>
    <x v="1"/>
  </r>
  <r>
    <x v="5010"/>
    <x v="0"/>
    <x v="2"/>
    <x v="3"/>
    <n v="19.7"/>
    <x v="21"/>
    <x v="1646"/>
    <x v="0"/>
    <x v="0"/>
    <x v="1"/>
    <x v="3"/>
  </r>
  <r>
    <x v="5011"/>
    <x v="1"/>
    <x v="0"/>
    <x v="0"/>
    <n v="95.6"/>
    <x v="60"/>
    <x v="4442"/>
    <x v="0"/>
    <x v="0"/>
    <x v="2"/>
    <x v="2"/>
  </r>
  <r>
    <x v="5012"/>
    <x v="0"/>
    <x v="2"/>
    <x v="1"/>
    <n v="19.850000000000001"/>
    <x v="52"/>
    <x v="4443"/>
    <x v="0"/>
    <x v="0"/>
    <x v="1"/>
    <x v="1"/>
  </r>
  <r>
    <x v="5013"/>
    <x v="0"/>
    <x v="1"/>
    <x v="3"/>
    <n v="81.849999999999994"/>
    <x v="57"/>
    <x v="4444"/>
    <x v="0"/>
    <x v="0"/>
    <x v="2"/>
    <x v="2"/>
  </r>
  <r>
    <x v="5014"/>
    <x v="1"/>
    <x v="2"/>
    <x v="3"/>
    <n v="109.3"/>
    <x v="16"/>
    <x v="4445"/>
    <x v="0"/>
    <x v="2"/>
    <x v="1"/>
    <x v="3"/>
  </r>
  <r>
    <x v="5015"/>
    <x v="0"/>
    <x v="0"/>
    <x v="0"/>
    <n v="70.3"/>
    <x v="0"/>
    <x v="4446"/>
    <x v="1"/>
    <x v="0"/>
    <x v="0"/>
    <x v="0"/>
  </r>
  <r>
    <x v="5016"/>
    <x v="1"/>
    <x v="2"/>
    <x v="1"/>
    <n v="25.4"/>
    <x v="21"/>
    <x v="699"/>
    <x v="0"/>
    <x v="0"/>
    <x v="1"/>
    <x v="3"/>
  </r>
  <r>
    <x v="5017"/>
    <x v="1"/>
    <x v="0"/>
    <x v="0"/>
    <n v="69.8"/>
    <x v="53"/>
    <x v="4447"/>
    <x v="0"/>
    <x v="0"/>
    <x v="0"/>
    <x v="0"/>
  </r>
  <r>
    <x v="5018"/>
    <x v="1"/>
    <x v="1"/>
    <x v="3"/>
    <n v="20"/>
    <x v="57"/>
    <x v="3861"/>
    <x v="0"/>
    <x v="0"/>
    <x v="2"/>
    <x v="2"/>
  </r>
  <r>
    <x v="5019"/>
    <x v="1"/>
    <x v="0"/>
    <x v="0"/>
    <n v="85.55"/>
    <x v="6"/>
    <x v="4448"/>
    <x v="1"/>
    <x v="0"/>
    <x v="0"/>
    <x v="0"/>
  </r>
  <r>
    <x v="5020"/>
    <x v="0"/>
    <x v="2"/>
    <x v="0"/>
    <n v="109.9"/>
    <x v="21"/>
    <x v="4449"/>
    <x v="0"/>
    <x v="2"/>
    <x v="1"/>
    <x v="3"/>
  </r>
  <r>
    <x v="5021"/>
    <x v="0"/>
    <x v="0"/>
    <x v="2"/>
    <n v="50.3"/>
    <x v="40"/>
    <x v="4450"/>
    <x v="0"/>
    <x v="0"/>
    <x v="0"/>
    <x v="0"/>
  </r>
  <r>
    <x v="5022"/>
    <x v="1"/>
    <x v="0"/>
    <x v="1"/>
    <n v="94.5"/>
    <x v="53"/>
    <x v="3055"/>
    <x v="1"/>
    <x v="0"/>
    <x v="0"/>
    <x v="0"/>
  </r>
  <r>
    <x v="5023"/>
    <x v="1"/>
    <x v="0"/>
    <x v="0"/>
    <n v="101.5"/>
    <x v="34"/>
    <x v="4451"/>
    <x v="0"/>
    <x v="0"/>
    <x v="0"/>
    <x v="0"/>
  </r>
  <r>
    <x v="5024"/>
    <x v="0"/>
    <x v="0"/>
    <x v="0"/>
    <n v="89.15"/>
    <x v="18"/>
    <x v="4452"/>
    <x v="0"/>
    <x v="0"/>
    <x v="2"/>
    <x v="0"/>
  </r>
  <r>
    <x v="5025"/>
    <x v="0"/>
    <x v="0"/>
    <x v="1"/>
    <n v="19.399999999999999"/>
    <x v="0"/>
    <x v="2381"/>
    <x v="0"/>
    <x v="0"/>
    <x v="0"/>
    <x v="0"/>
  </r>
  <r>
    <x v="5026"/>
    <x v="0"/>
    <x v="1"/>
    <x v="2"/>
    <n v="29.9"/>
    <x v="43"/>
    <x v="4453"/>
    <x v="0"/>
    <x v="0"/>
    <x v="1"/>
    <x v="1"/>
  </r>
  <r>
    <x v="5027"/>
    <x v="1"/>
    <x v="0"/>
    <x v="0"/>
    <n v="78.8"/>
    <x v="61"/>
    <x v="4454"/>
    <x v="0"/>
    <x v="0"/>
    <x v="2"/>
    <x v="2"/>
  </r>
  <r>
    <x v="5028"/>
    <x v="0"/>
    <x v="0"/>
    <x v="3"/>
    <n v="85.35"/>
    <x v="10"/>
    <x v="4455"/>
    <x v="1"/>
    <x v="0"/>
    <x v="2"/>
    <x v="2"/>
  </r>
  <r>
    <x v="5029"/>
    <x v="0"/>
    <x v="0"/>
    <x v="1"/>
    <n v="79.650000000000006"/>
    <x v="2"/>
    <x v="4456"/>
    <x v="1"/>
    <x v="0"/>
    <x v="0"/>
    <x v="0"/>
  </r>
  <r>
    <x v="5030"/>
    <x v="0"/>
    <x v="1"/>
    <x v="1"/>
    <n v="19.3"/>
    <x v="6"/>
    <x v="2645"/>
    <x v="0"/>
    <x v="0"/>
    <x v="0"/>
    <x v="0"/>
  </r>
  <r>
    <x v="5031"/>
    <x v="0"/>
    <x v="0"/>
    <x v="0"/>
    <n v="79.599999999999994"/>
    <x v="2"/>
    <x v="1384"/>
    <x v="1"/>
    <x v="0"/>
    <x v="0"/>
    <x v="0"/>
  </r>
  <r>
    <x v="5032"/>
    <x v="1"/>
    <x v="0"/>
    <x v="1"/>
    <n v="96.8"/>
    <x v="61"/>
    <x v="4457"/>
    <x v="0"/>
    <x v="0"/>
    <x v="2"/>
    <x v="2"/>
  </r>
  <r>
    <x v="5033"/>
    <x v="1"/>
    <x v="1"/>
    <x v="1"/>
    <n v="20.65"/>
    <x v="61"/>
    <x v="4458"/>
    <x v="0"/>
    <x v="0"/>
    <x v="2"/>
    <x v="2"/>
  </r>
  <r>
    <x v="5034"/>
    <x v="1"/>
    <x v="1"/>
    <x v="1"/>
    <n v="19.8"/>
    <x v="67"/>
    <x v="4459"/>
    <x v="0"/>
    <x v="0"/>
    <x v="2"/>
    <x v="2"/>
  </r>
  <r>
    <x v="5035"/>
    <x v="1"/>
    <x v="0"/>
    <x v="0"/>
    <n v="90.6"/>
    <x v="67"/>
    <x v="4460"/>
    <x v="1"/>
    <x v="0"/>
    <x v="2"/>
    <x v="2"/>
  </r>
  <r>
    <x v="5036"/>
    <x v="1"/>
    <x v="0"/>
    <x v="0"/>
    <n v="104.6"/>
    <x v="5"/>
    <x v="4461"/>
    <x v="0"/>
    <x v="1"/>
    <x v="2"/>
    <x v="2"/>
  </r>
  <r>
    <x v="5037"/>
    <x v="0"/>
    <x v="0"/>
    <x v="3"/>
    <n v="80.05"/>
    <x v="42"/>
    <x v="4462"/>
    <x v="0"/>
    <x v="1"/>
    <x v="1"/>
    <x v="1"/>
  </r>
  <r>
    <x v="5038"/>
    <x v="0"/>
    <x v="0"/>
    <x v="1"/>
    <n v="45.15"/>
    <x v="0"/>
    <x v="1770"/>
    <x v="0"/>
    <x v="0"/>
    <x v="0"/>
    <x v="0"/>
  </r>
  <r>
    <x v="5039"/>
    <x v="1"/>
    <x v="0"/>
    <x v="3"/>
    <n v="73.150000000000006"/>
    <x v="71"/>
    <x v="4463"/>
    <x v="0"/>
    <x v="1"/>
    <x v="1"/>
    <x v="1"/>
  </r>
  <r>
    <x v="5040"/>
    <x v="0"/>
    <x v="1"/>
    <x v="0"/>
    <n v="99.1"/>
    <x v="68"/>
    <x v="4464"/>
    <x v="0"/>
    <x v="2"/>
    <x v="1"/>
    <x v="3"/>
  </r>
  <r>
    <x v="5041"/>
    <x v="0"/>
    <x v="0"/>
    <x v="2"/>
    <n v="20.2"/>
    <x v="0"/>
    <x v="33"/>
    <x v="1"/>
    <x v="0"/>
    <x v="0"/>
    <x v="0"/>
  </r>
  <r>
    <x v="5042"/>
    <x v="1"/>
    <x v="2"/>
    <x v="3"/>
    <n v="106.05"/>
    <x v="33"/>
    <x v="4465"/>
    <x v="1"/>
    <x v="2"/>
    <x v="1"/>
    <x v="3"/>
  </r>
  <r>
    <x v="5043"/>
    <x v="1"/>
    <x v="0"/>
    <x v="1"/>
    <n v="105.35"/>
    <x v="39"/>
    <x v="4466"/>
    <x v="0"/>
    <x v="2"/>
    <x v="1"/>
    <x v="3"/>
  </r>
  <r>
    <x v="5044"/>
    <x v="1"/>
    <x v="0"/>
    <x v="3"/>
    <n v="45.65"/>
    <x v="32"/>
    <x v="4467"/>
    <x v="0"/>
    <x v="0"/>
    <x v="2"/>
    <x v="2"/>
  </r>
  <r>
    <x v="5045"/>
    <x v="0"/>
    <x v="0"/>
    <x v="3"/>
    <n v="79.95"/>
    <x v="10"/>
    <x v="4468"/>
    <x v="0"/>
    <x v="0"/>
    <x v="2"/>
    <x v="2"/>
  </r>
  <r>
    <x v="5046"/>
    <x v="0"/>
    <x v="1"/>
    <x v="3"/>
    <n v="54.45"/>
    <x v="47"/>
    <x v="280"/>
    <x v="0"/>
    <x v="1"/>
    <x v="1"/>
    <x v="3"/>
  </r>
  <r>
    <x v="5047"/>
    <x v="0"/>
    <x v="2"/>
    <x v="3"/>
    <n v="25.1"/>
    <x v="62"/>
    <x v="4469"/>
    <x v="0"/>
    <x v="0"/>
    <x v="1"/>
    <x v="3"/>
  </r>
  <r>
    <x v="5048"/>
    <x v="0"/>
    <x v="2"/>
    <x v="3"/>
    <n v="84.7"/>
    <x v="21"/>
    <x v="4470"/>
    <x v="0"/>
    <x v="2"/>
    <x v="1"/>
    <x v="3"/>
  </r>
  <r>
    <x v="5049"/>
    <x v="1"/>
    <x v="0"/>
    <x v="0"/>
    <n v="75.849999999999994"/>
    <x v="34"/>
    <x v="4471"/>
    <x v="0"/>
    <x v="0"/>
    <x v="0"/>
    <x v="0"/>
  </r>
  <r>
    <x v="5050"/>
    <x v="0"/>
    <x v="0"/>
    <x v="1"/>
    <n v="48.8"/>
    <x v="19"/>
    <x v="4472"/>
    <x v="0"/>
    <x v="0"/>
    <x v="1"/>
    <x v="1"/>
  </r>
  <r>
    <x v="5051"/>
    <x v="0"/>
    <x v="0"/>
    <x v="0"/>
    <n v="99.15"/>
    <x v="51"/>
    <x v="4473"/>
    <x v="1"/>
    <x v="1"/>
    <x v="1"/>
    <x v="1"/>
  </r>
  <r>
    <x v="5052"/>
    <x v="0"/>
    <x v="0"/>
    <x v="0"/>
    <n v="35.200000000000003"/>
    <x v="32"/>
    <x v="3753"/>
    <x v="0"/>
    <x v="0"/>
    <x v="2"/>
    <x v="2"/>
  </r>
  <r>
    <x v="5053"/>
    <x v="0"/>
    <x v="1"/>
    <x v="0"/>
    <n v="76.25"/>
    <x v="49"/>
    <x v="4474"/>
    <x v="0"/>
    <x v="1"/>
    <x v="1"/>
    <x v="3"/>
  </r>
  <r>
    <x v="5054"/>
    <x v="0"/>
    <x v="0"/>
    <x v="0"/>
    <n v="55.9"/>
    <x v="71"/>
    <x v="4475"/>
    <x v="1"/>
    <x v="1"/>
    <x v="1"/>
    <x v="1"/>
  </r>
  <r>
    <x v="5055"/>
    <x v="1"/>
    <x v="0"/>
    <x v="0"/>
    <n v="82.35"/>
    <x v="17"/>
    <x v="4476"/>
    <x v="1"/>
    <x v="0"/>
    <x v="2"/>
    <x v="2"/>
  </r>
  <r>
    <x v="5056"/>
    <x v="1"/>
    <x v="0"/>
    <x v="3"/>
    <n v="40.4"/>
    <x v="2"/>
    <x v="2741"/>
    <x v="1"/>
    <x v="0"/>
    <x v="0"/>
    <x v="0"/>
  </r>
  <r>
    <x v="5057"/>
    <x v="1"/>
    <x v="1"/>
    <x v="2"/>
    <n v="24.9"/>
    <x v="55"/>
    <x v="4467"/>
    <x v="0"/>
    <x v="0"/>
    <x v="1"/>
    <x v="1"/>
  </r>
  <r>
    <x v="5058"/>
    <x v="1"/>
    <x v="2"/>
    <x v="2"/>
    <n v="54.3"/>
    <x v="66"/>
    <x v="4477"/>
    <x v="0"/>
    <x v="1"/>
    <x v="1"/>
    <x v="1"/>
  </r>
  <r>
    <x v="5059"/>
    <x v="0"/>
    <x v="0"/>
    <x v="2"/>
    <n v="66.3"/>
    <x v="19"/>
    <x v="4478"/>
    <x v="0"/>
    <x v="0"/>
    <x v="1"/>
    <x v="1"/>
  </r>
  <r>
    <x v="5060"/>
    <x v="0"/>
    <x v="2"/>
    <x v="2"/>
    <n v="20.9"/>
    <x v="16"/>
    <x v="4479"/>
    <x v="0"/>
    <x v="0"/>
    <x v="1"/>
    <x v="3"/>
  </r>
  <r>
    <x v="5061"/>
    <x v="0"/>
    <x v="0"/>
    <x v="0"/>
    <n v="75.349999999999994"/>
    <x v="54"/>
    <x v="243"/>
    <x v="1"/>
    <x v="0"/>
    <x v="0"/>
    <x v="0"/>
  </r>
  <r>
    <x v="5062"/>
    <x v="1"/>
    <x v="1"/>
    <x v="0"/>
    <n v="85.15"/>
    <x v="42"/>
    <x v="4480"/>
    <x v="1"/>
    <x v="1"/>
    <x v="1"/>
    <x v="1"/>
  </r>
  <r>
    <x v="5063"/>
    <x v="1"/>
    <x v="0"/>
    <x v="3"/>
    <n v="75.349999999999994"/>
    <x v="0"/>
    <x v="1863"/>
    <x v="0"/>
    <x v="0"/>
    <x v="0"/>
    <x v="0"/>
  </r>
  <r>
    <x v="5064"/>
    <x v="1"/>
    <x v="0"/>
    <x v="0"/>
    <n v="104.45"/>
    <x v="57"/>
    <x v="4481"/>
    <x v="0"/>
    <x v="1"/>
    <x v="2"/>
    <x v="2"/>
  </r>
  <r>
    <x v="5065"/>
    <x v="0"/>
    <x v="1"/>
    <x v="3"/>
    <n v="49.45"/>
    <x v="5"/>
    <x v="4482"/>
    <x v="0"/>
    <x v="0"/>
    <x v="2"/>
    <x v="2"/>
  </r>
  <r>
    <x v="5066"/>
    <x v="0"/>
    <x v="1"/>
    <x v="3"/>
    <n v="19.45"/>
    <x v="12"/>
    <x v="4483"/>
    <x v="0"/>
    <x v="0"/>
    <x v="1"/>
    <x v="3"/>
  </r>
  <r>
    <x v="5067"/>
    <x v="0"/>
    <x v="0"/>
    <x v="0"/>
    <n v="92.15"/>
    <x v="41"/>
    <x v="4484"/>
    <x v="0"/>
    <x v="1"/>
    <x v="1"/>
    <x v="1"/>
  </r>
  <r>
    <x v="5068"/>
    <x v="0"/>
    <x v="1"/>
    <x v="0"/>
    <n v="93.8"/>
    <x v="55"/>
    <x v="4485"/>
    <x v="1"/>
    <x v="1"/>
    <x v="1"/>
    <x v="1"/>
  </r>
  <r>
    <x v="5069"/>
    <x v="0"/>
    <x v="2"/>
    <x v="1"/>
    <n v="19.850000000000001"/>
    <x v="40"/>
    <x v="4486"/>
    <x v="0"/>
    <x v="0"/>
    <x v="0"/>
    <x v="0"/>
  </r>
  <r>
    <x v="5070"/>
    <x v="0"/>
    <x v="1"/>
    <x v="2"/>
    <n v="100.25"/>
    <x v="56"/>
    <x v="4487"/>
    <x v="0"/>
    <x v="2"/>
    <x v="1"/>
    <x v="3"/>
  </r>
  <r>
    <x v="5071"/>
    <x v="1"/>
    <x v="0"/>
    <x v="0"/>
    <n v="95.7"/>
    <x v="30"/>
    <x v="3709"/>
    <x v="0"/>
    <x v="0"/>
    <x v="2"/>
    <x v="2"/>
  </r>
  <r>
    <x v="5072"/>
    <x v="1"/>
    <x v="2"/>
    <x v="0"/>
    <n v="93.15"/>
    <x v="56"/>
    <x v="4488"/>
    <x v="0"/>
    <x v="2"/>
    <x v="1"/>
    <x v="3"/>
  </r>
  <r>
    <x v="5073"/>
    <x v="1"/>
    <x v="2"/>
    <x v="1"/>
    <n v="69.7"/>
    <x v="62"/>
    <x v="4489"/>
    <x v="0"/>
    <x v="1"/>
    <x v="1"/>
    <x v="3"/>
  </r>
  <r>
    <x v="5074"/>
    <x v="1"/>
    <x v="1"/>
    <x v="1"/>
    <n v="19.8"/>
    <x v="17"/>
    <x v="4490"/>
    <x v="0"/>
    <x v="0"/>
    <x v="2"/>
    <x v="2"/>
  </r>
  <r>
    <x v="5075"/>
    <x v="0"/>
    <x v="0"/>
    <x v="1"/>
    <n v="71.349999999999994"/>
    <x v="63"/>
    <x v="4491"/>
    <x v="0"/>
    <x v="1"/>
    <x v="1"/>
    <x v="1"/>
  </r>
  <r>
    <x v="5076"/>
    <x v="0"/>
    <x v="1"/>
    <x v="2"/>
    <n v="20.75"/>
    <x v="5"/>
    <x v="4492"/>
    <x v="0"/>
    <x v="0"/>
    <x v="2"/>
    <x v="2"/>
  </r>
  <r>
    <x v="5077"/>
    <x v="1"/>
    <x v="0"/>
    <x v="0"/>
    <n v="40.6"/>
    <x v="71"/>
    <x v="4493"/>
    <x v="0"/>
    <x v="0"/>
    <x v="1"/>
    <x v="1"/>
  </r>
  <r>
    <x v="5078"/>
    <x v="1"/>
    <x v="1"/>
    <x v="0"/>
    <n v="20.399999999999999"/>
    <x v="3"/>
    <x v="4494"/>
    <x v="1"/>
    <x v="0"/>
    <x v="1"/>
    <x v="1"/>
  </r>
  <r>
    <x v="5079"/>
    <x v="0"/>
    <x v="0"/>
    <x v="1"/>
    <n v="20.350000000000001"/>
    <x v="2"/>
    <x v="1493"/>
    <x v="0"/>
    <x v="0"/>
    <x v="0"/>
    <x v="0"/>
  </r>
  <r>
    <x v="5080"/>
    <x v="0"/>
    <x v="2"/>
    <x v="2"/>
    <n v="19.75"/>
    <x v="58"/>
    <x v="4495"/>
    <x v="0"/>
    <x v="0"/>
    <x v="1"/>
    <x v="3"/>
  </r>
  <r>
    <x v="5081"/>
    <x v="1"/>
    <x v="0"/>
    <x v="0"/>
    <n v="54.4"/>
    <x v="4"/>
    <x v="4496"/>
    <x v="0"/>
    <x v="0"/>
    <x v="0"/>
    <x v="0"/>
  </r>
  <r>
    <x v="5082"/>
    <x v="1"/>
    <x v="0"/>
    <x v="3"/>
    <n v="94.7"/>
    <x v="40"/>
    <x v="4497"/>
    <x v="1"/>
    <x v="0"/>
    <x v="0"/>
    <x v="0"/>
  </r>
  <r>
    <x v="5083"/>
    <x v="1"/>
    <x v="0"/>
    <x v="3"/>
    <n v="30.5"/>
    <x v="53"/>
    <x v="4498"/>
    <x v="1"/>
    <x v="0"/>
    <x v="0"/>
    <x v="0"/>
  </r>
  <r>
    <x v="5084"/>
    <x v="0"/>
    <x v="0"/>
    <x v="1"/>
    <n v="20.45"/>
    <x v="40"/>
    <x v="4499"/>
    <x v="0"/>
    <x v="0"/>
    <x v="0"/>
    <x v="0"/>
  </r>
  <r>
    <x v="5085"/>
    <x v="1"/>
    <x v="2"/>
    <x v="2"/>
    <n v="66.150000000000006"/>
    <x v="12"/>
    <x v="4500"/>
    <x v="0"/>
    <x v="1"/>
    <x v="1"/>
    <x v="3"/>
  </r>
  <r>
    <x v="5086"/>
    <x v="0"/>
    <x v="1"/>
    <x v="0"/>
    <n v="89.85"/>
    <x v="45"/>
    <x v="4501"/>
    <x v="0"/>
    <x v="2"/>
    <x v="1"/>
    <x v="3"/>
  </r>
  <r>
    <x v="5087"/>
    <x v="0"/>
    <x v="1"/>
    <x v="2"/>
    <n v="45.05"/>
    <x v="49"/>
    <x v="4502"/>
    <x v="0"/>
    <x v="1"/>
    <x v="1"/>
    <x v="3"/>
  </r>
  <r>
    <x v="5088"/>
    <x v="1"/>
    <x v="2"/>
    <x v="2"/>
    <n v="86.85"/>
    <x v="16"/>
    <x v="4503"/>
    <x v="0"/>
    <x v="2"/>
    <x v="1"/>
    <x v="3"/>
  </r>
  <r>
    <x v="5089"/>
    <x v="1"/>
    <x v="0"/>
    <x v="1"/>
    <n v="96.75"/>
    <x v="42"/>
    <x v="4504"/>
    <x v="0"/>
    <x v="1"/>
    <x v="1"/>
    <x v="1"/>
  </r>
  <r>
    <x v="5090"/>
    <x v="1"/>
    <x v="0"/>
    <x v="0"/>
    <n v="77"/>
    <x v="35"/>
    <x v="4505"/>
    <x v="1"/>
    <x v="0"/>
    <x v="0"/>
    <x v="0"/>
  </r>
  <r>
    <x v="5091"/>
    <x v="0"/>
    <x v="0"/>
    <x v="3"/>
    <n v="20.100000000000001"/>
    <x v="26"/>
    <x v="4506"/>
    <x v="1"/>
    <x v="0"/>
    <x v="0"/>
    <x v="0"/>
  </r>
  <r>
    <x v="5092"/>
    <x v="0"/>
    <x v="0"/>
    <x v="0"/>
    <n v="75.3"/>
    <x v="0"/>
    <x v="414"/>
    <x v="1"/>
    <x v="0"/>
    <x v="0"/>
    <x v="0"/>
  </r>
  <r>
    <x v="5093"/>
    <x v="1"/>
    <x v="0"/>
    <x v="2"/>
    <n v="106.65"/>
    <x v="22"/>
    <x v="4507"/>
    <x v="0"/>
    <x v="0"/>
    <x v="2"/>
    <x v="2"/>
  </r>
  <r>
    <x v="5094"/>
    <x v="0"/>
    <x v="2"/>
    <x v="3"/>
    <n v="110.15"/>
    <x v="21"/>
    <x v="4508"/>
    <x v="0"/>
    <x v="2"/>
    <x v="1"/>
    <x v="3"/>
  </r>
  <r>
    <x v="5095"/>
    <x v="0"/>
    <x v="1"/>
    <x v="2"/>
    <n v="82.85"/>
    <x v="7"/>
    <x v="4509"/>
    <x v="0"/>
    <x v="1"/>
    <x v="1"/>
    <x v="1"/>
  </r>
  <r>
    <x v="5096"/>
    <x v="0"/>
    <x v="2"/>
    <x v="1"/>
    <n v="20.100000000000001"/>
    <x v="32"/>
    <x v="2191"/>
    <x v="0"/>
    <x v="0"/>
    <x v="2"/>
    <x v="2"/>
  </r>
  <r>
    <x v="5097"/>
    <x v="0"/>
    <x v="1"/>
    <x v="3"/>
    <n v="99.2"/>
    <x v="63"/>
    <x v="4510"/>
    <x v="1"/>
    <x v="1"/>
    <x v="1"/>
    <x v="1"/>
  </r>
  <r>
    <x v="5098"/>
    <x v="0"/>
    <x v="0"/>
    <x v="0"/>
    <n v="59.45"/>
    <x v="15"/>
    <x v="4511"/>
    <x v="0"/>
    <x v="1"/>
    <x v="1"/>
    <x v="3"/>
  </r>
  <r>
    <x v="5099"/>
    <x v="0"/>
    <x v="0"/>
    <x v="2"/>
    <n v="58.6"/>
    <x v="20"/>
    <x v="4512"/>
    <x v="0"/>
    <x v="1"/>
    <x v="1"/>
    <x v="1"/>
  </r>
  <r>
    <x v="5100"/>
    <x v="0"/>
    <x v="0"/>
    <x v="3"/>
    <n v="49.7"/>
    <x v="57"/>
    <x v="4513"/>
    <x v="0"/>
    <x v="0"/>
    <x v="2"/>
    <x v="2"/>
  </r>
  <r>
    <x v="5101"/>
    <x v="1"/>
    <x v="2"/>
    <x v="1"/>
    <n v="65.849999999999994"/>
    <x v="33"/>
    <x v="4514"/>
    <x v="0"/>
    <x v="1"/>
    <x v="1"/>
    <x v="3"/>
  </r>
  <r>
    <x v="5102"/>
    <x v="0"/>
    <x v="0"/>
    <x v="0"/>
    <n v="73.5"/>
    <x v="4"/>
    <x v="4515"/>
    <x v="0"/>
    <x v="0"/>
    <x v="0"/>
    <x v="0"/>
  </r>
  <r>
    <x v="5103"/>
    <x v="1"/>
    <x v="0"/>
    <x v="1"/>
    <n v="85.5"/>
    <x v="20"/>
    <x v="4516"/>
    <x v="1"/>
    <x v="1"/>
    <x v="1"/>
    <x v="1"/>
  </r>
  <r>
    <x v="5104"/>
    <x v="0"/>
    <x v="0"/>
    <x v="1"/>
    <n v="20.05"/>
    <x v="40"/>
    <x v="3786"/>
    <x v="1"/>
    <x v="0"/>
    <x v="0"/>
    <x v="0"/>
  </r>
  <r>
    <x v="5105"/>
    <x v="0"/>
    <x v="2"/>
    <x v="3"/>
    <n v="113.65"/>
    <x v="16"/>
    <x v="4517"/>
    <x v="0"/>
    <x v="2"/>
    <x v="1"/>
    <x v="3"/>
  </r>
  <r>
    <x v="5106"/>
    <x v="0"/>
    <x v="0"/>
    <x v="0"/>
    <n v="83.4"/>
    <x v="37"/>
    <x v="4518"/>
    <x v="0"/>
    <x v="1"/>
    <x v="1"/>
    <x v="3"/>
  </r>
  <r>
    <x v="5107"/>
    <x v="1"/>
    <x v="2"/>
    <x v="1"/>
    <n v="65.650000000000006"/>
    <x v="25"/>
    <x v="4519"/>
    <x v="0"/>
    <x v="1"/>
    <x v="1"/>
    <x v="1"/>
  </r>
  <r>
    <x v="5108"/>
    <x v="1"/>
    <x v="0"/>
    <x v="0"/>
    <n v="70.400000000000006"/>
    <x v="0"/>
    <x v="4520"/>
    <x v="1"/>
    <x v="0"/>
    <x v="0"/>
    <x v="0"/>
  </r>
  <r>
    <x v="5109"/>
    <x v="0"/>
    <x v="2"/>
    <x v="2"/>
    <n v="61.35"/>
    <x v="33"/>
    <x v="4521"/>
    <x v="0"/>
    <x v="1"/>
    <x v="1"/>
    <x v="3"/>
  </r>
  <r>
    <x v="5110"/>
    <x v="0"/>
    <x v="0"/>
    <x v="3"/>
    <n v="85.9"/>
    <x v="41"/>
    <x v="4522"/>
    <x v="0"/>
    <x v="1"/>
    <x v="1"/>
    <x v="1"/>
  </r>
  <r>
    <x v="5111"/>
    <x v="0"/>
    <x v="0"/>
    <x v="1"/>
    <n v="75.650000000000006"/>
    <x v="24"/>
    <x v="4523"/>
    <x v="0"/>
    <x v="0"/>
    <x v="0"/>
    <x v="0"/>
  </r>
  <r>
    <x v="5112"/>
    <x v="1"/>
    <x v="1"/>
    <x v="0"/>
    <n v="49.75"/>
    <x v="40"/>
    <x v="4524"/>
    <x v="1"/>
    <x v="0"/>
    <x v="0"/>
    <x v="0"/>
  </r>
  <r>
    <x v="5113"/>
    <x v="1"/>
    <x v="1"/>
    <x v="3"/>
    <n v="70.900000000000006"/>
    <x v="44"/>
    <x v="4525"/>
    <x v="0"/>
    <x v="1"/>
    <x v="1"/>
    <x v="1"/>
  </r>
  <r>
    <x v="5114"/>
    <x v="0"/>
    <x v="0"/>
    <x v="1"/>
    <n v="49.85"/>
    <x v="23"/>
    <x v="4526"/>
    <x v="0"/>
    <x v="0"/>
    <x v="1"/>
    <x v="1"/>
  </r>
  <r>
    <x v="5115"/>
    <x v="0"/>
    <x v="0"/>
    <x v="3"/>
    <n v="75.3"/>
    <x v="30"/>
    <x v="4527"/>
    <x v="1"/>
    <x v="0"/>
    <x v="2"/>
    <x v="2"/>
  </r>
  <r>
    <x v="5116"/>
    <x v="0"/>
    <x v="2"/>
    <x v="1"/>
    <n v="20.100000000000001"/>
    <x v="13"/>
    <x v="4528"/>
    <x v="0"/>
    <x v="0"/>
    <x v="1"/>
    <x v="1"/>
  </r>
  <r>
    <x v="5117"/>
    <x v="0"/>
    <x v="0"/>
    <x v="0"/>
    <n v="94"/>
    <x v="26"/>
    <x v="4529"/>
    <x v="1"/>
    <x v="0"/>
    <x v="0"/>
    <x v="0"/>
  </r>
  <r>
    <x v="5118"/>
    <x v="1"/>
    <x v="0"/>
    <x v="0"/>
    <n v="103.05"/>
    <x v="58"/>
    <x v="4530"/>
    <x v="0"/>
    <x v="2"/>
    <x v="1"/>
    <x v="3"/>
  </r>
  <r>
    <x v="5119"/>
    <x v="1"/>
    <x v="1"/>
    <x v="2"/>
    <n v="118.35"/>
    <x v="56"/>
    <x v="4531"/>
    <x v="1"/>
    <x v="2"/>
    <x v="1"/>
    <x v="3"/>
  </r>
  <r>
    <x v="5120"/>
    <x v="0"/>
    <x v="0"/>
    <x v="0"/>
    <n v="99.7"/>
    <x v="20"/>
    <x v="4532"/>
    <x v="0"/>
    <x v="1"/>
    <x v="1"/>
    <x v="1"/>
  </r>
  <r>
    <x v="5121"/>
    <x v="0"/>
    <x v="0"/>
    <x v="1"/>
    <n v="81.900000000000006"/>
    <x v="9"/>
    <x v="4533"/>
    <x v="0"/>
    <x v="0"/>
    <x v="2"/>
    <x v="2"/>
  </r>
  <r>
    <x v="5122"/>
    <x v="1"/>
    <x v="0"/>
    <x v="0"/>
    <n v="30.45"/>
    <x v="4"/>
    <x v="2652"/>
    <x v="1"/>
    <x v="0"/>
    <x v="0"/>
    <x v="0"/>
  </r>
  <r>
    <x v="5123"/>
    <x v="0"/>
    <x v="0"/>
    <x v="0"/>
    <n v="96.1"/>
    <x v="66"/>
    <x v="4534"/>
    <x v="1"/>
    <x v="1"/>
    <x v="1"/>
    <x v="1"/>
  </r>
  <r>
    <x v="5124"/>
    <x v="1"/>
    <x v="1"/>
    <x v="0"/>
    <n v="66.2"/>
    <x v="16"/>
    <x v="4535"/>
    <x v="0"/>
    <x v="1"/>
    <x v="1"/>
    <x v="3"/>
  </r>
  <r>
    <x v="5125"/>
    <x v="1"/>
    <x v="0"/>
    <x v="0"/>
    <n v="104.25"/>
    <x v="65"/>
    <x v="4536"/>
    <x v="1"/>
    <x v="1"/>
    <x v="1"/>
    <x v="2"/>
  </r>
  <r>
    <x v="5126"/>
    <x v="1"/>
    <x v="0"/>
    <x v="0"/>
    <n v="80.2"/>
    <x v="30"/>
    <x v="4537"/>
    <x v="1"/>
    <x v="0"/>
    <x v="2"/>
    <x v="2"/>
  </r>
  <r>
    <x v="5127"/>
    <x v="0"/>
    <x v="0"/>
    <x v="0"/>
    <n v="19.75"/>
    <x v="0"/>
    <x v="127"/>
    <x v="0"/>
    <x v="0"/>
    <x v="0"/>
    <x v="0"/>
  </r>
  <r>
    <x v="5128"/>
    <x v="1"/>
    <x v="0"/>
    <x v="1"/>
    <n v="72.599999999999994"/>
    <x v="2"/>
    <x v="4538"/>
    <x v="0"/>
    <x v="0"/>
    <x v="0"/>
    <x v="0"/>
  </r>
  <r>
    <x v="5129"/>
    <x v="1"/>
    <x v="0"/>
    <x v="0"/>
    <n v="116.5"/>
    <x v="49"/>
    <x v="4539"/>
    <x v="0"/>
    <x v="2"/>
    <x v="1"/>
    <x v="3"/>
  </r>
  <r>
    <x v="5130"/>
    <x v="1"/>
    <x v="2"/>
    <x v="0"/>
    <n v="106.8"/>
    <x v="16"/>
    <x v="4540"/>
    <x v="0"/>
    <x v="2"/>
    <x v="1"/>
    <x v="3"/>
  </r>
  <r>
    <x v="5131"/>
    <x v="1"/>
    <x v="2"/>
    <x v="1"/>
    <n v="24.95"/>
    <x v="37"/>
    <x v="4541"/>
    <x v="0"/>
    <x v="0"/>
    <x v="1"/>
    <x v="3"/>
  </r>
  <r>
    <x v="5132"/>
    <x v="1"/>
    <x v="0"/>
    <x v="0"/>
    <n v="89.25"/>
    <x v="0"/>
    <x v="2966"/>
    <x v="0"/>
    <x v="0"/>
    <x v="0"/>
    <x v="0"/>
  </r>
  <r>
    <x v="5133"/>
    <x v="1"/>
    <x v="0"/>
    <x v="1"/>
    <n v="19.25"/>
    <x v="24"/>
    <x v="4542"/>
    <x v="0"/>
    <x v="0"/>
    <x v="0"/>
    <x v="0"/>
  </r>
  <r>
    <x v="5134"/>
    <x v="0"/>
    <x v="1"/>
    <x v="2"/>
    <n v="104.55"/>
    <x v="33"/>
    <x v="4543"/>
    <x v="0"/>
    <x v="2"/>
    <x v="1"/>
    <x v="3"/>
  </r>
  <r>
    <x v="5135"/>
    <x v="0"/>
    <x v="1"/>
    <x v="1"/>
    <n v="87.2"/>
    <x v="12"/>
    <x v="4544"/>
    <x v="0"/>
    <x v="1"/>
    <x v="1"/>
    <x v="3"/>
  </r>
  <r>
    <x v="5136"/>
    <x v="0"/>
    <x v="0"/>
    <x v="0"/>
    <n v="30.75"/>
    <x v="35"/>
    <x v="4545"/>
    <x v="0"/>
    <x v="0"/>
    <x v="0"/>
    <x v="0"/>
  </r>
  <r>
    <x v="5137"/>
    <x v="1"/>
    <x v="1"/>
    <x v="3"/>
    <n v="25.7"/>
    <x v="33"/>
    <x v="4546"/>
    <x v="0"/>
    <x v="0"/>
    <x v="1"/>
    <x v="3"/>
  </r>
  <r>
    <x v="5138"/>
    <x v="1"/>
    <x v="0"/>
    <x v="0"/>
    <n v="86.2"/>
    <x v="26"/>
    <x v="4547"/>
    <x v="0"/>
    <x v="0"/>
    <x v="0"/>
    <x v="0"/>
  </r>
  <r>
    <x v="5139"/>
    <x v="1"/>
    <x v="0"/>
    <x v="3"/>
    <n v="30.1"/>
    <x v="7"/>
    <x v="4548"/>
    <x v="0"/>
    <x v="0"/>
    <x v="1"/>
    <x v="1"/>
  </r>
  <r>
    <x v="5140"/>
    <x v="1"/>
    <x v="2"/>
    <x v="0"/>
    <n v="99.35"/>
    <x v="45"/>
    <x v="4549"/>
    <x v="0"/>
    <x v="2"/>
    <x v="1"/>
    <x v="3"/>
  </r>
  <r>
    <x v="5141"/>
    <x v="0"/>
    <x v="2"/>
    <x v="3"/>
    <n v="19.2"/>
    <x v="8"/>
    <x v="4550"/>
    <x v="0"/>
    <x v="0"/>
    <x v="1"/>
    <x v="3"/>
  </r>
  <r>
    <x v="5142"/>
    <x v="0"/>
    <x v="0"/>
    <x v="2"/>
    <n v="20.100000000000001"/>
    <x v="2"/>
    <x v="250"/>
    <x v="0"/>
    <x v="0"/>
    <x v="0"/>
    <x v="0"/>
  </r>
  <r>
    <x v="5143"/>
    <x v="0"/>
    <x v="0"/>
    <x v="3"/>
    <n v="20.350000000000001"/>
    <x v="2"/>
    <x v="1493"/>
    <x v="0"/>
    <x v="0"/>
    <x v="0"/>
    <x v="0"/>
  </r>
  <r>
    <x v="5144"/>
    <x v="0"/>
    <x v="2"/>
    <x v="3"/>
    <n v="25.65"/>
    <x v="49"/>
    <x v="4551"/>
    <x v="0"/>
    <x v="0"/>
    <x v="1"/>
    <x v="3"/>
  </r>
  <r>
    <x v="5145"/>
    <x v="1"/>
    <x v="0"/>
    <x v="0"/>
    <n v="94.55"/>
    <x v="52"/>
    <x v="4552"/>
    <x v="0"/>
    <x v="1"/>
    <x v="1"/>
    <x v="1"/>
  </r>
  <r>
    <x v="5146"/>
    <x v="0"/>
    <x v="0"/>
    <x v="0"/>
    <n v="104.2"/>
    <x v="22"/>
    <x v="4553"/>
    <x v="1"/>
    <x v="0"/>
    <x v="2"/>
    <x v="2"/>
  </r>
  <r>
    <x v="5147"/>
    <x v="0"/>
    <x v="1"/>
    <x v="2"/>
    <n v="94.4"/>
    <x v="19"/>
    <x v="4554"/>
    <x v="0"/>
    <x v="1"/>
    <x v="1"/>
    <x v="1"/>
  </r>
  <r>
    <x v="5148"/>
    <x v="1"/>
    <x v="1"/>
    <x v="1"/>
    <n v="56.1"/>
    <x v="22"/>
    <x v="4555"/>
    <x v="0"/>
    <x v="0"/>
    <x v="2"/>
    <x v="2"/>
  </r>
  <r>
    <x v="5149"/>
    <x v="0"/>
    <x v="2"/>
    <x v="2"/>
    <n v="68.25"/>
    <x v="10"/>
    <x v="98"/>
    <x v="0"/>
    <x v="0"/>
    <x v="2"/>
    <x v="2"/>
  </r>
  <r>
    <x v="5150"/>
    <x v="1"/>
    <x v="2"/>
    <x v="2"/>
    <n v="24.75"/>
    <x v="21"/>
    <x v="1702"/>
    <x v="0"/>
    <x v="0"/>
    <x v="1"/>
    <x v="3"/>
  </r>
  <r>
    <x v="5151"/>
    <x v="1"/>
    <x v="0"/>
    <x v="0"/>
    <n v="76.25"/>
    <x v="34"/>
    <x v="4556"/>
    <x v="0"/>
    <x v="0"/>
    <x v="0"/>
    <x v="0"/>
  </r>
  <r>
    <x v="5152"/>
    <x v="0"/>
    <x v="0"/>
    <x v="0"/>
    <n v="74.349999999999994"/>
    <x v="0"/>
    <x v="481"/>
    <x v="0"/>
    <x v="0"/>
    <x v="0"/>
    <x v="0"/>
  </r>
  <r>
    <x v="5153"/>
    <x v="1"/>
    <x v="0"/>
    <x v="0"/>
    <n v="54.15"/>
    <x v="57"/>
    <x v="4557"/>
    <x v="0"/>
    <x v="0"/>
    <x v="2"/>
    <x v="2"/>
  </r>
  <r>
    <x v="5154"/>
    <x v="1"/>
    <x v="0"/>
    <x v="2"/>
    <n v="19.45"/>
    <x v="4"/>
    <x v="4558"/>
    <x v="0"/>
    <x v="0"/>
    <x v="0"/>
    <x v="0"/>
  </r>
  <r>
    <x v="5155"/>
    <x v="1"/>
    <x v="0"/>
    <x v="1"/>
    <n v="34.950000000000003"/>
    <x v="67"/>
    <x v="4559"/>
    <x v="0"/>
    <x v="0"/>
    <x v="2"/>
    <x v="2"/>
  </r>
  <r>
    <x v="5156"/>
    <x v="0"/>
    <x v="0"/>
    <x v="0"/>
    <n v="53.65"/>
    <x v="40"/>
    <x v="4560"/>
    <x v="0"/>
    <x v="0"/>
    <x v="0"/>
    <x v="0"/>
  </r>
  <r>
    <x v="5157"/>
    <x v="1"/>
    <x v="0"/>
    <x v="0"/>
    <n v="69.650000000000006"/>
    <x v="0"/>
    <x v="4561"/>
    <x v="1"/>
    <x v="0"/>
    <x v="0"/>
    <x v="0"/>
  </r>
  <r>
    <x v="5158"/>
    <x v="1"/>
    <x v="1"/>
    <x v="0"/>
    <n v="104"/>
    <x v="59"/>
    <x v="4562"/>
    <x v="0"/>
    <x v="2"/>
    <x v="1"/>
    <x v="3"/>
  </r>
  <r>
    <x v="5159"/>
    <x v="0"/>
    <x v="2"/>
    <x v="3"/>
    <n v="70.349999999999994"/>
    <x v="58"/>
    <x v="4563"/>
    <x v="0"/>
    <x v="1"/>
    <x v="1"/>
    <x v="3"/>
  </r>
  <r>
    <x v="5160"/>
    <x v="1"/>
    <x v="0"/>
    <x v="0"/>
    <n v="80.8"/>
    <x v="34"/>
    <x v="4564"/>
    <x v="1"/>
    <x v="0"/>
    <x v="0"/>
    <x v="0"/>
  </r>
  <r>
    <x v="5161"/>
    <x v="1"/>
    <x v="1"/>
    <x v="1"/>
    <n v="64.849999999999994"/>
    <x v="30"/>
    <x v="4565"/>
    <x v="0"/>
    <x v="0"/>
    <x v="2"/>
    <x v="2"/>
  </r>
  <r>
    <x v="5162"/>
    <x v="0"/>
    <x v="0"/>
    <x v="1"/>
    <n v="19.649999999999999"/>
    <x v="0"/>
    <x v="1015"/>
    <x v="0"/>
    <x v="0"/>
    <x v="0"/>
    <x v="0"/>
  </r>
  <r>
    <x v="5163"/>
    <x v="0"/>
    <x v="0"/>
    <x v="2"/>
    <n v="45.9"/>
    <x v="18"/>
    <x v="4566"/>
    <x v="0"/>
    <x v="0"/>
    <x v="2"/>
    <x v="0"/>
  </r>
  <r>
    <x v="5164"/>
    <x v="1"/>
    <x v="2"/>
    <x v="1"/>
    <n v="20"/>
    <x v="68"/>
    <x v="1034"/>
    <x v="0"/>
    <x v="0"/>
    <x v="1"/>
    <x v="3"/>
  </r>
  <r>
    <x v="5165"/>
    <x v="1"/>
    <x v="0"/>
    <x v="0"/>
    <n v="44.8"/>
    <x v="54"/>
    <x v="3519"/>
    <x v="0"/>
    <x v="0"/>
    <x v="0"/>
    <x v="0"/>
  </r>
  <r>
    <x v="5166"/>
    <x v="0"/>
    <x v="0"/>
    <x v="1"/>
    <n v="80.3"/>
    <x v="40"/>
    <x v="4567"/>
    <x v="1"/>
    <x v="0"/>
    <x v="0"/>
    <x v="0"/>
  </r>
  <r>
    <x v="5167"/>
    <x v="0"/>
    <x v="1"/>
    <x v="1"/>
    <n v="20.350000000000001"/>
    <x v="61"/>
    <x v="418"/>
    <x v="0"/>
    <x v="0"/>
    <x v="2"/>
    <x v="2"/>
  </r>
  <r>
    <x v="5168"/>
    <x v="0"/>
    <x v="0"/>
    <x v="1"/>
    <n v="45.8"/>
    <x v="70"/>
    <x v="4568"/>
    <x v="0"/>
    <x v="0"/>
    <x v="1"/>
    <x v="1"/>
  </r>
  <r>
    <x v="5169"/>
    <x v="1"/>
    <x v="0"/>
    <x v="0"/>
    <n v="84.1"/>
    <x v="51"/>
    <x v="4569"/>
    <x v="1"/>
    <x v="1"/>
    <x v="1"/>
    <x v="1"/>
  </r>
  <r>
    <x v="5170"/>
    <x v="0"/>
    <x v="1"/>
    <x v="2"/>
    <n v="108.95"/>
    <x v="62"/>
    <x v="4570"/>
    <x v="0"/>
    <x v="2"/>
    <x v="1"/>
    <x v="3"/>
  </r>
  <r>
    <x v="5171"/>
    <x v="1"/>
    <x v="0"/>
    <x v="0"/>
    <n v="69.349999999999994"/>
    <x v="35"/>
    <x v="4571"/>
    <x v="1"/>
    <x v="0"/>
    <x v="0"/>
    <x v="0"/>
  </r>
  <r>
    <x v="5172"/>
    <x v="0"/>
    <x v="2"/>
    <x v="3"/>
    <n v="64.349999999999994"/>
    <x v="47"/>
    <x v="4572"/>
    <x v="0"/>
    <x v="1"/>
    <x v="1"/>
    <x v="3"/>
  </r>
  <r>
    <x v="5173"/>
    <x v="1"/>
    <x v="2"/>
    <x v="3"/>
    <n v="90.8"/>
    <x v="21"/>
    <x v="3702"/>
    <x v="0"/>
    <x v="2"/>
    <x v="1"/>
    <x v="3"/>
  </r>
  <r>
    <x v="5174"/>
    <x v="1"/>
    <x v="1"/>
    <x v="3"/>
    <n v="24.95"/>
    <x v="18"/>
    <x v="4573"/>
    <x v="0"/>
    <x v="0"/>
    <x v="2"/>
    <x v="0"/>
  </r>
  <r>
    <x v="5175"/>
    <x v="0"/>
    <x v="0"/>
    <x v="1"/>
    <n v="79.599999999999994"/>
    <x v="1"/>
    <x v="4574"/>
    <x v="1"/>
    <x v="1"/>
    <x v="1"/>
    <x v="1"/>
  </r>
  <r>
    <x v="5176"/>
    <x v="0"/>
    <x v="2"/>
    <x v="2"/>
    <n v="84.7"/>
    <x v="47"/>
    <x v="4575"/>
    <x v="0"/>
    <x v="2"/>
    <x v="1"/>
    <x v="3"/>
  </r>
  <r>
    <x v="5177"/>
    <x v="0"/>
    <x v="1"/>
    <x v="3"/>
    <n v="70.8"/>
    <x v="37"/>
    <x v="4576"/>
    <x v="0"/>
    <x v="1"/>
    <x v="1"/>
    <x v="3"/>
  </r>
  <r>
    <x v="5178"/>
    <x v="0"/>
    <x v="0"/>
    <x v="0"/>
    <n v="36.450000000000003"/>
    <x v="0"/>
    <x v="4577"/>
    <x v="1"/>
    <x v="0"/>
    <x v="0"/>
    <x v="0"/>
  </r>
  <r>
    <x v="5179"/>
    <x v="0"/>
    <x v="0"/>
    <x v="0"/>
    <n v="104.4"/>
    <x v="52"/>
    <x v="4578"/>
    <x v="0"/>
    <x v="1"/>
    <x v="1"/>
    <x v="1"/>
  </r>
  <r>
    <x v="5180"/>
    <x v="1"/>
    <x v="0"/>
    <x v="0"/>
    <n v="101.5"/>
    <x v="19"/>
    <x v="4579"/>
    <x v="0"/>
    <x v="1"/>
    <x v="1"/>
    <x v="1"/>
  </r>
  <r>
    <x v="5181"/>
    <x v="1"/>
    <x v="0"/>
    <x v="0"/>
    <n v="54.3"/>
    <x v="0"/>
    <x v="4580"/>
    <x v="0"/>
    <x v="0"/>
    <x v="0"/>
    <x v="0"/>
  </r>
  <r>
    <x v="5182"/>
    <x v="1"/>
    <x v="0"/>
    <x v="0"/>
    <n v="103.95"/>
    <x v="44"/>
    <x v="4581"/>
    <x v="0"/>
    <x v="1"/>
    <x v="1"/>
    <x v="1"/>
  </r>
  <r>
    <x v="5183"/>
    <x v="0"/>
    <x v="2"/>
    <x v="3"/>
    <n v="91.1"/>
    <x v="57"/>
    <x v="4047"/>
    <x v="0"/>
    <x v="1"/>
    <x v="2"/>
    <x v="2"/>
  </r>
  <r>
    <x v="5184"/>
    <x v="1"/>
    <x v="2"/>
    <x v="1"/>
    <n v="19.95"/>
    <x v="31"/>
    <x v="4582"/>
    <x v="0"/>
    <x v="0"/>
    <x v="1"/>
    <x v="3"/>
  </r>
  <r>
    <x v="5185"/>
    <x v="0"/>
    <x v="2"/>
    <x v="3"/>
    <n v="26.45"/>
    <x v="21"/>
    <x v="4583"/>
    <x v="0"/>
    <x v="0"/>
    <x v="1"/>
    <x v="3"/>
  </r>
  <r>
    <x v="5186"/>
    <x v="1"/>
    <x v="0"/>
    <x v="0"/>
    <n v="89.4"/>
    <x v="5"/>
    <x v="4584"/>
    <x v="1"/>
    <x v="0"/>
    <x v="2"/>
    <x v="2"/>
  </r>
  <r>
    <x v="5187"/>
    <x v="1"/>
    <x v="2"/>
    <x v="2"/>
    <n v="75.099999999999994"/>
    <x v="21"/>
    <x v="4585"/>
    <x v="0"/>
    <x v="2"/>
    <x v="1"/>
    <x v="3"/>
  </r>
  <r>
    <x v="5188"/>
    <x v="0"/>
    <x v="1"/>
    <x v="2"/>
    <n v="108.1"/>
    <x v="33"/>
    <x v="4586"/>
    <x v="0"/>
    <x v="2"/>
    <x v="1"/>
    <x v="3"/>
  </r>
  <r>
    <x v="5189"/>
    <x v="0"/>
    <x v="2"/>
    <x v="0"/>
    <n v="110.15"/>
    <x v="21"/>
    <x v="4508"/>
    <x v="0"/>
    <x v="2"/>
    <x v="1"/>
    <x v="3"/>
  </r>
  <r>
    <x v="5190"/>
    <x v="0"/>
    <x v="0"/>
    <x v="0"/>
    <n v="80.349999999999994"/>
    <x v="20"/>
    <x v="4587"/>
    <x v="1"/>
    <x v="1"/>
    <x v="1"/>
    <x v="1"/>
  </r>
  <r>
    <x v="5191"/>
    <x v="0"/>
    <x v="1"/>
    <x v="0"/>
    <n v="111.5"/>
    <x v="69"/>
    <x v="4588"/>
    <x v="0"/>
    <x v="2"/>
    <x v="1"/>
    <x v="3"/>
  </r>
  <r>
    <x v="5192"/>
    <x v="0"/>
    <x v="1"/>
    <x v="0"/>
    <n v="106.5"/>
    <x v="27"/>
    <x v="4589"/>
    <x v="0"/>
    <x v="2"/>
    <x v="1"/>
    <x v="3"/>
  </r>
  <r>
    <x v="5193"/>
    <x v="1"/>
    <x v="1"/>
    <x v="0"/>
    <n v="19.899999999999999"/>
    <x v="34"/>
    <x v="1024"/>
    <x v="0"/>
    <x v="0"/>
    <x v="0"/>
    <x v="0"/>
  </r>
  <r>
    <x v="5194"/>
    <x v="1"/>
    <x v="2"/>
    <x v="1"/>
    <n v="111.1"/>
    <x v="64"/>
    <x v="4590"/>
    <x v="0"/>
    <x v="2"/>
    <x v="1"/>
    <x v="3"/>
  </r>
  <r>
    <x v="5195"/>
    <x v="1"/>
    <x v="0"/>
    <x v="1"/>
    <n v="70.7"/>
    <x v="35"/>
    <x v="4591"/>
    <x v="0"/>
    <x v="0"/>
    <x v="0"/>
    <x v="0"/>
  </r>
  <r>
    <x v="5196"/>
    <x v="1"/>
    <x v="0"/>
    <x v="0"/>
    <n v="24.85"/>
    <x v="46"/>
    <x v="4592"/>
    <x v="0"/>
    <x v="0"/>
    <x v="1"/>
    <x v="1"/>
  </r>
  <r>
    <x v="5197"/>
    <x v="0"/>
    <x v="0"/>
    <x v="2"/>
    <n v="91.2"/>
    <x v="50"/>
    <x v="864"/>
    <x v="0"/>
    <x v="1"/>
    <x v="1"/>
    <x v="1"/>
  </r>
  <r>
    <x v="5198"/>
    <x v="1"/>
    <x v="2"/>
    <x v="2"/>
    <n v="65.599999999999994"/>
    <x v="50"/>
    <x v="4593"/>
    <x v="0"/>
    <x v="1"/>
    <x v="1"/>
    <x v="1"/>
  </r>
  <r>
    <x v="5199"/>
    <x v="0"/>
    <x v="0"/>
    <x v="3"/>
    <n v="40.65"/>
    <x v="65"/>
    <x v="4594"/>
    <x v="1"/>
    <x v="0"/>
    <x v="1"/>
    <x v="2"/>
  </r>
  <r>
    <x v="5200"/>
    <x v="0"/>
    <x v="0"/>
    <x v="2"/>
    <n v="59.45"/>
    <x v="60"/>
    <x v="4595"/>
    <x v="0"/>
    <x v="0"/>
    <x v="2"/>
    <x v="2"/>
  </r>
  <r>
    <x v="5201"/>
    <x v="1"/>
    <x v="2"/>
    <x v="3"/>
    <n v="109.95"/>
    <x v="21"/>
    <x v="4596"/>
    <x v="0"/>
    <x v="2"/>
    <x v="1"/>
    <x v="3"/>
  </r>
  <r>
    <x v="5202"/>
    <x v="1"/>
    <x v="1"/>
    <x v="0"/>
    <n v="60.45"/>
    <x v="62"/>
    <x v="4597"/>
    <x v="1"/>
    <x v="1"/>
    <x v="1"/>
    <x v="3"/>
  </r>
  <r>
    <x v="5203"/>
    <x v="0"/>
    <x v="0"/>
    <x v="0"/>
    <n v="84.9"/>
    <x v="4"/>
    <x v="4598"/>
    <x v="1"/>
    <x v="0"/>
    <x v="0"/>
    <x v="0"/>
  </r>
  <r>
    <x v="5204"/>
    <x v="1"/>
    <x v="2"/>
    <x v="3"/>
    <n v="38.5"/>
    <x v="21"/>
    <x v="4599"/>
    <x v="0"/>
    <x v="1"/>
    <x v="1"/>
    <x v="3"/>
  </r>
  <r>
    <x v="5205"/>
    <x v="0"/>
    <x v="0"/>
    <x v="0"/>
    <n v="92.55"/>
    <x v="22"/>
    <x v="2586"/>
    <x v="0"/>
    <x v="0"/>
    <x v="2"/>
    <x v="2"/>
  </r>
  <r>
    <x v="5206"/>
    <x v="0"/>
    <x v="0"/>
    <x v="2"/>
    <n v="73.55"/>
    <x v="2"/>
    <x v="4600"/>
    <x v="1"/>
    <x v="0"/>
    <x v="0"/>
    <x v="0"/>
  </r>
  <r>
    <x v="5207"/>
    <x v="0"/>
    <x v="0"/>
    <x v="2"/>
    <n v="20.149999999999999"/>
    <x v="4"/>
    <x v="330"/>
    <x v="1"/>
    <x v="0"/>
    <x v="0"/>
    <x v="0"/>
  </r>
  <r>
    <x v="5208"/>
    <x v="0"/>
    <x v="1"/>
    <x v="1"/>
    <n v="34.700000000000003"/>
    <x v="43"/>
    <x v="4601"/>
    <x v="1"/>
    <x v="0"/>
    <x v="1"/>
    <x v="1"/>
  </r>
  <r>
    <x v="5209"/>
    <x v="0"/>
    <x v="0"/>
    <x v="1"/>
    <n v="24.5"/>
    <x v="6"/>
    <x v="4602"/>
    <x v="0"/>
    <x v="0"/>
    <x v="0"/>
    <x v="0"/>
  </r>
  <r>
    <x v="5210"/>
    <x v="1"/>
    <x v="0"/>
    <x v="1"/>
    <n v="20.6"/>
    <x v="0"/>
    <x v="4603"/>
    <x v="0"/>
    <x v="0"/>
    <x v="0"/>
    <x v="0"/>
  </r>
  <r>
    <x v="5211"/>
    <x v="0"/>
    <x v="1"/>
    <x v="3"/>
    <n v="58"/>
    <x v="44"/>
    <x v="4604"/>
    <x v="0"/>
    <x v="0"/>
    <x v="1"/>
    <x v="1"/>
  </r>
  <r>
    <x v="5212"/>
    <x v="0"/>
    <x v="1"/>
    <x v="0"/>
    <n v="107.45"/>
    <x v="45"/>
    <x v="4605"/>
    <x v="0"/>
    <x v="2"/>
    <x v="1"/>
    <x v="3"/>
  </r>
  <r>
    <x v="5213"/>
    <x v="0"/>
    <x v="0"/>
    <x v="2"/>
    <n v="65.5"/>
    <x v="4"/>
    <x v="4606"/>
    <x v="0"/>
    <x v="0"/>
    <x v="0"/>
    <x v="0"/>
  </r>
  <r>
    <x v="5214"/>
    <x v="1"/>
    <x v="2"/>
    <x v="2"/>
    <n v="25.45"/>
    <x v="59"/>
    <x v="4607"/>
    <x v="0"/>
    <x v="0"/>
    <x v="1"/>
    <x v="3"/>
  </r>
  <r>
    <x v="5215"/>
    <x v="0"/>
    <x v="1"/>
    <x v="2"/>
    <n v="100.15"/>
    <x v="3"/>
    <x v="4608"/>
    <x v="0"/>
    <x v="1"/>
    <x v="1"/>
    <x v="1"/>
  </r>
  <r>
    <x v="5216"/>
    <x v="1"/>
    <x v="1"/>
    <x v="3"/>
    <n v="104.45"/>
    <x v="21"/>
    <x v="4609"/>
    <x v="0"/>
    <x v="2"/>
    <x v="1"/>
    <x v="3"/>
  </r>
  <r>
    <x v="5217"/>
    <x v="1"/>
    <x v="0"/>
    <x v="0"/>
    <n v="21.15"/>
    <x v="18"/>
    <x v="4610"/>
    <x v="0"/>
    <x v="0"/>
    <x v="2"/>
    <x v="0"/>
  </r>
  <r>
    <x v="5218"/>
    <x v="1"/>
    <x v="0"/>
    <x v="0"/>
    <n v="96.2"/>
    <x v="40"/>
    <x v="4611"/>
    <x v="0"/>
    <x v="0"/>
    <x v="0"/>
    <x v="0"/>
  </r>
  <r>
    <x v="5219"/>
    <x v="1"/>
    <x v="0"/>
    <x v="1"/>
    <n v="44.4"/>
    <x v="34"/>
    <x v="4612"/>
    <x v="0"/>
    <x v="0"/>
    <x v="0"/>
    <x v="0"/>
  </r>
  <r>
    <x v="5220"/>
    <x v="0"/>
    <x v="1"/>
    <x v="0"/>
    <n v="107.55"/>
    <x v="29"/>
    <x v="4613"/>
    <x v="1"/>
    <x v="1"/>
    <x v="1"/>
    <x v="1"/>
  </r>
  <r>
    <x v="5221"/>
    <x v="1"/>
    <x v="2"/>
    <x v="2"/>
    <n v="94.35"/>
    <x v="11"/>
    <x v="4614"/>
    <x v="0"/>
    <x v="2"/>
    <x v="1"/>
    <x v="3"/>
  </r>
  <r>
    <x v="5222"/>
    <x v="1"/>
    <x v="0"/>
    <x v="0"/>
    <n v="98.75"/>
    <x v="10"/>
    <x v="4615"/>
    <x v="1"/>
    <x v="0"/>
    <x v="2"/>
    <x v="2"/>
  </r>
  <r>
    <x v="5223"/>
    <x v="1"/>
    <x v="0"/>
    <x v="1"/>
    <n v="20.3"/>
    <x v="2"/>
    <x v="3182"/>
    <x v="0"/>
    <x v="0"/>
    <x v="0"/>
    <x v="0"/>
  </r>
  <r>
    <x v="5224"/>
    <x v="0"/>
    <x v="0"/>
    <x v="0"/>
    <n v="101.15"/>
    <x v="4"/>
    <x v="4616"/>
    <x v="1"/>
    <x v="0"/>
    <x v="0"/>
    <x v="0"/>
  </r>
  <r>
    <x v="5225"/>
    <x v="0"/>
    <x v="1"/>
    <x v="2"/>
    <n v="105.75"/>
    <x v="63"/>
    <x v="4617"/>
    <x v="0"/>
    <x v="1"/>
    <x v="1"/>
    <x v="1"/>
  </r>
  <r>
    <x v="5226"/>
    <x v="1"/>
    <x v="0"/>
    <x v="0"/>
    <n v="81.150000000000006"/>
    <x v="34"/>
    <x v="4618"/>
    <x v="0"/>
    <x v="0"/>
    <x v="0"/>
    <x v="0"/>
  </r>
  <r>
    <x v="5227"/>
    <x v="1"/>
    <x v="1"/>
    <x v="0"/>
    <n v="89.55"/>
    <x v="52"/>
    <x v="4619"/>
    <x v="0"/>
    <x v="1"/>
    <x v="1"/>
    <x v="1"/>
  </r>
  <r>
    <x v="5228"/>
    <x v="0"/>
    <x v="0"/>
    <x v="3"/>
    <n v="54.75"/>
    <x v="70"/>
    <x v="4620"/>
    <x v="0"/>
    <x v="0"/>
    <x v="1"/>
    <x v="1"/>
  </r>
  <r>
    <x v="5229"/>
    <x v="0"/>
    <x v="1"/>
    <x v="3"/>
    <n v="53.75"/>
    <x v="55"/>
    <x v="2699"/>
    <x v="0"/>
    <x v="0"/>
    <x v="1"/>
    <x v="1"/>
  </r>
  <r>
    <x v="5230"/>
    <x v="1"/>
    <x v="1"/>
    <x v="3"/>
    <n v="105.75"/>
    <x v="47"/>
    <x v="4621"/>
    <x v="0"/>
    <x v="2"/>
    <x v="1"/>
    <x v="3"/>
  </r>
  <r>
    <x v="5231"/>
    <x v="0"/>
    <x v="2"/>
    <x v="3"/>
    <n v="105.85"/>
    <x v="45"/>
    <x v="4622"/>
    <x v="0"/>
    <x v="2"/>
    <x v="1"/>
    <x v="3"/>
  </r>
  <r>
    <x v="5232"/>
    <x v="1"/>
    <x v="1"/>
    <x v="0"/>
    <n v="64.2"/>
    <x v="49"/>
    <x v="4623"/>
    <x v="0"/>
    <x v="1"/>
    <x v="1"/>
    <x v="3"/>
  </r>
  <r>
    <x v="5233"/>
    <x v="1"/>
    <x v="0"/>
    <x v="0"/>
    <n v="88.7"/>
    <x v="61"/>
    <x v="4624"/>
    <x v="1"/>
    <x v="0"/>
    <x v="2"/>
    <x v="2"/>
  </r>
  <r>
    <x v="5234"/>
    <x v="1"/>
    <x v="1"/>
    <x v="3"/>
    <n v="87.7"/>
    <x v="67"/>
    <x v="4625"/>
    <x v="0"/>
    <x v="0"/>
    <x v="2"/>
    <x v="2"/>
  </r>
  <r>
    <x v="5235"/>
    <x v="0"/>
    <x v="0"/>
    <x v="3"/>
    <n v="89.3"/>
    <x v="3"/>
    <x v="4516"/>
    <x v="0"/>
    <x v="1"/>
    <x v="1"/>
    <x v="1"/>
  </r>
  <r>
    <x v="5236"/>
    <x v="0"/>
    <x v="2"/>
    <x v="3"/>
    <n v="20.149999999999999"/>
    <x v="27"/>
    <x v="4626"/>
    <x v="0"/>
    <x v="0"/>
    <x v="1"/>
    <x v="3"/>
  </r>
  <r>
    <x v="5237"/>
    <x v="0"/>
    <x v="0"/>
    <x v="0"/>
    <n v="79.75"/>
    <x v="2"/>
    <x v="4627"/>
    <x v="1"/>
    <x v="0"/>
    <x v="0"/>
    <x v="0"/>
  </r>
  <r>
    <x v="5238"/>
    <x v="0"/>
    <x v="0"/>
    <x v="1"/>
    <n v="94.55"/>
    <x v="23"/>
    <x v="4628"/>
    <x v="1"/>
    <x v="1"/>
    <x v="1"/>
    <x v="1"/>
  </r>
  <r>
    <x v="5239"/>
    <x v="0"/>
    <x v="2"/>
    <x v="0"/>
    <n v="20.05"/>
    <x v="18"/>
    <x v="510"/>
    <x v="0"/>
    <x v="0"/>
    <x v="2"/>
    <x v="0"/>
  </r>
  <r>
    <x v="5240"/>
    <x v="1"/>
    <x v="2"/>
    <x v="3"/>
    <n v="67.2"/>
    <x v="21"/>
    <x v="2464"/>
    <x v="0"/>
    <x v="1"/>
    <x v="1"/>
    <x v="3"/>
  </r>
  <r>
    <x v="5241"/>
    <x v="1"/>
    <x v="0"/>
    <x v="0"/>
    <n v="94.55"/>
    <x v="18"/>
    <x v="4629"/>
    <x v="0"/>
    <x v="0"/>
    <x v="2"/>
    <x v="0"/>
  </r>
  <r>
    <x v="5242"/>
    <x v="0"/>
    <x v="0"/>
    <x v="1"/>
    <n v="69.05"/>
    <x v="24"/>
    <x v="4630"/>
    <x v="1"/>
    <x v="0"/>
    <x v="0"/>
    <x v="0"/>
  </r>
  <r>
    <x v="5243"/>
    <x v="1"/>
    <x v="0"/>
    <x v="0"/>
    <n v="107.5"/>
    <x v="16"/>
    <x v="4631"/>
    <x v="0"/>
    <x v="2"/>
    <x v="1"/>
    <x v="3"/>
  </r>
  <r>
    <x v="5244"/>
    <x v="1"/>
    <x v="1"/>
    <x v="0"/>
    <n v="73"/>
    <x v="42"/>
    <x v="4632"/>
    <x v="0"/>
    <x v="1"/>
    <x v="1"/>
    <x v="1"/>
  </r>
  <r>
    <x v="5245"/>
    <x v="1"/>
    <x v="2"/>
    <x v="3"/>
    <n v="114.75"/>
    <x v="27"/>
    <x v="4633"/>
    <x v="0"/>
    <x v="2"/>
    <x v="1"/>
    <x v="3"/>
  </r>
  <r>
    <x v="5246"/>
    <x v="0"/>
    <x v="0"/>
    <x v="0"/>
    <n v="76.05"/>
    <x v="36"/>
    <x v="4634"/>
    <x v="0"/>
    <x v="1"/>
    <x v="1"/>
    <x v="1"/>
  </r>
  <r>
    <x v="5247"/>
    <x v="1"/>
    <x v="2"/>
    <x v="2"/>
    <n v="96.25"/>
    <x v="15"/>
    <x v="4635"/>
    <x v="1"/>
    <x v="2"/>
    <x v="1"/>
    <x v="3"/>
  </r>
  <r>
    <x v="5248"/>
    <x v="1"/>
    <x v="0"/>
    <x v="0"/>
    <n v="101.1"/>
    <x v="50"/>
    <x v="4636"/>
    <x v="1"/>
    <x v="1"/>
    <x v="1"/>
    <x v="1"/>
  </r>
  <r>
    <x v="5249"/>
    <x v="1"/>
    <x v="1"/>
    <x v="2"/>
    <n v="104.7"/>
    <x v="14"/>
    <x v="4637"/>
    <x v="1"/>
    <x v="2"/>
    <x v="1"/>
    <x v="3"/>
  </r>
  <r>
    <x v="5250"/>
    <x v="1"/>
    <x v="0"/>
    <x v="1"/>
    <n v="77.900000000000006"/>
    <x v="19"/>
    <x v="4638"/>
    <x v="0"/>
    <x v="1"/>
    <x v="1"/>
    <x v="1"/>
  </r>
  <r>
    <x v="5251"/>
    <x v="0"/>
    <x v="0"/>
    <x v="0"/>
    <n v="90.65"/>
    <x v="55"/>
    <x v="4639"/>
    <x v="0"/>
    <x v="1"/>
    <x v="1"/>
    <x v="1"/>
  </r>
  <r>
    <x v="5252"/>
    <x v="1"/>
    <x v="2"/>
    <x v="0"/>
    <n v="110.45"/>
    <x v="68"/>
    <x v="4640"/>
    <x v="0"/>
    <x v="2"/>
    <x v="1"/>
    <x v="3"/>
  </r>
  <r>
    <x v="5253"/>
    <x v="0"/>
    <x v="1"/>
    <x v="2"/>
    <n v="68.7"/>
    <x v="64"/>
    <x v="4641"/>
    <x v="0"/>
    <x v="1"/>
    <x v="1"/>
    <x v="3"/>
  </r>
  <r>
    <x v="5254"/>
    <x v="1"/>
    <x v="0"/>
    <x v="0"/>
    <n v="44.85"/>
    <x v="49"/>
    <x v="182"/>
    <x v="0"/>
    <x v="1"/>
    <x v="1"/>
    <x v="3"/>
  </r>
  <r>
    <x v="5255"/>
    <x v="1"/>
    <x v="1"/>
    <x v="3"/>
    <n v="29.8"/>
    <x v="14"/>
    <x v="4642"/>
    <x v="0"/>
    <x v="1"/>
    <x v="1"/>
    <x v="3"/>
  </r>
  <r>
    <x v="5256"/>
    <x v="0"/>
    <x v="1"/>
    <x v="2"/>
    <n v="88.9"/>
    <x v="33"/>
    <x v="4643"/>
    <x v="0"/>
    <x v="2"/>
    <x v="1"/>
    <x v="3"/>
  </r>
  <r>
    <x v="5257"/>
    <x v="1"/>
    <x v="1"/>
    <x v="1"/>
    <n v="58.75"/>
    <x v="50"/>
    <x v="4644"/>
    <x v="0"/>
    <x v="1"/>
    <x v="1"/>
    <x v="1"/>
  </r>
  <r>
    <x v="5258"/>
    <x v="1"/>
    <x v="1"/>
    <x v="3"/>
    <n v="19.850000000000001"/>
    <x v="34"/>
    <x v="3441"/>
    <x v="0"/>
    <x v="0"/>
    <x v="0"/>
    <x v="0"/>
  </r>
  <r>
    <x v="5259"/>
    <x v="1"/>
    <x v="2"/>
    <x v="2"/>
    <n v="86.9"/>
    <x v="14"/>
    <x v="4645"/>
    <x v="0"/>
    <x v="2"/>
    <x v="1"/>
    <x v="3"/>
  </r>
  <r>
    <x v="5260"/>
    <x v="1"/>
    <x v="0"/>
    <x v="1"/>
    <n v="59.65"/>
    <x v="6"/>
    <x v="4646"/>
    <x v="0"/>
    <x v="0"/>
    <x v="0"/>
    <x v="0"/>
  </r>
  <r>
    <x v="5261"/>
    <x v="1"/>
    <x v="0"/>
    <x v="1"/>
    <n v="55.25"/>
    <x v="63"/>
    <x v="2439"/>
    <x v="1"/>
    <x v="1"/>
    <x v="1"/>
    <x v="1"/>
  </r>
  <r>
    <x v="5262"/>
    <x v="1"/>
    <x v="0"/>
    <x v="3"/>
    <n v="66.400000000000006"/>
    <x v="9"/>
    <x v="4647"/>
    <x v="0"/>
    <x v="0"/>
    <x v="2"/>
    <x v="2"/>
  </r>
  <r>
    <x v="5263"/>
    <x v="0"/>
    <x v="0"/>
    <x v="0"/>
    <n v="90.1"/>
    <x v="53"/>
    <x v="4648"/>
    <x v="1"/>
    <x v="0"/>
    <x v="0"/>
    <x v="0"/>
  </r>
  <r>
    <x v="5264"/>
    <x v="0"/>
    <x v="2"/>
    <x v="2"/>
    <n v="20.149999999999999"/>
    <x v="14"/>
    <x v="4649"/>
    <x v="0"/>
    <x v="0"/>
    <x v="1"/>
    <x v="3"/>
  </r>
  <r>
    <x v="5265"/>
    <x v="0"/>
    <x v="1"/>
    <x v="3"/>
    <n v="108.1"/>
    <x v="33"/>
    <x v="4586"/>
    <x v="0"/>
    <x v="2"/>
    <x v="1"/>
    <x v="3"/>
  </r>
  <r>
    <x v="5266"/>
    <x v="1"/>
    <x v="0"/>
    <x v="0"/>
    <n v="53.75"/>
    <x v="26"/>
    <x v="4650"/>
    <x v="1"/>
    <x v="0"/>
    <x v="0"/>
    <x v="0"/>
  </r>
  <r>
    <x v="5267"/>
    <x v="1"/>
    <x v="1"/>
    <x v="1"/>
    <n v="56.9"/>
    <x v="25"/>
    <x v="4651"/>
    <x v="0"/>
    <x v="1"/>
    <x v="1"/>
    <x v="1"/>
  </r>
  <r>
    <x v="5268"/>
    <x v="0"/>
    <x v="0"/>
    <x v="0"/>
    <n v="89.3"/>
    <x v="53"/>
    <x v="4652"/>
    <x v="1"/>
    <x v="0"/>
    <x v="0"/>
    <x v="0"/>
  </r>
  <r>
    <x v="5269"/>
    <x v="0"/>
    <x v="0"/>
    <x v="1"/>
    <n v="109.6"/>
    <x v="39"/>
    <x v="4653"/>
    <x v="0"/>
    <x v="2"/>
    <x v="1"/>
    <x v="3"/>
  </r>
  <r>
    <x v="5270"/>
    <x v="1"/>
    <x v="2"/>
    <x v="3"/>
    <n v="25.15"/>
    <x v="27"/>
    <x v="4654"/>
    <x v="0"/>
    <x v="0"/>
    <x v="1"/>
    <x v="3"/>
  </r>
  <r>
    <x v="5271"/>
    <x v="0"/>
    <x v="1"/>
    <x v="0"/>
    <n v="79.150000000000006"/>
    <x v="55"/>
    <x v="4655"/>
    <x v="0"/>
    <x v="1"/>
    <x v="1"/>
    <x v="1"/>
  </r>
  <r>
    <x v="5272"/>
    <x v="0"/>
    <x v="2"/>
    <x v="3"/>
    <n v="66.75"/>
    <x v="21"/>
    <x v="4656"/>
    <x v="0"/>
    <x v="1"/>
    <x v="1"/>
    <x v="3"/>
  </r>
  <r>
    <x v="5273"/>
    <x v="0"/>
    <x v="0"/>
    <x v="0"/>
    <n v="95.2"/>
    <x v="35"/>
    <x v="4657"/>
    <x v="1"/>
    <x v="0"/>
    <x v="0"/>
    <x v="0"/>
  </r>
  <r>
    <x v="5274"/>
    <x v="0"/>
    <x v="0"/>
    <x v="1"/>
    <n v="48.8"/>
    <x v="67"/>
    <x v="4658"/>
    <x v="0"/>
    <x v="0"/>
    <x v="2"/>
    <x v="2"/>
  </r>
  <r>
    <x v="5275"/>
    <x v="0"/>
    <x v="0"/>
    <x v="0"/>
    <n v="45.7"/>
    <x v="24"/>
    <x v="4659"/>
    <x v="1"/>
    <x v="0"/>
    <x v="0"/>
    <x v="0"/>
  </r>
  <r>
    <x v="5276"/>
    <x v="0"/>
    <x v="2"/>
    <x v="3"/>
    <n v="80.7"/>
    <x v="16"/>
    <x v="493"/>
    <x v="0"/>
    <x v="2"/>
    <x v="1"/>
    <x v="3"/>
  </r>
  <r>
    <x v="5277"/>
    <x v="1"/>
    <x v="0"/>
    <x v="0"/>
    <n v="74.5"/>
    <x v="4"/>
    <x v="285"/>
    <x v="1"/>
    <x v="0"/>
    <x v="0"/>
    <x v="0"/>
  </r>
  <r>
    <x v="5278"/>
    <x v="1"/>
    <x v="0"/>
    <x v="3"/>
    <n v="20.55"/>
    <x v="0"/>
    <x v="1401"/>
    <x v="0"/>
    <x v="0"/>
    <x v="0"/>
    <x v="0"/>
  </r>
  <r>
    <x v="5279"/>
    <x v="0"/>
    <x v="0"/>
    <x v="0"/>
    <n v="79.650000000000006"/>
    <x v="0"/>
    <x v="4660"/>
    <x v="1"/>
    <x v="0"/>
    <x v="0"/>
    <x v="0"/>
  </r>
  <r>
    <x v="5280"/>
    <x v="0"/>
    <x v="1"/>
    <x v="1"/>
    <n v="115.1"/>
    <x v="59"/>
    <x v="254"/>
    <x v="0"/>
    <x v="2"/>
    <x v="1"/>
    <x v="3"/>
  </r>
  <r>
    <x v="5281"/>
    <x v="0"/>
    <x v="2"/>
    <x v="2"/>
    <n v="59.7"/>
    <x v="16"/>
    <x v="4661"/>
    <x v="0"/>
    <x v="1"/>
    <x v="1"/>
    <x v="3"/>
  </r>
  <r>
    <x v="5282"/>
    <x v="0"/>
    <x v="1"/>
    <x v="3"/>
    <n v="86.45"/>
    <x v="47"/>
    <x v="4662"/>
    <x v="0"/>
    <x v="2"/>
    <x v="1"/>
    <x v="3"/>
  </r>
  <r>
    <x v="5283"/>
    <x v="1"/>
    <x v="1"/>
    <x v="3"/>
    <n v="33.700000000000003"/>
    <x v="25"/>
    <x v="4663"/>
    <x v="0"/>
    <x v="0"/>
    <x v="1"/>
    <x v="1"/>
  </r>
  <r>
    <x v="5284"/>
    <x v="1"/>
    <x v="1"/>
    <x v="2"/>
    <n v="80.099999999999994"/>
    <x v="55"/>
    <x v="4664"/>
    <x v="0"/>
    <x v="1"/>
    <x v="1"/>
    <x v="1"/>
  </r>
  <r>
    <x v="5285"/>
    <x v="0"/>
    <x v="2"/>
    <x v="2"/>
    <n v="104.05"/>
    <x v="62"/>
    <x v="4665"/>
    <x v="0"/>
    <x v="2"/>
    <x v="1"/>
    <x v="3"/>
  </r>
  <r>
    <x v="5286"/>
    <x v="0"/>
    <x v="0"/>
    <x v="2"/>
    <n v="108.75"/>
    <x v="37"/>
    <x v="4666"/>
    <x v="0"/>
    <x v="2"/>
    <x v="1"/>
    <x v="3"/>
  </r>
  <r>
    <x v="5287"/>
    <x v="0"/>
    <x v="1"/>
    <x v="3"/>
    <n v="41.1"/>
    <x v="58"/>
    <x v="4667"/>
    <x v="0"/>
    <x v="1"/>
    <x v="1"/>
    <x v="3"/>
  </r>
  <r>
    <x v="5288"/>
    <x v="0"/>
    <x v="2"/>
    <x v="2"/>
    <n v="20.350000000000001"/>
    <x v="68"/>
    <x v="4668"/>
    <x v="0"/>
    <x v="0"/>
    <x v="1"/>
    <x v="3"/>
  </r>
  <r>
    <x v="5289"/>
    <x v="0"/>
    <x v="0"/>
    <x v="0"/>
    <n v="105.9"/>
    <x v="31"/>
    <x v="439"/>
    <x v="0"/>
    <x v="2"/>
    <x v="1"/>
    <x v="3"/>
  </r>
  <r>
    <x v="5290"/>
    <x v="0"/>
    <x v="0"/>
    <x v="3"/>
    <n v="101.3"/>
    <x v="7"/>
    <x v="4669"/>
    <x v="1"/>
    <x v="1"/>
    <x v="1"/>
    <x v="1"/>
  </r>
  <r>
    <x v="5291"/>
    <x v="0"/>
    <x v="0"/>
    <x v="1"/>
    <n v="80.05"/>
    <x v="0"/>
    <x v="4670"/>
    <x v="1"/>
    <x v="0"/>
    <x v="0"/>
    <x v="0"/>
  </r>
  <r>
    <x v="5292"/>
    <x v="1"/>
    <x v="0"/>
    <x v="0"/>
    <n v="89.2"/>
    <x v="44"/>
    <x v="4671"/>
    <x v="1"/>
    <x v="1"/>
    <x v="1"/>
    <x v="1"/>
  </r>
  <r>
    <x v="5293"/>
    <x v="0"/>
    <x v="0"/>
    <x v="0"/>
    <n v="65.5"/>
    <x v="6"/>
    <x v="4672"/>
    <x v="0"/>
    <x v="0"/>
    <x v="0"/>
    <x v="0"/>
  </r>
  <r>
    <x v="5294"/>
    <x v="1"/>
    <x v="0"/>
    <x v="0"/>
    <n v="40.450000000000003"/>
    <x v="29"/>
    <x v="4673"/>
    <x v="0"/>
    <x v="0"/>
    <x v="1"/>
    <x v="1"/>
  </r>
  <r>
    <x v="5295"/>
    <x v="1"/>
    <x v="0"/>
    <x v="2"/>
    <n v="70.45"/>
    <x v="9"/>
    <x v="4674"/>
    <x v="0"/>
    <x v="0"/>
    <x v="2"/>
    <x v="2"/>
  </r>
  <r>
    <x v="5296"/>
    <x v="0"/>
    <x v="2"/>
    <x v="0"/>
    <n v="78.8"/>
    <x v="29"/>
    <x v="4675"/>
    <x v="0"/>
    <x v="1"/>
    <x v="1"/>
    <x v="1"/>
  </r>
  <r>
    <x v="5297"/>
    <x v="1"/>
    <x v="0"/>
    <x v="0"/>
    <n v="83.65"/>
    <x v="67"/>
    <x v="4676"/>
    <x v="1"/>
    <x v="0"/>
    <x v="2"/>
    <x v="2"/>
  </r>
  <r>
    <x v="5298"/>
    <x v="1"/>
    <x v="0"/>
    <x v="0"/>
    <n v="90.1"/>
    <x v="0"/>
    <x v="4677"/>
    <x v="0"/>
    <x v="0"/>
    <x v="0"/>
    <x v="0"/>
  </r>
  <r>
    <x v="5299"/>
    <x v="0"/>
    <x v="2"/>
    <x v="3"/>
    <n v="82.45"/>
    <x v="14"/>
    <x v="1541"/>
    <x v="0"/>
    <x v="2"/>
    <x v="1"/>
    <x v="3"/>
  </r>
  <r>
    <x v="5300"/>
    <x v="0"/>
    <x v="2"/>
    <x v="3"/>
    <n v="20.25"/>
    <x v="59"/>
    <x v="4678"/>
    <x v="0"/>
    <x v="0"/>
    <x v="1"/>
    <x v="3"/>
  </r>
  <r>
    <x v="5301"/>
    <x v="1"/>
    <x v="0"/>
    <x v="2"/>
    <n v="66.25"/>
    <x v="29"/>
    <x v="4679"/>
    <x v="0"/>
    <x v="1"/>
    <x v="1"/>
    <x v="1"/>
  </r>
  <r>
    <x v="5302"/>
    <x v="0"/>
    <x v="0"/>
    <x v="2"/>
    <n v="19.5"/>
    <x v="53"/>
    <x v="1392"/>
    <x v="1"/>
    <x v="0"/>
    <x v="0"/>
    <x v="0"/>
  </r>
  <r>
    <x v="5303"/>
    <x v="1"/>
    <x v="0"/>
    <x v="1"/>
    <n v="51.25"/>
    <x v="0"/>
    <x v="1429"/>
    <x v="1"/>
    <x v="0"/>
    <x v="0"/>
    <x v="0"/>
  </r>
  <r>
    <x v="5304"/>
    <x v="1"/>
    <x v="0"/>
    <x v="1"/>
    <n v="89.7"/>
    <x v="39"/>
    <x v="4680"/>
    <x v="0"/>
    <x v="2"/>
    <x v="1"/>
    <x v="3"/>
  </r>
  <r>
    <x v="5305"/>
    <x v="0"/>
    <x v="2"/>
    <x v="2"/>
    <n v="64.55"/>
    <x v="27"/>
    <x v="4681"/>
    <x v="0"/>
    <x v="1"/>
    <x v="1"/>
    <x v="3"/>
  </r>
  <r>
    <x v="5306"/>
    <x v="1"/>
    <x v="0"/>
    <x v="0"/>
    <n v="45.6"/>
    <x v="0"/>
    <x v="583"/>
    <x v="1"/>
    <x v="0"/>
    <x v="0"/>
    <x v="0"/>
  </r>
  <r>
    <x v="5307"/>
    <x v="1"/>
    <x v="1"/>
    <x v="0"/>
    <n v="93.65"/>
    <x v="12"/>
    <x v="4682"/>
    <x v="0"/>
    <x v="1"/>
    <x v="1"/>
    <x v="3"/>
  </r>
  <r>
    <x v="5308"/>
    <x v="0"/>
    <x v="0"/>
    <x v="2"/>
    <n v="49.65"/>
    <x v="53"/>
    <x v="4683"/>
    <x v="1"/>
    <x v="0"/>
    <x v="0"/>
    <x v="0"/>
  </r>
  <r>
    <x v="5309"/>
    <x v="0"/>
    <x v="2"/>
    <x v="1"/>
    <n v="73.599999999999994"/>
    <x v="48"/>
    <x v="4684"/>
    <x v="0"/>
    <x v="1"/>
    <x v="1"/>
    <x v="1"/>
  </r>
  <r>
    <x v="5310"/>
    <x v="0"/>
    <x v="2"/>
    <x v="1"/>
    <n v="109.75"/>
    <x v="21"/>
    <x v="4685"/>
    <x v="0"/>
    <x v="2"/>
    <x v="1"/>
    <x v="3"/>
  </r>
  <r>
    <x v="5311"/>
    <x v="1"/>
    <x v="2"/>
    <x v="3"/>
    <n v="61.45"/>
    <x v="50"/>
    <x v="4686"/>
    <x v="0"/>
    <x v="1"/>
    <x v="1"/>
    <x v="1"/>
  </r>
  <r>
    <x v="5312"/>
    <x v="0"/>
    <x v="1"/>
    <x v="3"/>
    <n v="106.4"/>
    <x v="14"/>
    <x v="4687"/>
    <x v="0"/>
    <x v="2"/>
    <x v="1"/>
    <x v="3"/>
  </r>
  <r>
    <x v="5313"/>
    <x v="0"/>
    <x v="0"/>
    <x v="2"/>
    <n v="81.900000000000006"/>
    <x v="70"/>
    <x v="4688"/>
    <x v="0"/>
    <x v="1"/>
    <x v="1"/>
    <x v="1"/>
  </r>
  <r>
    <x v="5314"/>
    <x v="0"/>
    <x v="1"/>
    <x v="3"/>
    <n v="105.2"/>
    <x v="11"/>
    <x v="4689"/>
    <x v="0"/>
    <x v="2"/>
    <x v="1"/>
    <x v="3"/>
  </r>
  <r>
    <x v="5315"/>
    <x v="1"/>
    <x v="1"/>
    <x v="2"/>
    <n v="54.6"/>
    <x v="65"/>
    <x v="4690"/>
    <x v="0"/>
    <x v="0"/>
    <x v="1"/>
    <x v="2"/>
  </r>
  <r>
    <x v="5316"/>
    <x v="1"/>
    <x v="1"/>
    <x v="0"/>
    <n v="20.55"/>
    <x v="24"/>
    <x v="1457"/>
    <x v="0"/>
    <x v="0"/>
    <x v="0"/>
    <x v="0"/>
  </r>
  <r>
    <x v="5317"/>
    <x v="1"/>
    <x v="0"/>
    <x v="0"/>
    <n v="20"/>
    <x v="30"/>
    <x v="3063"/>
    <x v="1"/>
    <x v="0"/>
    <x v="2"/>
    <x v="2"/>
  </r>
  <r>
    <x v="5318"/>
    <x v="0"/>
    <x v="2"/>
    <x v="1"/>
    <n v="19.7"/>
    <x v="19"/>
    <x v="2507"/>
    <x v="0"/>
    <x v="0"/>
    <x v="1"/>
    <x v="1"/>
  </r>
  <r>
    <x v="5319"/>
    <x v="0"/>
    <x v="1"/>
    <x v="3"/>
    <n v="66.05"/>
    <x v="49"/>
    <x v="4691"/>
    <x v="0"/>
    <x v="1"/>
    <x v="1"/>
    <x v="3"/>
  </r>
  <r>
    <x v="5320"/>
    <x v="0"/>
    <x v="0"/>
    <x v="2"/>
    <n v="34"/>
    <x v="13"/>
    <x v="4692"/>
    <x v="1"/>
    <x v="0"/>
    <x v="1"/>
    <x v="1"/>
  </r>
  <r>
    <x v="5321"/>
    <x v="1"/>
    <x v="0"/>
    <x v="1"/>
    <n v="92.5"/>
    <x v="6"/>
    <x v="4693"/>
    <x v="1"/>
    <x v="0"/>
    <x v="0"/>
    <x v="0"/>
  </r>
  <r>
    <x v="5322"/>
    <x v="1"/>
    <x v="2"/>
    <x v="3"/>
    <n v="54.05"/>
    <x v="66"/>
    <x v="4694"/>
    <x v="0"/>
    <x v="1"/>
    <x v="1"/>
    <x v="1"/>
  </r>
  <r>
    <x v="5323"/>
    <x v="0"/>
    <x v="1"/>
    <x v="1"/>
    <n v="58.9"/>
    <x v="20"/>
    <x v="866"/>
    <x v="0"/>
    <x v="1"/>
    <x v="1"/>
    <x v="1"/>
  </r>
  <r>
    <x v="5324"/>
    <x v="0"/>
    <x v="0"/>
    <x v="0"/>
    <n v="88.35"/>
    <x v="9"/>
    <x v="4695"/>
    <x v="1"/>
    <x v="0"/>
    <x v="2"/>
    <x v="2"/>
  </r>
  <r>
    <x v="5325"/>
    <x v="0"/>
    <x v="2"/>
    <x v="2"/>
    <n v="107.95"/>
    <x v="12"/>
    <x v="4696"/>
    <x v="1"/>
    <x v="2"/>
    <x v="1"/>
    <x v="3"/>
  </r>
  <r>
    <x v="5326"/>
    <x v="0"/>
    <x v="1"/>
    <x v="1"/>
    <n v="96.9"/>
    <x v="38"/>
    <x v="4697"/>
    <x v="0"/>
    <x v="2"/>
    <x v="1"/>
    <x v="3"/>
  </r>
  <r>
    <x v="5327"/>
    <x v="1"/>
    <x v="0"/>
    <x v="1"/>
    <n v="19.100000000000001"/>
    <x v="0"/>
    <x v="2875"/>
    <x v="0"/>
    <x v="0"/>
    <x v="0"/>
    <x v="0"/>
  </r>
  <r>
    <x v="5328"/>
    <x v="1"/>
    <x v="0"/>
    <x v="1"/>
    <n v="50"/>
    <x v="61"/>
    <x v="4698"/>
    <x v="0"/>
    <x v="0"/>
    <x v="2"/>
    <x v="2"/>
  </r>
  <r>
    <x v="5329"/>
    <x v="0"/>
    <x v="2"/>
    <x v="0"/>
    <n v="45.4"/>
    <x v="50"/>
    <x v="4699"/>
    <x v="0"/>
    <x v="0"/>
    <x v="1"/>
    <x v="1"/>
  </r>
  <r>
    <x v="5330"/>
    <x v="1"/>
    <x v="0"/>
    <x v="0"/>
    <n v="85.45"/>
    <x v="19"/>
    <x v="4700"/>
    <x v="0"/>
    <x v="1"/>
    <x v="1"/>
    <x v="1"/>
  </r>
  <r>
    <x v="5331"/>
    <x v="0"/>
    <x v="1"/>
    <x v="2"/>
    <n v="84.1"/>
    <x v="46"/>
    <x v="4701"/>
    <x v="0"/>
    <x v="1"/>
    <x v="1"/>
    <x v="1"/>
  </r>
  <r>
    <x v="5332"/>
    <x v="0"/>
    <x v="0"/>
    <x v="1"/>
    <n v="74.45"/>
    <x v="0"/>
    <x v="4702"/>
    <x v="1"/>
    <x v="0"/>
    <x v="0"/>
    <x v="0"/>
  </r>
  <r>
    <x v="5333"/>
    <x v="0"/>
    <x v="0"/>
    <x v="0"/>
    <n v="64.75"/>
    <x v="50"/>
    <x v="4703"/>
    <x v="1"/>
    <x v="1"/>
    <x v="1"/>
    <x v="1"/>
  </r>
  <r>
    <x v="5334"/>
    <x v="0"/>
    <x v="2"/>
    <x v="3"/>
    <n v="66.25"/>
    <x v="15"/>
    <x v="3493"/>
    <x v="0"/>
    <x v="1"/>
    <x v="1"/>
    <x v="3"/>
  </r>
  <r>
    <x v="5335"/>
    <x v="1"/>
    <x v="2"/>
    <x v="3"/>
    <n v="76.900000000000006"/>
    <x v="16"/>
    <x v="4704"/>
    <x v="0"/>
    <x v="2"/>
    <x v="1"/>
    <x v="3"/>
  </r>
  <r>
    <x v="5336"/>
    <x v="1"/>
    <x v="0"/>
    <x v="0"/>
    <n v="89.8"/>
    <x v="70"/>
    <x v="4705"/>
    <x v="1"/>
    <x v="1"/>
    <x v="1"/>
    <x v="1"/>
  </r>
  <r>
    <x v="5337"/>
    <x v="1"/>
    <x v="2"/>
    <x v="3"/>
    <n v="74.599999999999994"/>
    <x v="33"/>
    <x v="4706"/>
    <x v="0"/>
    <x v="1"/>
    <x v="1"/>
    <x v="3"/>
  </r>
  <r>
    <x v="5338"/>
    <x v="1"/>
    <x v="2"/>
    <x v="3"/>
    <n v="116.95"/>
    <x v="21"/>
    <x v="4707"/>
    <x v="0"/>
    <x v="2"/>
    <x v="1"/>
    <x v="3"/>
  </r>
  <r>
    <x v="5339"/>
    <x v="1"/>
    <x v="1"/>
    <x v="3"/>
    <n v="40.65"/>
    <x v="13"/>
    <x v="4708"/>
    <x v="0"/>
    <x v="0"/>
    <x v="1"/>
    <x v="1"/>
  </r>
  <r>
    <x v="5340"/>
    <x v="1"/>
    <x v="2"/>
    <x v="2"/>
    <n v="114.35"/>
    <x v="14"/>
    <x v="4709"/>
    <x v="0"/>
    <x v="2"/>
    <x v="1"/>
    <x v="3"/>
  </r>
  <r>
    <x v="5341"/>
    <x v="1"/>
    <x v="2"/>
    <x v="2"/>
    <n v="69.7"/>
    <x v="62"/>
    <x v="4489"/>
    <x v="0"/>
    <x v="1"/>
    <x v="1"/>
    <x v="3"/>
  </r>
  <r>
    <x v="5342"/>
    <x v="0"/>
    <x v="1"/>
    <x v="1"/>
    <n v="95.5"/>
    <x v="18"/>
    <x v="4710"/>
    <x v="1"/>
    <x v="0"/>
    <x v="2"/>
    <x v="0"/>
  </r>
  <r>
    <x v="5343"/>
    <x v="1"/>
    <x v="0"/>
    <x v="0"/>
    <n v="98.65"/>
    <x v="70"/>
    <x v="4711"/>
    <x v="0"/>
    <x v="1"/>
    <x v="1"/>
    <x v="1"/>
  </r>
  <r>
    <x v="5344"/>
    <x v="1"/>
    <x v="0"/>
    <x v="1"/>
    <n v="61.65"/>
    <x v="17"/>
    <x v="4712"/>
    <x v="0"/>
    <x v="0"/>
    <x v="2"/>
    <x v="2"/>
  </r>
  <r>
    <x v="5345"/>
    <x v="0"/>
    <x v="0"/>
    <x v="0"/>
    <n v="89.35"/>
    <x v="0"/>
    <x v="4713"/>
    <x v="0"/>
    <x v="0"/>
    <x v="0"/>
    <x v="0"/>
  </r>
  <r>
    <x v="5346"/>
    <x v="1"/>
    <x v="0"/>
    <x v="0"/>
    <n v="95.4"/>
    <x v="43"/>
    <x v="4714"/>
    <x v="0"/>
    <x v="1"/>
    <x v="1"/>
    <x v="1"/>
  </r>
  <r>
    <x v="5347"/>
    <x v="0"/>
    <x v="1"/>
    <x v="3"/>
    <n v="35.4"/>
    <x v="70"/>
    <x v="4715"/>
    <x v="0"/>
    <x v="0"/>
    <x v="1"/>
    <x v="1"/>
  </r>
  <r>
    <x v="5348"/>
    <x v="1"/>
    <x v="2"/>
    <x v="1"/>
    <n v="19.95"/>
    <x v="31"/>
    <x v="4582"/>
    <x v="0"/>
    <x v="0"/>
    <x v="1"/>
    <x v="3"/>
  </r>
  <r>
    <x v="5349"/>
    <x v="1"/>
    <x v="0"/>
    <x v="1"/>
    <n v="19.25"/>
    <x v="32"/>
    <x v="4716"/>
    <x v="0"/>
    <x v="0"/>
    <x v="2"/>
    <x v="2"/>
  </r>
  <r>
    <x v="5350"/>
    <x v="0"/>
    <x v="0"/>
    <x v="0"/>
    <n v="29.65"/>
    <x v="6"/>
    <x v="4717"/>
    <x v="1"/>
    <x v="0"/>
    <x v="0"/>
    <x v="0"/>
  </r>
  <r>
    <x v="5351"/>
    <x v="1"/>
    <x v="0"/>
    <x v="0"/>
    <n v="84.5"/>
    <x v="24"/>
    <x v="4718"/>
    <x v="1"/>
    <x v="0"/>
    <x v="0"/>
    <x v="0"/>
  </r>
  <r>
    <x v="5352"/>
    <x v="0"/>
    <x v="1"/>
    <x v="1"/>
    <n v="20.399999999999999"/>
    <x v="54"/>
    <x v="2554"/>
    <x v="0"/>
    <x v="0"/>
    <x v="0"/>
    <x v="0"/>
  </r>
  <r>
    <x v="5353"/>
    <x v="1"/>
    <x v="2"/>
    <x v="3"/>
    <n v="24.75"/>
    <x v="45"/>
    <x v="4719"/>
    <x v="0"/>
    <x v="0"/>
    <x v="1"/>
    <x v="3"/>
  </r>
  <r>
    <x v="5354"/>
    <x v="1"/>
    <x v="2"/>
    <x v="1"/>
    <n v="25.35"/>
    <x v="27"/>
    <x v="4720"/>
    <x v="0"/>
    <x v="0"/>
    <x v="1"/>
    <x v="3"/>
  </r>
  <r>
    <x v="5355"/>
    <x v="1"/>
    <x v="0"/>
    <x v="3"/>
    <n v="90.7"/>
    <x v="32"/>
    <x v="4721"/>
    <x v="1"/>
    <x v="0"/>
    <x v="2"/>
    <x v="2"/>
  </r>
  <r>
    <x v="5356"/>
    <x v="1"/>
    <x v="2"/>
    <x v="2"/>
    <n v="20"/>
    <x v="8"/>
    <x v="4722"/>
    <x v="0"/>
    <x v="0"/>
    <x v="1"/>
    <x v="3"/>
  </r>
  <r>
    <x v="5357"/>
    <x v="0"/>
    <x v="2"/>
    <x v="0"/>
    <n v="59.75"/>
    <x v="33"/>
    <x v="4723"/>
    <x v="0"/>
    <x v="1"/>
    <x v="1"/>
    <x v="3"/>
  </r>
  <r>
    <x v="5358"/>
    <x v="0"/>
    <x v="2"/>
    <x v="2"/>
    <n v="82.5"/>
    <x v="45"/>
    <x v="4724"/>
    <x v="0"/>
    <x v="2"/>
    <x v="1"/>
    <x v="3"/>
  </r>
  <r>
    <x v="5359"/>
    <x v="0"/>
    <x v="0"/>
    <x v="0"/>
    <n v="70.3"/>
    <x v="35"/>
    <x v="744"/>
    <x v="1"/>
    <x v="0"/>
    <x v="0"/>
    <x v="0"/>
  </r>
  <r>
    <x v="5360"/>
    <x v="0"/>
    <x v="0"/>
    <x v="1"/>
    <n v="20.350000000000001"/>
    <x v="1"/>
    <x v="4725"/>
    <x v="0"/>
    <x v="0"/>
    <x v="1"/>
    <x v="1"/>
  </r>
  <r>
    <x v="5361"/>
    <x v="1"/>
    <x v="0"/>
    <x v="2"/>
    <n v="90.8"/>
    <x v="10"/>
    <x v="4726"/>
    <x v="0"/>
    <x v="0"/>
    <x v="2"/>
    <x v="2"/>
  </r>
  <r>
    <x v="5362"/>
    <x v="0"/>
    <x v="1"/>
    <x v="2"/>
    <n v="103.95"/>
    <x v="68"/>
    <x v="4727"/>
    <x v="1"/>
    <x v="2"/>
    <x v="1"/>
    <x v="3"/>
  </r>
  <r>
    <x v="5363"/>
    <x v="0"/>
    <x v="0"/>
    <x v="0"/>
    <n v="104.95"/>
    <x v="37"/>
    <x v="4728"/>
    <x v="0"/>
    <x v="2"/>
    <x v="1"/>
    <x v="3"/>
  </r>
  <r>
    <x v="5364"/>
    <x v="1"/>
    <x v="2"/>
    <x v="0"/>
    <n v="105.25"/>
    <x v="16"/>
    <x v="4729"/>
    <x v="0"/>
    <x v="2"/>
    <x v="1"/>
    <x v="3"/>
  </r>
  <r>
    <x v="5365"/>
    <x v="0"/>
    <x v="0"/>
    <x v="0"/>
    <n v="74.75"/>
    <x v="6"/>
    <x v="4730"/>
    <x v="1"/>
    <x v="0"/>
    <x v="0"/>
    <x v="0"/>
  </r>
  <r>
    <x v="5366"/>
    <x v="0"/>
    <x v="0"/>
    <x v="0"/>
    <n v="50.8"/>
    <x v="0"/>
    <x v="836"/>
    <x v="1"/>
    <x v="0"/>
    <x v="0"/>
    <x v="0"/>
  </r>
  <r>
    <x v="5367"/>
    <x v="1"/>
    <x v="1"/>
    <x v="1"/>
    <n v="23.75"/>
    <x v="32"/>
    <x v="4731"/>
    <x v="0"/>
    <x v="0"/>
    <x v="2"/>
    <x v="2"/>
  </r>
  <r>
    <x v="5368"/>
    <x v="1"/>
    <x v="0"/>
    <x v="0"/>
    <n v="61.3"/>
    <x v="54"/>
    <x v="4732"/>
    <x v="0"/>
    <x v="0"/>
    <x v="0"/>
    <x v="0"/>
  </r>
  <r>
    <x v="5369"/>
    <x v="0"/>
    <x v="2"/>
    <x v="1"/>
    <n v="75.8"/>
    <x v="11"/>
    <x v="4733"/>
    <x v="0"/>
    <x v="1"/>
    <x v="1"/>
    <x v="3"/>
  </r>
  <r>
    <x v="5370"/>
    <x v="0"/>
    <x v="1"/>
    <x v="0"/>
    <n v="98"/>
    <x v="39"/>
    <x v="4734"/>
    <x v="0"/>
    <x v="2"/>
    <x v="1"/>
    <x v="3"/>
  </r>
  <r>
    <x v="5371"/>
    <x v="1"/>
    <x v="0"/>
    <x v="0"/>
    <n v="80.25"/>
    <x v="2"/>
    <x v="4735"/>
    <x v="1"/>
    <x v="0"/>
    <x v="0"/>
    <x v="0"/>
  </r>
  <r>
    <x v="5372"/>
    <x v="1"/>
    <x v="0"/>
    <x v="0"/>
    <n v="78.900000000000006"/>
    <x v="48"/>
    <x v="4736"/>
    <x v="1"/>
    <x v="1"/>
    <x v="1"/>
    <x v="1"/>
  </r>
  <r>
    <x v="5373"/>
    <x v="1"/>
    <x v="1"/>
    <x v="1"/>
    <n v="52"/>
    <x v="39"/>
    <x v="4737"/>
    <x v="0"/>
    <x v="1"/>
    <x v="1"/>
    <x v="3"/>
  </r>
  <r>
    <x v="5374"/>
    <x v="1"/>
    <x v="0"/>
    <x v="0"/>
    <n v="84.75"/>
    <x v="51"/>
    <x v="4738"/>
    <x v="1"/>
    <x v="1"/>
    <x v="1"/>
    <x v="1"/>
  </r>
  <r>
    <x v="5375"/>
    <x v="0"/>
    <x v="0"/>
    <x v="1"/>
    <n v="64.400000000000006"/>
    <x v="54"/>
    <x v="4739"/>
    <x v="0"/>
    <x v="0"/>
    <x v="0"/>
    <x v="0"/>
  </r>
  <r>
    <x v="5376"/>
    <x v="1"/>
    <x v="0"/>
    <x v="2"/>
    <n v="85.45"/>
    <x v="62"/>
    <x v="4740"/>
    <x v="1"/>
    <x v="1"/>
    <x v="1"/>
    <x v="3"/>
  </r>
  <r>
    <x v="5377"/>
    <x v="1"/>
    <x v="0"/>
    <x v="3"/>
    <n v="45.8"/>
    <x v="6"/>
    <x v="4741"/>
    <x v="0"/>
    <x v="0"/>
    <x v="0"/>
    <x v="0"/>
  </r>
  <r>
    <x v="5378"/>
    <x v="1"/>
    <x v="0"/>
    <x v="0"/>
    <n v="30.5"/>
    <x v="54"/>
    <x v="4742"/>
    <x v="0"/>
    <x v="0"/>
    <x v="0"/>
    <x v="0"/>
  </r>
  <r>
    <x v="5379"/>
    <x v="1"/>
    <x v="0"/>
    <x v="1"/>
    <n v="19.899999999999999"/>
    <x v="0"/>
    <x v="403"/>
    <x v="1"/>
    <x v="0"/>
    <x v="0"/>
    <x v="0"/>
  </r>
  <r>
    <x v="5380"/>
    <x v="0"/>
    <x v="0"/>
    <x v="1"/>
    <n v="69.150000000000006"/>
    <x v="69"/>
    <x v="4743"/>
    <x v="0"/>
    <x v="1"/>
    <x v="1"/>
    <x v="3"/>
  </r>
  <r>
    <x v="5381"/>
    <x v="1"/>
    <x v="0"/>
    <x v="0"/>
    <n v="99.45"/>
    <x v="18"/>
    <x v="4744"/>
    <x v="1"/>
    <x v="0"/>
    <x v="2"/>
    <x v="0"/>
  </r>
  <r>
    <x v="5382"/>
    <x v="0"/>
    <x v="1"/>
    <x v="1"/>
    <n v="49.25"/>
    <x v="53"/>
    <x v="4745"/>
    <x v="0"/>
    <x v="0"/>
    <x v="0"/>
    <x v="0"/>
  </r>
  <r>
    <x v="5383"/>
    <x v="1"/>
    <x v="2"/>
    <x v="2"/>
    <n v="39.35"/>
    <x v="28"/>
    <x v="4746"/>
    <x v="0"/>
    <x v="1"/>
    <x v="1"/>
    <x v="3"/>
  </r>
  <r>
    <x v="5384"/>
    <x v="0"/>
    <x v="0"/>
    <x v="0"/>
    <n v="70.599999999999994"/>
    <x v="0"/>
    <x v="271"/>
    <x v="1"/>
    <x v="0"/>
    <x v="0"/>
    <x v="0"/>
  </r>
  <r>
    <x v="5385"/>
    <x v="0"/>
    <x v="0"/>
    <x v="3"/>
    <n v="105.1"/>
    <x v="43"/>
    <x v="4747"/>
    <x v="0"/>
    <x v="2"/>
    <x v="1"/>
    <x v="1"/>
  </r>
  <r>
    <x v="5386"/>
    <x v="0"/>
    <x v="0"/>
    <x v="3"/>
    <n v="81"/>
    <x v="24"/>
    <x v="1929"/>
    <x v="1"/>
    <x v="0"/>
    <x v="0"/>
    <x v="0"/>
  </r>
  <r>
    <x v="5387"/>
    <x v="0"/>
    <x v="1"/>
    <x v="3"/>
    <n v="20.100000000000001"/>
    <x v="42"/>
    <x v="640"/>
    <x v="0"/>
    <x v="0"/>
    <x v="1"/>
    <x v="1"/>
  </r>
  <r>
    <x v="5388"/>
    <x v="1"/>
    <x v="0"/>
    <x v="0"/>
    <n v="84.85"/>
    <x v="53"/>
    <x v="4748"/>
    <x v="1"/>
    <x v="0"/>
    <x v="0"/>
    <x v="0"/>
  </r>
  <r>
    <x v="5389"/>
    <x v="1"/>
    <x v="0"/>
    <x v="1"/>
    <n v="19.75"/>
    <x v="2"/>
    <x v="4749"/>
    <x v="0"/>
    <x v="0"/>
    <x v="0"/>
    <x v="0"/>
  </r>
  <r>
    <x v="5390"/>
    <x v="0"/>
    <x v="1"/>
    <x v="2"/>
    <n v="19.75"/>
    <x v="37"/>
    <x v="4750"/>
    <x v="0"/>
    <x v="0"/>
    <x v="1"/>
    <x v="3"/>
  </r>
  <r>
    <x v="5391"/>
    <x v="0"/>
    <x v="0"/>
    <x v="2"/>
    <n v="70.400000000000006"/>
    <x v="55"/>
    <x v="4751"/>
    <x v="0"/>
    <x v="1"/>
    <x v="1"/>
    <x v="1"/>
  </r>
  <r>
    <x v="5392"/>
    <x v="1"/>
    <x v="2"/>
    <x v="1"/>
    <n v="20.45"/>
    <x v="36"/>
    <x v="4752"/>
    <x v="0"/>
    <x v="0"/>
    <x v="1"/>
    <x v="1"/>
  </r>
  <r>
    <x v="5393"/>
    <x v="0"/>
    <x v="2"/>
    <x v="1"/>
    <n v="20.350000000000001"/>
    <x v="34"/>
    <x v="4753"/>
    <x v="0"/>
    <x v="0"/>
    <x v="0"/>
    <x v="0"/>
  </r>
  <r>
    <x v="5394"/>
    <x v="0"/>
    <x v="0"/>
    <x v="0"/>
    <n v="86.2"/>
    <x v="68"/>
    <x v="4754"/>
    <x v="0"/>
    <x v="1"/>
    <x v="1"/>
    <x v="3"/>
  </r>
  <r>
    <x v="5395"/>
    <x v="0"/>
    <x v="1"/>
    <x v="3"/>
    <n v="95.65"/>
    <x v="25"/>
    <x v="4755"/>
    <x v="0"/>
    <x v="1"/>
    <x v="1"/>
    <x v="1"/>
  </r>
  <r>
    <x v="5396"/>
    <x v="1"/>
    <x v="1"/>
    <x v="0"/>
    <n v="103.8"/>
    <x v="1"/>
    <x v="4756"/>
    <x v="0"/>
    <x v="1"/>
    <x v="1"/>
    <x v="1"/>
  </r>
  <r>
    <x v="5397"/>
    <x v="1"/>
    <x v="2"/>
    <x v="0"/>
    <n v="97.2"/>
    <x v="16"/>
    <x v="4757"/>
    <x v="0"/>
    <x v="2"/>
    <x v="1"/>
    <x v="3"/>
  </r>
  <r>
    <x v="5398"/>
    <x v="0"/>
    <x v="2"/>
    <x v="1"/>
    <n v="63.55"/>
    <x v="28"/>
    <x v="4758"/>
    <x v="0"/>
    <x v="1"/>
    <x v="1"/>
    <x v="3"/>
  </r>
  <r>
    <x v="5399"/>
    <x v="0"/>
    <x v="2"/>
    <x v="2"/>
    <n v="24.95"/>
    <x v="69"/>
    <x v="3982"/>
    <x v="0"/>
    <x v="0"/>
    <x v="1"/>
    <x v="3"/>
  </r>
  <r>
    <x v="5400"/>
    <x v="0"/>
    <x v="0"/>
    <x v="0"/>
    <n v="89.15"/>
    <x v="70"/>
    <x v="4759"/>
    <x v="1"/>
    <x v="1"/>
    <x v="1"/>
    <x v="1"/>
  </r>
  <r>
    <x v="5401"/>
    <x v="0"/>
    <x v="2"/>
    <x v="2"/>
    <n v="99"/>
    <x v="38"/>
    <x v="4760"/>
    <x v="0"/>
    <x v="2"/>
    <x v="1"/>
    <x v="3"/>
  </r>
  <r>
    <x v="5402"/>
    <x v="0"/>
    <x v="0"/>
    <x v="0"/>
    <n v="24.8"/>
    <x v="0"/>
    <x v="184"/>
    <x v="1"/>
    <x v="0"/>
    <x v="0"/>
    <x v="0"/>
  </r>
  <r>
    <x v="5403"/>
    <x v="1"/>
    <x v="1"/>
    <x v="2"/>
    <n v="85.55"/>
    <x v="59"/>
    <x v="4761"/>
    <x v="0"/>
    <x v="2"/>
    <x v="1"/>
    <x v="3"/>
  </r>
  <r>
    <x v="5404"/>
    <x v="0"/>
    <x v="0"/>
    <x v="3"/>
    <n v="94"/>
    <x v="30"/>
    <x v="4762"/>
    <x v="0"/>
    <x v="0"/>
    <x v="2"/>
    <x v="2"/>
  </r>
  <r>
    <x v="5405"/>
    <x v="1"/>
    <x v="1"/>
    <x v="3"/>
    <n v="105.65"/>
    <x v="38"/>
    <x v="4763"/>
    <x v="1"/>
    <x v="2"/>
    <x v="1"/>
    <x v="3"/>
  </r>
  <r>
    <x v="5406"/>
    <x v="0"/>
    <x v="0"/>
    <x v="0"/>
    <n v="50.3"/>
    <x v="32"/>
    <x v="3059"/>
    <x v="0"/>
    <x v="0"/>
    <x v="2"/>
    <x v="2"/>
  </r>
  <r>
    <x v="5407"/>
    <x v="0"/>
    <x v="1"/>
    <x v="0"/>
    <n v="95"/>
    <x v="58"/>
    <x v="4764"/>
    <x v="0"/>
    <x v="2"/>
    <x v="1"/>
    <x v="3"/>
  </r>
  <r>
    <x v="5408"/>
    <x v="1"/>
    <x v="2"/>
    <x v="2"/>
    <n v="61.4"/>
    <x v="60"/>
    <x v="4765"/>
    <x v="0"/>
    <x v="0"/>
    <x v="2"/>
    <x v="2"/>
  </r>
  <r>
    <x v="5409"/>
    <x v="1"/>
    <x v="0"/>
    <x v="3"/>
    <n v="80.55"/>
    <x v="32"/>
    <x v="2002"/>
    <x v="0"/>
    <x v="0"/>
    <x v="2"/>
    <x v="2"/>
  </r>
  <r>
    <x v="5410"/>
    <x v="0"/>
    <x v="2"/>
    <x v="2"/>
    <n v="78.5"/>
    <x v="21"/>
    <x v="4766"/>
    <x v="0"/>
    <x v="2"/>
    <x v="1"/>
    <x v="3"/>
  </r>
  <r>
    <x v="5411"/>
    <x v="1"/>
    <x v="2"/>
    <x v="3"/>
    <n v="114.3"/>
    <x v="27"/>
    <x v="4767"/>
    <x v="0"/>
    <x v="2"/>
    <x v="1"/>
    <x v="3"/>
  </r>
  <r>
    <x v="5412"/>
    <x v="0"/>
    <x v="2"/>
    <x v="1"/>
    <n v="20.05"/>
    <x v="46"/>
    <x v="2411"/>
    <x v="0"/>
    <x v="0"/>
    <x v="1"/>
    <x v="1"/>
  </r>
  <r>
    <x v="5413"/>
    <x v="1"/>
    <x v="2"/>
    <x v="3"/>
    <n v="62.65"/>
    <x v="47"/>
    <x v="4768"/>
    <x v="0"/>
    <x v="1"/>
    <x v="1"/>
    <x v="3"/>
  </r>
  <r>
    <x v="5414"/>
    <x v="1"/>
    <x v="0"/>
    <x v="0"/>
    <n v="80.849999999999994"/>
    <x v="9"/>
    <x v="4769"/>
    <x v="1"/>
    <x v="0"/>
    <x v="2"/>
    <x v="2"/>
  </r>
  <r>
    <x v="5415"/>
    <x v="1"/>
    <x v="2"/>
    <x v="3"/>
    <n v="92.7"/>
    <x v="45"/>
    <x v="4770"/>
    <x v="0"/>
    <x v="2"/>
    <x v="1"/>
    <x v="3"/>
  </r>
  <r>
    <x v="5416"/>
    <x v="0"/>
    <x v="0"/>
    <x v="0"/>
    <n v="100.45"/>
    <x v="19"/>
    <x v="4771"/>
    <x v="0"/>
    <x v="1"/>
    <x v="1"/>
    <x v="1"/>
  </r>
  <r>
    <x v="5417"/>
    <x v="1"/>
    <x v="2"/>
    <x v="2"/>
    <n v="75.2"/>
    <x v="69"/>
    <x v="3763"/>
    <x v="0"/>
    <x v="1"/>
    <x v="1"/>
    <x v="3"/>
  </r>
  <r>
    <x v="5418"/>
    <x v="0"/>
    <x v="0"/>
    <x v="3"/>
    <n v="84.75"/>
    <x v="36"/>
    <x v="4772"/>
    <x v="0"/>
    <x v="1"/>
    <x v="1"/>
    <x v="1"/>
  </r>
  <r>
    <x v="5419"/>
    <x v="0"/>
    <x v="0"/>
    <x v="0"/>
    <n v="89.45"/>
    <x v="34"/>
    <x v="4773"/>
    <x v="1"/>
    <x v="0"/>
    <x v="0"/>
    <x v="0"/>
  </r>
  <r>
    <x v="5420"/>
    <x v="0"/>
    <x v="2"/>
    <x v="2"/>
    <n v="79.5"/>
    <x v="21"/>
    <x v="401"/>
    <x v="0"/>
    <x v="2"/>
    <x v="1"/>
    <x v="3"/>
  </r>
  <r>
    <x v="5421"/>
    <x v="1"/>
    <x v="0"/>
    <x v="3"/>
    <n v="72.150000000000006"/>
    <x v="6"/>
    <x v="4774"/>
    <x v="1"/>
    <x v="0"/>
    <x v="0"/>
    <x v="0"/>
  </r>
  <r>
    <x v="5422"/>
    <x v="0"/>
    <x v="1"/>
    <x v="0"/>
    <n v="19.8"/>
    <x v="50"/>
    <x v="1836"/>
    <x v="0"/>
    <x v="0"/>
    <x v="1"/>
    <x v="1"/>
  </r>
  <r>
    <x v="5423"/>
    <x v="0"/>
    <x v="0"/>
    <x v="0"/>
    <n v="76.400000000000006"/>
    <x v="2"/>
    <x v="2529"/>
    <x v="1"/>
    <x v="0"/>
    <x v="0"/>
    <x v="0"/>
  </r>
  <r>
    <x v="5424"/>
    <x v="1"/>
    <x v="1"/>
    <x v="1"/>
    <n v="100.9"/>
    <x v="49"/>
    <x v="4775"/>
    <x v="0"/>
    <x v="2"/>
    <x v="1"/>
    <x v="3"/>
  </r>
  <r>
    <x v="5425"/>
    <x v="1"/>
    <x v="0"/>
    <x v="2"/>
    <n v="95.3"/>
    <x v="55"/>
    <x v="4776"/>
    <x v="0"/>
    <x v="1"/>
    <x v="1"/>
    <x v="1"/>
  </r>
  <r>
    <x v="5426"/>
    <x v="0"/>
    <x v="1"/>
    <x v="2"/>
    <n v="90.95"/>
    <x v="25"/>
    <x v="4777"/>
    <x v="0"/>
    <x v="1"/>
    <x v="1"/>
    <x v="1"/>
  </r>
  <r>
    <x v="5427"/>
    <x v="0"/>
    <x v="0"/>
    <x v="0"/>
    <n v="54.5"/>
    <x v="0"/>
    <x v="4778"/>
    <x v="0"/>
    <x v="0"/>
    <x v="0"/>
    <x v="0"/>
  </r>
  <r>
    <x v="5428"/>
    <x v="0"/>
    <x v="0"/>
    <x v="1"/>
    <n v="61.6"/>
    <x v="61"/>
    <x v="4779"/>
    <x v="1"/>
    <x v="0"/>
    <x v="2"/>
    <x v="2"/>
  </r>
  <r>
    <x v="5429"/>
    <x v="1"/>
    <x v="0"/>
    <x v="0"/>
    <n v="79.900000000000006"/>
    <x v="34"/>
    <x v="4780"/>
    <x v="1"/>
    <x v="0"/>
    <x v="0"/>
    <x v="0"/>
  </r>
  <r>
    <x v="5430"/>
    <x v="1"/>
    <x v="0"/>
    <x v="3"/>
    <n v="96.15"/>
    <x v="48"/>
    <x v="4781"/>
    <x v="1"/>
    <x v="1"/>
    <x v="1"/>
    <x v="1"/>
  </r>
  <r>
    <x v="5431"/>
    <x v="0"/>
    <x v="0"/>
    <x v="2"/>
    <n v="49.6"/>
    <x v="67"/>
    <x v="4782"/>
    <x v="0"/>
    <x v="0"/>
    <x v="2"/>
    <x v="2"/>
  </r>
  <r>
    <x v="5432"/>
    <x v="0"/>
    <x v="2"/>
    <x v="3"/>
    <n v="65.3"/>
    <x v="27"/>
    <x v="4783"/>
    <x v="1"/>
    <x v="1"/>
    <x v="1"/>
    <x v="3"/>
  </r>
  <r>
    <x v="5433"/>
    <x v="0"/>
    <x v="2"/>
    <x v="3"/>
    <n v="25"/>
    <x v="59"/>
    <x v="2340"/>
    <x v="0"/>
    <x v="0"/>
    <x v="1"/>
    <x v="3"/>
  </r>
  <r>
    <x v="5434"/>
    <x v="1"/>
    <x v="0"/>
    <x v="0"/>
    <n v="45.45"/>
    <x v="70"/>
    <x v="4784"/>
    <x v="0"/>
    <x v="0"/>
    <x v="1"/>
    <x v="1"/>
  </r>
  <r>
    <x v="5435"/>
    <x v="1"/>
    <x v="0"/>
    <x v="2"/>
    <n v="107.75"/>
    <x v="3"/>
    <x v="4785"/>
    <x v="0"/>
    <x v="1"/>
    <x v="1"/>
    <x v="1"/>
  </r>
  <r>
    <x v="5436"/>
    <x v="1"/>
    <x v="2"/>
    <x v="3"/>
    <n v="89.1"/>
    <x v="8"/>
    <x v="4786"/>
    <x v="0"/>
    <x v="2"/>
    <x v="1"/>
    <x v="3"/>
  </r>
  <r>
    <x v="5437"/>
    <x v="1"/>
    <x v="0"/>
    <x v="1"/>
    <n v="19.649999999999999"/>
    <x v="0"/>
    <x v="1015"/>
    <x v="1"/>
    <x v="0"/>
    <x v="0"/>
    <x v="0"/>
  </r>
  <r>
    <x v="5438"/>
    <x v="0"/>
    <x v="0"/>
    <x v="1"/>
    <n v="44.75"/>
    <x v="35"/>
    <x v="4787"/>
    <x v="0"/>
    <x v="0"/>
    <x v="0"/>
    <x v="0"/>
  </r>
  <r>
    <x v="5439"/>
    <x v="0"/>
    <x v="1"/>
    <x v="2"/>
    <n v="101.6"/>
    <x v="52"/>
    <x v="4788"/>
    <x v="0"/>
    <x v="1"/>
    <x v="1"/>
    <x v="1"/>
  </r>
  <r>
    <x v="5440"/>
    <x v="1"/>
    <x v="2"/>
    <x v="2"/>
    <n v="103.15"/>
    <x v="56"/>
    <x v="4789"/>
    <x v="0"/>
    <x v="2"/>
    <x v="1"/>
    <x v="3"/>
  </r>
  <r>
    <x v="5441"/>
    <x v="1"/>
    <x v="0"/>
    <x v="1"/>
    <n v="84.65"/>
    <x v="0"/>
    <x v="4790"/>
    <x v="1"/>
    <x v="0"/>
    <x v="0"/>
    <x v="0"/>
  </r>
  <r>
    <x v="5442"/>
    <x v="0"/>
    <x v="1"/>
    <x v="1"/>
    <n v="95.65"/>
    <x v="16"/>
    <x v="4791"/>
    <x v="0"/>
    <x v="2"/>
    <x v="1"/>
    <x v="3"/>
  </r>
  <r>
    <x v="5443"/>
    <x v="0"/>
    <x v="1"/>
    <x v="2"/>
    <n v="75.099999999999994"/>
    <x v="50"/>
    <x v="4792"/>
    <x v="0"/>
    <x v="1"/>
    <x v="1"/>
    <x v="1"/>
  </r>
  <r>
    <x v="5444"/>
    <x v="1"/>
    <x v="2"/>
    <x v="1"/>
    <n v="61.35"/>
    <x v="31"/>
    <x v="4793"/>
    <x v="0"/>
    <x v="1"/>
    <x v="1"/>
    <x v="3"/>
  </r>
  <r>
    <x v="5445"/>
    <x v="0"/>
    <x v="0"/>
    <x v="0"/>
    <n v="69.55"/>
    <x v="0"/>
    <x v="440"/>
    <x v="1"/>
    <x v="0"/>
    <x v="0"/>
    <x v="0"/>
  </r>
  <r>
    <x v="5446"/>
    <x v="0"/>
    <x v="0"/>
    <x v="3"/>
    <n v="19.7"/>
    <x v="53"/>
    <x v="153"/>
    <x v="0"/>
    <x v="0"/>
    <x v="0"/>
    <x v="0"/>
  </r>
  <r>
    <x v="5447"/>
    <x v="0"/>
    <x v="0"/>
    <x v="0"/>
    <n v="31.05"/>
    <x v="9"/>
    <x v="4794"/>
    <x v="1"/>
    <x v="0"/>
    <x v="2"/>
    <x v="2"/>
  </r>
  <r>
    <x v="5448"/>
    <x v="0"/>
    <x v="0"/>
    <x v="2"/>
    <n v="51"/>
    <x v="26"/>
    <x v="4795"/>
    <x v="0"/>
    <x v="0"/>
    <x v="0"/>
    <x v="0"/>
  </r>
  <r>
    <x v="5449"/>
    <x v="1"/>
    <x v="0"/>
    <x v="1"/>
    <n v="51"/>
    <x v="40"/>
    <x v="4796"/>
    <x v="1"/>
    <x v="0"/>
    <x v="0"/>
    <x v="0"/>
  </r>
  <r>
    <x v="5450"/>
    <x v="0"/>
    <x v="0"/>
    <x v="0"/>
    <n v="88.85"/>
    <x v="6"/>
    <x v="4797"/>
    <x v="0"/>
    <x v="0"/>
    <x v="0"/>
    <x v="0"/>
  </r>
  <r>
    <x v="5451"/>
    <x v="1"/>
    <x v="2"/>
    <x v="3"/>
    <n v="20.05"/>
    <x v="1"/>
    <x v="4798"/>
    <x v="0"/>
    <x v="0"/>
    <x v="1"/>
    <x v="1"/>
  </r>
  <r>
    <x v="5452"/>
    <x v="0"/>
    <x v="2"/>
    <x v="1"/>
    <n v="65.099999999999994"/>
    <x v="8"/>
    <x v="4799"/>
    <x v="0"/>
    <x v="1"/>
    <x v="1"/>
    <x v="3"/>
  </r>
  <r>
    <x v="5453"/>
    <x v="1"/>
    <x v="1"/>
    <x v="1"/>
    <n v="70.150000000000006"/>
    <x v="38"/>
    <x v="4800"/>
    <x v="0"/>
    <x v="1"/>
    <x v="1"/>
    <x v="3"/>
  </r>
  <r>
    <x v="5454"/>
    <x v="0"/>
    <x v="0"/>
    <x v="2"/>
    <n v="44.35"/>
    <x v="0"/>
    <x v="4801"/>
    <x v="1"/>
    <x v="0"/>
    <x v="0"/>
    <x v="0"/>
  </r>
  <r>
    <x v="5455"/>
    <x v="1"/>
    <x v="2"/>
    <x v="1"/>
    <n v="20.75"/>
    <x v="13"/>
    <x v="4802"/>
    <x v="0"/>
    <x v="0"/>
    <x v="1"/>
    <x v="1"/>
  </r>
  <r>
    <x v="5456"/>
    <x v="0"/>
    <x v="1"/>
    <x v="1"/>
    <n v="56.05"/>
    <x v="70"/>
    <x v="4803"/>
    <x v="0"/>
    <x v="0"/>
    <x v="1"/>
    <x v="1"/>
  </r>
  <r>
    <x v="5457"/>
    <x v="1"/>
    <x v="1"/>
    <x v="2"/>
    <n v="19.95"/>
    <x v="6"/>
    <x v="1275"/>
    <x v="0"/>
    <x v="0"/>
    <x v="0"/>
    <x v="0"/>
  </r>
  <r>
    <x v="5458"/>
    <x v="0"/>
    <x v="1"/>
    <x v="1"/>
    <n v="98.6"/>
    <x v="62"/>
    <x v="4804"/>
    <x v="0"/>
    <x v="2"/>
    <x v="1"/>
    <x v="3"/>
  </r>
  <r>
    <x v="5459"/>
    <x v="0"/>
    <x v="0"/>
    <x v="0"/>
    <n v="79.7"/>
    <x v="40"/>
    <x v="4805"/>
    <x v="1"/>
    <x v="0"/>
    <x v="0"/>
    <x v="0"/>
  </r>
  <r>
    <x v="5460"/>
    <x v="1"/>
    <x v="0"/>
    <x v="3"/>
    <n v="79"/>
    <x v="55"/>
    <x v="4806"/>
    <x v="0"/>
    <x v="1"/>
    <x v="1"/>
    <x v="1"/>
  </r>
  <r>
    <x v="5461"/>
    <x v="0"/>
    <x v="2"/>
    <x v="3"/>
    <n v="89.45"/>
    <x v="16"/>
    <x v="4807"/>
    <x v="0"/>
    <x v="2"/>
    <x v="1"/>
    <x v="3"/>
  </r>
  <r>
    <x v="5462"/>
    <x v="0"/>
    <x v="0"/>
    <x v="0"/>
    <n v="74.2"/>
    <x v="44"/>
    <x v="4808"/>
    <x v="0"/>
    <x v="1"/>
    <x v="1"/>
    <x v="1"/>
  </r>
  <r>
    <x v="5463"/>
    <x v="1"/>
    <x v="0"/>
    <x v="2"/>
    <n v="81"/>
    <x v="65"/>
    <x v="4809"/>
    <x v="0"/>
    <x v="0"/>
    <x v="1"/>
    <x v="2"/>
  </r>
  <r>
    <x v="5464"/>
    <x v="1"/>
    <x v="0"/>
    <x v="0"/>
    <n v="49.6"/>
    <x v="61"/>
    <x v="412"/>
    <x v="0"/>
    <x v="0"/>
    <x v="2"/>
    <x v="2"/>
  </r>
  <r>
    <x v="5465"/>
    <x v="0"/>
    <x v="0"/>
    <x v="0"/>
    <n v="84.6"/>
    <x v="0"/>
    <x v="230"/>
    <x v="0"/>
    <x v="0"/>
    <x v="0"/>
    <x v="0"/>
  </r>
  <r>
    <x v="5466"/>
    <x v="1"/>
    <x v="0"/>
    <x v="3"/>
    <n v="55"/>
    <x v="68"/>
    <x v="4810"/>
    <x v="1"/>
    <x v="1"/>
    <x v="1"/>
    <x v="3"/>
  </r>
  <r>
    <x v="5467"/>
    <x v="0"/>
    <x v="0"/>
    <x v="1"/>
    <n v="84.85"/>
    <x v="24"/>
    <x v="4811"/>
    <x v="1"/>
    <x v="0"/>
    <x v="0"/>
    <x v="0"/>
  </r>
  <r>
    <x v="5468"/>
    <x v="0"/>
    <x v="2"/>
    <x v="2"/>
    <n v="84.2"/>
    <x v="21"/>
    <x v="4812"/>
    <x v="0"/>
    <x v="2"/>
    <x v="1"/>
    <x v="3"/>
  </r>
  <r>
    <x v="5469"/>
    <x v="1"/>
    <x v="2"/>
    <x v="0"/>
    <n v="106.3"/>
    <x v="15"/>
    <x v="4813"/>
    <x v="0"/>
    <x v="2"/>
    <x v="1"/>
    <x v="3"/>
  </r>
  <r>
    <x v="5470"/>
    <x v="0"/>
    <x v="0"/>
    <x v="0"/>
    <n v="69.05"/>
    <x v="34"/>
    <x v="3272"/>
    <x v="0"/>
    <x v="0"/>
    <x v="0"/>
    <x v="0"/>
  </r>
  <r>
    <x v="5471"/>
    <x v="0"/>
    <x v="0"/>
    <x v="1"/>
    <n v="45.4"/>
    <x v="0"/>
    <x v="2818"/>
    <x v="0"/>
    <x v="0"/>
    <x v="0"/>
    <x v="0"/>
  </r>
  <r>
    <x v="5472"/>
    <x v="1"/>
    <x v="0"/>
    <x v="0"/>
    <n v="73.650000000000006"/>
    <x v="0"/>
    <x v="4814"/>
    <x v="1"/>
    <x v="0"/>
    <x v="0"/>
    <x v="0"/>
  </r>
  <r>
    <x v="5473"/>
    <x v="1"/>
    <x v="1"/>
    <x v="1"/>
    <n v="73.900000000000006"/>
    <x v="55"/>
    <x v="4815"/>
    <x v="1"/>
    <x v="1"/>
    <x v="1"/>
    <x v="1"/>
  </r>
  <r>
    <x v="5474"/>
    <x v="0"/>
    <x v="0"/>
    <x v="0"/>
    <n v="77.75"/>
    <x v="49"/>
    <x v="3421"/>
    <x v="1"/>
    <x v="1"/>
    <x v="1"/>
    <x v="3"/>
  </r>
  <r>
    <x v="5475"/>
    <x v="1"/>
    <x v="2"/>
    <x v="0"/>
    <n v="99.35"/>
    <x v="14"/>
    <x v="4816"/>
    <x v="0"/>
    <x v="2"/>
    <x v="1"/>
    <x v="3"/>
  </r>
  <r>
    <x v="5476"/>
    <x v="1"/>
    <x v="0"/>
    <x v="1"/>
    <n v="50.75"/>
    <x v="0"/>
    <x v="3253"/>
    <x v="0"/>
    <x v="0"/>
    <x v="0"/>
    <x v="0"/>
  </r>
  <r>
    <x v="5477"/>
    <x v="1"/>
    <x v="2"/>
    <x v="2"/>
    <n v="87.1"/>
    <x v="68"/>
    <x v="4817"/>
    <x v="0"/>
    <x v="1"/>
    <x v="1"/>
    <x v="3"/>
  </r>
  <r>
    <x v="5478"/>
    <x v="1"/>
    <x v="1"/>
    <x v="1"/>
    <n v="20.149999999999999"/>
    <x v="55"/>
    <x v="4818"/>
    <x v="0"/>
    <x v="0"/>
    <x v="1"/>
    <x v="1"/>
  </r>
  <r>
    <x v="5479"/>
    <x v="1"/>
    <x v="1"/>
    <x v="2"/>
    <n v="98.7"/>
    <x v="3"/>
    <x v="4819"/>
    <x v="0"/>
    <x v="1"/>
    <x v="1"/>
    <x v="1"/>
  </r>
  <r>
    <x v="5480"/>
    <x v="0"/>
    <x v="0"/>
    <x v="0"/>
    <n v="25.2"/>
    <x v="26"/>
    <x v="3417"/>
    <x v="0"/>
    <x v="0"/>
    <x v="0"/>
    <x v="0"/>
  </r>
  <r>
    <x v="5481"/>
    <x v="1"/>
    <x v="0"/>
    <x v="2"/>
    <n v="55.7"/>
    <x v="53"/>
    <x v="4820"/>
    <x v="0"/>
    <x v="0"/>
    <x v="0"/>
    <x v="0"/>
  </r>
  <r>
    <x v="5482"/>
    <x v="1"/>
    <x v="0"/>
    <x v="2"/>
    <n v="65.349999999999994"/>
    <x v="17"/>
    <x v="4821"/>
    <x v="0"/>
    <x v="0"/>
    <x v="2"/>
    <x v="2"/>
  </r>
  <r>
    <x v="5483"/>
    <x v="0"/>
    <x v="2"/>
    <x v="2"/>
    <n v="25.3"/>
    <x v="45"/>
    <x v="4822"/>
    <x v="0"/>
    <x v="0"/>
    <x v="1"/>
    <x v="3"/>
  </r>
  <r>
    <x v="5484"/>
    <x v="0"/>
    <x v="0"/>
    <x v="0"/>
    <n v="84.35"/>
    <x v="53"/>
    <x v="4823"/>
    <x v="1"/>
    <x v="0"/>
    <x v="0"/>
    <x v="0"/>
  </r>
  <r>
    <x v="5485"/>
    <x v="0"/>
    <x v="0"/>
    <x v="0"/>
    <n v="84.95"/>
    <x v="4"/>
    <x v="4824"/>
    <x v="1"/>
    <x v="0"/>
    <x v="0"/>
    <x v="0"/>
  </r>
  <r>
    <x v="5486"/>
    <x v="1"/>
    <x v="0"/>
    <x v="0"/>
    <n v="73.849999999999994"/>
    <x v="26"/>
    <x v="4825"/>
    <x v="1"/>
    <x v="0"/>
    <x v="0"/>
    <x v="0"/>
  </r>
  <r>
    <x v="5487"/>
    <x v="1"/>
    <x v="2"/>
    <x v="1"/>
    <n v="24.25"/>
    <x v="29"/>
    <x v="4826"/>
    <x v="0"/>
    <x v="0"/>
    <x v="1"/>
    <x v="1"/>
  </r>
  <r>
    <x v="5488"/>
    <x v="1"/>
    <x v="1"/>
    <x v="2"/>
    <n v="51.8"/>
    <x v="12"/>
    <x v="4827"/>
    <x v="1"/>
    <x v="1"/>
    <x v="1"/>
    <x v="3"/>
  </r>
  <r>
    <x v="5489"/>
    <x v="0"/>
    <x v="0"/>
    <x v="0"/>
    <n v="46"/>
    <x v="0"/>
    <x v="4828"/>
    <x v="1"/>
    <x v="0"/>
    <x v="0"/>
    <x v="0"/>
  </r>
  <r>
    <x v="5490"/>
    <x v="1"/>
    <x v="0"/>
    <x v="0"/>
    <n v="79.400000000000006"/>
    <x v="30"/>
    <x v="1482"/>
    <x v="1"/>
    <x v="0"/>
    <x v="2"/>
    <x v="2"/>
  </r>
  <r>
    <x v="5491"/>
    <x v="1"/>
    <x v="2"/>
    <x v="2"/>
    <n v="60.5"/>
    <x v="31"/>
    <x v="4829"/>
    <x v="0"/>
    <x v="1"/>
    <x v="1"/>
    <x v="3"/>
  </r>
  <r>
    <x v="5492"/>
    <x v="1"/>
    <x v="0"/>
    <x v="3"/>
    <n v="25.1"/>
    <x v="22"/>
    <x v="4830"/>
    <x v="0"/>
    <x v="0"/>
    <x v="2"/>
    <x v="2"/>
  </r>
  <r>
    <x v="5493"/>
    <x v="1"/>
    <x v="0"/>
    <x v="2"/>
    <n v="71.8"/>
    <x v="10"/>
    <x v="4831"/>
    <x v="1"/>
    <x v="0"/>
    <x v="2"/>
    <x v="2"/>
  </r>
  <r>
    <x v="5494"/>
    <x v="1"/>
    <x v="1"/>
    <x v="2"/>
    <n v="20.05"/>
    <x v="42"/>
    <x v="4832"/>
    <x v="0"/>
    <x v="0"/>
    <x v="1"/>
    <x v="1"/>
  </r>
  <r>
    <x v="5495"/>
    <x v="1"/>
    <x v="1"/>
    <x v="1"/>
    <n v="88.4"/>
    <x v="66"/>
    <x v="4833"/>
    <x v="1"/>
    <x v="1"/>
    <x v="1"/>
    <x v="1"/>
  </r>
  <r>
    <x v="5496"/>
    <x v="0"/>
    <x v="1"/>
    <x v="3"/>
    <n v="30.25"/>
    <x v="18"/>
    <x v="4834"/>
    <x v="0"/>
    <x v="0"/>
    <x v="2"/>
    <x v="0"/>
  </r>
  <r>
    <x v="5497"/>
    <x v="1"/>
    <x v="0"/>
    <x v="1"/>
    <n v="20.2"/>
    <x v="0"/>
    <x v="33"/>
    <x v="0"/>
    <x v="0"/>
    <x v="0"/>
    <x v="0"/>
  </r>
  <r>
    <x v="5498"/>
    <x v="0"/>
    <x v="1"/>
    <x v="0"/>
    <n v="59.9"/>
    <x v="7"/>
    <x v="4835"/>
    <x v="0"/>
    <x v="0"/>
    <x v="1"/>
    <x v="1"/>
  </r>
  <r>
    <x v="5499"/>
    <x v="1"/>
    <x v="2"/>
    <x v="2"/>
    <n v="25.15"/>
    <x v="27"/>
    <x v="4654"/>
    <x v="0"/>
    <x v="0"/>
    <x v="1"/>
    <x v="3"/>
  </r>
  <r>
    <x v="5500"/>
    <x v="0"/>
    <x v="0"/>
    <x v="1"/>
    <n v="46"/>
    <x v="24"/>
    <x v="4836"/>
    <x v="1"/>
    <x v="0"/>
    <x v="0"/>
    <x v="0"/>
  </r>
  <r>
    <x v="5501"/>
    <x v="1"/>
    <x v="0"/>
    <x v="3"/>
    <n v="101.3"/>
    <x v="32"/>
    <x v="4837"/>
    <x v="0"/>
    <x v="0"/>
    <x v="2"/>
    <x v="2"/>
  </r>
  <r>
    <x v="5502"/>
    <x v="1"/>
    <x v="2"/>
    <x v="3"/>
    <n v="76.95"/>
    <x v="27"/>
    <x v="4838"/>
    <x v="0"/>
    <x v="2"/>
    <x v="1"/>
    <x v="3"/>
  </r>
  <r>
    <x v="5503"/>
    <x v="0"/>
    <x v="0"/>
    <x v="1"/>
    <n v="55.3"/>
    <x v="34"/>
    <x v="4839"/>
    <x v="0"/>
    <x v="0"/>
    <x v="0"/>
    <x v="0"/>
  </r>
  <r>
    <x v="5504"/>
    <x v="0"/>
    <x v="2"/>
    <x v="2"/>
    <n v="92.45"/>
    <x v="56"/>
    <x v="4840"/>
    <x v="0"/>
    <x v="2"/>
    <x v="1"/>
    <x v="3"/>
  </r>
  <r>
    <x v="5505"/>
    <x v="0"/>
    <x v="0"/>
    <x v="2"/>
    <n v="48.45"/>
    <x v="0"/>
    <x v="4841"/>
    <x v="0"/>
    <x v="0"/>
    <x v="0"/>
    <x v="0"/>
  </r>
  <r>
    <x v="5506"/>
    <x v="0"/>
    <x v="2"/>
    <x v="1"/>
    <n v="19.350000000000001"/>
    <x v="32"/>
    <x v="4842"/>
    <x v="0"/>
    <x v="0"/>
    <x v="2"/>
    <x v="2"/>
  </r>
  <r>
    <x v="5507"/>
    <x v="1"/>
    <x v="0"/>
    <x v="3"/>
    <n v="51.75"/>
    <x v="54"/>
    <x v="4843"/>
    <x v="1"/>
    <x v="0"/>
    <x v="0"/>
    <x v="0"/>
  </r>
  <r>
    <x v="5508"/>
    <x v="1"/>
    <x v="1"/>
    <x v="2"/>
    <n v="86.7"/>
    <x v="16"/>
    <x v="4844"/>
    <x v="0"/>
    <x v="2"/>
    <x v="1"/>
    <x v="3"/>
  </r>
  <r>
    <x v="5509"/>
    <x v="1"/>
    <x v="0"/>
    <x v="0"/>
    <n v="94.4"/>
    <x v="19"/>
    <x v="4554"/>
    <x v="1"/>
    <x v="1"/>
    <x v="1"/>
    <x v="1"/>
  </r>
  <r>
    <x v="5510"/>
    <x v="1"/>
    <x v="0"/>
    <x v="1"/>
    <n v="55.7"/>
    <x v="0"/>
    <x v="4845"/>
    <x v="0"/>
    <x v="0"/>
    <x v="0"/>
    <x v="0"/>
  </r>
  <r>
    <x v="5511"/>
    <x v="0"/>
    <x v="1"/>
    <x v="3"/>
    <n v="84.25"/>
    <x v="49"/>
    <x v="4846"/>
    <x v="0"/>
    <x v="1"/>
    <x v="1"/>
    <x v="3"/>
  </r>
  <r>
    <x v="5512"/>
    <x v="1"/>
    <x v="0"/>
    <x v="0"/>
    <n v="64.650000000000006"/>
    <x v="64"/>
    <x v="4847"/>
    <x v="0"/>
    <x v="1"/>
    <x v="1"/>
    <x v="3"/>
  </r>
  <r>
    <x v="5513"/>
    <x v="0"/>
    <x v="0"/>
    <x v="1"/>
    <n v="70.150000000000006"/>
    <x v="0"/>
    <x v="2242"/>
    <x v="1"/>
    <x v="0"/>
    <x v="0"/>
    <x v="0"/>
  </r>
  <r>
    <x v="5514"/>
    <x v="0"/>
    <x v="0"/>
    <x v="2"/>
    <n v="69.2"/>
    <x v="40"/>
    <x v="4848"/>
    <x v="0"/>
    <x v="0"/>
    <x v="0"/>
    <x v="0"/>
  </r>
  <r>
    <x v="5515"/>
    <x v="1"/>
    <x v="2"/>
    <x v="2"/>
    <n v="54.65"/>
    <x v="3"/>
    <x v="4849"/>
    <x v="0"/>
    <x v="1"/>
    <x v="1"/>
    <x v="1"/>
  </r>
  <r>
    <x v="5516"/>
    <x v="0"/>
    <x v="1"/>
    <x v="2"/>
    <n v="24.75"/>
    <x v="68"/>
    <x v="4850"/>
    <x v="0"/>
    <x v="0"/>
    <x v="1"/>
    <x v="3"/>
  </r>
  <r>
    <x v="5517"/>
    <x v="1"/>
    <x v="1"/>
    <x v="1"/>
    <n v="23.95"/>
    <x v="69"/>
    <x v="4851"/>
    <x v="0"/>
    <x v="0"/>
    <x v="1"/>
    <x v="3"/>
  </r>
  <r>
    <x v="5518"/>
    <x v="0"/>
    <x v="1"/>
    <x v="3"/>
    <n v="105"/>
    <x v="21"/>
    <x v="821"/>
    <x v="0"/>
    <x v="2"/>
    <x v="1"/>
    <x v="3"/>
  </r>
  <r>
    <x v="5519"/>
    <x v="1"/>
    <x v="1"/>
    <x v="2"/>
    <n v="59.85"/>
    <x v="66"/>
    <x v="4852"/>
    <x v="0"/>
    <x v="1"/>
    <x v="1"/>
    <x v="1"/>
  </r>
  <r>
    <x v="5520"/>
    <x v="1"/>
    <x v="0"/>
    <x v="1"/>
    <n v="20.05"/>
    <x v="2"/>
    <x v="2403"/>
    <x v="0"/>
    <x v="0"/>
    <x v="0"/>
    <x v="0"/>
  </r>
  <r>
    <x v="5521"/>
    <x v="0"/>
    <x v="1"/>
    <x v="2"/>
    <n v="92.15"/>
    <x v="33"/>
    <x v="4853"/>
    <x v="0"/>
    <x v="2"/>
    <x v="1"/>
    <x v="3"/>
  </r>
  <r>
    <x v="5522"/>
    <x v="1"/>
    <x v="1"/>
    <x v="1"/>
    <n v="44.8"/>
    <x v="47"/>
    <x v="4854"/>
    <x v="0"/>
    <x v="1"/>
    <x v="1"/>
    <x v="3"/>
  </r>
  <r>
    <x v="5523"/>
    <x v="0"/>
    <x v="2"/>
    <x v="3"/>
    <n v="20.9"/>
    <x v="36"/>
    <x v="4855"/>
    <x v="0"/>
    <x v="0"/>
    <x v="1"/>
    <x v="1"/>
  </r>
  <r>
    <x v="5524"/>
    <x v="0"/>
    <x v="0"/>
    <x v="2"/>
    <n v="95.4"/>
    <x v="17"/>
    <x v="4856"/>
    <x v="0"/>
    <x v="1"/>
    <x v="2"/>
    <x v="2"/>
  </r>
  <r>
    <x v="5525"/>
    <x v="1"/>
    <x v="0"/>
    <x v="0"/>
    <n v="80.349999999999994"/>
    <x v="17"/>
    <x v="4857"/>
    <x v="0"/>
    <x v="0"/>
    <x v="2"/>
    <x v="2"/>
  </r>
  <r>
    <x v="5526"/>
    <x v="0"/>
    <x v="2"/>
    <x v="2"/>
    <n v="85.1"/>
    <x v="49"/>
    <x v="4858"/>
    <x v="0"/>
    <x v="1"/>
    <x v="1"/>
    <x v="3"/>
  </r>
  <r>
    <x v="5527"/>
    <x v="1"/>
    <x v="0"/>
    <x v="3"/>
    <n v="34.700000000000003"/>
    <x v="34"/>
    <x v="4859"/>
    <x v="1"/>
    <x v="0"/>
    <x v="0"/>
    <x v="0"/>
  </r>
  <r>
    <x v="5528"/>
    <x v="1"/>
    <x v="2"/>
    <x v="2"/>
    <n v="115.05"/>
    <x v="16"/>
    <x v="4860"/>
    <x v="0"/>
    <x v="2"/>
    <x v="1"/>
    <x v="3"/>
  </r>
  <r>
    <x v="5529"/>
    <x v="0"/>
    <x v="0"/>
    <x v="0"/>
    <n v="81.099999999999994"/>
    <x v="0"/>
    <x v="4861"/>
    <x v="1"/>
    <x v="0"/>
    <x v="0"/>
    <x v="0"/>
  </r>
  <r>
    <x v="5530"/>
    <x v="1"/>
    <x v="1"/>
    <x v="1"/>
    <n v="19.95"/>
    <x v="5"/>
    <x v="4862"/>
    <x v="0"/>
    <x v="0"/>
    <x v="2"/>
    <x v="2"/>
  </r>
  <r>
    <x v="5531"/>
    <x v="0"/>
    <x v="0"/>
    <x v="1"/>
    <n v="20.55"/>
    <x v="0"/>
    <x v="1401"/>
    <x v="1"/>
    <x v="0"/>
    <x v="0"/>
    <x v="0"/>
  </r>
  <r>
    <x v="5532"/>
    <x v="0"/>
    <x v="2"/>
    <x v="0"/>
    <n v="106.6"/>
    <x v="59"/>
    <x v="4863"/>
    <x v="1"/>
    <x v="2"/>
    <x v="1"/>
    <x v="3"/>
  </r>
  <r>
    <x v="5533"/>
    <x v="0"/>
    <x v="2"/>
    <x v="2"/>
    <n v="86.15"/>
    <x v="56"/>
    <x v="4864"/>
    <x v="0"/>
    <x v="2"/>
    <x v="1"/>
    <x v="3"/>
  </r>
  <r>
    <x v="5534"/>
    <x v="0"/>
    <x v="0"/>
    <x v="0"/>
    <n v="78.849999999999994"/>
    <x v="60"/>
    <x v="4865"/>
    <x v="0"/>
    <x v="0"/>
    <x v="2"/>
    <x v="2"/>
  </r>
  <r>
    <x v="5535"/>
    <x v="1"/>
    <x v="0"/>
    <x v="0"/>
    <n v="106.75"/>
    <x v="64"/>
    <x v="4866"/>
    <x v="1"/>
    <x v="2"/>
    <x v="1"/>
    <x v="3"/>
  </r>
  <r>
    <x v="5536"/>
    <x v="1"/>
    <x v="0"/>
    <x v="2"/>
    <n v="86.55"/>
    <x v="17"/>
    <x v="4867"/>
    <x v="0"/>
    <x v="0"/>
    <x v="2"/>
    <x v="2"/>
  </r>
  <r>
    <x v="5537"/>
    <x v="1"/>
    <x v="0"/>
    <x v="1"/>
    <n v="42.4"/>
    <x v="54"/>
    <x v="4868"/>
    <x v="0"/>
    <x v="0"/>
    <x v="0"/>
    <x v="0"/>
  </r>
  <r>
    <x v="5538"/>
    <x v="0"/>
    <x v="0"/>
    <x v="0"/>
    <n v="89.45"/>
    <x v="35"/>
    <x v="4869"/>
    <x v="1"/>
    <x v="0"/>
    <x v="0"/>
    <x v="0"/>
  </r>
  <r>
    <x v="5539"/>
    <x v="1"/>
    <x v="2"/>
    <x v="2"/>
    <n v="24.25"/>
    <x v="27"/>
    <x v="4870"/>
    <x v="0"/>
    <x v="0"/>
    <x v="1"/>
    <x v="3"/>
  </r>
  <r>
    <x v="5540"/>
    <x v="0"/>
    <x v="0"/>
    <x v="0"/>
    <n v="97.9"/>
    <x v="35"/>
    <x v="1516"/>
    <x v="1"/>
    <x v="0"/>
    <x v="0"/>
    <x v="0"/>
  </r>
  <r>
    <x v="5541"/>
    <x v="1"/>
    <x v="1"/>
    <x v="2"/>
    <n v="20.5"/>
    <x v="17"/>
    <x v="2545"/>
    <x v="0"/>
    <x v="0"/>
    <x v="2"/>
    <x v="2"/>
  </r>
  <r>
    <x v="5542"/>
    <x v="1"/>
    <x v="0"/>
    <x v="3"/>
    <n v="19.600000000000001"/>
    <x v="61"/>
    <x v="4871"/>
    <x v="0"/>
    <x v="0"/>
    <x v="2"/>
    <x v="2"/>
  </r>
  <r>
    <x v="5543"/>
    <x v="1"/>
    <x v="1"/>
    <x v="2"/>
    <n v="20.25"/>
    <x v="5"/>
    <x v="4872"/>
    <x v="0"/>
    <x v="0"/>
    <x v="2"/>
    <x v="2"/>
  </r>
  <r>
    <x v="5544"/>
    <x v="1"/>
    <x v="0"/>
    <x v="1"/>
    <n v="55.7"/>
    <x v="0"/>
    <x v="4845"/>
    <x v="1"/>
    <x v="0"/>
    <x v="0"/>
    <x v="0"/>
  </r>
  <r>
    <x v="5545"/>
    <x v="0"/>
    <x v="2"/>
    <x v="1"/>
    <n v="20.6"/>
    <x v="28"/>
    <x v="4873"/>
    <x v="0"/>
    <x v="0"/>
    <x v="1"/>
    <x v="3"/>
  </r>
  <r>
    <x v="5546"/>
    <x v="0"/>
    <x v="2"/>
    <x v="2"/>
    <n v="19.8"/>
    <x v="27"/>
    <x v="489"/>
    <x v="0"/>
    <x v="0"/>
    <x v="1"/>
    <x v="3"/>
  </r>
  <r>
    <x v="5547"/>
    <x v="1"/>
    <x v="0"/>
    <x v="0"/>
    <n v="79.8"/>
    <x v="9"/>
    <x v="4874"/>
    <x v="1"/>
    <x v="0"/>
    <x v="2"/>
    <x v="2"/>
  </r>
  <r>
    <x v="5548"/>
    <x v="0"/>
    <x v="0"/>
    <x v="0"/>
    <n v="80.2"/>
    <x v="24"/>
    <x v="4389"/>
    <x v="0"/>
    <x v="0"/>
    <x v="0"/>
    <x v="0"/>
  </r>
  <r>
    <x v="5549"/>
    <x v="0"/>
    <x v="2"/>
    <x v="3"/>
    <n v="116.4"/>
    <x v="21"/>
    <x v="4875"/>
    <x v="0"/>
    <x v="2"/>
    <x v="1"/>
    <x v="3"/>
  </r>
  <r>
    <x v="5550"/>
    <x v="0"/>
    <x v="0"/>
    <x v="0"/>
    <n v="31.65"/>
    <x v="9"/>
    <x v="4876"/>
    <x v="0"/>
    <x v="0"/>
    <x v="2"/>
    <x v="2"/>
  </r>
  <r>
    <x v="5551"/>
    <x v="1"/>
    <x v="0"/>
    <x v="3"/>
    <n v="94.15"/>
    <x v="59"/>
    <x v="4877"/>
    <x v="0"/>
    <x v="2"/>
    <x v="1"/>
    <x v="3"/>
  </r>
  <r>
    <x v="5552"/>
    <x v="1"/>
    <x v="0"/>
    <x v="0"/>
    <n v="20.65"/>
    <x v="0"/>
    <x v="681"/>
    <x v="0"/>
    <x v="0"/>
    <x v="0"/>
    <x v="0"/>
  </r>
  <r>
    <x v="5553"/>
    <x v="0"/>
    <x v="0"/>
    <x v="2"/>
    <n v="76.849999999999994"/>
    <x v="39"/>
    <x v="4878"/>
    <x v="0"/>
    <x v="1"/>
    <x v="1"/>
    <x v="3"/>
  </r>
  <r>
    <x v="5554"/>
    <x v="0"/>
    <x v="0"/>
    <x v="1"/>
    <n v="20.149999999999999"/>
    <x v="54"/>
    <x v="3568"/>
    <x v="0"/>
    <x v="0"/>
    <x v="0"/>
    <x v="0"/>
  </r>
  <r>
    <x v="5555"/>
    <x v="1"/>
    <x v="2"/>
    <x v="1"/>
    <n v="55.25"/>
    <x v="42"/>
    <x v="4879"/>
    <x v="0"/>
    <x v="0"/>
    <x v="1"/>
    <x v="1"/>
  </r>
  <r>
    <x v="5556"/>
    <x v="0"/>
    <x v="0"/>
    <x v="0"/>
    <n v="39.049999999999997"/>
    <x v="32"/>
    <x v="4880"/>
    <x v="1"/>
    <x v="0"/>
    <x v="2"/>
    <x v="2"/>
  </r>
  <r>
    <x v="5557"/>
    <x v="1"/>
    <x v="2"/>
    <x v="2"/>
    <n v="82.15"/>
    <x v="21"/>
    <x v="4881"/>
    <x v="0"/>
    <x v="2"/>
    <x v="1"/>
    <x v="3"/>
  </r>
  <r>
    <x v="5558"/>
    <x v="0"/>
    <x v="1"/>
    <x v="2"/>
    <n v="103"/>
    <x v="12"/>
    <x v="4882"/>
    <x v="0"/>
    <x v="2"/>
    <x v="1"/>
    <x v="3"/>
  </r>
  <r>
    <x v="5559"/>
    <x v="0"/>
    <x v="0"/>
    <x v="3"/>
    <n v="95.1"/>
    <x v="66"/>
    <x v="4883"/>
    <x v="0"/>
    <x v="1"/>
    <x v="1"/>
    <x v="1"/>
  </r>
  <r>
    <x v="5560"/>
    <x v="0"/>
    <x v="0"/>
    <x v="1"/>
    <n v="83.9"/>
    <x v="35"/>
    <x v="4884"/>
    <x v="1"/>
    <x v="0"/>
    <x v="0"/>
    <x v="0"/>
  </r>
  <r>
    <x v="5561"/>
    <x v="0"/>
    <x v="0"/>
    <x v="0"/>
    <n v="95.15"/>
    <x v="50"/>
    <x v="4885"/>
    <x v="0"/>
    <x v="1"/>
    <x v="1"/>
    <x v="1"/>
  </r>
  <r>
    <x v="5562"/>
    <x v="1"/>
    <x v="1"/>
    <x v="0"/>
    <n v="79.8"/>
    <x v="59"/>
    <x v="4886"/>
    <x v="0"/>
    <x v="1"/>
    <x v="1"/>
    <x v="3"/>
  </r>
  <r>
    <x v="5563"/>
    <x v="1"/>
    <x v="2"/>
    <x v="3"/>
    <n v="74.8"/>
    <x v="27"/>
    <x v="4887"/>
    <x v="0"/>
    <x v="2"/>
    <x v="1"/>
    <x v="3"/>
  </r>
  <r>
    <x v="5564"/>
    <x v="0"/>
    <x v="0"/>
    <x v="0"/>
    <n v="69.849999999999994"/>
    <x v="0"/>
    <x v="3999"/>
    <x v="1"/>
    <x v="0"/>
    <x v="0"/>
    <x v="0"/>
  </r>
  <r>
    <x v="5565"/>
    <x v="0"/>
    <x v="0"/>
    <x v="0"/>
    <n v="20.45"/>
    <x v="52"/>
    <x v="4888"/>
    <x v="0"/>
    <x v="0"/>
    <x v="1"/>
    <x v="1"/>
  </r>
  <r>
    <x v="5566"/>
    <x v="1"/>
    <x v="1"/>
    <x v="2"/>
    <n v="78.349999999999994"/>
    <x v="27"/>
    <x v="4889"/>
    <x v="0"/>
    <x v="2"/>
    <x v="1"/>
    <x v="3"/>
  </r>
  <r>
    <x v="5567"/>
    <x v="0"/>
    <x v="0"/>
    <x v="1"/>
    <n v="53.55"/>
    <x v="0"/>
    <x v="4890"/>
    <x v="1"/>
    <x v="0"/>
    <x v="0"/>
    <x v="0"/>
  </r>
  <r>
    <x v="5568"/>
    <x v="1"/>
    <x v="1"/>
    <x v="0"/>
    <n v="19.100000000000001"/>
    <x v="69"/>
    <x v="4891"/>
    <x v="0"/>
    <x v="0"/>
    <x v="1"/>
    <x v="3"/>
  </r>
  <r>
    <x v="5569"/>
    <x v="0"/>
    <x v="2"/>
    <x v="1"/>
    <n v="20"/>
    <x v="41"/>
    <x v="4892"/>
    <x v="0"/>
    <x v="0"/>
    <x v="1"/>
    <x v="1"/>
  </r>
  <r>
    <x v="5570"/>
    <x v="0"/>
    <x v="2"/>
    <x v="2"/>
    <n v="93.9"/>
    <x v="27"/>
    <x v="4893"/>
    <x v="1"/>
    <x v="2"/>
    <x v="1"/>
    <x v="3"/>
  </r>
  <r>
    <x v="5571"/>
    <x v="1"/>
    <x v="1"/>
    <x v="2"/>
    <n v="19.95"/>
    <x v="43"/>
    <x v="1368"/>
    <x v="0"/>
    <x v="0"/>
    <x v="1"/>
    <x v="1"/>
  </r>
  <r>
    <x v="5572"/>
    <x v="1"/>
    <x v="2"/>
    <x v="0"/>
    <n v="113.15"/>
    <x v="47"/>
    <x v="4894"/>
    <x v="1"/>
    <x v="2"/>
    <x v="1"/>
    <x v="3"/>
  </r>
  <r>
    <x v="5573"/>
    <x v="0"/>
    <x v="2"/>
    <x v="3"/>
    <n v="24"/>
    <x v="43"/>
    <x v="4895"/>
    <x v="0"/>
    <x v="0"/>
    <x v="1"/>
    <x v="1"/>
  </r>
  <r>
    <x v="5574"/>
    <x v="0"/>
    <x v="0"/>
    <x v="0"/>
    <n v="84.95"/>
    <x v="70"/>
    <x v="4896"/>
    <x v="1"/>
    <x v="1"/>
    <x v="1"/>
    <x v="1"/>
  </r>
  <r>
    <x v="5575"/>
    <x v="1"/>
    <x v="0"/>
    <x v="2"/>
    <n v="80.5"/>
    <x v="26"/>
    <x v="3491"/>
    <x v="1"/>
    <x v="0"/>
    <x v="0"/>
    <x v="0"/>
  </r>
  <r>
    <x v="5576"/>
    <x v="1"/>
    <x v="0"/>
    <x v="1"/>
    <n v="19.3"/>
    <x v="0"/>
    <x v="1996"/>
    <x v="1"/>
    <x v="0"/>
    <x v="0"/>
    <x v="0"/>
  </r>
  <r>
    <x v="5577"/>
    <x v="0"/>
    <x v="1"/>
    <x v="1"/>
    <n v="19.149999999999999"/>
    <x v="23"/>
    <x v="956"/>
    <x v="0"/>
    <x v="0"/>
    <x v="1"/>
    <x v="1"/>
  </r>
  <r>
    <x v="5578"/>
    <x v="0"/>
    <x v="1"/>
    <x v="2"/>
    <n v="91.3"/>
    <x v="25"/>
    <x v="4897"/>
    <x v="0"/>
    <x v="1"/>
    <x v="1"/>
    <x v="1"/>
  </r>
  <r>
    <x v="5579"/>
    <x v="1"/>
    <x v="0"/>
    <x v="1"/>
    <n v="49.65"/>
    <x v="0"/>
    <x v="4898"/>
    <x v="1"/>
    <x v="0"/>
    <x v="0"/>
    <x v="0"/>
  </r>
  <r>
    <x v="5580"/>
    <x v="0"/>
    <x v="2"/>
    <x v="3"/>
    <n v="54.35"/>
    <x v="25"/>
    <x v="4899"/>
    <x v="1"/>
    <x v="1"/>
    <x v="1"/>
    <x v="1"/>
  </r>
  <r>
    <x v="5581"/>
    <x v="1"/>
    <x v="0"/>
    <x v="1"/>
    <n v="19.149999999999999"/>
    <x v="13"/>
    <x v="4900"/>
    <x v="0"/>
    <x v="0"/>
    <x v="1"/>
    <x v="1"/>
  </r>
  <r>
    <x v="5582"/>
    <x v="1"/>
    <x v="0"/>
    <x v="0"/>
    <n v="88.45"/>
    <x v="54"/>
    <x v="4901"/>
    <x v="1"/>
    <x v="0"/>
    <x v="0"/>
    <x v="0"/>
  </r>
  <r>
    <x v="5583"/>
    <x v="1"/>
    <x v="2"/>
    <x v="1"/>
    <n v="19.75"/>
    <x v="9"/>
    <x v="3651"/>
    <x v="0"/>
    <x v="0"/>
    <x v="2"/>
    <x v="2"/>
  </r>
  <r>
    <x v="5584"/>
    <x v="1"/>
    <x v="1"/>
    <x v="3"/>
    <n v="75.5"/>
    <x v="36"/>
    <x v="4902"/>
    <x v="0"/>
    <x v="1"/>
    <x v="1"/>
    <x v="1"/>
  </r>
  <r>
    <x v="5585"/>
    <x v="0"/>
    <x v="0"/>
    <x v="0"/>
    <n v="83.75"/>
    <x v="57"/>
    <x v="4903"/>
    <x v="0"/>
    <x v="0"/>
    <x v="2"/>
    <x v="2"/>
  </r>
  <r>
    <x v="5586"/>
    <x v="0"/>
    <x v="0"/>
    <x v="1"/>
    <n v="19.399999999999999"/>
    <x v="2"/>
    <x v="2250"/>
    <x v="0"/>
    <x v="0"/>
    <x v="0"/>
    <x v="0"/>
  </r>
  <r>
    <x v="5587"/>
    <x v="0"/>
    <x v="2"/>
    <x v="2"/>
    <n v="26.5"/>
    <x v="45"/>
    <x v="4904"/>
    <x v="0"/>
    <x v="0"/>
    <x v="1"/>
    <x v="3"/>
  </r>
  <r>
    <x v="5588"/>
    <x v="1"/>
    <x v="0"/>
    <x v="2"/>
    <n v="90.5"/>
    <x v="5"/>
    <x v="4905"/>
    <x v="1"/>
    <x v="0"/>
    <x v="2"/>
    <x v="2"/>
  </r>
  <r>
    <x v="5589"/>
    <x v="0"/>
    <x v="1"/>
    <x v="3"/>
    <n v="19.149999999999999"/>
    <x v="49"/>
    <x v="4906"/>
    <x v="0"/>
    <x v="0"/>
    <x v="1"/>
    <x v="3"/>
  </r>
  <r>
    <x v="5590"/>
    <x v="1"/>
    <x v="0"/>
    <x v="1"/>
    <n v="94.85"/>
    <x v="34"/>
    <x v="4907"/>
    <x v="1"/>
    <x v="0"/>
    <x v="0"/>
    <x v="0"/>
  </r>
  <r>
    <x v="5591"/>
    <x v="1"/>
    <x v="0"/>
    <x v="2"/>
    <n v="69.95"/>
    <x v="40"/>
    <x v="4908"/>
    <x v="1"/>
    <x v="0"/>
    <x v="0"/>
    <x v="0"/>
  </r>
  <r>
    <x v="5592"/>
    <x v="0"/>
    <x v="1"/>
    <x v="1"/>
    <n v="40.9"/>
    <x v="42"/>
    <x v="4909"/>
    <x v="0"/>
    <x v="0"/>
    <x v="1"/>
    <x v="1"/>
  </r>
  <r>
    <x v="5593"/>
    <x v="1"/>
    <x v="2"/>
    <x v="1"/>
    <n v="80.25"/>
    <x v="53"/>
    <x v="4910"/>
    <x v="0"/>
    <x v="0"/>
    <x v="0"/>
    <x v="0"/>
  </r>
  <r>
    <x v="5594"/>
    <x v="0"/>
    <x v="0"/>
    <x v="3"/>
    <n v="48.6"/>
    <x v="0"/>
    <x v="2848"/>
    <x v="1"/>
    <x v="0"/>
    <x v="0"/>
    <x v="0"/>
  </r>
  <r>
    <x v="5595"/>
    <x v="1"/>
    <x v="0"/>
    <x v="0"/>
    <n v="70.8"/>
    <x v="22"/>
    <x v="4911"/>
    <x v="0"/>
    <x v="0"/>
    <x v="2"/>
    <x v="2"/>
  </r>
  <r>
    <x v="5596"/>
    <x v="1"/>
    <x v="0"/>
    <x v="1"/>
    <n v="60.2"/>
    <x v="6"/>
    <x v="3208"/>
    <x v="0"/>
    <x v="0"/>
    <x v="0"/>
    <x v="0"/>
  </r>
  <r>
    <x v="5597"/>
    <x v="1"/>
    <x v="1"/>
    <x v="3"/>
    <n v="55.2"/>
    <x v="30"/>
    <x v="4912"/>
    <x v="0"/>
    <x v="0"/>
    <x v="2"/>
    <x v="2"/>
  </r>
  <r>
    <x v="5598"/>
    <x v="0"/>
    <x v="0"/>
    <x v="0"/>
    <n v="55.8"/>
    <x v="63"/>
    <x v="1009"/>
    <x v="1"/>
    <x v="1"/>
    <x v="1"/>
    <x v="1"/>
  </r>
  <r>
    <x v="5599"/>
    <x v="0"/>
    <x v="1"/>
    <x v="2"/>
    <n v="54.15"/>
    <x v="9"/>
    <x v="4913"/>
    <x v="0"/>
    <x v="0"/>
    <x v="2"/>
    <x v="2"/>
  </r>
  <r>
    <x v="5600"/>
    <x v="1"/>
    <x v="0"/>
    <x v="2"/>
    <n v="80.150000000000006"/>
    <x v="44"/>
    <x v="4914"/>
    <x v="1"/>
    <x v="1"/>
    <x v="1"/>
    <x v="1"/>
  </r>
  <r>
    <x v="5601"/>
    <x v="0"/>
    <x v="0"/>
    <x v="0"/>
    <n v="75.5"/>
    <x v="35"/>
    <x v="4915"/>
    <x v="1"/>
    <x v="0"/>
    <x v="0"/>
    <x v="0"/>
  </r>
  <r>
    <x v="5602"/>
    <x v="0"/>
    <x v="0"/>
    <x v="2"/>
    <n v="100.4"/>
    <x v="11"/>
    <x v="4916"/>
    <x v="0"/>
    <x v="2"/>
    <x v="1"/>
    <x v="3"/>
  </r>
  <r>
    <x v="5603"/>
    <x v="0"/>
    <x v="1"/>
    <x v="3"/>
    <n v="62.55"/>
    <x v="3"/>
    <x v="4917"/>
    <x v="0"/>
    <x v="1"/>
    <x v="1"/>
    <x v="1"/>
  </r>
  <r>
    <x v="5604"/>
    <x v="0"/>
    <x v="2"/>
    <x v="2"/>
    <n v="70.45"/>
    <x v="21"/>
    <x v="4918"/>
    <x v="0"/>
    <x v="2"/>
    <x v="1"/>
    <x v="3"/>
  </r>
  <r>
    <x v="5605"/>
    <x v="1"/>
    <x v="1"/>
    <x v="2"/>
    <n v="85.5"/>
    <x v="47"/>
    <x v="4919"/>
    <x v="0"/>
    <x v="2"/>
    <x v="1"/>
    <x v="3"/>
  </r>
  <r>
    <x v="5606"/>
    <x v="1"/>
    <x v="0"/>
    <x v="2"/>
    <n v="20.2"/>
    <x v="0"/>
    <x v="33"/>
    <x v="1"/>
    <x v="0"/>
    <x v="0"/>
    <x v="0"/>
  </r>
  <r>
    <x v="5607"/>
    <x v="0"/>
    <x v="0"/>
    <x v="0"/>
    <n v="54.5"/>
    <x v="46"/>
    <x v="4920"/>
    <x v="0"/>
    <x v="1"/>
    <x v="1"/>
    <x v="1"/>
  </r>
  <r>
    <x v="5608"/>
    <x v="1"/>
    <x v="0"/>
    <x v="1"/>
    <n v="20.75"/>
    <x v="2"/>
    <x v="4921"/>
    <x v="0"/>
    <x v="0"/>
    <x v="0"/>
    <x v="0"/>
  </r>
  <r>
    <x v="5609"/>
    <x v="1"/>
    <x v="0"/>
    <x v="1"/>
    <n v="20.350000000000001"/>
    <x v="26"/>
    <x v="4922"/>
    <x v="0"/>
    <x v="0"/>
    <x v="0"/>
    <x v="0"/>
  </r>
  <r>
    <x v="5610"/>
    <x v="0"/>
    <x v="1"/>
    <x v="2"/>
    <n v="91"/>
    <x v="61"/>
    <x v="3825"/>
    <x v="0"/>
    <x v="0"/>
    <x v="2"/>
    <x v="2"/>
  </r>
  <r>
    <x v="5611"/>
    <x v="1"/>
    <x v="2"/>
    <x v="2"/>
    <n v="104.8"/>
    <x v="21"/>
    <x v="4923"/>
    <x v="0"/>
    <x v="2"/>
    <x v="1"/>
    <x v="3"/>
  </r>
  <r>
    <x v="5612"/>
    <x v="0"/>
    <x v="0"/>
    <x v="3"/>
    <n v="74.75"/>
    <x v="35"/>
    <x v="653"/>
    <x v="1"/>
    <x v="0"/>
    <x v="0"/>
    <x v="0"/>
  </r>
  <r>
    <x v="5613"/>
    <x v="1"/>
    <x v="0"/>
    <x v="1"/>
    <n v="104.05"/>
    <x v="57"/>
    <x v="4924"/>
    <x v="1"/>
    <x v="1"/>
    <x v="2"/>
    <x v="2"/>
  </r>
  <r>
    <x v="5614"/>
    <x v="1"/>
    <x v="0"/>
    <x v="0"/>
    <n v="51.1"/>
    <x v="63"/>
    <x v="4925"/>
    <x v="0"/>
    <x v="1"/>
    <x v="1"/>
    <x v="1"/>
  </r>
  <r>
    <x v="5615"/>
    <x v="1"/>
    <x v="0"/>
    <x v="2"/>
    <n v="89.8"/>
    <x v="8"/>
    <x v="4926"/>
    <x v="0"/>
    <x v="2"/>
    <x v="1"/>
    <x v="3"/>
  </r>
  <r>
    <x v="5616"/>
    <x v="0"/>
    <x v="0"/>
    <x v="0"/>
    <n v="20.55"/>
    <x v="5"/>
    <x v="4927"/>
    <x v="0"/>
    <x v="0"/>
    <x v="2"/>
    <x v="2"/>
  </r>
  <r>
    <x v="5617"/>
    <x v="0"/>
    <x v="0"/>
    <x v="2"/>
    <n v="64.05"/>
    <x v="26"/>
    <x v="4928"/>
    <x v="0"/>
    <x v="0"/>
    <x v="0"/>
    <x v="0"/>
  </r>
  <r>
    <x v="5618"/>
    <x v="1"/>
    <x v="0"/>
    <x v="0"/>
    <n v="74.849999999999994"/>
    <x v="40"/>
    <x v="4929"/>
    <x v="0"/>
    <x v="0"/>
    <x v="0"/>
    <x v="0"/>
  </r>
  <r>
    <x v="5619"/>
    <x v="0"/>
    <x v="0"/>
    <x v="0"/>
    <n v="96.65"/>
    <x v="9"/>
    <x v="1110"/>
    <x v="1"/>
    <x v="0"/>
    <x v="2"/>
    <x v="2"/>
  </r>
  <r>
    <x v="5620"/>
    <x v="1"/>
    <x v="0"/>
    <x v="1"/>
    <n v="20.05"/>
    <x v="0"/>
    <x v="650"/>
    <x v="1"/>
    <x v="0"/>
    <x v="0"/>
    <x v="0"/>
  </r>
  <r>
    <x v="5621"/>
    <x v="0"/>
    <x v="0"/>
    <x v="0"/>
    <n v="103.45"/>
    <x v="71"/>
    <x v="4930"/>
    <x v="1"/>
    <x v="1"/>
    <x v="1"/>
    <x v="1"/>
  </r>
  <r>
    <x v="5622"/>
    <x v="1"/>
    <x v="0"/>
    <x v="1"/>
    <n v="25"/>
    <x v="35"/>
    <x v="4931"/>
    <x v="0"/>
    <x v="0"/>
    <x v="0"/>
    <x v="0"/>
  </r>
  <r>
    <x v="5623"/>
    <x v="1"/>
    <x v="2"/>
    <x v="3"/>
    <n v="20.3"/>
    <x v="11"/>
    <x v="2937"/>
    <x v="0"/>
    <x v="0"/>
    <x v="1"/>
    <x v="3"/>
  </r>
  <r>
    <x v="5624"/>
    <x v="1"/>
    <x v="0"/>
    <x v="1"/>
    <n v="26.35"/>
    <x v="53"/>
    <x v="4932"/>
    <x v="0"/>
    <x v="0"/>
    <x v="0"/>
    <x v="0"/>
  </r>
  <r>
    <x v="5625"/>
    <x v="0"/>
    <x v="0"/>
    <x v="0"/>
    <n v="19.899999999999999"/>
    <x v="0"/>
    <x v="403"/>
    <x v="1"/>
    <x v="0"/>
    <x v="0"/>
    <x v="0"/>
  </r>
  <r>
    <x v="5626"/>
    <x v="0"/>
    <x v="0"/>
    <x v="1"/>
    <n v="54.7"/>
    <x v="5"/>
    <x v="4933"/>
    <x v="0"/>
    <x v="0"/>
    <x v="2"/>
    <x v="2"/>
  </r>
  <r>
    <x v="5627"/>
    <x v="1"/>
    <x v="0"/>
    <x v="0"/>
    <n v="46.35"/>
    <x v="60"/>
    <x v="2755"/>
    <x v="1"/>
    <x v="0"/>
    <x v="2"/>
    <x v="2"/>
  </r>
  <r>
    <x v="5628"/>
    <x v="1"/>
    <x v="1"/>
    <x v="3"/>
    <n v="90.25"/>
    <x v="38"/>
    <x v="4934"/>
    <x v="0"/>
    <x v="2"/>
    <x v="1"/>
    <x v="3"/>
  </r>
  <r>
    <x v="5629"/>
    <x v="1"/>
    <x v="0"/>
    <x v="0"/>
    <n v="19.95"/>
    <x v="0"/>
    <x v="3809"/>
    <x v="1"/>
    <x v="0"/>
    <x v="0"/>
    <x v="0"/>
  </r>
  <r>
    <x v="5630"/>
    <x v="1"/>
    <x v="0"/>
    <x v="1"/>
    <n v="20.65"/>
    <x v="53"/>
    <x v="4935"/>
    <x v="0"/>
    <x v="0"/>
    <x v="0"/>
    <x v="0"/>
  </r>
  <r>
    <x v="5631"/>
    <x v="1"/>
    <x v="0"/>
    <x v="0"/>
    <n v="79.599999999999994"/>
    <x v="0"/>
    <x v="1815"/>
    <x v="1"/>
    <x v="0"/>
    <x v="0"/>
    <x v="0"/>
  </r>
  <r>
    <x v="5632"/>
    <x v="1"/>
    <x v="1"/>
    <x v="2"/>
    <n v="25.45"/>
    <x v="71"/>
    <x v="4936"/>
    <x v="0"/>
    <x v="0"/>
    <x v="1"/>
    <x v="1"/>
  </r>
  <r>
    <x v="5633"/>
    <x v="0"/>
    <x v="1"/>
    <x v="1"/>
    <n v="19.5"/>
    <x v="61"/>
    <x v="950"/>
    <x v="0"/>
    <x v="0"/>
    <x v="2"/>
    <x v="2"/>
  </r>
  <r>
    <x v="5634"/>
    <x v="1"/>
    <x v="0"/>
    <x v="0"/>
    <n v="75.900000000000006"/>
    <x v="0"/>
    <x v="4937"/>
    <x v="1"/>
    <x v="0"/>
    <x v="0"/>
    <x v="0"/>
  </r>
  <r>
    <x v="5635"/>
    <x v="1"/>
    <x v="0"/>
    <x v="0"/>
    <n v="76.2"/>
    <x v="0"/>
    <x v="4938"/>
    <x v="1"/>
    <x v="0"/>
    <x v="0"/>
    <x v="0"/>
  </r>
  <r>
    <x v="5636"/>
    <x v="1"/>
    <x v="1"/>
    <x v="3"/>
    <n v="66.150000000000006"/>
    <x v="38"/>
    <x v="4939"/>
    <x v="0"/>
    <x v="1"/>
    <x v="1"/>
    <x v="3"/>
  </r>
  <r>
    <x v="5637"/>
    <x v="1"/>
    <x v="0"/>
    <x v="1"/>
    <n v="19.25"/>
    <x v="0"/>
    <x v="306"/>
    <x v="1"/>
    <x v="0"/>
    <x v="0"/>
    <x v="0"/>
  </r>
  <r>
    <x v="5638"/>
    <x v="0"/>
    <x v="0"/>
    <x v="3"/>
    <n v="69.099999999999994"/>
    <x v="25"/>
    <x v="4333"/>
    <x v="0"/>
    <x v="1"/>
    <x v="1"/>
    <x v="1"/>
  </r>
  <r>
    <x v="5639"/>
    <x v="0"/>
    <x v="1"/>
    <x v="0"/>
    <n v="39.1"/>
    <x v="7"/>
    <x v="3119"/>
    <x v="0"/>
    <x v="0"/>
    <x v="1"/>
    <x v="1"/>
  </r>
  <r>
    <x v="5640"/>
    <x v="0"/>
    <x v="0"/>
    <x v="1"/>
    <n v="20.05"/>
    <x v="55"/>
    <x v="4940"/>
    <x v="0"/>
    <x v="0"/>
    <x v="1"/>
    <x v="1"/>
  </r>
  <r>
    <x v="5641"/>
    <x v="1"/>
    <x v="1"/>
    <x v="0"/>
    <n v="59.8"/>
    <x v="71"/>
    <x v="4941"/>
    <x v="0"/>
    <x v="1"/>
    <x v="1"/>
    <x v="1"/>
  </r>
  <r>
    <x v="5642"/>
    <x v="0"/>
    <x v="0"/>
    <x v="0"/>
    <n v="84.3"/>
    <x v="41"/>
    <x v="4942"/>
    <x v="1"/>
    <x v="1"/>
    <x v="1"/>
    <x v="1"/>
  </r>
  <r>
    <x v="5643"/>
    <x v="0"/>
    <x v="0"/>
    <x v="0"/>
    <n v="48.6"/>
    <x v="0"/>
    <x v="2848"/>
    <x v="0"/>
    <x v="0"/>
    <x v="0"/>
    <x v="0"/>
  </r>
  <r>
    <x v="5644"/>
    <x v="0"/>
    <x v="0"/>
    <x v="0"/>
    <n v="79"/>
    <x v="40"/>
    <x v="4943"/>
    <x v="1"/>
    <x v="0"/>
    <x v="0"/>
    <x v="0"/>
  </r>
  <r>
    <x v="5645"/>
    <x v="1"/>
    <x v="2"/>
    <x v="3"/>
    <n v="105.35"/>
    <x v="27"/>
    <x v="4944"/>
    <x v="0"/>
    <x v="2"/>
    <x v="1"/>
    <x v="3"/>
  </r>
  <r>
    <x v="5646"/>
    <x v="1"/>
    <x v="2"/>
    <x v="2"/>
    <n v="25.1"/>
    <x v="45"/>
    <x v="4945"/>
    <x v="0"/>
    <x v="0"/>
    <x v="1"/>
    <x v="3"/>
  </r>
  <r>
    <x v="5647"/>
    <x v="1"/>
    <x v="0"/>
    <x v="0"/>
    <n v="49.75"/>
    <x v="0"/>
    <x v="4946"/>
    <x v="0"/>
    <x v="0"/>
    <x v="0"/>
    <x v="0"/>
  </r>
  <r>
    <x v="5648"/>
    <x v="1"/>
    <x v="0"/>
    <x v="0"/>
    <n v="94.75"/>
    <x v="32"/>
    <x v="4947"/>
    <x v="0"/>
    <x v="0"/>
    <x v="2"/>
    <x v="2"/>
  </r>
  <r>
    <x v="5649"/>
    <x v="1"/>
    <x v="0"/>
    <x v="0"/>
    <n v="93"/>
    <x v="65"/>
    <x v="1009"/>
    <x v="0"/>
    <x v="1"/>
    <x v="1"/>
    <x v="2"/>
  </r>
  <r>
    <x v="5650"/>
    <x v="1"/>
    <x v="2"/>
    <x v="2"/>
    <n v="71.900000000000006"/>
    <x v="28"/>
    <x v="4948"/>
    <x v="0"/>
    <x v="1"/>
    <x v="1"/>
    <x v="3"/>
  </r>
  <r>
    <x v="5651"/>
    <x v="0"/>
    <x v="1"/>
    <x v="1"/>
    <n v="77.55"/>
    <x v="66"/>
    <x v="4949"/>
    <x v="0"/>
    <x v="1"/>
    <x v="1"/>
    <x v="1"/>
  </r>
  <r>
    <x v="5652"/>
    <x v="1"/>
    <x v="0"/>
    <x v="0"/>
    <n v="19.850000000000001"/>
    <x v="54"/>
    <x v="4950"/>
    <x v="0"/>
    <x v="0"/>
    <x v="0"/>
    <x v="0"/>
  </r>
  <r>
    <x v="5653"/>
    <x v="0"/>
    <x v="0"/>
    <x v="0"/>
    <n v="70.25"/>
    <x v="0"/>
    <x v="3058"/>
    <x v="1"/>
    <x v="0"/>
    <x v="0"/>
    <x v="0"/>
  </r>
  <r>
    <x v="5654"/>
    <x v="0"/>
    <x v="0"/>
    <x v="0"/>
    <n v="95.25"/>
    <x v="50"/>
    <x v="4951"/>
    <x v="0"/>
    <x v="1"/>
    <x v="1"/>
    <x v="1"/>
  </r>
  <r>
    <x v="5655"/>
    <x v="0"/>
    <x v="0"/>
    <x v="3"/>
    <n v="84.6"/>
    <x v="6"/>
    <x v="4952"/>
    <x v="1"/>
    <x v="0"/>
    <x v="0"/>
    <x v="0"/>
  </r>
  <r>
    <x v="5656"/>
    <x v="1"/>
    <x v="0"/>
    <x v="2"/>
    <n v="25.05"/>
    <x v="1"/>
    <x v="4953"/>
    <x v="0"/>
    <x v="0"/>
    <x v="1"/>
    <x v="1"/>
  </r>
  <r>
    <x v="5657"/>
    <x v="1"/>
    <x v="1"/>
    <x v="3"/>
    <n v="53.15"/>
    <x v="42"/>
    <x v="4954"/>
    <x v="0"/>
    <x v="0"/>
    <x v="1"/>
    <x v="1"/>
  </r>
  <r>
    <x v="5658"/>
    <x v="0"/>
    <x v="0"/>
    <x v="0"/>
    <n v="20.149999999999999"/>
    <x v="54"/>
    <x v="3568"/>
    <x v="0"/>
    <x v="0"/>
    <x v="0"/>
    <x v="0"/>
  </r>
  <r>
    <x v="5659"/>
    <x v="0"/>
    <x v="0"/>
    <x v="0"/>
    <n v="101.25"/>
    <x v="71"/>
    <x v="4955"/>
    <x v="0"/>
    <x v="1"/>
    <x v="1"/>
    <x v="1"/>
  </r>
  <r>
    <x v="5660"/>
    <x v="1"/>
    <x v="1"/>
    <x v="2"/>
    <n v="100.55"/>
    <x v="29"/>
    <x v="4956"/>
    <x v="0"/>
    <x v="1"/>
    <x v="1"/>
    <x v="1"/>
  </r>
  <r>
    <x v="5661"/>
    <x v="0"/>
    <x v="0"/>
    <x v="1"/>
    <n v="24.1"/>
    <x v="22"/>
    <x v="4957"/>
    <x v="1"/>
    <x v="0"/>
    <x v="2"/>
    <x v="2"/>
  </r>
  <r>
    <x v="5662"/>
    <x v="0"/>
    <x v="2"/>
    <x v="2"/>
    <n v="25.3"/>
    <x v="59"/>
    <x v="4958"/>
    <x v="0"/>
    <x v="0"/>
    <x v="1"/>
    <x v="3"/>
  </r>
  <r>
    <x v="5663"/>
    <x v="0"/>
    <x v="1"/>
    <x v="0"/>
    <n v="71.8"/>
    <x v="12"/>
    <x v="4959"/>
    <x v="0"/>
    <x v="1"/>
    <x v="1"/>
    <x v="3"/>
  </r>
  <r>
    <x v="5664"/>
    <x v="1"/>
    <x v="1"/>
    <x v="1"/>
    <n v="19.7"/>
    <x v="54"/>
    <x v="3540"/>
    <x v="0"/>
    <x v="0"/>
    <x v="0"/>
    <x v="0"/>
  </r>
  <r>
    <x v="5665"/>
    <x v="0"/>
    <x v="2"/>
    <x v="0"/>
    <n v="49.85"/>
    <x v="38"/>
    <x v="4960"/>
    <x v="0"/>
    <x v="1"/>
    <x v="1"/>
    <x v="3"/>
  </r>
  <r>
    <x v="5666"/>
    <x v="1"/>
    <x v="0"/>
    <x v="1"/>
    <n v="69.599999999999994"/>
    <x v="35"/>
    <x v="4961"/>
    <x v="0"/>
    <x v="0"/>
    <x v="0"/>
    <x v="0"/>
  </r>
  <r>
    <x v="5667"/>
    <x v="1"/>
    <x v="0"/>
    <x v="0"/>
    <n v="19.75"/>
    <x v="0"/>
    <x v="127"/>
    <x v="0"/>
    <x v="0"/>
    <x v="0"/>
    <x v="0"/>
  </r>
  <r>
    <x v="5668"/>
    <x v="1"/>
    <x v="1"/>
    <x v="0"/>
    <n v="80.8"/>
    <x v="63"/>
    <x v="4962"/>
    <x v="0"/>
    <x v="1"/>
    <x v="1"/>
    <x v="1"/>
  </r>
  <r>
    <x v="5669"/>
    <x v="0"/>
    <x v="0"/>
    <x v="0"/>
    <n v="60"/>
    <x v="0"/>
    <x v="573"/>
    <x v="1"/>
    <x v="0"/>
    <x v="0"/>
    <x v="0"/>
  </r>
  <r>
    <x v="5670"/>
    <x v="1"/>
    <x v="0"/>
    <x v="0"/>
    <n v="86.55"/>
    <x v="4"/>
    <x v="4963"/>
    <x v="1"/>
    <x v="0"/>
    <x v="0"/>
    <x v="0"/>
  </r>
  <r>
    <x v="5671"/>
    <x v="0"/>
    <x v="0"/>
    <x v="1"/>
    <n v="20.85"/>
    <x v="0"/>
    <x v="4964"/>
    <x v="1"/>
    <x v="0"/>
    <x v="0"/>
    <x v="0"/>
  </r>
  <r>
    <x v="5672"/>
    <x v="0"/>
    <x v="1"/>
    <x v="2"/>
    <n v="64.2"/>
    <x v="1"/>
    <x v="4965"/>
    <x v="0"/>
    <x v="1"/>
    <x v="1"/>
    <x v="1"/>
  </r>
  <r>
    <x v="5673"/>
    <x v="0"/>
    <x v="0"/>
    <x v="0"/>
    <n v="35"/>
    <x v="0"/>
    <x v="4966"/>
    <x v="0"/>
    <x v="0"/>
    <x v="0"/>
    <x v="0"/>
  </r>
  <r>
    <x v="5674"/>
    <x v="0"/>
    <x v="0"/>
    <x v="0"/>
    <n v="50.75"/>
    <x v="71"/>
    <x v="2217"/>
    <x v="1"/>
    <x v="0"/>
    <x v="1"/>
    <x v="1"/>
  </r>
  <r>
    <x v="5675"/>
    <x v="0"/>
    <x v="1"/>
    <x v="3"/>
    <n v="105.5"/>
    <x v="11"/>
    <x v="4967"/>
    <x v="1"/>
    <x v="2"/>
    <x v="1"/>
    <x v="3"/>
  </r>
  <r>
    <x v="5676"/>
    <x v="1"/>
    <x v="2"/>
    <x v="0"/>
    <n v="19.2"/>
    <x v="3"/>
    <x v="4968"/>
    <x v="0"/>
    <x v="0"/>
    <x v="1"/>
    <x v="1"/>
  </r>
  <r>
    <x v="5677"/>
    <x v="1"/>
    <x v="0"/>
    <x v="2"/>
    <n v="85.15"/>
    <x v="53"/>
    <x v="2982"/>
    <x v="1"/>
    <x v="0"/>
    <x v="0"/>
    <x v="0"/>
  </r>
  <r>
    <x v="5678"/>
    <x v="1"/>
    <x v="1"/>
    <x v="3"/>
    <n v="90.65"/>
    <x v="29"/>
    <x v="4969"/>
    <x v="0"/>
    <x v="1"/>
    <x v="1"/>
    <x v="1"/>
  </r>
  <r>
    <x v="5679"/>
    <x v="1"/>
    <x v="2"/>
    <x v="1"/>
    <n v="20"/>
    <x v="52"/>
    <x v="2642"/>
    <x v="0"/>
    <x v="0"/>
    <x v="1"/>
    <x v="1"/>
  </r>
  <r>
    <x v="5680"/>
    <x v="1"/>
    <x v="0"/>
    <x v="0"/>
    <n v="74.650000000000006"/>
    <x v="24"/>
    <x v="4970"/>
    <x v="0"/>
    <x v="0"/>
    <x v="0"/>
    <x v="0"/>
  </r>
  <r>
    <x v="5681"/>
    <x v="1"/>
    <x v="2"/>
    <x v="3"/>
    <n v="61.2"/>
    <x v="21"/>
    <x v="4971"/>
    <x v="0"/>
    <x v="1"/>
    <x v="1"/>
    <x v="3"/>
  </r>
  <r>
    <x v="5682"/>
    <x v="1"/>
    <x v="1"/>
    <x v="1"/>
    <n v="19.95"/>
    <x v="54"/>
    <x v="2204"/>
    <x v="0"/>
    <x v="0"/>
    <x v="0"/>
    <x v="0"/>
  </r>
  <r>
    <x v="5683"/>
    <x v="1"/>
    <x v="0"/>
    <x v="1"/>
    <n v="54.8"/>
    <x v="34"/>
    <x v="4972"/>
    <x v="0"/>
    <x v="0"/>
    <x v="0"/>
    <x v="0"/>
  </r>
  <r>
    <x v="5684"/>
    <x v="1"/>
    <x v="2"/>
    <x v="3"/>
    <n v="73.45"/>
    <x v="21"/>
    <x v="4973"/>
    <x v="0"/>
    <x v="2"/>
    <x v="1"/>
    <x v="3"/>
  </r>
  <r>
    <x v="5685"/>
    <x v="0"/>
    <x v="1"/>
    <x v="1"/>
    <n v="51.45"/>
    <x v="55"/>
    <x v="4974"/>
    <x v="0"/>
    <x v="0"/>
    <x v="1"/>
    <x v="1"/>
  </r>
  <r>
    <x v="5686"/>
    <x v="0"/>
    <x v="2"/>
    <x v="2"/>
    <n v="80.45"/>
    <x v="21"/>
    <x v="4975"/>
    <x v="0"/>
    <x v="2"/>
    <x v="1"/>
    <x v="3"/>
  </r>
  <r>
    <x v="5687"/>
    <x v="1"/>
    <x v="0"/>
    <x v="0"/>
    <n v="54.2"/>
    <x v="5"/>
    <x v="4976"/>
    <x v="1"/>
    <x v="0"/>
    <x v="2"/>
    <x v="2"/>
  </r>
  <r>
    <x v="5688"/>
    <x v="0"/>
    <x v="1"/>
    <x v="0"/>
    <n v="109.5"/>
    <x v="27"/>
    <x v="3214"/>
    <x v="1"/>
    <x v="2"/>
    <x v="1"/>
    <x v="3"/>
  </r>
  <r>
    <x v="5689"/>
    <x v="1"/>
    <x v="0"/>
    <x v="0"/>
    <n v="104.4"/>
    <x v="17"/>
    <x v="1631"/>
    <x v="1"/>
    <x v="1"/>
    <x v="2"/>
    <x v="2"/>
  </r>
  <r>
    <x v="5690"/>
    <x v="1"/>
    <x v="0"/>
    <x v="0"/>
    <n v="85.3"/>
    <x v="30"/>
    <x v="4977"/>
    <x v="0"/>
    <x v="0"/>
    <x v="2"/>
    <x v="2"/>
  </r>
  <r>
    <x v="5691"/>
    <x v="1"/>
    <x v="0"/>
    <x v="0"/>
    <n v="79.3"/>
    <x v="44"/>
    <x v="4978"/>
    <x v="0"/>
    <x v="1"/>
    <x v="1"/>
    <x v="1"/>
  </r>
  <r>
    <x v="5692"/>
    <x v="0"/>
    <x v="0"/>
    <x v="2"/>
    <n v="76.5"/>
    <x v="30"/>
    <x v="3865"/>
    <x v="0"/>
    <x v="0"/>
    <x v="2"/>
    <x v="2"/>
  </r>
  <r>
    <x v="5693"/>
    <x v="1"/>
    <x v="0"/>
    <x v="3"/>
    <n v="105.1"/>
    <x v="16"/>
    <x v="4979"/>
    <x v="1"/>
    <x v="2"/>
    <x v="1"/>
    <x v="3"/>
  </r>
  <r>
    <x v="5694"/>
    <x v="1"/>
    <x v="2"/>
    <x v="2"/>
    <n v="25.4"/>
    <x v="21"/>
    <x v="699"/>
    <x v="0"/>
    <x v="0"/>
    <x v="1"/>
    <x v="3"/>
  </r>
  <r>
    <x v="5695"/>
    <x v="0"/>
    <x v="0"/>
    <x v="0"/>
    <n v="86.85"/>
    <x v="67"/>
    <x v="4980"/>
    <x v="0"/>
    <x v="0"/>
    <x v="2"/>
    <x v="2"/>
  </r>
  <r>
    <x v="5696"/>
    <x v="1"/>
    <x v="0"/>
    <x v="1"/>
    <n v="19.649999999999999"/>
    <x v="0"/>
    <x v="1015"/>
    <x v="0"/>
    <x v="0"/>
    <x v="0"/>
    <x v="0"/>
  </r>
  <r>
    <x v="5697"/>
    <x v="0"/>
    <x v="0"/>
    <x v="0"/>
    <n v="75.7"/>
    <x v="0"/>
    <x v="4981"/>
    <x v="1"/>
    <x v="0"/>
    <x v="0"/>
    <x v="0"/>
  </r>
  <r>
    <x v="5698"/>
    <x v="0"/>
    <x v="0"/>
    <x v="0"/>
    <n v="45.55"/>
    <x v="2"/>
    <x v="4982"/>
    <x v="0"/>
    <x v="0"/>
    <x v="0"/>
    <x v="0"/>
  </r>
  <r>
    <x v="5699"/>
    <x v="0"/>
    <x v="0"/>
    <x v="3"/>
    <n v="78.099999999999994"/>
    <x v="26"/>
    <x v="4983"/>
    <x v="0"/>
    <x v="0"/>
    <x v="0"/>
    <x v="0"/>
  </r>
  <r>
    <x v="5700"/>
    <x v="0"/>
    <x v="1"/>
    <x v="1"/>
    <n v="19.3"/>
    <x v="18"/>
    <x v="4984"/>
    <x v="0"/>
    <x v="0"/>
    <x v="2"/>
    <x v="0"/>
  </r>
  <r>
    <x v="5701"/>
    <x v="0"/>
    <x v="2"/>
    <x v="0"/>
    <n v="110.5"/>
    <x v="27"/>
    <x v="4985"/>
    <x v="0"/>
    <x v="2"/>
    <x v="1"/>
    <x v="3"/>
  </r>
  <r>
    <x v="5702"/>
    <x v="0"/>
    <x v="0"/>
    <x v="0"/>
    <n v="90.8"/>
    <x v="61"/>
    <x v="4986"/>
    <x v="1"/>
    <x v="0"/>
    <x v="2"/>
    <x v="2"/>
  </r>
  <r>
    <x v="5703"/>
    <x v="0"/>
    <x v="0"/>
    <x v="2"/>
    <n v="20.3"/>
    <x v="57"/>
    <x v="4987"/>
    <x v="0"/>
    <x v="0"/>
    <x v="2"/>
    <x v="2"/>
  </r>
  <r>
    <x v="5704"/>
    <x v="1"/>
    <x v="2"/>
    <x v="3"/>
    <n v="81.349999999999994"/>
    <x v="12"/>
    <x v="4988"/>
    <x v="0"/>
    <x v="1"/>
    <x v="1"/>
    <x v="3"/>
  </r>
  <r>
    <x v="5705"/>
    <x v="0"/>
    <x v="0"/>
    <x v="0"/>
    <n v="97.95"/>
    <x v="54"/>
    <x v="4989"/>
    <x v="1"/>
    <x v="0"/>
    <x v="0"/>
    <x v="0"/>
  </r>
  <r>
    <x v="5706"/>
    <x v="1"/>
    <x v="0"/>
    <x v="3"/>
    <n v="108.15"/>
    <x v="48"/>
    <x v="4990"/>
    <x v="1"/>
    <x v="1"/>
    <x v="1"/>
    <x v="1"/>
  </r>
  <r>
    <x v="5707"/>
    <x v="1"/>
    <x v="0"/>
    <x v="0"/>
    <n v="55.3"/>
    <x v="2"/>
    <x v="4991"/>
    <x v="0"/>
    <x v="0"/>
    <x v="0"/>
    <x v="0"/>
  </r>
  <r>
    <x v="5708"/>
    <x v="1"/>
    <x v="2"/>
    <x v="3"/>
    <n v="56.55"/>
    <x v="14"/>
    <x v="4992"/>
    <x v="0"/>
    <x v="1"/>
    <x v="1"/>
    <x v="3"/>
  </r>
  <r>
    <x v="5709"/>
    <x v="1"/>
    <x v="0"/>
    <x v="3"/>
    <n v="80.5"/>
    <x v="53"/>
    <x v="499"/>
    <x v="1"/>
    <x v="0"/>
    <x v="0"/>
    <x v="0"/>
  </r>
  <r>
    <x v="5710"/>
    <x v="0"/>
    <x v="2"/>
    <x v="1"/>
    <n v="19.7"/>
    <x v="65"/>
    <x v="2978"/>
    <x v="0"/>
    <x v="0"/>
    <x v="1"/>
    <x v="2"/>
  </r>
  <r>
    <x v="5711"/>
    <x v="0"/>
    <x v="1"/>
    <x v="3"/>
    <n v="104.05"/>
    <x v="48"/>
    <x v="4993"/>
    <x v="0"/>
    <x v="1"/>
    <x v="1"/>
    <x v="1"/>
  </r>
  <r>
    <x v="5712"/>
    <x v="0"/>
    <x v="2"/>
    <x v="2"/>
    <n v="52.85"/>
    <x v="23"/>
    <x v="4994"/>
    <x v="0"/>
    <x v="0"/>
    <x v="1"/>
    <x v="1"/>
  </r>
  <r>
    <x v="5713"/>
    <x v="0"/>
    <x v="0"/>
    <x v="2"/>
    <n v="104.3"/>
    <x v="23"/>
    <x v="4995"/>
    <x v="1"/>
    <x v="1"/>
    <x v="1"/>
    <x v="1"/>
  </r>
  <r>
    <x v="5714"/>
    <x v="1"/>
    <x v="0"/>
    <x v="2"/>
    <n v="80.650000000000006"/>
    <x v="11"/>
    <x v="4996"/>
    <x v="0"/>
    <x v="1"/>
    <x v="1"/>
    <x v="3"/>
  </r>
  <r>
    <x v="5715"/>
    <x v="1"/>
    <x v="0"/>
    <x v="1"/>
    <n v="71.349999999999994"/>
    <x v="0"/>
    <x v="1979"/>
    <x v="1"/>
    <x v="0"/>
    <x v="0"/>
    <x v="0"/>
  </r>
  <r>
    <x v="5716"/>
    <x v="0"/>
    <x v="2"/>
    <x v="3"/>
    <n v="24.65"/>
    <x v="32"/>
    <x v="4997"/>
    <x v="0"/>
    <x v="0"/>
    <x v="2"/>
    <x v="2"/>
  </r>
  <r>
    <x v="5717"/>
    <x v="0"/>
    <x v="2"/>
    <x v="2"/>
    <n v="21.3"/>
    <x v="20"/>
    <x v="4998"/>
    <x v="0"/>
    <x v="0"/>
    <x v="1"/>
    <x v="1"/>
  </r>
  <r>
    <x v="5718"/>
    <x v="0"/>
    <x v="2"/>
    <x v="0"/>
    <n v="110.2"/>
    <x v="27"/>
    <x v="4999"/>
    <x v="0"/>
    <x v="2"/>
    <x v="1"/>
    <x v="3"/>
  </r>
  <r>
    <x v="5719"/>
    <x v="0"/>
    <x v="0"/>
    <x v="0"/>
    <n v="89.4"/>
    <x v="9"/>
    <x v="5000"/>
    <x v="1"/>
    <x v="0"/>
    <x v="2"/>
    <x v="2"/>
  </r>
  <r>
    <x v="5720"/>
    <x v="0"/>
    <x v="0"/>
    <x v="3"/>
    <n v="51.05"/>
    <x v="51"/>
    <x v="5001"/>
    <x v="0"/>
    <x v="0"/>
    <x v="1"/>
    <x v="1"/>
  </r>
  <r>
    <x v="5721"/>
    <x v="1"/>
    <x v="2"/>
    <x v="1"/>
    <n v="19.8"/>
    <x v="56"/>
    <x v="5002"/>
    <x v="0"/>
    <x v="0"/>
    <x v="1"/>
    <x v="3"/>
  </r>
  <r>
    <x v="5722"/>
    <x v="0"/>
    <x v="0"/>
    <x v="1"/>
    <n v="19.899999999999999"/>
    <x v="6"/>
    <x v="5003"/>
    <x v="0"/>
    <x v="0"/>
    <x v="0"/>
    <x v="0"/>
  </r>
  <r>
    <x v="5723"/>
    <x v="1"/>
    <x v="0"/>
    <x v="0"/>
    <n v="87.3"/>
    <x v="67"/>
    <x v="5004"/>
    <x v="0"/>
    <x v="0"/>
    <x v="2"/>
    <x v="2"/>
  </r>
  <r>
    <x v="5724"/>
    <x v="0"/>
    <x v="2"/>
    <x v="2"/>
    <n v="19.850000000000001"/>
    <x v="16"/>
    <x v="3305"/>
    <x v="0"/>
    <x v="0"/>
    <x v="1"/>
    <x v="3"/>
  </r>
  <r>
    <x v="5725"/>
    <x v="1"/>
    <x v="2"/>
    <x v="1"/>
    <n v="89.4"/>
    <x v="21"/>
    <x v="5005"/>
    <x v="0"/>
    <x v="2"/>
    <x v="1"/>
    <x v="3"/>
  </r>
  <r>
    <x v="5726"/>
    <x v="0"/>
    <x v="2"/>
    <x v="1"/>
    <n v="20"/>
    <x v="43"/>
    <x v="5006"/>
    <x v="0"/>
    <x v="0"/>
    <x v="1"/>
    <x v="1"/>
  </r>
  <r>
    <x v="5727"/>
    <x v="1"/>
    <x v="0"/>
    <x v="1"/>
    <n v="20.05"/>
    <x v="0"/>
    <x v="650"/>
    <x v="0"/>
    <x v="0"/>
    <x v="0"/>
    <x v="0"/>
  </r>
  <r>
    <x v="5728"/>
    <x v="1"/>
    <x v="0"/>
    <x v="0"/>
    <n v="83.25"/>
    <x v="32"/>
    <x v="5007"/>
    <x v="0"/>
    <x v="0"/>
    <x v="2"/>
    <x v="2"/>
  </r>
  <r>
    <x v="5729"/>
    <x v="1"/>
    <x v="0"/>
    <x v="1"/>
    <n v="20.6"/>
    <x v="0"/>
    <x v="4603"/>
    <x v="1"/>
    <x v="0"/>
    <x v="0"/>
    <x v="0"/>
  </r>
  <r>
    <x v="5730"/>
    <x v="1"/>
    <x v="2"/>
    <x v="2"/>
    <n v="102.9"/>
    <x v="56"/>
    <x v="5008"/>
    <x v="0"/>
    <x v="2"/>
    <x v="1"/>
    <x v="3"/>
  </r>
  <r>
    <x v="5731"/>
    <x v="1"/>
    <x v="2"/>
    <x v="1"/>
    <n v="39.1"/>
    <x v="14"/>
    <x v="5009"/>
    <x v="0"/>
    <x v="1"/>
    <x v="1"/>
    <x v="3"/>
  </r>
  <r>
    <x v="5732"/>
    <x v="1"/>
    <x v="0"/>
    <x v="0"/>
    <n v="99.95"/>
    <x v="67"/>
    <x v="5010"/>
    <x v="1"/>
    <x v="0"/>
    <x v="2"/>
    <x v="2"/>
  </r>
  <r>
    <x v="5733"/>
    <x v="1"/>
    <x v="2"/>
    <x v="1"/>
    <n v="114.5"/>
    <x v="21"/>
    <x v="5011"/>
    <x v="0"/>
    <x v="2"/>
    <x v="1"/>
    <x v="3"/>
  </r>
  <r>
    <x v="5734"/>
    <x v="0"/>
    <x v="2"/>
    <x v="1"/>
    <n v="20.2"/>
    <x v="46"/>
    <x v="5012"/>
    <x v="0"/>
    <x v="0"/>
    <x v="1"/>
    <x v="1"/>
  </r>
  <r>
    <x v="5735"/>
    <x v="1"/>
    <x v="1"/>
    <x v="0"/>
    <n v="55.8"/>
    <x v="63"/>
    <x v="1009"/>
    <x v="0"/>
    <x v="1"/>
    <x v="1"/>
    <x v="1"/>
  </r>
  <r>
    <x v="5736"/>
    <x v="0"/>
    <x v="2"/>
    <x v="1"/>
    <n v="24.2"/>
    <x v="59"/>
    <x v="5013"/>
    <x v="0"/>
    <x v="0"/>
    <x v="1"/>
    <x v="3"/>
  </r>
  <r>
    <x v="5737"/>
    <x v="0"/>
    <x v="0"/>
    <x v="3"/>
    <n v="81"/>
    <x v="6"/>
    <x v="5014"/>
    <x v="1"/>
    <x v="0"/>
    <x v="0"/>
    <x v="0"/>
  </r>
  <r>
    <x v="5738"/>
    <x v="1"/>
    <x v="1"/>
    <x v="3"/>
    <n v="72.8"/>
    <x v="48"/>
    <x v="5015"/>
    <x v="0"/>
    <x v="1"/>
    <x v="1"/>
    <x v="1"/>
  </r>
  <r>
    <x v="5739"/>
    <x v="0"/>
    <x v="0"/>
    <x v="3"/>
    <n v="99.85"/>
    <x v="17"/>
    <x v="5016"/>
    <x v="0"/>
    <x v="1"/>
    <x v="2"/>
    <x v="2"/>
  </r>
  <r>
    <x v="5740"/>
    <x v="0"/>
    <x v="1"/>
    <x v="0"/>
    <n v="99.5"/>
    <x v="64"/>
    <x v="553"/>
    <x v="0"/>
    <x v="2"/>
    <x v="1"/>
    <x v="3"/>
  </r>
  <r>
    <x v="5741"/>
    <x v="0"/>
    <x v="0"/>
    <x v="0"/>
    <n v="70.150000000000006"/>
    <x v="9"/>
    <x v="2583"/>
    <x v="1"/>
    <x v="0"/>
    <x v="2"/>
    <x v="2"/>
  </r>
  <r>
    <x v="5742"/>
    <x v="0"/>
    <x v="2"/>
    <x v="3"/>
    <n v="20.25"/>
    <x v="20"/>
    <x v="2378"/>
    <x v="0"/>
    <x v="0"/>
    <x v="1"/>
    <x v="1"/>
  </r>
  <r>
    <x v="5743"/>
    <x v="1"/>
    <x v="2"/>
    <x v="2"/>
    <n v="26"/>
    <x v="14"/>
    <x v="5017"/>
    <x v="0"/>
    <x v="0"/>
    <x v="1"/>
    <x v="3"/>
  </r>
  <r>
    <x v="5744"/>
    <x v="1"/>
    <x v="0"/>
    <x v="3"/>
    <n v="19.899999999999999"/>
    <x v="2"/>
    <x v="4181"/>
    <x v="0"/>
    <x v="0"/>
    <x v="0"/>
    <x v="0"/>
  </r>
  <r>
    <x v="5745"/>
    <x v="0"/>
    <x v="0"/>
    <x v="2"/>
    <n v="19.05"/>
    <x v="5"/>
    <x v="5018"/>
    <x v="0"/>
    <x v="0"/>
    <x v="2"/>
    <x v="2"/>
  </r>
  <r>
    <x v="5746"/>
    <x v="1"/>
    <x v="0"/>
    <x v="0"/>
    <n v="96.5"/>
    <x v="30"/>
    <x v="5019"/>
    <x v="0"/>
    <x v="0"/>
    <x v="2"/>
    <x v="2"/>
  </r>
  <r>
    <x v="5747"/>
    <x v="0"/>
    <x v="2"/>
    <x v="3"/>
    <n v="19.850000000000001"/>
    <x v="62"/>
    <x v="658"/>
    <x v="0"/>
    <x v="0"/>
    <x v="1"/>
    <x v="3"/>
  </r>
  <r>
    <x v="5748"/>
    <x v="0"/>
    <x v="0"/>
    <x v="1"/>
    <n v="25.7"/>
    <x v="7"/>
    <x v="5020"/>
    <x v="0"/>
    <x v="0"/>
    <x v="1"/>
    <x v="1"/>
  </r>
  <r>
    <x v="5749"/>
    <x v="1"/>
    <x v="1"/>
    <x v="1"/>
    <n v="20.3"/>
    <x v="5"/>
    <x v="4226"/>
    <x v="0"/>
    <x v="0"/>
    <x v="2"/>
    <x v="2"/>
  </r>
  <r>
    <x v="5750"/>
    <x v="0"/>
    <x v="0"/>
    <x v="1"/>
    <n v="70.150000000000006"/>
    <x v="0"/>
    <x v="2242"/>
    <x v="1"/>
    <x v="0"/>
    <x v="0"/>
    <x v="0"/>
  </r>
  <r>
    <x v="5751"/>
    <x v="1"/>
    <x v="0"/>
    <x v="0"/>
    <n v="91.55"/>
    <x v="10"/>
    <x v="5021"/>
    <x v="0"/>
    <x v="0"/>
    <x v="2"/>
    <x v="2"/>
  </r>
  <r>
    <x v="5752"/>
    <x v="0"/>
    <x v="2"/>
    <x v="1"/>
    <n v="39.4"/>
    <x v="43"/>
    <x v="5022"/>
    <x v="0"/>
    <x v="0"/>
    <x v="1"/>
    <x v="1"/>
  </r>
  <r>
    <x v="5753"/>
    <x v="1"/>
    <x v="0"/>
    <x v="2"/>
    <n v="105.7"/>
    <x v="19"/>
    <x v="5023"/>
    <x v="0"/>
    <x v="1"/>
    <x v="1"/>
    <x v="1"/>
  </r>
  <r>
    <x v="5754"/>
    <x v="0"/>
    <x v="0"/>
    <x v="0"/>
    <n v="70.25"/>
    <x v="35"/>
    <x v="5024"/>
    <x v="0"/>
    <x v="0"/>
    <x v="0"/>
    <x v="0"/>
  </r>
  <r>
    <x v="5755"/>
    <x v="1"/>
    <x v="2"/>
    <x v="0"/>
    <n v="93.75"/>
    <x v="58"/>
    <x v="5025"/>
    <x v="0"/>
    <x v="2"/>
    <x v="1"/>
    <x v="3"/>
  </r>
  <r>
    <x v="5756"/>
    <x v="0"/>
    <x v="1"/>
    <x v="3"/>
    <n v="96.55"/>
    <x v="47"/>
    <x v="5026"/>
    <x v="1"/>
    <x v="2"/>
    <x v="1"/>
    <x v="3"/>
  </r>
  <r>
    <x v="5757"/>
    <x v="0"/>
    <x v="1"/>
    <x v="2"/>
    <n v="60"/>
    <x v="57"/>
    <x v="1928"/>
    <x v="0"/>
    <x v="0"/>
    <x v="2"/>
    <x v="2"/>
  </r>
  <r>
    <x v="5758"/>
    <x v="0"/>
    <x v="2"/>
    <x v="3"/>
    <n v="59.8"/>
    <x v="45"/>
    <x v="5027"/>
    <x v="0"/>
    <x v="1"/>
    <x v="1"/>
    <x v="3"/>
  </r>
  <r>
    <x v="5759"/>
    <x v="1"/>
    <x v="1"/>
    <x v="2"/>
    <n v="90.65"/>
    <x v="66"/>
    <x v="5028"/>
    <x v="0"/>
    <x v="1"/>
    <x v="1"/>
    <x v="1"/>
  </r>
  <r>
    <x v="5760"/>
    <x v="0"/>
    <x v="2"/>
    <x v="2"/>
    <n v="109"/>
    <x v="16"/>
    <x v="5029"/>
    <x v="0"/>
    <x v="2"/>
    <x v="1"/>
    <x v="3"/>
  </r>
  <r>
    <x v="5761"/>
    <x v="0"/>
    <x v="1"/>
    <x v="3"/>
    <n v="68.099999999999994"/>
    <x v="50"/>
    <x v="5030"/>
    <x v="0"/>
    <x v="1"/>
    <x v="1"/>
    <x v="1"/>
  </r>
  <r>
    <x v="5762"/>
    <x v="0"/>
    <x v="0"/>
    <x v="1"/>
    <n v="20.399999999999999"/>
    <x v="18"/>
    <x v="5031"/>
    <x v="0"/>
    <x v="0"/>
    <x v="2"/>
    <x v="0"/>
  </r>
  <r>
    <x v="5763"/>
    <x v="1"/>
    <x v="2"/>
    <x v="2"/>
    <n v="81.95"/>
    <x v="14"/>
    <x v="5032"/>
    <x v="0"/>
    <x v="2"/>
    <x v="1"/>
    <x v="3"/>
  </r>
  <r>
    <x v="5764"/>
    <x v="0"/>
    <x v="0"/>
    <x v="0"/>
    <n v="60.55"/>
    <x v="42"/>
    <x v="5033"/>
    <x v="0"/>
    <x v="1"/>
    <x v="1"/>
    <x v="1"/>
  </r>
  <r>
    <x v="5765"/>
    <x v="1"/>
    <x v="0"/>
    <x v="2"/>
    <n v="65.599999999999994"/>
    <x v="24"/>
    <x v="3258"/>
    <x v="0"/>
    <x v="0"/>
    <x v="0"/>
    <x v="0"/>
  </r>
  <r>
    <x v="5766"/>
    <x v="1"/>
    <x v="2"/>
    <x v="2"/>
    <n v="82.5"/>
    <x v="11"/>
    <x v="3235"/>
    <x v="0"/>
    <x v="1"/>
    <x v="1"/>
    <x v="3"/>
  </r>
  <r>
    <x v="5767"/>
    <x v="1"/>
    <x v="2"/>
    <x v="2"/>
    <n v="82.3"/>
    <x v="21"/>
    <x v="1323"/>
    <x v="0"/>
    <x v="2"/>
    <x v="1"/>
    <x v="3"/>
  </r>
  <r>
    <x v="5768"/>
    <x v="1"/>
    <x v="2"/>
    <x v="1"/>
    <n v="68.150000000000006"/>
    <x v="21"/>
    <x v="5034"/>
    <x v="0"/>
    <x v="1"/>
    <x v="1"/>
    <x v="3"/>
  </r>
  <r>
    <x v="5769"/>
    <x v="0"/>
    <x v="0"/>
    <x v="3"/>
    <n v="20.3"/>
    <x v="0"/>
    <x v="3045"/>
    <x v="0"/>
    <x v="0"/>
    <x v="0"/>
    <x v="0"/>
  </r>
  <r>
    <x v="5770"/>
    <x v="0"/>
    <x v="1"/>
    <x v="0"/>
    <n v="95.55"/>
    <x v="71"/>
    <x v="5035"/>
    <x v="1"/>
    <x v="1"/>
    <x v="1"/>
    <x v="1"/>
  </r>
  <r>
    <x v="5771"/>
    <x v="1"/>
    <x v="1"/>
    <x v="3"/>
    <n v="20.2"/>
    <x v="62"/>
    <x v="5036"/>
    <x v="0"/>
    <x v="0"/>
    <x v="1"/>
    <x v="3"/>
  </r>
  <r>
    <x v="5772"/>
    <x v="0"/>
    <x v="0"/>
    <x v="0"/>
    <n v="89.2"/>
    <x v="23"/>
    <x v="5037"/>
    <x v="0"/>
    <x v="1"/>
    <x v="1"/>
    <x v="1"/>
  </r>
  <r>
    <x v="5773"/>
    <x v="0"/>
    <x v="0"/>
    <x v="0"/>
    <n v="69.650000000000006"/>
    <x v="0"/>
    <x v="4561"/>
    <x v="1"/>
    <x v="0"/>
    <x v="0"/>
    <x v="0"/>
  </r>
  <r>
    <x v="5774"/>
    <x v="0"/>
    <x v="0"/>
    <x v="0"/>
    <n v="89.3"/>
    <x v="0"/>
    <x v="4345"/>
    <x v="1"/>
    <x v="0"/>
    <x v="0"/>
    <x v="0"/>
  </r>
  <r>
    <x v="5775"/>
    <x v="0"/>
    <x v="0"/>
    <x v="0"/>
    <n v="74.8"/>
    <x v="32"/>
    <x v="5038"/>
    <x v="0"/>
    <x v="0"/>
    <x v="2"/>
    <x v="2"/>
  </r>
  <r>
    <x v="5776"/>
    <x v="1"/>
    <x v="2"/>
    <x v="1"/>
    <n v="20.2"/>
    <x v="25"/>
    <x v="2017"/>
    <x v="0"/>
    <x v="0"/>
    <x v="1"/>
    <x v="1"/>
  </r>
  <r>
    <x v="5777"/>
    <x v="0"/>
    <x v="2"/>
    <x v="3"/>
    <n v="84.4"/>
    <x v="21"/>
    <x v="5039"/>
    <x v="0"/>
    <x v="2"/>
    <x v="1"/>
    <x v="3"/>
  </r>
  <r>
    <x v="5778"/>
    <x v="0"/>
    <x v="0"/>
    <x v="0"/>
    <n v="87.55"/>
    <x v="51"/>
    <x v="5040"/>
    <x v="1"/>
    <x v="1"/>
    <x v="1"/>
    <x v="1"/>
  </r>
  <r>
    <x v="5779"/>
    <x v="0"/>
    <x v="0"/>
    <x v="0"/>
    <n v="25.15"/>
    <x v="54"/>
    <x v="1215"/>
    <x v="0"/>
    <x v="0"/>
    <x v="0"/>
    <x v="0"/>
  </r>
  <r>
    <x v="5780"/>
    <x v="0"/>
    <x v="2"/>
    <x v="3"/>
    <n v="19.8"/>
    <x v="13"/>
    <x v="5041"/>
    <x v="0"/>
    <x v="0"/>
    <x v="1"/>
    <x v="1"/>
  </r>
  <r>
    <x v="5781"/>
    <x v="0"/>
    <x v="0"/>
    <x v="0"/>
    <n v="50.85"/>
    <x v="63"/>
    <x v="5042"/>
    <x v="0"/>
    <x v="1"/>
    <x v="1"/>
    <x v="1"/>
  </r>
  <r>
    <x v="5782"/>
    <x v="1"/>
    <x v="0"/>
    <x v="0"/>
    <n v="102.4"/>
    <x v="28"/>
    <x v="5043"/>
    <x v="0"/>
    <x v="2"/>
    <x v="1"/>
    <x v="3"/>
  </r>
  <r>
    <x v="5783"/>
    <x v="0"/>
    <x v="0"/>
    <x v="1"/>
    <n v="96.3"/>
    <x v="30"/>
    <x v="5044"/>
    <x v="1"/>
    <x v="0"/>
    <x v="2"/>
    <x v="2"/>
  </r>
  <r>
    <x v="5784"/>
    <x v="1"/>
    <x v="0"/>
    <x v="3"/>
    <n v="55.5"/>
    <x v="60"/>
    <x v="5045"/>
    <x v="0"/>
    <x v="0"/>
    <x v="2"/>
    <x v="2"/>
  </r>
  <r>
    <x v="5785"/>
    <x v="1"/>
    <x v="2"/>
    <x v="2"/>
    <n v="109.75"/>
    <x v="21"/>
    <x v="4685"/>
    <x v="0"/>
    <x v="2"/>
    <x v="1"/>
    <x v="3"/>
  </r>
  <r>
    <x v="5786"/>
    <x v="1"/>
    <x v="0"/>
    <x v="0"/>
    <n v="106.4"/>
    <x v="71"/>
    <x v="5046"/>
    <x v="0"/>
    <x v="1"/>
    <x v="1"/>
    <x v="1"/>
  </r>
  <r>
    <x v="5787"/>
    <x v="0"/>
    <x v="2"/>
    <x v="3"/>
    <n v="60"/>
    <x v="20"/>
    <x v="5047"/>
    <x v="0"/>
    <x v="1"/>
    <x v="1"/>
    <x v="1"/>
  </r>
  <r>
    <x v="5788"/>
    <x v="1"/>
    <x v="0"/>
    <x v="3"/>
    <n v="88.8"/>
    <x v="67"/>
    <x v="5048"/>
    <x v="0"/>
    <x v="0"/>
    <x v="2"/>
    <x v="2"/>
  </r>
  <r>
    <x v="5789"/>
    <x v="0"/>
    <x v="0"/>
    <x v="0"/>
    <n v="85.2"/>
    <x v="24"/>
    <x v="2698"/>
    <x v="1"/>
    <x v="0"/>
    <x v="0"/>
    <x v="0"/>
  </r>
  <r>
    <x v="5790"/>
    <x v="0"/>
    <x v="0"/>
    <x v="0"/>
    <n v="35.1"/>
    <x v="9"/>
    <x v="5049"/>
    <x v="1"/>
    <x v="0"/>
    <x v="2"/>
    <x v="2"/>
  </r>
  <r>
    <x v="5791"/>
    <x v="0"/>
    <x v="0"/>
    <x v="2"/>
    <n v="80.05"/>
    <x v="22"/>
    <x v="5050"/>
    <x v="0"/>
    <x v="0"/>
    <x v="2"/>
    <x v="2"/>
  </r>
  <r>
    <x v="5792"/>
    <x v="1"/>
    <x v="0"/>
    <x v="0"/>
    <n v="75.55"/>
    <x v="1"/>
    <x v="5051"/>
    <x v="0"/>
    <x v="1"/>
    <x v="1"/>
    <x v="1"/>
  </r>
  <r>
    <x v="5793"/>
    <x v="0"/>
    <x v="0"/>
    <x v="0"/>
    <n v="49.55"/>
    <x v="41"/>
    <x v="5052"/>
    <x v="0"/>
    <x v="1"/>
    <x v="1"/>
    <x v="1"/>
  </r>
  <r>
    <x v="5794"/>
    <x v="1"/>
    <x v="0"/>
    <x v="0"/>
    <n v="81.3"/>
    <x v="24"/>
    <x v="5053"/>
    <x v="1"/>
    <x v="0"/>
    <x v="0"/>
    <x v="0"/>
  </r>
  <r>
    <x v="5795"/>
    <x v="0"/>
    <x v="2"/>
    <x v="3"/>
    <n v="23.9"/>
    <x v="16"/>
    <x v="5054"/>
    <x v="0"/>
    <x v="0"/>
    <x v="1"/>
    <x v="3"/>
  </r>
  <r>
    <x v="5796"/>
    <x v="1"/>
    <x v="0"/>
    <x v="2"/>
    <n v="66.400000000000006"/>
    <x v="67"/>
    <x v="5055"/>
    <x v="0"/>
    <x v="0"/>
    <x v="2"/>
    <x v="2"/>
  </r>
  <r>
    <x v="5797"/>
    <x v="0"/>
    <x v="0"/>
    <x v="0"/>
    <n v="19.600000000000001"/>
    <x v="2"/>
    <x v="5056"/>
    <x v="1"/>
    <x v="0"/>
    <x v="0"/>
    <x v="0"/>
  </r>
  <r>
    <x v="5798"/>
    <x v="1"/>
    <x v="2"/>
    <x v="3"/>
    <n v="18.8"/>
    <x v="58"/>
    <x v="5057"/>
    <x v="0"/>
    <x v="0"/>
    <x v="1"/>
    <x v="3"/>
  </r>
  <r>
    <x v="5799"/>
    <x v="1"/>
    <x v="2"/>
    <x v="0"/>
    <n v="108.4"/>
    <x v="21"/>
    <x v="5058"/>
    <x v="0"/>
    <x v="2"/>
    <x v="1"/>
    <x v="3"/>
  </r>
  <r>
    <x v="5800"/>
    <x v="0"/>
    <x v="0"/>
    <x v="1"/>
    <n v="85.95"/>
    <x v="53"/>
    <x v="5059"/>
    <x v="0"/>
    <x v="0"/>
    <x v="0"/>
    <x v="0"/>
  </r>
  <r>
    <x v="5801"/>
    <x v="0"/>
    <x v="0"/>
    <x v="0"/>
    <n v="85.45"/>
    <x v="22"/>
    <x v="5060"/>
    <x v="1"/>
    <x v="0"/>
    <x v="2"/>
    <x v="2"/>
  </r>
  <r>
    <x v="5802"/>
    <x v="1"/>
    <x v="2"/>
    <x v="2"/>
    <n v="80.900000000000006"/>
    <x v="59"/>
    <x v="5061"/>
    <x v="0"/>
    <x v="1"/>
    <x v="1"/>
    <x v="3"/>
  </r>
  <r>
    <x v="5803"/>
    <x v="1"/>
    <x v="0"/>
    <x v="0"/>
    <n v="71"/>
    <x v="0"/>
    <x v="2687"/>
    <x v="1"/>
    <x v="0"/>
    <x v="0"/>
    <x v="0"/>
  </r>
  <r>
    <x v="5804"/>
    <x v="1"/>
    <x v="2"/>
    <x v="3"/>
    <n v="111.8"/>
    <x v="43"/>
    <x v="5062"/>
    <x v="0"/>
    <x v="2"/>
    <x v="1"/>
    <x v="1"/>
  </r>
  <r>
    <x v="5805"/>
    <x v="1"/>
    <x v="0"/>
    <x v="3"/>
    <n v="20.6"/>
    <x v="10"/>
    <x v="5063"/>
    <x v="0"/>
    <x v="0"/>
    <x v="2"/>
    <x v="2"/>
  </r>
  <r>
    <x v="5806"/>
    <x v="1"/>
    <x v="0"/>
    <x v="0"/>
    <n v="85.05"/>
    <x v="34"/>
    <x v="5064"/>
    <x v="1"/>
    <x v="0"/>
    <x v="0"/>
    <x v="0"/>
  </r>
  <r>
    <x v="5807"/>
    <x v="0"/>
    <x v="0"/>
    <x v="0"/>
    <n v="44.6"/>
    <x v="35"/>
    <x v="5065"/>
    <x v="0"/>
    <x v="0"/>
    <x v="0"/>
    <x v="0"/>
  </r>
  <r>
    <x v="5808"/>
    <x v="1"/>
    <x v="0"/>
    <x v="0"/>
    <n v="44.4"/>
    <x v="0"/>
    <x v="817"/>
    <x v="1"/>
    <x v="0"/>
    <x v="0"/>
    <x v="0"/>
  </r>
  <r>
    <x v="5809"/>
    <x v="1"/>
    <x v="2"/>
    <x v="3"/>
    <n v="105.1"/>
    <x v="45"/>
    <x v="5066"/>
    <x v="0"/>
    <x v="2"/>
    <x v="1"/>
    <x v="3"/>
  </r>
  <r>
    <x v="5810"/>
    <x v="0"/>
    <x v="2"/>
    <x v="3"/>
    <n v="115.15"/>
    <x v="27"/>
    <x v="5067"/>
    <x v="0"/>
    <x v="2"/>
    <x v="1"/>
    <x v="3"/>
  </r>
  <r>
    <x v="5811"/>
    <x v="1"/>
    <x v="1"/>
    <x v="1"/>
    <n v="59.8"/>
    <x v="31"/>
    <x v="5068"/>
    <x v="0"/>
    <x v="1"/>
    <x v="1"/>
    <x v="3"/>
  </r>
  <r>
    <x v="5812"/>
    <x v="0"/>
    <x v="1"/>
    <x v="0"/>
    <n v="26.3"/>
    <x v="14"/>
    <x v="5069"/>
    <x v="0"/>
    <x v="0"/>
    <x v="1"/>
    <x v="3"/>
  </r>
  <r>
    <x v="5813"/>
    <x v="0"/>
    <x v="0"/>
    <x v="0"/>
    <n v="70.55"/>
    <x v="42"/>
    <x v="5070"/>
    <x v="0"/>
    <x v="1"/>
    <x v="1"/>
    <x v="1"/>
  </r>
  <r>
    <x v="5814"/>
    <x v="0"/>
    <x v="0"/>
    <x v="1"/>
    <n v="20.05"/>
    <x v="5"/>
    <x v="680"/>
    <x v="0"/>
    <x v="0"/>
    <x v="2"/>
    <x v="2"/>
  </r>
  <r>
    <x v="5815"/>
    <x v="1"/>
    <x v="2"/>
    <x v="2"/>
    <n v="79.849999999999994"/>
    <x v="33"/>
    <x v="5071"/>
    <x v="0"/>
    <x v="2"/>
    <x v="1"/>
    <x v="3"/>
  </r>
  <r>
    <x v="5816"/>
    <x v="1"/>
    <x v="0"/>
    <x v="0"/>
    <n v="70.3"/>
    <x v="0"/>
    <x v="4446"/>
    <x v="1"/>
    <x v="0"/>
    <x v="0"/>
    <x v="0"/>
  </r>
  <r>
    <x v="5817"/>
    <x v="0"/>
    <x v="0"/>
    <x v="2"/>
    <n v="79.349999999999994"/>
    <x v="0"/>
    <x v="80"/>
    <x v="1"/>
    <x v="0"/>
    <x v="0"/>
    <x v="0"/>
  </r>
  <r>
    <x v="5818"/>
    <x v="1"/>
    <x v="0"/>
    <x v="3"/>
    <n v="90.05"/>
    <x v="1"/>
    <x v="5072"/>
    <x v="0"/>
    <x v="1"/>
    <x v="1"/>
    <x v="1"/>
  </r>
  <r>
    <x v="5819"/>
    <x v="0"/>
    <x v="2"/>
    <x v="2"/>
    <n v="24.45"/>
    <x v="21"/>
    <x v="5073"/>
    <x v="0"/>
    <x v="0"/>
    <x v="1"/>
    <x v="3"/>
  </r>
  <r>
    <x v="5820"/>
    <x v="1"/>
    <x v="1"/>
    <x v="0"/>
    <n v="59.95"/>
    <x v="36"/>
    <x v="5074"/>
    <x v="0"/>
    <x v="0"/>
    <x v="1"/>
    <x v="1"/>
  </r>
  <r>
    <x v="5821"/>
    <x v="1"/>
    <x v="1"/>
    <x v="2"/>
    <n v="25.35"/>
    <x v="19"/>
    <x v="5075"/>
    <x v="0"/>
    <x v="0"/>
    <x v="1"/>
    <x v="1"/>
  </r>
  <r>
    <x v="5822"/>
    <x v="0"/>
    <x v="0"/>
    <x v="2"/>
    <n v="90.8"/>
    <x v="34"/>
    <x v="5076"/>
    <x v="1"/>
    <x v="0"/>
    <x v="0"/>
    <x v="0"/>
  </r>
  <r>
    <x v="5823"/>
    <x v="1"/>
    <x v="0"/>
    <x v="0"/>
    <n v="70.45"/>
    <x v="61"/>
    <x v="5077"/>
    <x v="1"/>
    <x v="0"/>
    <x v="2"/>
    <x v="2"/>
  </r>
  <r>
    <x v="5824"/>
    <x v="1"/>
    <x v="0"/>
    <x v="3"/>
    <n v="34.299999999999997"/>
    <x v="67"/>
    <x v="5078"/>
    <x v="0"/>
    <x v="0"/>
    <x v="2"/>
    <x v="2"/>
  </r>
  <r>
    <x v="5825"/>
    <x v="0"/>
    <x v="0"/>
    <x v="0"/>
    <n v="105.05"/>
    <x v="45"/>
    <x v="538"/>
    <x v="0"/>
    <x v="2"/>
    <x v="1"/>
    <x v="3"/>
  </r>
  <r>
    <x v="5826"/>
    <x v="0"/>
    <x v="2"/>
    <x v="1"/>
    <n v="19.3"/>
    <x v="19"/>
    <x v="5079"/>
    <x v="0"/>
    <x v="0"/>
    <x v="1"/>
    <x v="1"/>
  </r>
  <r>
    <x v="5827"/>
    <x v="1"/>
    <x v="1"/>
    <x v="1"/>
    <n v="19.149999999999999"/>
    <x v="53"/>
    <x v="5080"/>
    <x v="0"/>
    <x v="0"/>
    <x v="0"/>
    <x v="0"/>
  </r>
  <r>
    <x v="5828"/>
    <x v="0"/>
    <x v="0"/>
    <x v="0"/>
    <n v="51.4"/>
    <x v="2"/>
    <x v="5081"/>
    <x v="0"/>
    <x v="0"/>
    <x v="0"/>
    <x v="0"/>
  </r>
  <r>
    <x v="5829"/>
    <x v="1"/>
    <x v="0"/>
    <x v="0"/>
    <n v="71.849999999999994"/>
    <x v="62"/>
    <x v="5082"/>
    <x v="0"/>
    <x v="1"/>
    <x v="1"/>
    <x v="3"/>
  </r>
  <r>
    <x v="5830"/>
    <x v="1"/>
    <x v="0"/>
    <x v="0"/>
    <n v="75.400000000000006"/>
    <x v="40"/>
    <x v="2291"/>
    <x v="0"/>
    <x v="0"/>
    <x v="0"/>
    <x v="0"/>
  </r>
  <r>
    <x v="5831"/>
    <x v="0"/>
    <x v="1"/>
    <x v="2"/>
    <n v="49.7"/>
    <x v="59"/>
    <x v="5083"/>
    <x v="0"/>
    <x v="1"/>
    <x v="1"/>
    <x v="3"/>
  </r>
  <r>
    <x v="5832"/>
    <x v="1"/>
    <x v="1"/>
    <x v="0"/>
    <n v="45.25"/>
    <x v="27"/>
    <x v="5084"/>
    <x v="1"/>
    <x v="1"/>
    <x v="1"/>
    <x v="3"/>
  </r>
  <r>
    <x v="5833"/>
    <x v="0"/>
    <x v="0"/>
    <x v="0"/>
    <n v="78.75"/>
    <x v="9"/>
    <x v="5085"/>
    <x v="0"/>
    <x v="0"/>
    <x v="2"/>
    <x v="2"/>
  </r>
  <r>
    <x v="5834"/>
    <x v="1"/>
    <x v="1"/>
    <x v="2"/>
    <n v="81.599999999999994"/>
    <x v="42"/>
    <x v="5086"/>
    <x v="0"/>
    <x v="1"/>
    <x v="1"/>
    <x v="1"/>
  </r>
  <r>
    <x v="5835"/>
    <x v="0"/>
    <x v="0"/>
    <x v="3"/>
    <n v="70.400000000000006"/>
    <x v="2"/>
    <x v="249"/>
    <x v="0"/>
    <x v="0"/>
    <x v="0"/>
    <x v="0"/>
  </r>
  <r>
    <x v="5836"/>
    <x v="0"/>
    <x v="0"/>
    <x v="0"/>
    <n v="75.8"/>
    <x v="35"/>
    <x v="5087"/>
    <x v="1"/>
    <x v="0"/>
    <x v="0"/>
    <x v="0"/>
  </r>
  <r>
    <x v="5837"/>
    <x v="0"/>
    <x v="0"/>
    <x v="0"/>
    <n v="76.099999999999994"/>
    <x v="35"/>
    <x v="5088"/>
    <x v="0"/>
    <x v="0"/>
    <x v="0"/>
    <x v="0"/>
  </r>
  <r>
    <x v="5838"/>
    <x v="0"/>
    <x v="1"/>
    <x v="2"/>
    <n v="94"/>
    <x v="8"/>
    <x v="5089"/>
    <x v="0"/>
    <x v="2"/>
    <x v="1"/>
    <x v="3"/>
  </r>
  <r>
    <x v="5839"/>
    <x v="1"/>
    <x v="2"/>
    <x v="3"/>
    <n v="103.95"/>
    <x v="21"/>
    <x v="3943"/>
    <x v="0"/>
    <x v="2"/>
    <x v="1"/>
    <x v="3"/>
  </r>
  <r>
    <x v="5840"/>
    <x v="1"/>
    <x v="2"/>
    <x v="2"/>
    <n v="19.95"/>
    <x v="28"/>
    <x v="5090"/>
    <x v="0"/>
    <x v="0"/>
    <x v="1"/>
    <x v="3"/>
  </r>
  <r>
    <x v="5841"/>
    <x v="1"/>
    <x v="0"/>
    <x v="3"/>
    <n v="71.3"/>
    <x v="61"/>
    <x v="5091"/>
    <x v="1"/>
    <x v="0"/>
    <x v="2"/>
    <x v="2"/>
  </r>
  <r>
    <x v="5842"/>
    <x v="0"/>
    <x v="1"/>
    <x v="2"/>
    <n v="110.8"/>
    <x v="42"/>
    <x v="5092"/>
    <x v="0"/>
    <x v="1"/>
    <x v="1"/>
    <x v="1"/>
  </r>
  <r>
    <x v="5843"/>
    <x v="1"/>
    <x v="0"/>
    <x v="0"/>
    <n v="69.099999999999994"/>
    <x v="17"/>
    <x v="5093"/>
    <x v="1"/>
    <x v="0"/>
    <x v="2"/>
    <x v="2"/>
  </r>
  <r>
    <x v="5844"/>
    <x v="1"/>
    <x v="1"/>
    <x v="0"/>
    <n v="96.1"/>
    <x v="8"/>
    <x v="3304"/>
    <x v="0"/>
    <x v="2"/>
    <x v="1"/>
    <x v="3"/>
  </r>
  <r>
    <x v="5845"/>
    <x v="0"/>
    <x v="0"/>
    <x v="1"/>
    <n v="48.8"/>
    <x v="30"/>
    <x v="5094"/>
    <x v="0"/>
    <x v="0"/>
    <x v="2"/>
    <x v="2"/>
  </r>
  <r>
    <x v="5846"/>
    <x v="0"/>
    <x v="0"/>
    <x v="3"/>
    <n v="50.55"/>
    <x v="49"/>
    <x v="5095"/>
    <x v="0"/>
    <x v="1"/>
    <x v="1"/>
    <x v="3"/>
  </r>
  <r>
    <x v="5847"/>
    <x v="0"/>
    <x v="0"/>
    <x v="1"/>
    <n v="44.65"/>
    <x v="26"/>
    <x v="5096"/>
    <x v="0"/>
    <x v="0"/>
    <x v="0"/>
    <x v="0"/>
  </r>
  <r>
    <x v="5848"/>
    <x v="0"/>
    <x v="0"/>
    <x v="0"/>
    <n v="88.25"/>
    <x v="22"/>
    <x v="5097"/>
    <x v="1"/>
    <x v="0"/>
    <x v="2"/>
    <x v="2"/>
  </r>
  <r>
    <x v="5849"/>
    <x v="0"/>
    <x v="1"/>
    <x v="2"/>
    <n v="19.45"/>
    <x v="59"/>
    <x v="5098"/>
    <x v="0"/>
    <x v="0"/>
    <x v="1"/>
    <x v="3"/>
  </r>
  <r>
    <x v="5850"/>
    <x v="0"/>
    <x v="2"/>
    <x v="3"/>
    <n v="89.3"/>
    <x v="16"/>
    <x v="5099"/>
    <x v="0"/>
    <x v="2"/>
    <x v="1"/>
    <x v="3"/>
  </r>
  <r>
    <x v="5851"/>
    <x v="0"/>
    <x v="0"/>
    <x v="2"/>
    <n v="70"/>
    <x v="2"/>
    <x v="612"/>
    <x v="1"/>
    <x v="0"/>
    <x v="0"/>
    <x v="0"/>
  </r>
  <r>
    <x v="5852"/>
    <x v="1"/>
    <x v="2"/>
    <x v="1"/>
    <n v="19.25"/>
    <x v="42"/>
    <x v="2252"/>
    <x v="0"/>
    <x v="0"/>
    <x v="1"/>
    <x v="1"/>
  </r>
  <r>
    <x v="5853"/>
    <x v="0"/>
    <x v="0"/>
    <x v="2"/>
    <n v="70.5"/>
    <x v="22"/>
    <x v="5100"/>
    <x v="0"/>
    <x v="0"/>
    <x v="2"/>
    <x v="2"/>
  </r>
  <r>
    <x v="5854"/>
    <x v="0"/>
    <x v="0"/>
    <x v="0"/>
    <n v="97.35"/>
    <x v="17"/>
    <x v="5101"/>
    <x v="1"/>
    <x v="1"/>
    <x v="2"/>
    <x v="2"/>
  </r>
  <r>
    <x v="5855"/>
    <x v="0"/>
    <x v="2"/>
    <x v="2"/>
    <n v="19.649999999999999"/>
    <x v="20"/>
    <x v="1032"/>
    <x v="0"/>
    <x v="0"/>
    <x v="1"/>
    <x v="1"/>
  </r>
  <r>
    <x v="5856"/>
    <x v="0"/>
    <x v="0"/>
    <x v="1"/>
    <n v="20.85"/>
    <x v="35"/>
    <x v="937"/>
    <x v="0"/>
    <x v="0"/>
    <x v="0"/>
    <x v="0"/>
  </r>
  <r>
    <x v="5857"/>
    <x v="1"/>
    <x v="0"/>
    <x v="1"/>
    <n v="19.649999999999999"/>
    <x v="35"/>
    <x v="2298"/>
    <x v="0"/>
    <x v="0"/>
    <x v="0"/>
    <x v="0"/>
  </r>
  <r>
    <x v="5858"/>
    <x v="1"/>
    <x v="2"/>
    <x v="3"/>
    <n v="19.350000000000001"/>
    <x v="66"/>
    <x v="5102"/>
    <x v="0"/>
    <x v="0"/>
    <x v="1"/>
    <x v="1"/>
  </r>
  <r>
    <x v="5859"/>
    <x v="0"/>
    <x v="0"/>
    <x v="1"/>
    <n v="44"/>
    <x v="0"/>
    <x v="384"/>
    <x v="0"/>
    <x v="0"/>
    <x v="0"/>
    <x v="0"/>
  </r>
  <r>
    <x v="5860"/>
    <x v="0"/>
    <x v="1"/>
    <x v="0"/>
    <n v="94.4"/>
    <x v="66"/>
    <x v="5103"/>
    <x v="0"/>
    <x v="1"/>
    <x v="1"/>
    <x v="1"/>
  </r>
  <r>
    <x v="5861"/>
    <x v="1"/>
    <x v="0"/>
    <x v="2"/>
    <n v="25.9"/>
    <x v="24"/>
    <x v="5104"/>
    <x v="1"/>
    <x v="0"/>
    <x v="0"/>
    <x v="0"/>
  </r>
  <r>
    <x v="5862"/>
    <x v="1"/>
    <x v="0"/>
    <x v="2"/>
    <n v="55.65"/>
    <x v="65"/>
    <x v="5105"/>
    <x v="1"/>
    <x v="0"/>
    <x v="1"/>
    <x v="2"/>
  </r>
  <r>
    <x v="5863"/>
    <x v="0"/>
    <x v="0"/>
    <x v="0"/>
    <n v="69.650000000000006"/>
    <x v="0"/>
    <x v="4561"/>
    <x v="1"/>
    <x v="0"/>
    <x v="0"/>
    <x v="0"/>
  </r>
  <r>
    <x v="5864"/>
    <x v="0"/>
    <x v="0"/>
    <x v="0"/>
    <n v="75.400000000000006"/>
    <x v="32"/>
    <x v="5106"/>
    <x v="0"/>
    <x v="0"/>
    <x v="2"/>
    <x v="2"/>
  </r>
  <r>
    <x v="5865"/>
    <x v="0"/>
    <x v="0"/>
    <x v="0"/>
    <n v="100.6"/>
    <x v="6"/>
    <x v="5107"/>
    <x v="1"/>
    <x v="0"/>
    <x v="0"/>
    <x v="0"/>
  </r>
  <r>
    <x v="5866"/>
    <x v="0"/>
    <x v="2"/>
    <x v="2"/>
    <n v="71"/>
    <x v="45"/>
    <x v="5108"/>
    <x v="0"/>
    <x v="1"/>
    <x v="1"/>
    <x v="3"/>
  </r>
  <r>
    <x v="5867"/>
    <x v="0"/>
    <x v="0"/>
    <x v="0"/>
    <n v="86"/>
    <x v="0"/>
    <x v="5109"/>
    <x v="1"/>
    <x v="0"/>
    <x v="0"/>
    <x v="0"/>
  </r>
  <r>
    <x v="5868"/>
    <x v="0"/>
    <x v="1"/>
    <x v="3"/>
    <n v="106.95"/>
    <x v="62"/>
    <x v="5110"/>
    <x v="1"/>
    <x v="2"/>
    <x v="1"/>
    <x v="3"/>
  </r>
  <r>
    <x v="5869"/>
    <x v="1"/>
    <x v="1"/>
    <x v="1"/>
    <n v="21.2"/>
    <x v="35"/>
    <x v="5111"/>
    <x v="0"/>
    <x v="0"/>
    <x v="0"/>
    <x v="0"/>
  </r>
  <r>
    <x v="5870"/>
    <x v="1"/>
    <x v="2"/>
    <x v="1"/>
    <n v="61.05"/>
    <x v="55"/>
    <x v="5112"/>
    <x v="0"/>
    <x v="1"/>
    <x v="1"/>
    <x v="1"/>
  </r>
  <r>
    <x v="5871"/>
    <x v="1"/>
    <x v="0"/>
    <x v="0"/>
    <n v="29.6"/>
    <x v="35"/>
    <x v="1532"/>
    <x v="1"/>
    <x v="0"/>
    <x v="0"/>
    <x v="0"/>
  </r>
  <r>
    <x v="5872"/>
    <x v="0"/>
    <x v="1"/>
    <x v="2"/>
    <n v="79.95"/>
    <x v="1"/>
    <x v="5113"/>
    <x v="0"/>
    <x v="1"/>
    <x v="1"/>
    <x v="1"/>
  </r>
  <r>
    <x v="5873"/>
    <x v="0"/>
    <x v="2"/>
    <x v="1"/>
    <n v="19.7"/>
    <x v="60"/>
    <x v="5114"/>
    <x v="0"/>
    <x v="0"/>
    <x v="2"/>
    <x v="2"/>
  </r>
  <r>
    <x v="5874"/>
    <x v="0"/>
    <x v="0"/>
    <x v="1"/>
    <n v="20.3"/>
    <x v="9"/>
    <x v="5115"/>
    <x v="0"/>
    <x v="0"/>
    <x v="2"/>
    <x v="2"/>
  </r>
  <r>
    <x v="5875"/>
    <x v="1"/>
    <x v="1"/>
    <x v="2"/>
    <n v="59.9"/>
    <x v="25"/>
    <x v="5116"/>
    <x v="1"/>
    <x v="1"/>
    <x v="1"/>
    <x v="1"/>
  </r>
  <r>
    <x v="5876"/>
    <x v="1"/>
    <x v="1"/>
    <x v="1"/>
    <n v="24.35"/>
    <x v="57"/>
    <x v="5117"/>
    <x v="0"/>
    <x v="0"/>
    <x v="2"/>
    <x v="2"/>
  </r>
  <r>
    <x v="5877"/>
    <x v="0"/>
    <x v="2"/>
    <x v="1"/>
    <n v="19.75"/>
    <x v="20"/>
    <x v="5118"/>
    <x v="0"/>
    <x v="0"/>
    <x v="1"/>
    <x v="1"/>
  </r>
  <r>
    <x v="5878"/>
    <x v="1"/>
    <x v="0"/>
    <x v="1"/>
    <n v="50.3"/>
    <x v="22"/>
    <x v="5119"/>
    <x v="0"/>
    <x v="0"/>
    <x v="2"/>
    <x v="2"/>
  </r>
  <r>
    <x v="5879"/>
    <x v="0"/>
    <x v="0"/>
    <x v="0"/>
    <n v="95.6"/>
    <x v="12"/>
    <x v="5120"/>
    <x v="1"/>
    <x v="1"/>
    <x v="1"/>
    <x v="3"/>
  </r>
  <r>
    <x v="5880"/>
    <x v="1"/>
    <x v="0"/>
    <x v="0"/>
    <n v="50.25"/>
    <x v="64"/>
    <x v="5121"/>
    <x v="0"/>
    <x v="1"/>
    <x v="1"/>
    <x v="3"/>
  </r>
  <r>
    <x v="5881"/>
    <x v="0"/>
    <x v="2"/>
    <x v="3"/>
    <n v="85.35"/>
    <x v="14"/>
    <x v="5122"/>
    <x v="0"/>
    <x v="2"/>
    <x v="1"/>
    <x v="3"/>
  </r>
  <r>
    <x v="5882"/>
    <x v="1"/>
    <x v="1"/>
    <x v="0"/>
    <n v="41.6"/>
    <x v="26"/>
    <x v="5123"/>
    <x v="1"/>
    <x v="0"/>
    <x v="0"/>
    <x v="0"/>
  </r>
  <r>
    <x v="5883"/>
    <x v="1"/>
    <x v="0"/>
    <x v="1"/>
    <n v="51.65"/>
    <x v="6"/>
    <x v="5124"/>
    <x v="0"/>
    <x v="0"/>
    <x v="0"/>
    <x v="0"/>
  </r>
  <r>
    <x v="5884"/>
    <x v="1"/>
    <x v="2"/>
    <x v="2"/>
    <n v="24"/>
    <x v="18"/>
    <x v="5125"/>
    <x v="0"/>
    <x v="0"/>
    <x v="2"/>
    <x v="0"/>
  </r>
  <r>
    <x v="5885"/>
    <x v="1"/>
    <x v="0"/>
    <x v="3"/>
    <n v="100.85"/>
    <x v="3"/>
    <x v="5126"/>
    <x v="1"/>
    <x v="1"/>
    <x v="1"/>
    <x v="1"/>
  </r>
  <r>
    <x v="5886"/>
    <x v="0"/>
    <x v="0"/>
    <x v="1"/>
    <n v="59.85"/>
    <x v="71"/>
    <x v="2286"/>
    <x v="0"/>
    <x v="1"/>
    <x v="1"/>
    <x v="1"/>
  </r>
  <r>
    <x v="5887"/>
    <x v="1"/>
    <x v="2"/>
    <x v="3"/>
    <n v="25.45"/>
    <x v="16"/>
    <x v="928"/>
    <x v="0"/>
    <x v="0"/>
    <x v="1"/>
    <x v="3"/>
  </r>
  <r>
    <x v="5888"/>
    <x v="1"/>
    <x v="2"/>
    <x v="3"/>
    <n v="23.9"/>
    <x v="16"/>
    <x v="5054"/>
    <x v="0"/>
    <x v="0"/>
    <x v="1"/>
    <x v="3"/>
  </r>
  <r>
    <x v="5889"/>
    <x v="0"/>
    <x v="1"/>
    <x v="3"/>
    <n v="24.15"/>
    <x v="55"/>
    <x v="4438"/>
    <x v="0"/>
    <x v="0"/>
    <x v="1"/>
    <x v="1"/>
  </r>
  <r>
    <x v="5890"/>
    <x v="1"/>
    <x v="0"/>
    <x v="1"/>
    <n v="75.7"/>
    <x v="56"/>
    <x v="5127"/>
    <x v="0"/>
    <x v="2"/>
    <x v="1"/>
    <x v="3"/>
  </r>
  <r>
    <x v="5891"/>
    <x v="1"/>
    <x v="0"/>
    <x v="2"/>
    <n v="40.200000000000003"/>
    <x v="50"/>
    <x v="1440"/>
    <x v="1"/>
    <x v="0"/>
    <x v="1"/>
    <x v="1"/>
  </r>
  <r>
    <x v="5892"/>
    <x v="1"/>
    <x v="0"/>
    <x v="0"/>
    <n v="84.5"/>
    <x v="12"/>
    <x v="45"/>
    <x v="1"/>
    <x v="1"/>
    <x v="1"/>
    <x v="3"/>
  </r>
  <r>
    <x v="5893"/>
    <x v="0"/>
    <x v="0"/>
    <x v="1"/>
    <n v="50.85"/>
    <x v="34"/>
    <x v="5128"/>
    <x v="0"/>
    <x v="0"/>
    <x v="0"/>
    <x v="0"/>
  </r>
  <r>
    <x v="5894"/>
    <x v="1"/>
    <x v="2"/>
    <x v="3"/>
    <n v="91.6"/>
    <x v="15"/>
    <x v="5129"/>
    <x v="0"/>
    <x v="1"/>
    <x v="1"/>
    <x v="3"/>
  </r>
  <r>
    <x v="5895"/>
    <x v="0"/>
    <x v="1"/>
    <x v="0"/>
    <n v="98.9"/>
    <x v="27"/>
    <x v="5130"/>
    <x v="0"/>
    <x v="2"/>
    <x v="1"/>
    <x v="3"/>
  </r>
  <r>
    <x v="5896"/>
    <x v="1"/>
    <x v="0"/>
    <x v="0"/>
    <n v="85"/>
    <x v="0"/>
    <x v="525"/>
    <x v="0"/>
    <x v="0"/>
    <x v="0"/>
    <x v="0"/>
  </r>
  <r>
    <x v="5897"/>
    <x v="0"/>
    <x v="0"/>
    <x v="0"/>
    <n v="78.95"/>
    <x v="60"/>
    <x v="5131"/>
    <x v="1"/>
    <x v="0"/>
    <x v="2"/>
    <x v="2"/>
  </r>
  <r>
    <x v="5898"/>
    <x v="1"/>
    <x v="0"/>
    <x v="1"/>
    <n v="44.3"/>
    <x v="0"/>
    <x v="5132"/>
    <x v="0"/>
    <x v="0"/>
    <x v="0"/>
    <x v="0"/>
  </r>
  <r>
    <x v="5899"/>
    <x v="1"/>
    <x v="0"/>
    <x v="1"/>
    <n v="20.2"/>
    <x v="0"/>
    <x v="33"/>
    <x v="1"/>
    <x v="0"/>
    <x v="0"/>
    <x v="0"/>
  </r>
  <r>
    <x v="5900"/>
    <x v="0"/>
    <x v="1"/>
    <x v="1"/>
    <n v="80.2"/>
    <x v="15"/>
    <x v="5133"/>
    <x v="0"/>
    <x v="1"/>
    <x v="1"/>
    <x v="3"/>
  </r>
  <r>
    <x v="5901"/>
    <x v="1"/>
    <x v="0"/>
    <x v="1"/>
    <n v="60.9"/>
    <x v="53"/>
    <x v="5134"/>
    <x v="0"/>
    <x v="0"/>
    <x v="0"/>
    <x v="0"/>
  </r>
  <r>
    <x v="5902"/>
    <x v="1"/>
    <x v="0"/>
    <x v="1"/>
    <n v="34.200000000000003"/>
    <x v="40"/>
    <x v="5135"/>
    <x v="0"/>
    <x v="0"/>
    <x v="0"/>
    <x v="0"/>
  </r>
  <r>
    <x v="5903"/>
    <x v="0"/>
    <x v="0"/>
    <x v="2"/>
    <n v="85.2"/>
    <x v="20"/>
    <x v="5136"/>
    <x v="1"/>
    <x v="1"/>
    <x v="1"/>
    <x v="1"/>
  </r>
  <r>
    <x v="5904"/>
    <x v="0"/>
    <x v="1"/>
    <x v="3"/>
    <n v="87.15"/>
    <x v="70"/>
    <x v="5137"/>
    <x v="0"/>
    <x v="1"/>
    <x v="1"/>
    <x v="1"/>
  </r>
  <r>
    <x v="5905"/>
    <x v="1"/>
    <x v="0"/>
    <x v="0"/>
    <n v="54.3"/>
    <x v="13"/>
    <x v="5138"/>
    <x v="0"/>
    <x v="0"/>
    <x v="1"/>
    <x v="1"/>
  </r>
  <r>
    <x v="5906"/>
    <x v="1"/>
    <x v="2"/>
    <x v="1"/>
    <n v="19.100000000000001"/>
    <x v="14"/>
    <x v="5139"/>
    <x v="0"/>
    <x v="0"/>
    <x v="1"/>
    <x v="3"/>
  </r>
  <r>
    <x v="5907"/>
    <x v="0"/>
    <x v="2"/>
    <x v="3"/>
    <n v="112.75"/>
    <x v="21"/>
    <x v="5140"/>
    <x v="0"/>
    <x v="2"/>
    <x v="1"/>
    <x v="3"/>
  </r>
  <r>
    <x v="5908"/>
    <x v="1"/>
    <x v="0"/>
    <x v="1"/>
    <n v="19.95"/>
    <x v="54"/>
    <x v="2204"/>
    <x v="0"/>
    <x v="0"/>
    <x v="0"/>
    <x v="0"/>
  </r>
  <r>
    <x v="5909"/>
    <x v="1"/>
    <x v="2"/>
    <x v="1"/>
    <n v="19.5"/>
    <x v="64"/>
    <x v="5141"/>
    <x v="0"/>
    <x v="0"/>
    <x v="1"/>
    <x v="3"/>
  </r>
  <r>
    <x v="5910"/>
    <x v="1"/>
    <x v="2"/>
    <x v="2"/>
    <n v="65.55"/>
    <x v="56"/>
    <x v="5142"/>
    <x v="0"/>
    <x v="1"/>
    <x v="1"/>
    <x v="3"/>
  </r>
  <r>
    <x v="5911"/>
    <x v="0"/>
    <x v="0"/>
    <x v="0"/>
    <n v="78.8"/>
    <x v="70"/>
    <x v="5143"/>
    <x v="0"/>
    <x v="1"/>
    <x v="1"/>
    <x v="1"/>
  </r>
  <r>
    <x v="5912"/>
    <x v="0"/>
    <x v="1"/>
    <x v="1"/>
    <n v="78.2"/>
    <x v="23"/>
    <x v="5144"/>
    <x v="0"/>
    <x v="1"/>
    <x v="1"/>
    <x v="1"/>
  </r>
  <r>
    <x v="5913"/>
    <x v="1"/>
    <x v="2"/>
    <x v="2"/>
    <n v="105.25"/>
    <x v="21"/>
    <x v="5145"/>
    <x v="0"/>
    <x v="2"/>
    <x v="1"/>
    <x v="3"/>
  </r>
  <r>
    <x v="5914"/>
    <x v="0"/>
    <x v="0"/>
    <x v="0"/>
    <n v="89.25"/>
    <x v="53"/>
    <x v="3939"/>
    <x v="0"/>
    <x v="0"/>
    <x v="0"/>
    <x v="0"/>
  </r>
  <r>
    <x v="5915"/>
    <x v="1"/>
    <x v="2"/>
    <x v="3"/>
    <n v="20.65"/>
    <x v="8"/>
    <x v="5146"/>
    <x v="0"/>
    <x v="0"/>
    <x v="1"/>
    <x v="3"/>
  </r>
  <r>
    <x v="5916"/>
    <x v="1"/>
    <x v="1"/>
    <x v="0"/>
    <n v="68.7"/>
    <x v="61"/>
    <x v="5147"/>
    <x v="0"/>
    <x v="0"/>
    <x v="2"/>
    <x v="2"/>
  </r>
  <r>
    <x v="5917"/>
    <x v="1"/>
    <x v="0"/>
    <x v="3"/>
    <n v="78.650000000000006"/>
    <x v="53"/>
    <x v="5148"/>
    <x v="0"/>
    <x v="0"/>
    <x v="0"/>
    <x v="0"/>
  </r>
  <r>
    <x v="5918"/>
    <x v="1"/>
    <x v="2"/>
    <x v="1"/>
    <n v="24.75"/>
    <x v="69"/>
    <x v="5149"/>
    <x v="0"/>
    <x v="0"/>
    <x v="1"/>
    <x v="3"/>
  </r>
  <r>
    <x v="5919"/>
    <x v="0"/>
    <x v="2"/>
    <x v="3"/>
    <n v="19.75"/>
    <x v="59"/>
    <x v="211"/>
    <x v="0"/>
    <x v="0"/>
    <x v="1"/>
    <x v="3"/>
  </r>
  <r>
    <x v="5920"/>
    <x v="1"/>
    <x v="0"/>
    <x v="0"/>
    <n v="89.1"/>
    <x v="8"/>
    <x v="4786"/>
    <x v="0"/>
    <x v="2"/>
    <x v="1"/>
    <x v="3"/>
  </r>
  <r>
    <x v="5921"/>
    <x v="0"/>
    <x v="2"/>
    <x v="2"/>
    <n v="84.7"/>
    <x v="21"/>
    <x v="4470"/>
    <x v="0"/>
    <x v="2"/>
    <x v="1"/>
    <x v="3"/>
  </r>
  <r>
    <x v="5922"/>
    <x v="1"/>
    <x v="0"/>
    <x v="0"/>
    <n v="98"/>
    <x v="9"/>
    <x v="5150"/>
    <x v="1"/>
    <x v="0"/>
    <x v="2"/>
    <x v="2"/>
  </r>
  <r>
    <x v="5923"/>
    <x v="1"/>
    <x v="0"/>
    <x v="0"/>
    <n v="94.45"/>
    <x v="24"/>
    <x v="5151"/>
    <x v="1"/>
    <x v="0"/>
    <x v="0"/>
    <x v="0"/>
  </r>
  <r>
    <x v="5924"/>
    <x v="1"/>
    <x v="0"/>
    <x v="0"/>
    <n v="105"/>
    <x v="35"/>
    <x v="5152"/>
    <x v="1"/>
    <x v="0"/>
    <x v="0"/>
    <x v="0"/>
  </r>
  <r>
    <x v="5925"/>
    <x v="0"/>
    <x v="0"/>
    <x v="0"/>
    <n v="93.85"/>
    <x v="70"/>
    <x v="5153"/>
    <x v="1"/>
    <x v="1"/>
    <x v="1"/>
    <x v="1"/>
  </r>
  <r>
    <x v="5926"/>
    <x v="1"/>
    <x v="0"/>
    <x v="0"/>
    <n v="59.9"/>
    <x v="9"/>
    <x v="5154"/>
    <x v="0"/>
    <x v="0"/>
    <x v="2"/>
    <x v="2"/>
  </r>
  <r>
    <x v="5927"/>
    <x v="0"/>
    <x v="2"/>
    <x v="1"/>
    <n v="19.95"/>
    <x v="46"/>
    <x v="5155"/>
    <x v="0"/>
    <x v="0"/>
    <x v="1"/>
    <x v="1"/>
  </r>
  <r>
    <x v="5928"/>
    <x v="0"/>
    <x v="0"/>
    <x v="0"/>
    <n v="84"/>
    <x v="4"/>
    <x v="5156"/>
    <x v="1"/>
    <x v="0"/>
    <x v="0"/>
    <x v="0"/>
  </r>
  <r>
    <x v="5929"/>
    <x v="1"/>
    <x v="0"/>
    <x v="0"/>
    <n v="108.9"/>
    <x v="1"/>
    <x v="280"/>
    <x v="0"/>
    <x v="1"/>
    <x v="1"/>
    <x v="1"/>
  </r>
  <r>
    <x v="5930"/>
    <x v="1"/>
    <x v="0"/>
    <x v="1"/>
    <n v="33.6"/>
    <x v="32"/>
    <x v="923"/>
    <x v="0"/>
    <x v="0"/>
    <x v="2"/>
    <x v="2"/>
  </r>
  <r>
    <x v="5931"/>
    <x v="1"/>
    <x v="1"/>
    <x v="1"/>
    <n v="85.85"/>
    <x v="39"/>
    <x v="5157"/>
    <x v="0"/>
    <x v="1"/>
    <x v="1"/>
    <x v="3"/>
  </r>
  <r>
    <x v="5932"/>
    <x v="0"/>
    <x v="0"/>
    <x v="2"/>
    <n v="34.85"/>
    <x v="51"/>
    <x v="674"/>
    <x v="0"/>
    <x v="0"/>
    <x v="1"/>
    <x v="1"/>
  </r>
  <r>
    <x v="5933"/>
    <x v="0"/>
    <x v="0"/>
    <x v="0"/>
    <n v="48.75"/>
    <x v="34"/>
    <x v="5158"/>
    <x v="1"/>
    <x v="0"/>
    <x v="0"/>
    <x v="0"/>
  </r>
  <r>
    <x v="5934"/>
    <x v="1"/>
    <x v="0"/>
    <x v="0"/>
    <n v="84.85"/>
    <x v="0"/>
    <x v="5159"/>
    <x v="1"/>
    <x v="0"/>
    <x v="0"/>
    <x v="0"/>
  </r>
  <r>
    <x v="5935"/>
    <x v="1"/>
    <x v="0"/>
    <x v="1"/>
    <n v="56.65"/>
    <x v="18"/>
    <x v="365"/>
    <x v="1"/>
    <x v="0"/>
    <x v="2"/>
    <x v="0"/>
  </r>
  <r>
    <x v="5936"/>
    <x v="0"/>
    <x v="0"/>
    <x v="3"/>
    <n v="95.3"/>
    <x v="58"/>
    <x v="5160"/>
    <x v="0"/>
    <x v="2"/>
    <x v="1"/>
    <x v="3"/>
  </r>
  <r>
    <x v="5937"/>
    <x v="0"/>
    <x v="1"/>
    <x v="3"/>
    <n v="73.900000000000006"/>
    <x v="41"/>
    <x v="5161"/>
    <x v="1"/>
    <x v="1"/>
    <x v="1"/>
    <x v="1"/>
  </r>
  <r>
    <x v="5938"/>
    <x v="0"/>
    <x v="2"/>
    <x v="1"/>
    <n v="24.5"/>
    <x v="55"/>
    <x v="3805"/>
    <x v="1"/>
    <x v="0"/>
    <x v="1"/>
    <x v="1"/>
  </r>
  <r>
    <x v="5939"/>
    <x v="1"/>
    <x v="2"/>
    <x v="2"/>
    <n v="84.6"/>
    <x v="27"/>
    <x v="5162"/>
    <x v="0"/>
    <x v="2"/>
    <x v="1"/>
    <x v="3"/>
  </r>
  <r>
    <x v="5940"/>
    <x v="0"/>
    <x v="0"/>
    <x v="0"/>
    <n v="44.95"/>
    <x v="47"/>
    <x v="5163"/>
    <x v="0"/>
    <x v="1"/>
    <x v="1"/>
    <x v="3"/>
  </r>
  <r>
    <x v="5941"/>
    <x v="1"/>
    <x v="0"/>
    <x v="0"/>
    <n v="24.7"/>
    <x v="0"/>
    <x v="1950"/>
    <x v="0"/>
    <x v="0"/>
    <x v="0"/>
    <x v="0"/>
  </r>
  <r>
    <x v="5942"/>
    <x v="0"/>
    <x v="0"/>
    <x v="3"/>
    <n v="100.3"/>
    <x v="50"/>
    <x v="5164"/>
    <x v="0"/>
    <x v="1"/>
    <x v="1"/>
    <x v="1"/>
  </r>
  <r>
    <x v="5943"/>
    <x v="0"/>
    <x v="0"/>
    <x v="1"/>
    <n v="25.45"/>
    <x v="54"/>
    <x v="5165"/>
    <x v="0"/>
    <x v="0"/>
    <x v="0"/>
    <x v="0"/>
  </r>
  <r>
    <x v="5944"/>
    <x v="1"/>
    <x v="0"/>
    <x v="1"/>
    <n v="50.7"/>
    <x v="0"/>
    <x v="5166"/>
    <x v="0"/>
    <x v="0"/>
    <x v="0"/>
    <x v="0"/>
  </r>
  <r>
    <x v="5945"/>
    <x v="1"/>
    <x v="0"/>
    <x v="3"/>
    <n v="55"/>
    <x v="61"/>
    <x v="3283"/>
    <x v="0"/>
    <x v="0"/>
    <x v="2"/>
    <x v="2"/>
  </r>
  <r>
    <x v="5946"/>
    <x v="1"/>
    <x v="2"/>
    <x v="2"/>
    <n v="68.400000000000006"/>
    <x v="21"/>
    <x v="5167"/>
    <x v="0"/>
    <x v="1"/>
    <x v="1"/>
    <x v="3"/>
  </r>
  <r>
    <x v="5947"/>
    <x v="0"/>
    <x v="0"/>
    <x v="0"/>
    <n v="89.9"/>
    <x v="36"/>
    <x v="5168"/>
    <x v="1"/>
    <x v="1"/>
    <x v="1"/>
    <x v="1"/>
  </r>
  <r>
    <x v="5948"/>
    <x v="1"/>
    <x v="0"/>
    <x v="0"/>
    <n v="78.55"/>
    <x v="32"/>
    <x v="5169"/>
    <x v="1"/>
    <x v="0"/>
    <x v="2"/>
    <x v="2"/>
  </r>
  <r>
    <x v="5949"/>
    <x v="1"/>
    <x v="0"/>
    <x v="2"/>
    <n v="55.05"/>
    <x v="26"/>
    <x v="5170"/>
    <x v="0"/>
    <x v="0"/>
    <x v="0"/>
    <x v="0"/>
  </r>
  <r>
    <x v="5950"/>
    <x v="0"/>
    <x v="2"/>
    <x v="3"/>
    <n v="19.8"/>
    <x v="55"/>
    <x v="5171"/>
    <x v="0"/>
    <x v="0"/>
    <x v="1"/>
    <x v="1"/>
  </r>
  <r>
    <x v="5951"/>
    <x v="0"/>
    <x v="1"/>
    <x v="0"/>
    <n v="84.45"/>
    <x v="8"/>
    <x v="5172"/>
    <x v="0"/>
    <x v="2"/>
    <x v="1"/>
    <x v="3"/>
  </r>
  <r>
    <x v="5952"/>
    <x v="0"/>
    <x v="0"/>
    <x v="1"/>
    <n v="35.9"/>
    <x v="0"/>
    <x v="2292"/>
    <x v="0"/>
    <x v="0"/>
    <x v="0"/>
    <x v="0"/>
  </r>
  <r>
    <x v="5953"/>
    <x v="1"/>
    <x v="0"/>
    <x v="2"/>
    <n v="80.75"/>
    <x v="10"/>
    <x v="5173"/>
    <x v="0"/>
    <x v="0"/>
    <x v="2"/>
    <x v="2"/>
  </r>
  <r>
    <x v="5954"/>
    <x v="1"/>
    <x v="1"/>
    <x v="1"/>
    <n v="78.650000000000006"/>
    <x v="5"/>
    <x v="5174"/>
    <x v="0"/>
    <x v="0"/>
    <x v="2"/>
    <x v="2"/>
  </r>
  <r>
    <x v="5955"/>
    <x v="0"/>
    <x v="0"/>
    <x v="2"/>
    <n v="61.75"/>
    <x v="12"/>
    <x v="1553"/>
    <x v="0"/>
    <x v="1"/>
    <x v="1"/>
    <x v="3"/>
  </r>
  <r>
    <x v="5956"/>
    <x v="1"/>
    <x v="1"/>
    <x v="3"/>
    <n v="63.7"/>
    <x v="51"/>
    <x v="5175"/>
    <x v="0"/>
    <x v="1"/>
    <x v="1"/>
    <x v="1"/>
  </r>
  <r>
    <x v="5957"/>
    <x v="1"/>
    <x v="0"/>
    <x v="0"/>
    <n v="99.45"/>
    <x v="41"/>
    <x v="5176"/>
    <x v="1"/>
    <x v="1"/>
    <x v="1"/>
    <x v="1"/>
  </r>
  <r>
    <x v="5958"/>
    <x v="1"/>
    <x v="0"/>
    <x v="2"/>
    <n v="25.2"/>
    <x v="54"/>
    <x v="2097"/>
    <x v="1"/>
    <x v="0"/>
    <x v="0"/>
    <x v="0"/>
  </r>
  <r>
    <x v="5959"/>
    <x v="0"/>
    <x v="1"/>
    <x v="1"/>
    <n v="74.05"/>
    <x v="18"/>
    <x v="5177"/>
    <x v="1"/>
    <x v="0"/>
    <x v="2"/>
    <x v="0"/>
  </r>
  <r>
    <x v="5960"/>
    <x v="0"/>
    <x v="0"/>
    <x v="0"/>
    <n v="87.6"/>
    <x v="36"/>
    <x v="5178"/>
    <x v="0"/>
    <x v="1"/>
    <x v="1"/>
    <x v="1"/>
  </r>
  <r>
    <x v="5961"/>
    <x v="1"/>
    <x v="0"/>
    <x v="0"/>
    <n v="89.15"/>
    <x v="24"/>
    <x v="5179"/>
    <x v="0"/>
    <x v="0"/>
    <x v="0"/>
    <x v="0"/>
  </r>
  <r>
    <x v="5962"/>
    <x v="1"/>
    <x v="2"/>
    <x v="3"/>
    <n v="20"/>
    <x v="33"/>
    <x v="5180"/>
    <x v="0"/>
    <x v="0"/>
    <x v="1"/>
    <x v="3"/>
  </r>
  <r>
    <x v="5963"/>
    <x v="0"/>
    <x v="0"/>
    <x v="3"/>
    <n v="55"/>
    <x v="30"/>
    <x v="5181"/>
    <x v="1"/>
    <x v="0"/>
    <x v="2"/>
    <x v="2"/>
  </r>
  <r>
    <x v="5964"/>
    <x v="1"/>
    <x v="2"/>
    <x v="2"/>
    <n v="104.4"/>
    <x v="38"/>
    <x v="1783"/>
    <x v="0"/>
    <x v="2"/>
    <x v="1"/>
    <x v="3"/>
  </r>
  <r>
    <x v="5965"/>
    <x v="1"/>
    <x v="0"/>
    <x v="3"/>
    <n v="20.05"/>
    <x v="6"/>
    <x v="5182"/>
    <x v="0"/>
    <x v="0"/>
    <x v="0"/>
    <x v="0"/>
  </r>
  <r>
    <x v="5966"/>
    <x v="1"/>
    <x v="0"/>
    <x v="0"/>
    <n v="89.75"/>
    <x v="40"/>
    <x v="5183"/>
    <x v="1"/>
    <x v="0"/>
    <x v="0"/>
    <x v="0"/>
  </r>
  <r>
    <x v="5967"/>
    <x v="1"/>
    <x v="0"/>
    <x v="0"/>
    <n v="34.299999999999997"/>
    <x v="44"/>
    <x v="5184"/>
    <x v="0"/>
    <x v="0"/>
    <x v="1"/>
    <x v="1"/>
  </r>
  <r>
    <x v="5968"/>
    <x v="1"/>
    <x v="2"/>
    <x v="2"/>
    <n v="20.65"/>
    <x v="58"/>
    <x v="5185"/>
    <x v="0"/>
    <x v="0"/>
    <x v="1"/>
    <x v="3"/>
  </r>
  <r>
    <x v="5969"/>
    <x v="0"/>
    <x v="0"/>
    <x v="1"/>
    <n v="84.25"/>
    <x v="25"/>
    <x v="5186"/>
    <x v="0"/>
    <x v="1"/>
    <x v="1"/>
    <x v="1"/>
  </r>
  <r>
    <x v="5970"/>
    <x v="1"/>
    <x v="2"/>
    <x v="2"/>
    <n v="19.649999999999999"/>
    <x v="62"/>
    <x v="5187"/>
    <x v="0"/>
    <x v="0"/>
    <x v="1"/>
    <x v="3"/>
  </r>
  <r>
    <x v="5971"/>
    <x v="0"/>
    <x v="1"/>
    <x v="3"/>
    <n v="79.849999999999994"/>
    <x v="22"/>
    <x v="5188"/>
    <x v="0"/>
    <x v="0"/>
    <x v="2"/>
    <x v="2"/>
  </r>
  <r>
    <x v="5972"/>
    <x v="0"/>
    <x v="2"/>
    <x v="1"/>
    <n v="20.2"/>
    <x v="46"/>
    <x v="5012"/>
    <x v="0"/>
    <x v="0"/>
    <x v="1"/>
    <x v="1"/>
  </r>
  <r>
    <x v="5973"/>
    <x v="1"/>
    <x v="1"/>
    <x v="1"/>
    <n v="19.8"/>
    <x v="30"/>
    <x v="2940"/>
    <x v="0"/>
    <x v="0"/>
    <x v="2"/>
    <x v="2"/>
  </r>
  <r>
    <x v="5974"/>
    <x v="0"/>
    <x v="0"/>
    <x v="0"/>
    <n v="50.35"/>
    <x v="5"/>
    <x v="5189"/>
    <x v="0"/>
    <x v="0"/>
    <x v="2"/>
    <x v="2"/>
  </r>
  <r>
    <x v="5975"/>
    <x v="1"/>
    <x v="0"/>
    <x v="0"/>
    <n v="85.15"/>
    <x v="60"/>
    <x v="5190"/>
    <x v="1"/>
    <x v="0"/>
    <x v="2"/>
    <x v="2"/>
  </r>
  <r>
    <x v="5976"/>
    <x v="0"/>
    <x v="1"/>
    <x v="2"/>
    <n v="74.599999999999994"/>
    <x v="58"/>
    <x v="5191"/>
    <x v="0"/>
    <x v="1"/>
    <x v="1"/>
    <x v="3"/>
  </r>
  <r>
    <x v="5977"/>
    <x v="1"/>
    <x v="0"/>
    <x v="3"/>
    <n v="79.150000000000006"/>
    <x v="26"/>
    <x v="5192"/>
    <x v="0"/>
    <x v="0"/>
    <x v="0"/>
    <x v="0"/>
  </r>
  <r>
    <x v="5978"/>
    <x v="0"/>
    <x v="2"/>
    <x v="1"/>
    <n v="20.350000000000001"/>
    <x v="0"/>
    <x v="1338"/>
    <x v="0"/>
    <x v="0"/>
    <x v="0"/>
    <x v="0"/>
  </r>
  <r>
    <x v="5979"/>
    <x v="1"/>
    <x v="2"/>
    <x v="2"/>
    <n v="21.05"/>
    <x v="18"/>
    <x v="5193"/>
    <x v="0"/>
    <x v="0"/>
    <x v="2"/>
    <x v="0"/>
  </r>
  <r>
    <x v="5980"/>
    <x v="1"/>
    <x v="0"/>
    <x v="0"/>
    <n v="94.6"/>
    <x v="35"/>
    <x v="5194"/>
    <x v="1"/>
    <x v="0"/>
    <x v="0"/>
    <x v="0"/>
  </r>
  <r>
    <x v="5981"/>
    <x v="1"/>
    <x v="0"/>
    <x v="0"/>
    <n v="94.7"/>
    <x v="51"/>
    <x v="5195"/>
    <x v="0"/>
    <x v="1"/>
    <x v="1"/>
    <x v="1"/>
  </r>
  <r>
    <x v="5982"/>
    <x v="1"/>
    <x v="0"/>
    <x v="0"/>
    <n v="94.25"/>
    <x v="10"/>
    <x v="5196"/>
    <x v="1"/>
    <x v="0"/>
    <x v="2"/>
    <x v="2"/>
  </r>
  <r>
    <x v="5983"/>
    <x v="1"/>
    <x v="1"/>
    <x v="3"/>
    <n v="72.45"/>
    <x v="45"/>
    <x v="5197"/>
    <x v="1"/>
    <x v="1"/>
    <x v="1"/>
    <x v="3"/>
  </r>
  <r>
    <x v="5984"/>
    <x v="1"/>
    <x v="0"/>
    <x v="0"/>
    <n v="74.95"/>
    <x v="2"/>
    <x v="5198"/>
    <x v="0"/>
    <x v="0"/>
    <x v="0"/>
    <x v="0"/>
  </r>
  <r>
    <x v="5985"/>
    <x v="0"/>
    <x v="0"/>
    <x v="0"/>
    <n v="105.2"/>
    <x v="41"/>
    <x v="1710"/>
    <x v="1"/>
    <x v="1"/>
    <x v="1"/>
    <x v="1"/>
  </r>
  <r>
    <x v="5986"/>
    <x v="1"/>
    <x v="2"/>
    <x v="2"/>
    <n v="111.95"/>
    <x v="21"/>
    <x v="5199"/>
    <x v="0"/>
    <x v="2"/>
    <x v="1"/>
    <x v="3"/>
  </r>
  <r>
    <x v="5987"/>
    <x v="1"/>
    <x v="2"/>
    <x v="2"/>
    <n v="19.850000000000001"/>
    <x v="8"/>
    <x v="5200"/>
    <x v="0"/>
    <x v="0"/>
    <x v="1"/>
    <x v="3"/>
  </r>
  <r>
    <x v="5988"/>
    <x v="0"/>
    <x v="0"/>
    <x v="0"/>
    <n v="89.75"/>
    <x v="53"/>
    <x v="5201"/>
    <x v="0"/>
    <x v="0"/>
    <x v="0"/>
    <x v="0"/>
  </r>
  <r>
    <x v="5989"/>
    <x v="1"/>
    <x v="2"/>
    <x v="1"/>
    <n v="20.05"/>
    <x v="43"/>
    <x v="5202"/>
    <x v="0"/>
    <x v="0"/>
    <x v="1"/>
    <x v="1"/>
  </r>
  <r>
    <x v="5990"/>
    <x v="1"/>
    <x v="2"/>
    <x v="0"/>
    <n v="108.95"/>
    <x v="42"/>
    <x v="5203"/>
    <x v="0"/>
    <x v="1"/>
    <x v="1"/>
    <x v="1"/>
  </r>
  <r>
    <x v="5991"/>
    <x v="1"/>
    <x v="1"/>
    <x v="3"/>
    <n v="19.649999999999999"/>
    <x v="15"/>
    <x v="3857"/>
    <x v="0"/>
    <x v="0"/>
    <x v="1"/>
    <x v="3"/>
  </r>
  <r>
    <x v="5992"/>
    <x v="0"/>
    <x v="0"/>
    <x v="1"/>
    <n v="24.9"/>
    <x v="0"/>
    <x v="5204"/>
    <x v="0"/>
    <x v="0"/>
    <x v="0"/>
    <x v="0"/>
  </r>
  <r>
    <x v="5993"/>
    <x v="1"/>
    <x v="0"/>
    <x v="0"/>
    <n v="82.85"/>
    <x v="53"/>
    <x v="5205"/>
    <x v="1"/>
    <x v="0"/>
    <x v="0"/>
    <x v="0"/>
  </r>
  <r>
    <x v="5994"/>
    <x v="0"/>
    <x v="2"/>
    <x v="3"/>
    <n v="93.2"/>
    <x v="16"/>
    <x v="5206"/>
    <x v="0"/>
    <x v="2"/>
    <x v="1"/>
    <x v="3"/>
  </r>
  <r>
    <x v="5995"/>
    <x v="0"/>
    <x v="1"/>
    <x v="2"/>
    <n v="84.8"/>
    <x v="56"/>
    <x v="5207"/>
    <x v="0"/>
    <x v="2"/>
    <x v="1"/>
    <x v="3"/>
  </r>
  <r>
    <x v="5996"/>
    <x v="1"/>
    <x v="1"/>
    <x v="0"/>
    <n v="71.75"/>
    <x v="31"/>
    <x v="5208"/>
    <x v="0"/>
    <x v="1"/>
    <x v="1"/>
    <x v="3"/>
  </r>
  <r>
    <x v="5997"/>
    <x v="1"/>
    <x v="0"/>
    <x v="2"/>
    <n v="30.35"/>
    <x v="57"/>
    <x v="5209"/>
    <x v="0"/>
    <x v="0"/>
    <x v="2"/>
    <x v="2"/>
  </r>
  <r>
    <x v="5998"/>
    <x v="1"/>
    <x v="1"/>
    <x v="2"/>
    <n v="54.85"/>
    <x v="71"/>
    <x v="5210"/>
    <x v="0"/>
    <x v="1"/>
    <x v="1"/>
    <x v="1"/>
  </r>
  <r>
    <x v="5999"/>
    <x v="1"/>
    <x v="1"/>
    <x v="1"/>
    <n v="19.5"/>
    <x v="30"/>
    <x v="5211"/>
    <x v="0"/>
    <x v="0"/>
    <x v="2"/>
    <x v="2"/>
  </r>
  <r>
    <x v="6000"/>
    <x v="1"/>
    <x v="0"/>
    <x v="0"/>
    <n v="103.85"/>
    <x v="62"/>
    <x v="5212"/>
    <x v="1"/>
    <x v="2"/>
    <x v="1"/>
    <x v="3"/>
  </r>
  <r>
    <x v="6001"/>
    <x v="1"/>
    <x v="2"/>
    <x v="1"/>
    <n v="24.2"/>
    <x v="65"/>
    <x v="5213"/>
    <x v="0"/>
    <x v="0"/>
    <x v="1"/>
    <x v="2"/>
  </r>
  <r>
    <x v="6002"/>
    <x v="0"/>
    <x v="0"/>
    <x v="0"/>
    <n v="19.350000000000001"/>
    <x v="50"/>
    <x v="5214"/>
    <x v="0"/>
    <x v="0"/>
    <x v="1"/>
    <x v="1"/>
  </r>
  <r>
    <x v="6003"/>
    <x v="0"/>
    <x v="0"/>
    <x v="0"/>
    <n v="83.6"/>
    <x v="24"/>
    <x v="5215"/>
    <x v="1"/>
    <x v="0"/>
    <x v="0"/>
    <x v="0"/>
  </r>
  <r>
    <x v="6004"/>
    <x v="0"/>
    <x v="1"/>
    <x v="0"/>
    <n v="100.65"/>
    <x v="37"/>
    <x v="5216"/>
    <x v="0"/>
    <x v="2"/>
    <x v="1"/>
    <x v="3"/>
  </r>
  <r>
    <x v="6005"/>
    <x v="0"/>
    <x v="1"/>
    <x v="3"/>
    <n v="94.1"/>
    <x v="68"/>
    <x v="5217"/>
    <x v="0"/>
    <x v="2"/>
    <x v="1"/>
    <x v="3"/>
  </r>
  <r>
    <x v="6006"/>
    <x v="0"/>
    <x v="0"/>
    <x v="0"/>
    <n v="74.55"/>
    <x v="35"/>
    <x v="5218"/>
    <x v="0"/>
    <x v="0"/>
    <x v="0"/>
    <x v="0"/>
  </r>
  <r>
    <x v="6007"/>
    <x v="1"/>
    <x v="1"/>
    <x v="0"/>
    <n v="108.45"/>
    <x v="47"/>
    <x v="5219"/>
    <x v="1"/>
    <x v="2"/>
    <x v="1"/>
    <x v="3"/>
  </r>
  <r>
    <x v="6008"/>
    <x v="1"/>
    <x v="0"/>
    <x v="0"/>
    <n v="56.15"/>
    <x v="24"/>
    <x v="5220"/>
    <x v="0"/>
    <x v="0"/>
    <x v="0"/>
    <x v="0"/>
  </r>
  <r>
    <x v="6009"/>
    <x v="1"/>
    <x v="2"/>
    <x v="1"/>
    <n v="20.350000000000001"/>
    <x v="55"/>
    <x v="5221"/>
    <x v="0"/>
    <x v="0"/>
    <x v="1"/>
    <x v="1"/>
  </r>
  <r>
    <x v="6010"/>
    <x v="0"/>
    <x v="1"/>
    <x v="0"/>
    <n v="80.55"/>
    <x v="52"/>
    <x v="5222"/>
    <x v="0"/>
    <x v="1"/>
    <x v="1"/>
    <x v="1"/>
  </r>
  <r>
    <x v="6011"/>
    <x v="0"/>
    <x v="1"/>
    <x v="1"/>
    <n v="61.25"/>
    <x v="1"/>
    <x v="5223"/>
    <x v="0"/>
    <x v="1"/>
    <x v="1"/>
    <x v="1"/>
  </r>
  <r>
    <x v="6012"/>
    <x v="0"/>
    <x v="0"/>
    <x v="1"/>
    <n v="20.45"/>
    <x v="9"/>
    <x v="5224"/>
    <x v="0"/>
    <x v="0"/>
    <x v="2"/>
    <x v="2"/>
  </r>
  <r>
    <x v="6013"/>
    <x v="0"/>
    <x v="0"/>
    <x v="3"/>
    <n v="18.899999999999999"/>
    <x v="61"/>
    <x v="1251"/>
    <x v="0"/>
    <x v="0"/>
    <x v="2"/>
    <x v="2"/>
  </r>
  <r>
    <x v="6014"/>
    <x v="0"/>
    <x v="2"/>
    <x v="3"/>
    <n v="19.600000000000001"/>
    <x v="69"/>
    <x v="5225"/>
    <x v="0"/>
    <x v="0"/>
    <x v="1"/>
    <x v="3"/>
  </r>
  <r>
    <x v="6015"/>
    <x v="0"/>
    <x v="0"/>
    <x v="3"/>
    <n v="91.5"/>
    <x v="35"/>
    <x v="5226"/>
    <x v="1"/>
    <x v="0"/>
    <x v="0"/>
    <x v="0"/>
  </r>
  <r>
    <x v="6016"/>
    <x v="0"/>
    <x v="0"/>
    <x v="2"/>
    <n v="45.2"/>
    <x v="52"/>
    <x v="5227"/>
    <x v="0"/>
    <x v="0"/>
    <x v="1"/>
    <x v="1"/>
  </r>
  <r>
    <x v="6017"/>
    <x v="0"/>
    <x v="0"/>
    <x v="3"/>
    <n v="19.45"/>
    <x v="9"/>
    <x v="1195"/>
    <x v="0"/>
    <x v="0"/>
    <x v="2"/>
    <x v="2"/>
  </r>
  <r>
    <x v="6018"/>
    <x v="1"/>
    <x v="2"/>
    <x v="2"/>
    <n v="25.45"/>
    <x v="42"/>
    <x v="5228"/>
    <x v="0"/>
    <x v="0"/>
    <x v="1"/>
    <x v="1"/>
  </r>
  <r>
    <x v="6019"/>
    <x v="1"/>
    <x v="0"/>
    <x v="2"/>
    <n v="80.849999999999994"/>
    <x v="18"/>
    <x v="5229"/>
    <x v="1"/>
    <x v="0"/>
    <x v="2"/>
    <x v="0"/>
  </r>
  <r>
    <x v="6020"/>
    <x v="1"/>
    <x v="0"/>
    <x v="1"/>
    <n v="94.9"/>
    <x v="54"/>
    <x v="5230"/>
    <x v="0"/>
    <x v="0"/>
    <x v="0"/>
    <x v="0"/>
  </r>
  <r>
    <x v="6021"/>
    <x v="0"/>
    <x v="0"/>
    <x v="2"/>
    <n v="49.05"/>
    <x v="29"/>
    <x v="5231"/>
    <x v="1"/>
    <x v="1"/>
    <x v="1"/>
    <x v="1"/>
  </r>
  <r>
    <x v="6022"/>
    <x v="0"/>
    <x v="0"/>
    <x v="1"/>
    <n v="29.3"/>
    <x v="18"/>
    <x v="5232"/>
    <x v="0"/>
    <x v="0"/>
    <x v="2"/>
    <x v="0"/>
  </r>
  <r>
    <x v="6023"/>
    <x v="1"/>
    <x v="0"/>
    <x v="0"/>
    <n v="105.3"/>
    <x v="47"/>
    <x v="5233"/>
    <x v="1"/>
    <x v="2"/>
    <x v="1"/>
    <x v="3"/>
  </r>
  <r>
    <x v="6024"/>
    <x v="1"/>
    <x v="0"/>
    <x v="0"/>
    <n v="88.95"/>
    <x v="13"/>
    <x v="5234"/>
    <x v="1"/>
    <x v="1"/>
    <x v="1"/>
    <x v="1"/>
  </r>
  <r>
    <x v="6025"/>
    <x v="0"/>
    <x v="1"/>
    <x v="1"/>
    <n v="20.25"/>
    <x v="40"/>
    <x v="3572"/>
    <x v="0"/>
    <x v="0"/>
    <x v="0"/>
    <x v="0"/>
  </r>
  <r>
    <x v="6026"/>
    <x v="1"/>
    <x v="1"/>
    <x v="0"/>
    <n v="110.85"/>
    <x v="33"/>
    <x v="5235"/>
    <x v="1"/>
    <x v="2"/>
    <x v="1"/>
    <x v="3"/>
  </r>
  <r>
    <x v="6027"/>
    <x v="0"/>
    <x v="1"/>
    <x v="0"/>
    <n v="110.5"/>
    <x v="62"/>
    <x v="5236"/>
    <x v="0"/>
    <x v="2"/>
    <x v="1"/>
    <x v="3"/>
  </r>
  <r>
    <x v="6028"/>
    <x v="1"/>
    <x v="0"/>
    <x v="2"/>
    <n v="109.4"/>
    <x v="28"/>
    <x v="5237"/>
    <x v="0"/>
    <x v="2"/>
    <x v="1"/>
    <x v="3"/>
  </r>
  <r>
    <x v="6029"/>
    <x v="0"/>
    <x v="2"/>
    <x v="2"/>
    <n v="114.2"/>
    <x v="27"/>
    <x v="5238"/>
    <x v="1"/>
    <x v="2"/>
    <x v="1"/>
    <x v="3"/>
  </r>
  <r>
    <x v="6030"/>
    <x v="1"/>
    <x v="0"/>
    <x v="2"/>
    <n v="36.5"/>
    <x v="23"/>
    <x v="725"/>
    <x v="1"/>
    <x v="0"/>
    <x v="1"/>
    <x v="1"/>
  </r>
  <r>
    <x v="6031"/>
    <x v="0"/>
    <x v="0"/>
    <x v="1"/>
    <n v="70.75"/>
    <x v="0"/>
    <x v="5239"/>
    <x v="1"/>
    <x v="0"/>
    <x v="0"/>
    <x v="0"/>
  </r>
  <r>
    <x v="6032"/>
    <x v="0"/>
    <x v="0"/>
    <x v="1"/>
    <n v="19.95"/>
    <x v="24"/>
    <x v="1633"/>
    <x v="0"/>
    <x v="0"/>
    <x v="0"/>
    <x v="0"/>
  </r>
  <r>
    <x v="6033"/>
    <x v="0"/>
    <x v="1"/>
    <x v="1"/>
    <n v="19.600000000000001"/>
    <x v="50"/>
    <x v="5240"/>
    <x v="0"/>
    <x v="0"/>
    <x v="1"/>
    <x v="1"/>
  </r>
  <r>
    <x v="6034"/>
    <x v="1"/>
    <x v="0"/>
    <x v="1"/>
    <n v="40.15"/>
    <x v="35"/>
    <x v="5241"/>
    <x v="1"/>
    <x v="0"/>
    <x v="0"/>
    <x v="0"/>
  </r>
  <r>
    <x v="6035"/>
    <x v="0"/>
    <x v="0"/>
    <x v="0"/>
    <n v="76.599999999999994"/>
    <x v="18"/>
    <x v="5242"/>
    <x v="0"/>
    <x v="0"/>
    <x v="2"/>
    <x v="0"/>
  </r>
  <r>
    <x v="6036"/>
    <x v="0"/>
    <x v="1"/>
    <x v="3"/>
    <n v="19.600000000000001"/>
    <x v="46"/>
    <x v="3285"/>
    <x v="0"/>
    <x v="0"/>
    <x v="1"/>
    <x v="1"/>
  </r>
  <r>
    <x v="6037"/>
    <x v="0"/>
    <x v="0"/>
    <x v="3"/>
    <n v="85.3"/>
    <x v="34"/>
    <x v="5243"/>
    <x v="0"/>
    <x v="0"/>
    <x v="0"/>
    <x v="0"/>
  </r>
  <r>
    <x v="6038"/>
    <x v="1"/>
    <x v="0"/>
    <x v="0"/>
    <n v="65.849999999999994"/>
    <x v="9"/>
    <x v="5244"/>
    <x v="0"/>
    <x v="0"/>
    <x v="2"/>
    <x v="2"/>
  </r>
  <r>
    <x v="6039"/>
    <x v="1"/>
    <x v="0"/>
    <x v="0"/>
    <n v="94.45"/>
    <x v="44"/>
    <x v="5245"/>
    <x v="1"/>
    <x v="1"/>
    <x v="1"/>
    <x v="1"/>
  </r>
  <r>
    <x v="6040"/>
    <x v="0"/>
    <x v="2"/>
    <x v="3"/>
    <n v="20.05"/>
    <x v="20"/>
    <x v="3009"/>
    <x v="0"/>
    <x v="0"/>
    <x v="1"/>
    <x v="1"/>
  </r>
  <r>
    <x v="6041"/>
    <x v="1"/>
    <x v="0"/>
    <x v="2"/>
    <n v="99.4"/>
    <x v="59"/>
    <x v="5246"/>
    <x v="0"/>
    <x v="2"/>
    <x v="1"/>
    <x v="3"/>
  </r>
  <r>
    <x v="6042"/>
    <x v="1"/>
    <x v="0"/>
    <x v="1"/>
    <n v="20"/>
    <x v="10"/>
    <x v="3031"/>
    <x v="0"/>
    <x v="0"/>
    <x v="2"/>
    <x v="2"/>
  </r>
  <r>
    <x v="6043"/>
    <x v="0"/>
    <x v="2"/>
    <x v="0"/>
    <n v="78.45"/>
    <x v="52"/>
    <x v="5247"/>
    <x v="0"/>
    <x v="1"/>
    <x v="1"/>
    <x v="1"/>
  </r>
  <r>
    <x v="6044"/>
    <x v="0"/>
    <x v="2"/>
    <x v="0"/>
    <n v="25.1"/>
    <x v="29"/>
    <x v="5248"/>
    <x v="0"/>
    <x v="0"/>
    <x v="1"/>
    <x v="1"/>
  </r>
  <r>
    <x v="6045"/>
    <x v="0"/>
    <x v="0"/>
    <x v="2"/>
    <n v="97.35"/>
    <x v="51"/>
    <x v="5249"/>
    <x v="1"/>
    <x v="1"/>
    <x v="1"/>
    <x v="1"/>
  </r>
  <r>
    <x v="6046"/>
    <x v="0"/>
    <x v="0"/>
    <x v="0"/>
    <n v="55"/>
    <x v="53"/>
    <x v="5250"/>
    <x v="0"/>
    <x v="0"/>
    <x v="0"/>
    <x v="0"/>
  </r>
  <r>
    <x v="6047"/>
    <x v="0"/>
    <x v="1"/>
    <x v="3"/>
    <n v="71.099999999999994"/>
    <x v="11"/>
    <x v="5251"/>
    <x v="0"/>
    <x v="1"/>
    <x v="1"/>
    <x v="3"/>
  </r>
  <r>
    <x v="6048"/>
    <x v="1"/>
    <x v="0"/>
    <x v="3"/>
    <n v="61.55"/>
    <x v="67"/>
    <x v="5252"/>
    <x v="0"/>
    <x v="0"/>
    <x v="2"/>
    <x v="2"/>
  </r>
  <r>
    <x v="6049"/>
    <x v="1"/>
    <x v="0"/>
    <x v="2"/>
    <n v="45.9"/>
    <x v="26"/>
    <x v="5253"/>
    <x v="0"/>
    <x v="0"/>
    <x v="0"/>
    <x v="0"/>
  </r>
  <r>
    <x v="6050"/>
    <x v="0"/>
    <x v="1"/>
    <x v="2"/>
    <n v="40.299999999999997"/>
    <x v="71"/>
    <x v="5254"/>
    <x v="0"/>
    <x v="0"/>
    <x v="1"/>
    <x v="1"/>
  </r>
  <r>
    <x v="6051"/>
    <x v="0"/>
    <x v="0"/>
    <x v="0"/>
    <n v="87.1"/>
    <x v="4"/>
    <x v="5255"/>
    <x v="0"/>
    <x v="0"/>
    <x v="0"/>
    <x v="0"/>
  </r>
  <r>
    <x v="6052"/>
    <x v="0"/>
    <x v="0"/>
    <x v="1"/>
    <n v="49.5"/>
    <x v="70"/>
    <x v="5256"/>
    <x v="0"/>
    <x v="0"/>
    <x v="1"/>
    <x v="1"/>
  </r>
  <r>
    <x v="6053"/>
    <x v="0"/>
    <x v="0"/>
    <x v="3"/>
    <n v="73.8"/>
    <x v="62"/>
    <x v="5257"/>
    <x v="0"/>
    <x v="1"/>
    <x v="1"/>
    <x v="3"/>
  </r>
  <r>
    <x v="6054"/>
    <x v="0"/>
    <x v="2"/>
    <x v="1"/>
    <n v="19.2"/>
    <x v="27"/>
    <x v="5258"/>
    <x v="0"/>
    <x v="0"/>
    <x v="1"/>
    <x v="3"/>
  </r>
  <r>
    <x v="6055"/>
    <x v="1"/>
    <x v="0"/>
    <x v="1"/>
    <n v="45.3"/>
    <x v="0"/>
    <x v="180"/>
    <x v="1"/>
    <x v="0"/>
    <x v="0"/>
    <x v="0"/>
  </r>
  <r>
    <x v="6056"/>
    <x v="1"/>
    <x v="2"/>
    <x v="1"/>
    <n v="25"/>
    <x v="64"/>
    <x v="5259"/>
    <x v="0"/>
    <x v="0"/>
    <x v="1"/>
    <x v="3"/>
  </r>
  <r>
    <x v="6057"/>
    <x v="1"/>
    <x v="0"/>
    <x v="0"/>
    <n v="94.95"/>
    <x v="2"/>
    <x v="5260"/>
    <x v="1"/>
    <x v="0"/>
    <x v="0"/>
    <x v="0"/>
  </r>
  <r>
    <x v="6058"/>
    <x v="1"/>
    <x v="1"/>
    <x v="1"/>
    <n v="35.299999999999997"/>
    <x v="40"/>
    <x v="5261"/>
    <x v="0"/>
    <x v="0"/>
    <x v="0"/>
    <x v="0"/>
  </r>
  <r>
    <x v="6059"/>
    <x v="0"/>
    <x v="0"/>
    <x v="0"/>
    <n v="44.55"/>
    <x v="18"/>
    <x v="5262"/>
    <x v="1"/>
    <x v="0"/>
    <x v="2"/>
    <x v="0"/>
  </r>
  <r>
    <x v="6060"/>
    <x v="1"/>
    <x v="1"/>
    <x v="3"/>
    <n v="76.75"/>
    <x v="64"/>
    <x v="5263"/>
    <x v="0"/>
    <x v="1"/>
    <x v="1"/>
    <x v="3"/>
  </r>
  <r>
    <x v="6061"/>
    <x v="1"/>
    <x v="2"/>
    <x v="2"/>
    <n v="81"/>
    <x v="59"/>
    <x v="5264"/>
    <x v="0"/>
    <x v="1"/>
    <x v="1"/>
    <x v="3"/>
  </r>
  <r>
    <x v="6062"/>
    <x v="1"/>
    <x v="2"/>
    <x v="2"/>
    <n v="105.55"/>
    <x v="21"/>
    <x v="5265"/>
    <x v="0"/>
    <x v="2"/>
    <x v="1"/>
    <x v="3"/>
  </r>
  <r>
    <x v="6063"/>
    <x v="0"/>
    <x v="0"/>
    <x v="1"/>
    <n v="18.8"/>
    <x v="9"/>
    <x v="5266"/>
    <x v="0"/>
    <x v="0"/>
    <x v="2"/>
    <x v="2"/>
  </r>
  <r>
    <x v="6064"/>
    <x v="0"/>
    <x v="1"/>
    <x v="1"/>
    <n v="24.9"/>
    <x v="38"/>
    <x v="5267"/>
    <x v="0"/>
    <x v="0"/>
    <x v="1"/>
    <x v="3"/>
  </r>
  <r>
    <x v="6065"/>
    <x v="1"/>
    <x v="0"/>
    <x v="0"/>
    <n v="23.45"/>
    <x v="0"/>
    <x v="5268"/>
    <x v="1"/>
    <x v="0"/>
    <x v="0"/>
    <x v="0"/>
  </r>
  <r>
    <x v="6066"/>
    <x v="0"/>
    <x v="1"/>
    <x v="1"/>
    <n v="64.900000000000006"/>
    <x v="6"/>
    <x v="5269"/>
    <x v="0"/>
    <x v="0"/>
    <x v="0"/>
    <x v="0"/>
  </r>
  <r>
    <x v="6067"/>
    <x v="0"/>
    <x v="1"/>
    <x v="2"/>
    <n v="61.35"/>
    <x v="45"/>
    <x v="5270"/>
    <x v="0"/>
    <x v="1"/>
    <x v="1"/>
    <x v="3"/>
  </r>
  <r>
    <x v="6068"/>
    <x v="0"/>
    <x v="2"/>
    <x v="1"/>
    <n v="113.95"/>
    <x v="8"/>
    <x v="5271"/>
    <x v="0"/>
    <x v="2"/>
    <x v="1"/>
    <x v="3"/>
  </r>
  <r>
    <x v="6069"/>
    <x v="0"/>
    <x v="1"/>
    <x v="0"/>
    <n v="90.15"/>
    <x v="49"/>
    <x v="5272"/>
    <x v="0"/>
    <x v="1"/>
    <x v="1"/>
    <x v="3"/>
  </r>
  <r>
    <x v="6070"/>
    <x v="0"/>
    <x v="0"/>
    <x v="0"/>
    <n v="54.1"/>
    <x v="13"/>
    <x v="5273"/>
    <x v="0"/>
    <x v="0"/>
    <x v="1"/>
    <x v="1"/>
  </r>
  <r>
    <x v="6071"/>
    <x v="1"/>
    <x v="0"/>
    <x v="1"/>
    <n v="29.7"/>
    <x v="0"/>
    <x v="5274"/>
    <x v="1"/>
    <x v="0"/>
    <x v="0"/>
    <x v="0"/>
  </r>
  <r>
    <x v="6072"/>
    <x v="1"/>
    <x v="0"/>
    <x v="3"/>
    <n v="49.8"/>
    <x v="0"/>
    <x v="1853"/>
    <x v="0"/>
    <x v="0"/>
    <x v="0"/>
    <x v="0"/>
  </r>
  <r>
    <x v="6073"/>
    <x v="0"/>
    <x v="0"/>
    <x v="0"/>
    <n v="101.1"/>
    <x v="64"/>
    <x v="5275"/>
    <x v="1"/>
    <x v="2"/>
    <x v="1"/>
    <x v="3"/>
  </r>
  <r>
    <x v="6074"/>
    <x v="1"/>
    <x v="2"/>
    <x v="2"/>
    <n v="24.4"/>
    <x v="38"/>
    <x v="984"/>
    <x v="0"/>
    <x v="0"/>
    <x v="1"/>
    <x v="3"/>
  </r>
  <r>
    <x v="6075"/>
    <x v="1"/>
    <x v="0"/>
    <x v="2"/>
    <n v="95"/>
    <x v="51"/>
    <x v="5276"/>
    <x v="0"/>
    <x v="1"/>
    <x v="1"/>
    <x v="1"/>
  </r>
  <r>
    <x v="6076"/>
    <x v="0"/>
    <x v="0"/>
    <x v="1"/>
    <n v="50.65"/>
    <x v="35"/>
    <x v="5277"/>
    <x v="1"/>
    <x v="0"/>
    <x v="0"/>
    <x v="0"/>
  </r>
  <r>
    <x v="6077"/>
    <x v="1"/>
    <x v="2"/>
    <x v="1"/>
    <n v="69.900000000000006"/>
    <x v="59"/>
    <x v="5278"/>
    <x v="0"/>
    <x v="1"/>
    <x v="1"/>
    <x v="3"/>
  </r>
  <r>
    <x v="6078"/>
    <x v="1"/>
    <x v="1"/>
    <x v="2"/>
    <n v="39.950000000000003"/>
    <x v="70"/>
    <x v="5279"/>
    <x v="0"/>
    <x v="0"/>
    <x v="1"/>
    <x v="1"/>
  </r>
  <r>
    <x v="6079"/>
    <x v="0"/>
    <x v="0"/>
    <x v="0"/>
    <n v="55.4"/>
    <x v="0"/>
    <x v="5280"/>
    <x v="1"/>
    <x v="0"/>
    <x v="0"/>
    <x v="0"/>
  </r>
  <r>
    <x v="6080"/>
    <x v="0"/>
    <x v="0"/>
    <x v="0"/>
    <n v="90.6"/>
    <x v="0"/>
    <x v="3795"/>
    <x v="1"/>
    <x v="0"/>
    <x v="0"/>
    <x v="0"/>
  </r>
  <r>
    <x v="6081"/>
    <x v="1"/>
    <x v="2"/>
    <x v="3"/>
    <n v="103.25"/>
    <x v="47"/>
    <x v="5281"/>
    <x v="0"/>
    <x v="2"/>
    <x v="1"/>
    <x v="3"/>
  </r>
  <r>
    <x v="6082"/>
    <x v="1"/>
    <x v="0"/>
    <x v="1"/>
    <n v="86.85"/>
    <x v="2"/>
    <x v="5282"/>
    <x v="1"/>
    <x v="0"/>
    <x v="0"/>
    <x v="0"/>
  </r>
  <r>
    <x v="6083"/>
    <x v="0"/>
    <x v="2"/>
    <x v="2"/>
    <n v="94.25"/>
    <x v="21"/>
    <x v="5283"/>
    <x v="0"/>
    <x v="2"/>
    <x v="1"/>
    <x v="3"/>
  </r>
  <r>
    <x v="6084"/>
    <x v="0"/>
    <x v="2"/>
    <x v="0"/>
    <n v="47.05"/>
    <x v="16"/>
    <x v="5284"/>
    <x v="0"/>
    <x v="1"/>
    <x v="1"/>
    <x v="3"/>
  </r>
  <r>
    <x v="6085"/>
    <x v="1"/>
    <x v="2"/>
    <x v="3"/>
    <n v="20.55"/>
    <x v="58"/>
    <x v="5285"/>
    <x v="0"/>
    <x v="0"/>
    <x v="1"/>
    <x v="3"/>
  </r>
  <r>
    <x v="6086"/>
    <x v="1"/>
    <x v="0"/>
    <x v="1"/>
    <n v="19.649999999999999"/>
    <x v="54"/>
    <x v="5286"/>
    <x v="0"/>
    <x v="0"/>
    <x v="0"/>
    <x v="0"/>
  </r>
  <r>
    <x v="6087"/>
    <x v="0"/>
    <x v="0"/>
    <x v="0"/>
    <n v="70.2"/>
    <x v="0"/>
    <x v="1768"/>
    <x v="0"/>
    <x v="0"/>
    <x v="0"/>
    <x v="0"/>
  </r>
  <r>
    <x v="6088"/>
    <x v="1"/>
    <x v="2"/>
    <x v="3"/>
    <n v="81"/>
    <x v="21"/>
    <x v="228"/>
    <x v="0"/>
    <x v="2"/>
    <x v="1"/>
    <x v="3"/>
  </r>
  <r>
    <x v="6089"/>
    <x v="1"/>
    <x v="1"/>
    <x v="2"/>
    <n v="75.900000000000006"/>
    <x v="17"/>
    <x v="5287"/>
    <x v="0"/>
    <x v="0"/>
    <x v="2"/>
    <x v="2"/>
  </r>
  <r>
    <x v="6090"/>
    <x v="0"/>
    <x v="2"/>
    <x v="2"/>
    <n v="24.7"/>
    <x v="16"/>
    <x v="5288"/>
    <x v="0"/>
    <x v="0"/>
    <x v="1"/>
    <x v="3"/>
  </r>
  <r>
    <x v="6091"/>
    <x v="0"/>
    <x v="0"/>
    <x v="2"/>
    <n v="99.05"/>
    <x v="44"/>
    <x v="5289"/>
    <x v="1"/>
    <x v="1"/>
    <x v="1"/>
    <x v="1"/>
  </r>
  <r>
    <x v="6092"/>
    <x v="0"/>
    <x v="2"/>
    <x v="3"/>
    <n v="110.25"/>
    <x v="14"/>
    <x v="5290"/>
    <x v="0"/>
    <x v="2"/>
    <x v="1"/>
    <x v="3"/>
  </r>
  <r>
    <x v="6093"/>
    <x v="0"/>
    <x v="2"/>
    <x v="3"/>
    <n v="85"/>
    <x v="38"/>
    <x v="5291"/>
    <x v="0"/>
    <x v="2"/>
    <x v="1"/>
    <x v="3"/>
  </r>
  <r>
    <x v="6094"/>
    <x v="1"/>
    <x v="0"/>
    <x v="3"/>
    <n v="19.75"/>
    <x v="10"/>
    <x v="237"/>
    <x v="0"/>
    <x v="0"/>
    <x v="2"/>
    <x v="2"/>
  </r>
  <r>
    <x v="6095"/>
    <x v="0"/>
    <x v="1"/>
    <x v="0"/>
    <n v="23.9"/>
    <x v="54"/>
    <x v="1971"/>
    <x v="0"/>
    <x v="0"/>
    <x v="0"/>
    <x v="0"/>
  </r>
  <r>
    <x v="6096"/>
    <x v="0"/>
    <x v="1"/>
    <x v="3"/>
    <n v="111.25"/>
    <x v="15"/>
    <x v="5292"/>
    <x v="1"/>
    <x v="2"/>
    <x v="1"/>
    <x v="3"/>
  </r>
  <r>
    <x v="6097"/>
    <x v="1"/>
    <x v="0"/>
    <x v="1"/>
    <n v="55.1"/>
    <x v="2"/>
    <x v="5293"/>
    <x v="1"/>
    <x v="0"/>
    <x v="0"/>
    <x v="0"/>
  </r>
  <r>
    <x v="6098"/>
    <x v="1"/>
    <x v="0"/>
    <x v="1"/>
    <n v="19.95"/>
    <x v="0"/>
    <x v="3809"/>
    <x v="0"/>
    <x v="0"/>
    <x v="0"/>
    <x v="0"/>
  </r>
  <r>
    <x v="6099"/>
    <x v="1"/>
    <x v="0"/>
    <x v="1"/>
    <n v="25.15"/>
    <x v="32"/>
    <x v="5294"/>
    <x v="0"/>
    <x v="0"/>
    <x v="2"/>
    <x v="2"/>
  </r>
  <r>
    <x v="6100"/>
    <x v="0"/>
    <x v="0"/>
    <x v="1"/>
    <n v="54.15"/>
    <x v="2"/>
    <x v="5295"/>
    <x v="0"/>
    <x v="0"/>
    <x v="0"/>
    <x v="0"/>
  </r>
  <r>
    <x v="6101"/>
    <x v="0"/>
    <x v="0"/>
    <x v="1"/>
    <n v="59.8"/>
    <x v="67"/>
    <x v="5296"/>
    <x v="0"/>
    <x v="0"/>
    <x v="2"/>
    <x v="2"/>
  </r>
  <r>
    <x v="6102"/>
    <x v="0"/>
    <x v="0"/>
    <x v="2"/>
    <n v="83.85"/>
    <x v="63"/>
    <x v="5297"/>
    <x v="0"/>
    <x v="1"/>
    <x v="1"/>
    <x v="1"/>
  </r>
  <r>
    <x v="6103"/>
    <x v="0"/>
    <x v="1"/>
    <x v="0"/>
    <n v="104.9"/>
    <x v="33"/>
    <x v="5298"/>
    <x v="0"/>
    <x v="2"/>
    <x v="1"/>
    <x v="3"/>
  </r>
  <r>
    <x v="6104"/>
    <x v="1"/>
    <x v="0"/>
    <x v="1"/>
    <n v="75.3"/>
    <x v="17"/>
    <x v="5299"/>
    <x v="0"/>
    <x v="0"/>
    <x v="2"/>
    <x v="2"/>
  </r>
  <r>
    <x v="6105"/>
    <x v="1"/>
    <x v="0"/>
    <x v="0"/>
    <n v="66.650000000000006"/>
    <x v="4"/>
    <x v="5300"/>
    <x v="0"/>
    <x v="0"/>
    <x v="0"/>
    <x v="0"/>
  </r>
  <r>
    <x v="6106"/>
    <x v="0"/>
    <x v="2"/>
    <x v="3"/>
    <n v="109.5"/>
    <x v="21"/>
    <x v="5301"/>
    <x v="0"/>
    <x v="2"/>
    <x v="1"/>
    <x v="3"/>
  </r>
  <r>
    <x v="6107"/>
    <x v="0"/>
    <x v="1"/>
    <x v="2"/>
    <n v="73.849999999999994"/>
    <x v="43"/>
    <x v="5302"/>
    <x v="0"/>
    <x v="1"/>
    <x v="1"/>
    <x v="1"/>
  </r>
  <r>
    <x v="6108"/>
    <x v="1"/>
    <x v="2"/>
    <x v="2"/>
    <n v="19.3"/>
    <x v="14"/>
    <x v="5303"/>
    <x v="0"/>
    <x v="0"/>
    <x v="1"/>
    <x v="3"/>
  </r>
  <r>
    <x v="6109"/>
    <x v="1"/>
    <x v="2"/>
    <x v="0"/>
    <n v="118.2"/>
    <x v="21"/>
    <x v="5304"/>
    <x v="0"/>
    <x v="2"/>
    <x v="1"/>
    <x v="3"/>
  </r>
  <r>
    <x v="6110"/>
    <x v="0"/>
    <x v="1"/>
    <x v="3"/>
    <n v="51.45"/>
    <x v="60"/>
    <x v="5305"/>
    <x v="0"/>
    <x v="0"/>
    <x v="2"/>
    <x v="2"/>
  </r>
  <r>
    <x v="6111"/>
    <x v="1"/>
    <x v="0"/>
    <x v="0"/>
    <n v="59.45"/>
    <x v="53"/>
    <x v="5306"/>
    <x v="0"/>
    <x v="0"/>
    <x v="0"/>
    <x v="0"/>
  </r>
  <r>
    <x v="6112"/>
    <x v="0"/>
    <x v="2"/>
    <x v="2"/>
    <n v="19.5"/>
    <x v="4"/>
    <x v="5307"/>
    <x v="0"/>
    <x v="0"/>
    <x v="0"/>
    <x v="0"/>
  </r>
  <r>
    <x v="6113"/>
    <x v="0"/>
    <x v="1"/>
    <x v="1"/>
    <n v="19.55"/>
    <x v="22"/>
    <x v="5308"/>
    <x v="0"/>
    <x v="0"/>
    <x v="2"/>
    <x v="2"/>
  </r>
  <r>
    <x v="6114"/>
    <x v="1"/>
    <x v="1"/>
    <x v="0"/>
    <n v="93.55"/>
    <x v="45"/>
    <x v="5309"/>
    <x v="0"/>
    <x v="2"/>
    <x v="1"/>
    <x v="3"/>
  </r>
  <r>
    <x v="6115"/>
    <x v="0"/>
    <x v="1"/>
    <x v="1"/>
    <n v="59.3"/>
    <x v="58"/>
    <x v="5310"/>
    <x v="0"/>
    <x v="1"/>
    <x v="1"/>
    <x v="3"/>
  </r>
  <r>
    <x v="6116"/>
    <x v="1"/>
    <x v="0"/>
    <x v="3"/>
    <n v="102.25"/>
    <x v="9"/>
    <x v="5311"/>
    <x v="1"/>
    <x v="0"/>
    <x v="2"/>
    <x v="2"/>
  </r>
  <r>
    <x v="6117"/>
    <x v="1"/>
    <x v="0"/>
    <x v="3"/>
    <n v="95.9"/>
    <x v="67"/>
    <x v="5312"/>
    <x v="1"/>
    <x v="0"/>
    <x v="2"/>
    <x v="2"/>
  </r>
  <r>
    <x v="6118"/>
    <x v="0"/>
    <x v="1"/>
    <x v="2"/>
    <n v="109.8"/>
    <x v="39"/>
    <x v="5313"/>
    <x v="0"/>
    <x v="2"/>
    <x v="1"/>
    <x v="3"/>
  </r>
  <r>
    <x v="6119"/>
    <x v="0"/>
    <x v="0"/>
    <x v="0"/>
    <n v="78.099999999999994"/>
    <x v="60"/>
    <x v="5314"/>
    <x v="0"/>
    <x v="0"/>
    <x v="2"/>
    <x v="2"/>
  </r>
  <r>
    <x v="6120"/>
    <x v="1"/>
    <x v="0"/>
    <x v="0"/>
    <n v="39.9"/>
    <x v="15"/>
    <x v="5315"/>
    <x v="0"/>
    <x v="1"/>
    <x v="1"/>
    <x v="3"/>
  </r>
  <r>
    <x v="6121"/>
    <x v="0"/>
    <x v="2"/>
    <x v="3"/>
    <n v="64.900000000000006"/>
    <x v="11"/>
    <x v="5316"/>
    <x v="0"/>
    <x v="1"/>
    <x v="1"/>
    <x v="3"/>
  </r>
  <r>
    <x v="6122"/>
    <x v="0"/>
    <x v="0"/>
    <x v="0"/>
    <n v="95.05"/>
    <x v="20"/>
    <x v="5317"/>
    <x v="1"/>
    <x v="1"/>
    <x v="1"/>
    <x v="1"/>
  </r>
  <r>
    <x v="6123"/>
    <x v="0"/>
    <x v="0"/>
    <x v="3"/>
    <n v="53.4"/>
    <x v="56"/>
    <x v="5318"/>
    <x v="0"/>
    <x v="1"/>
    <x v="1"/>
    <x v="3"/>
  </r>
  <r>
    <x v="6124"/>
    <x v="1"/>
    <x v="0"/>
    <x v="3"/>
    <n v="24.9"/>
    <x v="2"/>
    <x v="1853"/>
    <x v="0"/>
    <x v="0"/>
    <x v="0"/>
    <x v="0"/>
  </r>
  <r>
    <x v="6125"/>
    <x v="1"/>
    <x v="0"/>
    <x v="3"/>
    <n v="44.7"/>
    <x v="53"/>
    <x v="5319"/>
    <x v="0"/>
    <x v="0"/>
    <x v="0"/>
    <x v="0"/>
  </r>
  <r>
    <x v="6126"/>
    <x v="1"/>
    <x v="2"/>
    <x v="2"/>
    <n v="114"/>
    <x v="16"/>
    <x v="5320"/>
    <x v="0"/>
    <x v="2"/>
    <x v="1"/>
    <x v="3"/>
  </r>
  <r>
    <x v="6127"/>
    <x v="0"/>
    <x v="2"/>
    <x v="2"/>
    <n v="20.25"/>
    <x v="25"/>
    <x v="5321"/>
    <x v="0"/>
    <x v="0"/>
    <x v="1"/>
    <x v="1"/>
  </r>
  <r>
    <x v="6128"/>
    <x v="0"/>
    <x v="0"/>
    <x v="3"/>
    <n v="53.85"/>
    <x v="24"/>
    <x v="5322"/>
    <x v="1"/>
    <x v="0"/>
    <x v="0"/>
    <x v="0"/>
  </r>
  <r>
    <x v="6129"/>
    <x v="1"/>
    <x v="0"/>
    <x v="2"/>
    <n v="83.85"/>
    <x v="56"/>
    <x v="5323"/>
    <x v="0"/>
    <x v="2"/>
    <x v="1"/>
    <x v="3"/>
  </r>
  <r>
    <x v="6130"/>
    <x v="1"/>
    <x v="0"/>
    <x v="2"/>
    <n v="20.2"/>
    <x v="35"/>
    <x v="2009"/>
    <x v="0"/>
    <x v="0"/>
    <x v="0"/>
    <x v="0"/>
  </r>
  <r>
    <x v="6131"/>
    <x v="0"/>
    <x v="0"/>
    <x v="1"/>
    <n v="19.95"/>
    <x v="35"/>
    <x v="1345"/>
    <x v="0"/>
    <x v="0"/>
    <x v="0"/>
    <x v="0"/>
  </r>
  <r>
    <x v="6132"/>
    <x v="1"/>
    <x v="0"/>
    <x v="0"/>
    <n v="104.2"/>
    <x v="15"/>
    <x v="5324"/>
    <x v="1"/>
    <x v="2"/>
    <x v="1"/>
    <x v="3"/>
  </r>
  <r>
    <x v="6133"/>
    <x v="0"/>
    <x v="0"/>
    <x v="0"/>
    <n v="50.25"/>
    <x v="41"/>
    <x v="5325"/>
    <x v="1"/>
    <x v="1"/>
    <x v="1"/>
    <x v="1"/>
  </r>
  <r>
    <x v="6134"/>
    <x v="1"/>
    <x v="1"/>
    <x v="1"/>
    <n v="20.350000000000001"/>
    <x v="37"/>
    <x v="5326"/>
    <x v="0"/>
    <x v="0"/>
    <x v="1"/>
    <x v="3"/>
  </r>
  <r>
    <x v="6135"/>
    <x v="1"/>
    <x v="0"/>
    <x v="0"/>
    <n v="90"/>
    <x v="57"/>
    <x v="5327"/>
    <x v="0"/>
    <x v="1"/>
    <x v="2"/>
    <x v="2"/>
  </r>
  <r>
    <x v="6136"/>
    <x v="0"/>
    <x v="2"/>
    <x v="3"/>
    <n v="54.2"/>
    <x v="56"/>
    <x v="2232"/>
    <x v="0"/>
    <x v="1"/>
    <x v="1"/>
    <x v="3"/>
  </r>
  <r>
    <x v="6137"/>
    <x v="0"/>
    <x v="0"/>
    <x v="0"/>
    <n v="99.5"/>
    <x v="13"/>
    <x v="5328"/>
    <x v="1"/>
    <x v="1"/>
    <x v="1"/>
    <x v="1"/>
  </r>
  <r>
    <x v="6138"/>
    <x v="0"/>
    <x v="1"/>
    <x v="1"/>
    <n v="99.1"/>
    <x v="71"/>
    <x v="5329"/>
    <x v="0"/>
    <x v="1"/>
    <x v="1"/>
    <x v="1"/>
  </r>
  <r>
    <x v="6139"/>
    <x v="0"/>
    <x v="2"/>
    <x v="1"/>
    <n v="66.900000000000006"/>
    <x v="14"/>
    <x v="5330"/>
    <x v="0"/>
    <x v="1"/>
    <x v="1"/>
    <x v="3"/>
  </r>
  <r>
    <x v="6140"/>
    <x v="0"/>
    <x v="1"/>
    <x v="1"/>
    <n v="25.85"/>
    <x v="0"/>
    <x v="5331"/>
    <x v="0"/>
    <x v="0"/>
    <x v="0"/>
    <x v="0"/>
  </r>
  <r>
    <x v="6141"/>
    <x v="1"/>
    <x v="0"/>
    <x v="0"/>
    <n v="91.05"/>
    <x v="48"/>
    <x v="5332"/>
    <x v="0"/>
    <x v="1"/>
    <x v="1"/>
    <x v="1"/>
  </r>
  <r>
    <x v="6142"/>
    <x v="0"/>
    <x v="0"/>
    <x v="0"/>
    <n v="71"/>
    <x v="34"/>
    <x v="5333"/>
    <x v="1"/>
    <x v="0"/>
    <x v="0"/>
    <x v="0"/>
  </r>
  <r>
    <x v="6143"/>
    <x v="0"/>
    <x v="0"/>
    <x v="3"/>
    <n v="93.2"/>
    <x v="10"/>
    <x v="5334"/>
    <x v="1"/>
    <x v="0"/>
    <x v="2"/>
    <x v="2"/>
  </r>
  <r>
    <x v="6144"/>
    <x v="1"/>
    <x v="2"/>
    <x v="2"/>
    <n v="20.95"/>
    <x v="31"/>
    <x v="5335"/>
    <x v="0"/>
    <x v="0"/>
    <x v="1"/>
    <x v="3"/>
  </r>
  <r>
    <x v="6145"/>
    <x v="0"/>
    <x v="2"/>
    <x v="2"/>
    <n v="109.2"/>
    <x v="21"/>
    <x v="239"/>
    <x v="0"/>
    <x v="2"/>
    <x v="1"/>
    <x v="3"/>
  </r>
  <r>
    <x v="6146"/>
    <x v="1"/>
    <x v="0"/>
    <x v="1"/>
    <n v="19.350000000000001"/>
    <x v="24"/>
    <x v="5336"/>
    <x v="1"/>
    <x v="0"/>
    <x v="0"/>
    <x v="0"/>
  </r>
  <r>
    <x v="6147"/>
    <x v="0"/>
    <x v="0"/>
    <x v="3"/>
    <n v="85.8"/>
    <x v="70"/>
    <x v="5337"/>
    <x v="0"/>
    <x v="1"/>
    <x v="1"/>
    <x v="1"/>
  </r>
  <r>
    <x v="6148"/>
    <x v="1"/>
    <x v="0"/>
    <x v="1"/>
    <n v="19.850000000000001"/>
    <x v="35"/>
    <x v="739"/>
    <x v="1"/>
    <x v="0"/>
    <x v="0"/>
    <x v="0"/>
  </r>
  <r>
    <x v="6149"/>
    <x v="1"/>
    <x v="0"/>
    <x v="0"/>
    <n v="19.649999999999999"/>
    <x v="2"/>
    <x v="569"/>
    <x v="0"/>
    <x v="0"/>
    <x v="0"/>
    <x v="0"/>
  </r>
  <r>
    <x v="6150"/>
    <x v="0"/>
    <x v="1"/>
    <x v="2"/>
    <n v="20.5"/>
    <x v="2"/>
    <x v="5338"/>
    <x v="0"/>
    <x v="0"/>
    <x v="0"/>
    <x v="0"/>
  </r>
  <r>
    <x v="6151"/>
    <x v="0"/>
    <x v="1"/>
    <x v="3"/>
    <n v="89.65"/>
    <x v="51"/>
    <x v="5339"/>
    <x v="0"/>
    <x v="1"/>
    <x v="1"/>
    <x v="1"/>
  </r>
  <r>
    <x v="6152"/>
    <x v="1"/>
    <x v="0"/>
    <x v="1"/>
    <n v="74.349999999999994"/>
    <x v="40"/>
    <x v="5340"/>
    <x v="0"/>
    <x v="0"/>
    <x v="0"/>
    <x v="0"/>
  </r>
  <r>
    <x v="6153"/>
    <x v="0"/>
    <x v="2"/>
    <x v="3"/>
    <n v="49.45"/>
    <x v="31"/>
    <x v="5341"/>
    <x v="0"/>
    <x v="1"/>
    <x v="1"/>
    <x v="3"/>
  </r>
  <r>
    <x v="6154"/>
    <x v="0"/>
    <x v="0"/>
    <x v="0"/>
    <n v="89.1"/>
    <x v="67"/>
    <x v="5342"/>
    <x v="0"/>
    <x v="0"/>
    <x v="2"/>
    <x v="2"/>
  </r>
  <r>
    <x v="6155"/>
    <x v="1"/>
    <x v="2"/>
    <x v="3"/>
    <n v="75.150000000000006"/>
    <x v="3"/>
    <x v="5343"/>
    <x v="0"/>
    <x v="1"/>
    <x v="1"/>
    <x v="1"/>
  </r>
  <r>
    <x v="6156"/>
    <x v="1"/>
    <x v="0"/>
    <x v="0"/>
    <n v="70.650000000000006"/>
    <x v="54"/>
    <x v="5344"/>
    <x v="0"/>
    <x v="0"/>
    <x v="0"/>
    <x v="0"/>
  </r>
  <r>
    <x v="6157"/>
    <x v="0"/>
    <x v="0"/>
    <x v="0"/>
    <n v="104.2"/>
    <x v="36"/>
    <x v="5345"/>
    <x v="1"/>
    <x v="1"/>
    <x v="1"/>
    <x v="1"/>
  </r>
  <r>
    <x v="6158"/>
    <x v="1"/>
    <x v="0"/>
    <x v="0"/>
    <n v="90.05"/>
    <x v="20"/>
    <x v="5346"/>
    <x v="0"/>
    <x v="1"/>
    <x v="1"/>
    <x v="1"/>
  </r>
  <r>
    <x v="6159"/>
    <x v="1"/>
    <x v="0"/>
    <x v="0"/>
    <n v="79.25"/>
    <x v="0"/>
    <x v="5347"/>
    <x v="1"/>
    <x v="0"/>
    <x v="0"/>
    <x v="0"/>
  </r>
  <r>
    <x v="6160"/>
    <x v="0"/>
    <x v="0"/>
    <x v="2"/>
    <n v="44.9"/>
    <x v="0"/>
    <x v="3207"/>
    <x v="1"/>
    <x v="0"/>
    <x v="0"/>
    <x v="0"/>
  </r>
  <r>
    <x v="6161"/>
    <x v="0"/>
    <x v="0"/>
    <x v="3"/>
    <n v="19.399999999999999"/>
    <x v="0"/>
    <x v="2381"/>
    <x v="0"/>
    <x v="0"/>
    <x v="0"/>
    <x v="0"/>
  </r>
  <r>
    <x v="6162"/>
    <x v="0"/>
    <x v="0"/>
    <x v="3"/>
    <n v="88.75"/>
    <x v="64"/>
    <x v="5348"/>
    <x v="0"/>
    <x v="2"/>
    <x v="1"/>
    <x v="3"/>
  </r>
  <r>
    <x v="6163"/>
    <x v="1"/>
    <x v="0"/>
    <x v="0"/>
    <n v="70.099999999999994"/>
    <x v="6"/>
    <x v="5349"/>
    <x v="1"/>
    <x v="0"/>
    <x v="0"/>
    <x v="0"/>
  </r>
  <r>
    <x v="6164"/>
    <x v="1"/>
    <x v="0"/>
    <x v="3"/>
    <n v="91"/>
    <x v="42"/>
    <x v="5350"/>
    <x v="0"/>
    <x v="1"/>
    <x v="1"/>
    <x v="1"/>
  </r>
  <r>
    <x v="6165"/>
    <x v="1"/>
    <x v="0"/>
    <x v="0"/>
    <n v="29.65"/>
    <x v="54"/>
    <x v="5351"/>
    <x v="1"/>
    <x v="0"/>
    <x v="0"/>
    <x v="0"/>
  </r>
  <r>
    <x v="6166"/>
    <x v="1"/>
    <x v="1"/>
    <x v="0"/>
    <n v="90.8"/>
    <x v="48"/>
    <x v="5352"/>
    <x v="0"/>
    <x v="1"/>
    <x v="1"/>
    <x v="1"/>
  </r>
  <r>
    <x v="6167"/>
    <x v="1"/>
    <x v="0"/>
    <x v="0"/>
    <n v="77.849999999999994"/>
    <x v="29"/>
    <x v="5353"/>
    <x v="1"/>
    <x v="1"/>
    <x v="1"/>
    <x v="1"/>
  </r>
  <r>
    <x v="6168"/>
    <x v="1"/>
    <x v="0"/>
    <x v="0"/>
    <n v="54.3"/>
    <x v="54"/>
    <x v="5354"/>
    <x v="1"/>
    <x v="0"/>
    <x v="0"/>
    <x v="0"/>
  </r>
  <r>
    <x v="6169"/>
    <x v="0"/>
    <x v="2"/>
    <x v="1"/>
    <n v="18.95"/>
    <x v="68"/>
    <x v="5355"/>
    <x v="0"/>
    <x v="0"/>
    <x v="1"/>
    <x v="3"/>
  </r>
  <r>
    <x v="6170"/>
    <x v="0"/>
    <x v="0"/>
    <x v="2"/>
    <n v="95.15"/>
    <x v="26"/>
    <x v="5356"/>
    <x v="1"/>
    <x v="0"/>
    <x v="0"/>
    <x v="0"/>
  </r>
  <r>
    <x v="6171"/>
    <x v="0"/>
    <x v="2"/>
    <x v="2"/>
    <n v="102.4"/>
    <x v="33"/>
    <x v="5357"/>
    <x v="0"/>
    <x v="2"/>
    <x v="1"/>
    <x v="3"/>
  </r>
  <r>
    <x v="6172"/>
    <x v="1"/>
    <x v="1"/>
    <x v="0"/>
    <n v="99.9"/>
    <x v="59"/>
    <x v="5358"/>
    <x v="0"/>
    <x v="2"/>
    <x v="1"/>
    <x v="3"/>
  </r>
  <r>
    <x v="6173"/>
    <x v="1"/>
    <x v="2"/>
    <x v="3"/>
    <n v="88.7"/>
    <x v="21"/>
    <x v="3459"/>
    <x v="0"/>
    <x v="2"/>
    <x v="1"/>
    <x v="3"/>
  </r>
  <r>
    <x v="6174"/>
    <x v="1"/>
    <x v="1"/>
    <x v="0"/>
    <n v="54.3"/>
    <x v="66"/>
    <x v="4477"/>
    <x v="0"/>
    <x v="1"/>
    <x v="1"/>
    <x v="1"/>
  </r>
  <r>
    <x v="6175"/>
    <x v="1"/>
    <x v="0"/>
    <x v="2"/>
    <n v="55.7"/>
    <x v="52"/>
    <x v="5359"/>
    <x v="0"/>
    <x v="1"/>
    <x v="1"/>
    <x v="1"/>
  </r>
  <r>
    <x v="6176"/>
    <x v="1"/>
    <x v="1"/>
    <x v="0"/>
    <n v="103.95"/>
    <x v="37"/>
    <x v="5360"/>
    <x v="0"/>
    <x v="2"/>
    <x v="1"/>
    <x v="3"/>
  </r>
  <r>
    <x v="6177"/>
    <x v="1"/>
    <x v="1"/>
    <x v="3"/>
    <n v="110.85"/>
    <x v="20"/>
    <x v="5361"/>
    <x v="1"/>
    <x v="2"/>
    <x v="1"/>
    <x v="1"/>
  </r>
  <r>
    <x v="6178"/>
    <x v="1"/>
    <x v="2"/>
    <x v="1"/>
    <n v="20.149999999999999"/>
    <x v="4"/>
    <x v="330"/>
    <x v="0"/>
    <x v="0"/>
    <x v="0"/>
    <x v="0"/>
  </r>
  <r>
    <x v="6179"/>
    <x v="1"/>
    <x v="0"/>
    <x v="1"/>
    <n v="20.05"/>
    <x v="32"/>
    <x v="2354"/>
    <x v="0"/>
    <x v="0"/>
    <x v="2"/>
    <x v="2"/>
  </r>
  <r>
    <x v="6180"/>
    <x v="1"/>
    <x v="2"/>
    <x v="3"/>
    <n v="91.95"/>
    <x v="21"/>
    <x v="5362"/>
    <x v="0"/>
    <x v="2"/>
    <x v="1"/>
    <x v="3"/>
  </r>
  <r>
    <x v="6181"/>
    <x v="1"/>
    <x v="0"/>
    <x v="0"/>
    <n v="80.5"/>
    <x v="0"/>
    <x v="5363"/>
    <x v="1"/>
    <x v="0"/>
    <x v="0"/>
    <x v="0"/>
  </r>
  <r>
    <x v="6182"/>
    <x v="0"/>
    <x v="0"/>
    <x v="0"/>
    <n v="55.65"/>
    <x v="41"/>
    <x v="5364"/>
    <x v="0"/>
    <x v="1"/>
    <x v="1"/>
    <x v="1"/>
  </r>
  <r>
    <x v="6183"/>
    <x v="0"/>
    <x v="0"/>
    <x v="0"/>
    <n v="74.7"/>
    <x v="32"/>
    <x v="5365"/>
    <x v="0"/>
    <x v="0"/>
    <x v="2"/>
    <x v="2"/>
  </r>
  <r>
    <x v="6184"/>
    <x v="0"/>
    <x v="1"/>
    <x v="3"/>
    <n v="104.15"/>
    <x v="9"/>
    <x v="5366"/>
    <x v="0"/>
    <x v="0"/>
    <x v="2"/>
    <x v="2"/>
  </r>
  <r>
    <x v="6185"/>
    <x v="0"/>
    <x v="1"/>
    <x v="2"/>
    <n v="83.65"/>
    <x v="47"/>
    <x v="5367"/>
    <x v="0"/>
    <x v="2"/>
    <x v="1"/>
    <x v="3"/>
  </r>
  <r>
    <x v="6186"/>
    <x v="1"/>
    <x v="0"/>
    <x v="2"/>
    <n v="72.2"/>
    <x v="54"/>
    <x v="5368"/>
    <x v="1"/>
    <x v="0"/>
    <x v="0"/>
    <x v="0"/>
  </r>
  <r>
    <x v="6187"/>
    <x v="1"/>
    <x v="2"/>
    <x v="3"/>
    <n v="110.05"/>
    <x v="14"/>
    <x v="5369"/>
    <x v="0"/>
    <x v="2"/>
    <x v="1"/>
    <x v="3"/>
  </r>
  <r>
    <x v="6188"/>
    <x v="1"/>
    <x v="0"/>
    <x v="1"/>
    <n v="51.5"/>
    <x v="22"/>
    <x v="5370"/>
    <x v="1"/>
    <x v="0"/>
    <x v="2"/>
    <x v="2"/>
  </r>
  <r>
    <x v="6189"/>
    <x v="1"/>
    <x v="2"/>
    <x v="3"/>
    <n v="25.5"/>
    <x v="13"/>
    <x v="2010"/>
    <x v="0"/>
    <x v="0"/>
    <x v="1"/>
    <x v="1"/>
  </r>
  <r>
    <x v="6190"/>
    <x v="1"/>
    <x v="0"/>
    <x v="1"/>
    <n v="89.55"/>
    <x v="29"/>
    <x v="5371"/>
    <x v="1"/>
    <x v="1"/>
    <x v="1"/>
    <x v="1"/>
  </r>
  <r>
    <x v="6191"/>
    <x v="0"/>
    <x v="2"/>
    <x v="3"/>
    <n v="19.5"/>
    <x v="64"/>
    <x v="5141"/>
    <x v="0"/>
    <x v="0"/>
    <x v="1"/>
    <x v="3"/>
  </r>
  <r>
    <x v="6192"/>
    <x v="0"/>
    <x v="0"/>
    <x v="0"/>
    <n v="80.7"/>
    <x v="24"/>
    <x v="5372"/>
    <x v="0"/>
    <x v="0"/>
    <x v="0"/>
    <x v="0"/>
  </r>
  <r>
    <x v="6193"/>
    <x v="1"/>
    <x v="1"/>
    <x v="1"/>
    <n v="77.5"/>
    <x v="17"/>
    <x v="5373"/>
    <x v="1"/>
    <x v="0"/>
    <x v="2"/>
    <x v="2"/>
  </r>
  <r>
    <x v="6194"/>
    <x v="0"/>
    <x v="1"/>
    <x v="3"/>
    <n v="105.1"/>
    <x v="14"/>
    <x v="5374"/>
    <x v="0"/>
    <x v="2"/>
    <x v="1"/>
    <x v="3"/>
  </r>
  <r>
    <x v="6195"/>
    <x v="1"/>
    <x v="0"/>
    <x v="2"/>
    <n v="25.15"/>
    <x v="9"/>
    <x v="5375"/>
    <x v="0"/>
    <x v="0"/>
    <x v="2"/>
    <x v="2"/>
  </r>
  <r>
    <x v="6196"/>
    <x v="1"/>
    <x v="0"/>
    <x v="2"/>
    <n v="95.25"/>
    <x v="41"/>
    <x v="5376"/>
    <x v="1"/>
    <x v="1"/>
    <x v="1"/>
    <x v="1"/>
  </r>
  <r>
    <x v="6197"/>
    <x v="1"/>
    <x v="0"/>
    <x v="3"/>
    <n v="95.65"/>
    <x v="15"/>
    <x v="5377"/>
    <x v="0"/>
    <x v="1"/>
    <x v="1"/>
    <x v="3"/>
  </r>
  <r>
    <x v="6198"/>
    <x v="1"/>
    <x v="0"/>
    <x v="0"/>
    <n v="85"/>
    <x v="25"/>
    <x v="5378"/>
    <x v="1"/>
    <x v="1"/>
    <x v="1"/>
    <x v="1"/>
  </r>
  <r>
    <x v="6199"/>
    <x v="1"/>
    <x v="2"/>
    <x v="2"/>
    <n v="80.8"/>
    <x v="59"/>
    <x v="5379"/>
    <x v="0"/>
    <x v="1"/>
    <x v="1"/>
    <x v="3"/>
  </r>
  <r>
    <x v="6200"/>
    <x v="1"/>
    <x v="1"/>
    <x v="1"/>
    <n v="24.85"/>
    <x v="44"/>
    <x v="5380"/>
    <x v="0"/>
    <x v="0"/>
    <x v="1"/>
    <x v="1"/>
  </r>
  <r>
    <x v="6201"/>
    <x v="0"/>
    <x v="1"/>
    <x v="3"/>
    <n v="54.75"/>
    <x v="13"/>
    <x v="5381"/>
    <x v="0"/>
    <x v="0"/>
    <x v="1"/>
    <x v="1"/>
  </r>
  <r>
    <x v="6202"/>
    <x v="0"/>
    <x v="0"/>
    <x v="0"/>
    <n v="85.75"/>
    <x v="24"/>
    <x v="5382"/>
    <x v="1"/>
    <x v="0"/>
    <x v="0"/>
    <x v="0"/>
  </r>
  <r>
    <x v="6203"/>
    <x v="1"/>
    <x v="1"/>
    <x v="0"/>
    <n v="50.75"/>
    <x v="30"/>
    <x v="5383"/>
    <x v="0"/>
    <x v="0"/>
    <x v="2"/>
    <x v="2"/>
  </r>
  <r>
    <x v="6204"/>
    <x v="0"/>
    <x v="2"/>
    <x v="1"/>
    <n v="20.149999999999999"/>
    <x v="67"/>
    <x v="5384"/>
    <x v="0"/>
    <x v="0"/>
    <x v="2"/>
    <x v="2"/>
  </r>
  <r>
    <x v="6205"/>
    <x v="1"/>
    <x v="2"/>
    <x v="1"/>
    <n v="20.05"/>
    <x v="66"/>
    <x v="5385"/>
    <x v="0"/>
    <x v="0"/>
    <x v="1"/>
    <x v="1"/>
  </r>
  <r>
    <x v="6206"/>
    <x v="0"/>
    <x v="0"/>
    <x v="0"/>
    <n v="98.25"/>
    <x v="53"/>
    <x v="5386"/>
    <x v="1"/>
    <x v="0"/>
    <x v="0"/>
    <x v="0"/>
  </r>
  <r>
    <x v="6207"/>
    <x v="1"/>
    <x v="2"/>
    <x v="3"/>
    <n v="71.599999999999994"/>
    <x v="11"/>
    <x v="5387"/>
    <x v="0"/>
    <x v="1"/>
    <x v="1"/>
    <x v="3"/>
  </r>
  <r>
    <x v="6208"/>
    <x v="1"/>
    <x v="1"/>
    <x v="3"/>
    <n v="81.45"/>
    <x v="8"/>
    <x v="5388"/>
    <x v="0"/>
    <x v="2"/>
    <x v="1"/>
    <x v="3"/>
  </r>
  <r>
    <x v="6209"/>
    <x v="0"/>
    <x v="1"/>
    <x v="2"/>
    <n v="58.4"/>
    <x v="27"/>
    <x v="5389"/>
    <x v="0"/>
    <x v="1"/>
    <x v="1"/>
    <x v="3"/>
  </r>
  <r>
    <x v="6210"/>
    <x v="0"/>
    <x v="0"/>
    <x v="1"/>
    <n v="25.7"/>
    <x v="0"/>
    <x v="2247"/>
    <x v="1"/>
    <x v="0"/>
    <x v="0"/>
    <x v="0"/>
  </r>
  <r>
    <x v="6211"/>
    <x v="1"/>
    <x v="2"/>
    <x v="3"/>
    <n v="53.7"/>
    <x v="6"/>
    <x v="5390"/>
    <x v="0"/>
    <x v="0"/>
    <x v="0"/>
    <x v="0"/>
  </r>
  <r>
    <x v="6212"/>
    <x v="1"/>
    <x v="1"/>
    <x v="2"/>
    <n v="19.600000000000001"/>
    <x v="70"/>
    <x v="5391"/>
    <x v="0"/>
    <x v="0"/>
    <x v="1"/>
    <x v="1"/>
  </r>
  <r>
    <x v="6213"/>
    <x v="1"/>
    <x v="0"/>
    <x v="3"/>
    <n v="89.4"/>
    <x v="33"/>
    <x v="5392"/>
    <x v="0"/>
    <x v="2"/>
    <x v="1"/>
    <x v="3"/>
  </r>
  <r>
    <x v="6214"/>
    <x v="0"/>
    <x v="0"/>
    <x v="0"/>
    <n v="69"/>
    <x v="40"/>
    <x v="499"/>
    <x v="1"/>
    <x v="0"/>
    <x v="0"/>
    <x v="0"/>
  </r>
  <r>
    <x v="6215"/>
    <x v="1"/>
    <x v="1"/>
    <x v="2"/>
    <n v="84.2"/>
    <x v="69"/>
    <x v="3282"/>
    <x v="0"/>
    <x v="1"/>
    <x v="1"/>
    <x v="3"/>
  </r>
  <r>
    <x v="6216"/>
    <x v="1"/>
    <x v="2"/>
    <x v="3"/>
    <n v="106.1"/>
    <x v="21"/>
    <x v="888"/>
    <x v="0"/>
    <x v="2"/>
    <x v="1"/>
    <x v="3"/>
  </r>
  <r>
    <x v="6217"/>
    <x v="1"/>
    <x v="2"/>
    <x v="1"/>
    <n v="25.75"/>
    <x v="45"/>
    <x v="5393"/>
    <x v="0"/>
    <x v="0"/>
    <x v="1"/>
    <x v="3"/>
  </r>
  <r>
    <x v="6218"/>
    <x v="1"/>
    <x v="0"/>
    <x v="2"/>
    <n v="46.05"/>
    <x v="2"/>
    <x v="5394"/>
    <x v="1"/>
    <x v="0"/>
    <x v="0"/>
    <x v="0"/>
  </r>
  <r>
    <x v="6219"/>
    <x v="1"/>
    <x v="1"/>
    <x v="2"/>
    <n v="64.95"/>
    <x v="27"/>
    <x v="1055"/>
    <x v="0"/>
    <x v="1"/>
    <x v="1"/>
    <x v="3"/>
  </r>
  <r>
    <x v="6220"/>
    <x v="1"/>
    <x v="2"/>
    <x v="3"/>
    <n v="85.45"/>
    <x v="21"/>
    <x v="5395"/>
    <x v="0"/>
    <x v="2"/>
    <x v="1"/>
    <x v="3"/>
  </r>
  <r>
    <x v="6221"/>
    <x v="0"/>
    <x v="0"/>
    <x v="1"/>
    <n v="20.05"/>
    <x v="0"/>
    <x v="650"/>
    <x v="0"/>
    <x v="0"/>
    <x v="0"/>
    <x v="0"/>
  </r>
  <r>
    <x v="6222"/>
    <x v="0"/>
    <x v="0"/>
    <x v="1"/>
    <n v="76.400000000000006"/>
    <x v="0"/>
    <x v="5396"/>
    <x v="1"/>
    <x v="0"/>
    <x v="0"/>
    <x v="0"/>
  </r>
  <r>
    <x v="6223"/>
    <x v="0"/>
    <x v="0"/>
    <x v="0"/>
    <n v="100.5"/>
    <x v="24"/>
    <x v="4528"/>
    <x v="1"/>
    <x v="0"/>
    <x v="0"/>
    <x v="0"/>
  </r>
  <r>
    <x v="6224"/>
    <x v="1"/>
    <x v="0"/>
    <x v="1"/>
    <n v="20.7"/>
    <x v="35"/>
    <x v="5397"/>
    <x v="0"/>
    <x v="0"/>
    <x v="0"/>
    <x v="0"/>
  </r>
  <r>
    <x v="6225"/>
    <x v="1"/>
    <x v="2"/>
    <x v="3"/>
    <n v="25.3"/>
    <x v="11"/>
    <x v="5398"/>
    <x v="0"/>
    <x v="0"/>
    <x v="1"/>
    <x v="3"/>
  </r>
  <r>
    <x v="6226"/>
    <x v="1"/>
    <x v="0"/>
    <x v="1"/>
    <n v="40.049999999999997"/>
    <x v="5"/>
    <x v="5399"/>
    <x v="1"/>
    <x v="0"/>
    <x v="2"/>
    <x v="2"/>
  </r>
  <r>
    <x v="6227"/>
    <x v="1"/>
    <x v="0"/>
    <x v="2"/>
    <n v="100.6"/>
    <x v="55"/>
    <x v="5400"/>
    <x v="0"/>
    <x v="1"/>
    <x v="1"/>
    <x v="1"/>
  </r>
  <r>
    <x v="6228"/>
    <x v="1"/>
    <x v="0"/>
    <x v="0"/>
    <n v="69.95"/>
    <x v="0"/>
    <x v="1904"/>
    <x v="1"/>
    <x v="0"/>
    <x v="0"/>
    <x v="0"/>
  </r>
  <r>
    <x v="6229"/>
    <x v="1"/>
    <x v="0"/>
    <x v="2"/>
    <n v="74"/>
    <x v="68"/>
    <x v="5401"/>
    <x v="0"/>
    <x v="1"/>
    <x v="1"/>
    <x v="3"/>
  </r>
  <r>
    <x v="6230"/>
    <x v="1"/>
    <x v="2"/>
    <x v="0"/>
    <n v="99.4"/>
    <x v="21"/>
    <x v="5402"/>
    <x v="0"/>
    <x v="2"/>
    <x v="1"/>
    <x v="3"/>
  </r>
  <r>
    <x v="6231"/>
    <x v="1"/>
    <x v="0"/>
    <x v="0"/>
    <n v="93.3"/>
    <x v="0"/>
    <x v="5403"/>
    <x v="1"/>
    <x v="0"/>
    <x v="0"/>
    <x v="0"/>
  </r>
  <r>
    <x v="6232"/>
    <x v="1"/>
    <x v="0"/>
    <x v="0"/>
    <n v="49.15"/>
    <x v="35"/>
    <x v="5404"/>
    <x v="1"/>
    <x v="0"/>
    <x v="0"/>
    <x v="0"/>
  </r>
  <r>
    <x v="6233"/>
    <x v="0"/>
    <x v="2"/>
    <x v="3"/>
    <n v="107.45"/>
    <x v="21"/>
    <x v="2171"/>
    <x v="0"/>
    <x v="2"/>
    <x v="1"/>
    <x v="3"/>
  </r>
  <r>
    <x v="6234"/>
    <x v="0"/>
    <x v="2"/>
    <x v="3"/>
    <n v="83.6"/>
    <x v="21"/>
    <x v="5405"/>
    <x v="0"/>
    <x v="2"/>
    <x v="1"/>
    <x v="3"/>
  </r>
  <r>
    <x v="6235"/>
    <x v="1"/>
    <x v="0"/>
    <x v="3"/>
    <n v="99.05"/>
    <x v="68"/>
    <x v="5406"/>
    <x v="0"/>
    <x v="2"/>
    <x v="1"/>
    <x v="3"/>
  </r>
  <r>
    <x v="6236"/>
    <x v="0"/>
    <x v="1"/>
    <x v="0"/>
    <n v="80.099999999999994"/>
    <x v="64"/>
    <x v="5407"/>
    <x v="0"/>
    <x v="1"/>
    <x v="1"/>
    <x v="3"/>
  </r>
  <r>
    <x v="6237"/>
    <x v="1"/>
    <x v="2"/>
    <x v="2"/>
    <n v="65.3"/>
    <x v="68"/>
    <x v="5408"/>
    <x v="0"/>
    <x v="1"/>
    <x v="1"/>
    <x v="3"/>
  </r>
  <r>
    <x v="6238"/>
    <x v="1"/>
    <x v="2"/>
    <x v="0"/>
    <n v="89.55"/>
    <x v="31"/>
    <x v="5409"/>
    <x v="0"/>
    <x v="2"/>
    <x v="1"/>
    <x v="3"/>
  </r>
  <r>
    <x v="6239"/>
    <x v="0"/>
    <x v="2"/>
    <x v="3"/>
    <n v="60.8"/>
    <x v="31"/>
    <x v="5410"/>
    <x v="0"/>
    <x v="1"/>
    <x v="1"/>
    <x v="3"/>
  </r>
  <r>
    <x v="6240"/>
    <x v="1"/>
    <x v="0"/>
    <x v="0"/>
    <n v="74.5"/>
    <x v="35"/>
    <x v="5411"/>
    <x v="0"/>
    <x v="0"/>
    <x v="0"/>
    <x v="0"/>
  </r>
  <r>
    <x v="6241"/>
    <x v="0"/>
    <x v="2"/>
    <x v="2"/>
    <n v="99.15"/>
    <x v="14"/>
    <x v="5412"/>
    <x v="0"/>
    <x v="2"/>
    <x v="1"/>
    <x v="3"/>
  </r>
  <r>
    <x v="6242"/>
    <x v="0"/>
    <x v="0"/>
    <x v="0"/>
    <n v="19.25"/>
    <x v="0"/>
    <x v="306"/>
    <x v="0"/>
    <x v="0"/>
    <x v="0"/>
    <x v="0"/>
  </r>
  <r>
    <x v="6243"/>
    <x v="1"/>
    <x v="0"/>
    <x v="3"/>
    <n v="39.450000000000003"/>
    <x v="37"/>
    <x v="5413"/>
    <x v="0"/>
    <x v="0"/>
    <x v="1"/>
    <x v="3"/>
  </r>
  <r>
    <x v="6244"/>
    <x v="0"/>
    <x v="0"/>
    <x v="3"/>
    <n v="44.85"/>
    <x v="39"/>
    <x v="3453"/>
    <x v="0"/>
    <x v="1"/>
    <x v="1"/>
    <x v="3"/>
  </r>
  <r>
    <x v="6245"/>
    <x v="0"/>
    <x v="2"/>
    <x v="0"/>
    <n v="97.2"/>
    <x v="31"/>
    <x v="228"/>
    <x v="0"/>
    <x v="2"/>
    <x v="1"/>
    <x v="3"/>
  </r>
  <r>
    <x v="6246"/>
    <x v="1"/>
    <x v="1"/>
    <x v="1"/>
    <n v="110.55"/>
    <x v="14"/>
    <x v="5414"/>
    <x v="0"/>
    <x v="2"/>
    <x v="1"/>
    <x v="3"/>
  </r>
  <r>
    <x v="6247"/>
    <x v="0"/>
    <x v="0"/>
    <x v="1"/>
    <n v="35.049999999999997"/>
    <x v="0"/>
    <x v="5415"/>
    <x v="1"/>
    <x v="0"/>
    <x v="0"/>
    <x v="0"/>
  </r>
  <r>
    <x v="6248"/>
    <x v="0"/>
    <x v="0"/>
    <x v="0"/>
    <n v="73"/>
    <x v="0"/>
    <x v="5416"/>
    <x v="1"/>
    <x v="0"/>
    <x v="0"/>
    <x v="0"/>
  </r>
  <r>
    <x v="6249"/>
    <x v="0"/>
    <x v="0"/>
    <x v="1"/>
    <n v="19.899999999999999"/>
    <x v="35"/>
    <x v="5417"/>
    <x v="0"/>
    <x v="0"/>
    <x v="0"/>
    <x v="0"/>
  </r>
  <r>
    <x v="6250"/>
    <x v="1"/>
    <x v="2"/>
    <x v="2"/>
    <n v="76.95"/>
    <x v="31"/>
    <x v="5418"/>
    <x v="0"/>
    <x v="1"/>
    <x v="1"/>
    <x v="3"/>
  </r>
  <r>
    <x v="6251"/>
    <x v="0"/>
    <x v="2"/>
    <x v="1"/>
    <n v="35.4"/>
    <x v="9"/>
    <x v="5419"/>
    <x v="0"/>
    <x v="0"/>
    <x v="2"/>
    <x v="2"/>
  </r>
  <r>
    <x v="6252"/>
    <x v="1"/>
    <x v="2"/>
    <x v="2"/>
    <n v="20.45"/>
    <x v="8"/>
    <x v="5420"/>
    <x v="0"/>
    <x v="0"/>
    <x v="1"/>
    <x v="3"/>
  </r>
  <r>
    <x v="6253"/>
    <x v="0"/>
    <x v="1"/>
    <x v="2"/>
    <n v="96.75"/>
    <x v="3"/>
    <x v="5421"/>
    <x v="0"/>
    <x v="1"/>
    <x v="1"/>
    <x v="1"/>
  </r>
  <r>
    <x v="6254"/>
    <x v="0"/>
    <x v="1"/>
    <x v="0"/>
    <n v="54.2"/>
    <x v="13"/>
    <x v="5422"/>
    <x v="0"/>
    <x v="0"/>
    <x v="1"/>
    <x v="1"/>
  </r>
  <r>
    <x v="6255"/>
    <x v="1"/>
    <x v="2"/>
    <x v="2"/>
    <n v="100.1"/>
    <x v="66"/>
    <x v="5423"/>
    <x v="0"/>
    <x v="1"/>
    <x v="1"/>
    <x v="1"/>
  </r>
  <r>
    <x v="6256"/>
    <x v="0"/>
    <x v="0"/>
    <x v="1"/>
    <n v="45.25"/>
    <x v="2"/>
    <x v="5424"/>
    <x v="0"/>
    <x v="0"/>
    <x v="0"/>
    <x v="0"/>
  </r>
  <r>
    <x v="6257"/>
    <x v="1"/>
    <x v="0"/>
    <x v="3"/>
    <n v="83.85"/>
    <x v="55"/>
    <x v="5425"/>
    <x v="1"/>
    <x v="1"/>
    <x v="1"/>
    <x v="1"/>
  </r>
  <r>
    <x v="6258"/>
    <x v="0"/>
    <x v="0"/>
    <x v="0"/>
    <n v="70.099999999999994"/>
    <x v="0"/>
    <x v="2447"/>
    <x v="1"/>
    <x v="0"/>
    <x v="0"/>
    <x v="0"/>
  </r>
  <r>
    <x v="6259"/>
    <x v="0"/>
    <x v="1"/>
    <x v="2"/>
    <n v="20.85"/>
    <x v="5"/>
    <x v="5426"/>
    <x v="0"/>
    <x v="0"/>
    <x v="2"/>
    <x v="2"/>
  </r>
  <r>
    <x v="6260"/>
    <x v="0"/>
    <x v="0"/>
    <x v="1"/>
    <n v="33.450000000000003"/>
    <x v="42"/>
    <x v="5427"/>
    <x v="0"/>
    <x v="0"/>
    <x v="1"/>
    <x v="1"/>
  </r>
  <r>
    <x v="6261"/>
    <x v="0"/>
    <x v="2"/>
    <x v="1"/>
    <n v="20.2"/>
    <x v="44"/>
    <x v="5428"/>
    <x v="0"/>
    <x v="0"/>
    <x v="1"/>
    <x v="1"/>
  </r>
  <r>
    <x v="6262"/>
    <x v="1"/>
    <x v="1"/>
    <x v="0"/>
    <n v="85.9"/>
    <x v="23"/>
    <x v="5429"/>
    <x v="0"/>
    <x v="1"/>
    <x v="1"/>
    <x v="1"/>
  </r>
  <r>
    <x v="6263"/>
    <x v="1"/>
    <x v="1"/>
    <x v="0"/>
    <n v="61"/>
    <x v="68"/>
    <x v="5430"/>
    <x v="0"/>
    <x v="1"/>
    <x v="1"/>
    <x v="3"/>
  </r>
  <r>
    <x v="6264"/>
    <x v="0"/>
    <x v="0"/>
    <x v="0"/>
    <n v="70.650000000000006"/>
    <x v="2"/>
    <x v="5431"/>
    <x v="1"/>
    <x v="0"/>
    <x v="0"/>
    <x v="0"/>
  </r>
  <r>
    <x v="6265"/>
    <x v="1"/>
    <x v="1"/>
    <x v="0"/>
    <n v="86.9"/>
    <x v="58"/>
    <x v="5432"/>
    <x v="0"/>
    <x v="1"/>
    <x v="1"/>
    <x v="3"/>
  </r>
  <r>
    <x v="6266"/>
    <x v="1"/>
    <x v="2"/>
    <x v="2"/>
    <n v="69.400000000000006"/>
    <x v="8"/>
    <x v="5433"/>
    <x v="0"/>
    <x v="1"/>
    <x v="1"/>
    <x v="3"/>
  </r>
  <r>
    <x v="6267"/>
    <x v="0"/>
    <x v="1"/>
    <x v="3"/>
    <n v="20.350000000000001"/>
    <x v="30"/>
    <x v="5434"/>
    <x v="0"/>
    <x v="0"/>
    <x v="2"/>
    <x v="2"/>
  </r>
  <r>
    <x v="6268"/>
    <x v="1"/>
    <x v="0"/>
    <x v="1"/>
    <n v="20.350000000000001"/>
    <x v="2"/>
    <x v="1493"/>
    <x v="1"/>
    <x v="0"/>
    <x v="0"/>
    <x v="0"/>
  </r>
  <r>
    <x v="6269"/>
    <x v="0"/>
    <x v="2"/>
    <x v="2"/>
    <n v="104.3"/>
    <x v="27"/>
    <x v="5435"/>
    <x v="0"/>
    <x v="2"/>
    <x v="1"/>
    <x v="3"/>
  </r>
  <r>
    <x v="6270"/>
    <x v="0"/>
    <x v="0"/>
    <x v="0"/>
    <n v="44.95"/>
    <x v="17"/>
    <x v="5436"/>
    <x v="0"/>
    <x v="0"/>
    <x v="2"/>
    <x v="2"/>
  </r>
  <r>
    <x v="6271"/>
    <x v="0"/>
    <x v="1"/>
    <x v="0"/>
    <n v="49.45"/>
    <x v="57"/>
    <x v="2693"/>
    <x v="0"/>
    <x v="0"/>
    <x v="2"/>
    <x v="2"/>
  </r>
  <r>
    <x v="6272"/>
    <x v="1"/>
    <x v="1"/>
    <x v="1"/>
    <n v="20.6"/>
    <x v="53"/>
    <x v="5437"/>
    <x v="0"/>
    <x v="0"/>
    <x v="0"/>
    <x v="0"/>
  </r>
  <r>
    <x v="6273"/>
    <x v="1"/>
    <x v="2"/>
    <x v="3"/>
    <n v="19.55"/>
    <x v="54"/>
    <x v="5438"/>
    <x v="0"/>
    <x v="0"/>
    <x v="0"/>
    <x v="0"/>
  </r>
  <r>
    <x v="6274"/>
    <x v="0"/>
    <x v="0"/>
    <x v="3"/>
    <n v="99"/>
    <x v="35"/>
    <x v="2940"/>
    <x v="1"/>
    <x v="0"/>
    <x v="0"/>
    <x v="0"/>
  </r>
  <r>
    <x v="6275"/>
    <x v="0"/>
    <x v="0"/>
    <x v="0"/>
    <n v="93.5"/>
    <x v="57"/>
    <x v="5439"/>
    <x v="0"/>
    <x v="1"/>
    <x v="2"/>
    <x v="2"/>
  </r>
  <r>
    <x v="6276"/>
    <x v="1"/>
    <x v="1"/>
    <x v="3"/>
    <n v="54.55"/>
    <x v="70"/>
    <x v="5440"/>
    <x v="0"/>
    <x v="0"/>
    <x v="1"/>
    <x v="1"/>
  </r>
  <r>
    <x v="6277"/>
    <x v="0"/>
    <x v="0"/>
    <x v="1"/>
    <n v="20.05"/>
    <x v="4"/>
    <x v="1915"/>
    <x v="0"/>
    <x v="0"/>
    <x v="0"/>
    <x v="0"/>
  </r>
  <r>
    <x v="6278"/>
    <x v="1"/>
    <x v="0"/>
    <x v="0"/>
    <n v="83.95"/>
    <x v="70"/>
    <x v="5441"/>
    <x v="1"/>
    <x v="1"/>
    <x v="1"/>
    <x v="1"/>
  </r>
  <r>
    <x v="6279"/>
    <x v="1"/>
    <x v="0"/>
    <x v="0"/>
    <n v="79.45"/>
    <x v="2"/>
    <x v="5442"/>
    <x v="0"/>
    <x v="0"/>
    <x v="0"/>
    <x v="0"/>
  </r>
  <r>
    <x v="6280"/>
    <x v="1"/>
    <x v="2"/>
    <x v="3"/>
    <n v="116.2"/>
    <x v="56"/>
    <x v="5443"/>
    <x v="1"/>
    <x v="2"/>
    <x v="1"/>
    <x v="3"/>
  </r>
  <r>
    <x v="6281"/>
    <x v="0"/>
    <x v="2"/>
    <x v="2"/>
    <n v="93.7"/>
    <x v="16"/>
    <x v="5444"/>
    <x v="1"/>
    <x v="2"/>
    <x v="1"/>
    <x v="3"/>
  </r>
  <r>
    <x v="6282"/>
    <x v="0"/>
    <x v="1"/>
    <x v="3"/>
    <n v="79.849999999999994"/>
    <x v="64"/>
    <x v="5445"/>
    <x v="0"/>
    <x v="1"/>
    <x v="1"/>
    <x v="3"/>
  </r>
  <r>
    <x v="6283"/>
    <x v="1"/>
    <x v="1"/>
    <x v="0"/>
    <n v="100"/>
    <x v="71"/>
    <x v="5446"/>
    <x v="0"/>
    <x v="1"/>
    <x v="1"/>
    <x v="1"/>
  </r>
  <r>
    <x v="6284"/>
    <x v="1"/>
    <x v="2"/>
    <x v="1"/>
    <n v="19.600000000000001"/>
    <x v="17"/>
    <x v="1885"/>
    <x v="0"/>
    <x v="0"/>
    <x v="2"/>
    <x v="2"/>
  </r>
  <r>
    <x v="6285"/>
    <x v="1"/>
    <x v="0"/>
    <x v="1"/>
    <n v="19.7"/>
    <x v="0"/>
    <x v="3176"/>
    <x v="1"/>
    <x v="0"/>
    <x v="0"/>
    <x v="0"/>
  </r>
  <r>
    <x v="6286"/>
    <x v="0"/>
    <x v="2"/>
    <x v="2"/>
    <n v="20.2"/>
    <x v="43"/>
    <x v="5447"/>
    <x v="0"/>
    <x v="0"/>
    <x v="1"/>
    <x v="1"/>
  </r>
  <r>
    <x v="6287"/>
    <x v="0"/>
    <x v="1"/>
    <x v="3"/>
    <n v="50.4"/>
    <x v="36"/>
    <x v="5448"/>
    <x v="0"/>
    <x v="0"/>
    <x v="1"/>
    <x v="1"/>
  </r>
  <r>
    <x v="6288"/>
    <x v="0"/>
    <x v="1"/>
    <x v="0"/>
    <n v="113.35"/>
    <x v="38"/>
    <x v="5449"/>
    <x v="0"/>
    <x v="2"/>
    <x v="1"/>
    <x v="3"/>
  </r>
  <r>
    <x v="6289"/>
    <x v="1"/>
    <x v="0"/>
    <x v="2"/>
    <n v="80"/>
    <x v="25"/>
    <x v="5450"/>
    <x v="0"/>
    <x v="1"/>
    <x v="1"/>
    <x v="1"/>
  </r>
  <r>
    <x v="6290"/>
    <x v="0"/>
    <x v="2"/>
    <x v="2"/>
    <n v="80.95"/>
    <x v="15"/>
    <x v="5451"/>
    <x v="0"/>
    <x v="1"/>
    <x v="1"/>
    <x v="3"/>
  </r>
  <r>
    <x v="6291"/>
    <x v="0"/>
    <x v="2"/>
    <x v="1"/>
    <n v="24.9"/>
    <x v="56"/>
    <x v="5452"/>
    <x v="0"/>
    <x v="0"/>
    <x v="1"/>
    <x v="3"/>
  </r>
  <r>
    <x v="6292"/>
    <x v="0"/>
    <x v="0"/>
    <x v="0"/>
    <n v="54.9"/>
    <x v="56"/>
    <x v="5453"/>
    <x v="0"/>
    <x v="1"/>
    <x v="1"/>
    <x v="3"/>
  </r>
  <r>
    <x v="6293"/>
    <x v="0"/>
    <x v="0"/>
    <x v="0"/>
    <n v="75.55"/>
    <x v="24"/>
    <x v="1383"/>
    <x v="1"/>
    <x v="0"/>
    <x v="0"/>
    <x v="0"/>
  </r>
  <r>
    <x v="6294"/>
    <x v="0"/>
    <x v="2"/>
    <x v="0"/>
    <n v="109.25"/>
    <x v="16"/>
    <x v="5454"/>
    <x v="0"/>
    <x v="2"/>
    <x v="1"/>
    <x v="3"/>
  </r>
  <r>
    <x v="6295"/>
    <x v="0"/>
    <x v="0"/>
    <x v="2"/>
    <n v="77.650000000000006"/>
    <x v="34"/>
    <x v="5455"/>
    <x v="1"/>
    <x v="0"/>
    <x v="0"/>
    <x v="0"/>
  </r>
  <r>
    <x v="6296"/>
    <x v="0"/>
    <x v="0"/>
    <x v="0"/>
    <n v="95"/>
    <x v="70"/>
    <x v="5456"/>
    <x v="1"/>
    <x v="1"/>
    <x v="1"/>
    <x v="1"/>
  </r>
  <r>
    <x v="6297"/>
    <x v="1"/>
    <x v="1"/>
    <x v="2"/>
    <n v="116.3"/>
    <x v="16"/>
    <x v="5457"/>
    <x v="0"/>
    <x v="2"/>
    <x v="1"/>
    <x v="3"/>
  </r>
  <r>
    <x v="6298"/>
    <x v="0"/>
    <x v="0"/>
    <x v="2"/>
    <n v="19.899999999999999"/>
    <x v="48"/>
    <x v="5458"/>
    <x v="0"/>
    <x v="0"/>
    <x v="1"/>
    <x v="1"/>
  </r>
  <r>
    <x v="6299"/>
    <x v="0"/>
    <x v="0"/>
    <x v="0"/>
    <n v="70.349999999999994"/>
    <x v="2"/>
    <x v="323"/>
    <x v="0"/>
    <x v="0"/>
    <x v="0"/>
    <x v="0"/>
  </r>
  <r>
    <x v="6300"/>
    <x v="0"/>
    <x v="2"/>
    <x v="3"/>
    <n v="25.6"/>
    <x v="16"/>
    <x v="5459"/>
    <x v="0"/>
    <x v="0"/>
    <x v="1"/>
    <x v="3"/>
  </r>
  <r>
    <x v="6301"/>
    <x v="0"/>
    <x v="1"/>
    <x v="0"/>
    <n v="44.45"/>
    <x v="31"/>
    <x v="5460"/>
    <x v="0"/>
    <x v="1"/>
    <x v="1"/>
    <x v="3"/>
  </r>
  <r>
    <x v="6302"/>
    <x v="0"/>
    <x v="1"/>
    <x v="0"/>
    <n v="100.15"/>
    <x v="49"/>
    <x v="5461"/>
    <x v="0"/>
    <x v="2"/>
    <x v="1"/>
    <x v="3"/>
  </r>
  <r>
    <x v="6303"/>
    <x v="1"/>
    <x v="1"/>
    <x v="3"/>
    <n v="105.4"/>
    <x v="68"/>
    <x v="5462"/>
    <x v="1"/>
    <x v="2"/>
    <x v="1"/>
    <x v="3"/>
  </r>
  <r>
    <x v="6304"/>
    <x v="1"/>
    <x v="0"/>
    <x v="0"/>
    <n v="95.85"/>
    <x v="2"/>
    <x v="5463"/>
    <x v="1"/>
    <x v="0"/>
    <x v="0"/>
    <x v="0"/>
  </r>
  <r>
    <x v="6305"/>
    <x v="0"/>
    <x v="0"/>
    <x v="1"/>
    <n v="73.849999999999994"/>
    <x v="53"/>
    <x v="5464"/>
    <x v="0"/>
    <x v="0"/>
    <x v="0"/>
    <x v="0"/>
  </r>
  <r>
    <x v="6306"/>
    <x v="0"/>
    <x v="2"/>
    <x v="3"/>
    <n v="70.099999999999994"/>
    <x v="43"/>
    <x v="5465"/>
    <x v="0"/>
    <x v="1"/>
    <x v="1"/>
    <x v="1"/>
  </r>
  <r>
    <x v="6307"/>
    <x v="1"/>
    <x v="2"/>
    <x v="1"/>
    <n v="25.25"/>
    <x v="28"/>
    <x v="2471"/>
    <x v="0"/>
    <x v="0"/>
    <x v="1"/>
    <x v="3"/>
  </r>
  <r>
    <x v="6308"/>
    <x v="1"/>
    <x v="0"/>
    <x v="0"/>
    <n v="79.150000000000006"/>
    <x v="0"/>
    <x v="3228"/>
    <x v="1"/>
    <x v="0"/>
    <x v="0"/>
    <x v="0"/>
  </r>
  <r>
    <x v="6309"/>
    <x v="1"/>
    <x v="0"/>
    <x v="3"/>
    <n v="21.05"/>
    <x v="18"/>
    <x v="5193"/>
    <x v="0"/>
    <x v="0"/>
    <x v="2"/>
    <x v="0"/>
  </r>
  <r>
    <x v="6310"/>
    <x v="1"/>
    <x v="0"/>
    <x v="2"/>
    <n v="24.95"/>
    <x v="68"/>
    <x v="5466"/>
    <x v="0"/>
    <x v="0"/>
    <x v="1"/>
    <x v="3"/>
  </r>
  <r>
    <x v="6311"/>
    <x v="0"/>
    <x v="1"/>
    <x v="0"/>
    <n v="64.5"/>
    <x v="19"/>
    <x v="147"/>
    <x v="0"/>
    <x v="0"/>
    <x v="1"/>
    <x v="1"/>
  </r>
  <r>
    <x v="6312"/>
    <x v="0"/>
    <x v="0"/>
    <x v="2"/>
    <n v="19.649999999999999"/>
    <x v="19"/>
    <x v="5386"/>
    <x v="1"/>
    <x v="0"/>
    <x v="1"/>
    <x v="1"/>
  </r>
  <r>
    <x v="6313"/>
    <x v="0"/>
    <x v="0"/>
    <x v="0"/>
    <n v="79"/>
    <x v="54"/>
    <x v="237"/>
    <x v="1"/>
    <x v="0"/>
    <x v="0"/>
    <x v="0"/>
  </r>
  <r>
    <x v="6314"/>
    <x v="0"/>
    <x v="1"/>
    <x v="3"/>
    <n v="105.95"/>
    <x v="63"/>
    <x v="5467"/>
    <x v="0"/>
    <x v="1"/>
    <x v="1"/>
    <x v="1"/>
  </r>
  <r>
    <x v="6315"/>
    <x v="0"/>
    <x v="0"/>
    <x v="0"/>
    <n v="75.849999999999994"/>
    <x v="34"/>
    <x v="4471"/>
    <x v="0"/>
    <x v="0"/>
    <x v="0"/>
    <x v="0"/>
  </r>
  <r>
    <x v="6316"/>
    <x v="0"/>
    <x v="0"/>
    <x v="0"/>
    <n v="91.85"/>
    <x v="22"/>
    <x v="5468"/>
    <x v="1"/>
    <x v="0"/>
    <x v="2"/>
    <x v="2"/>
  </r>
  <r>
    <x v="6317"/>
    <x v="0"/>
    <x v="2"/>
    <x v="3"/>
    <n v="43.6"/>
    <x v="8"/>
    <x v="5469"/>
    <x v="0"/>
    <x v="1"/>
    <x v="1"/>
    <x v="3"/>
  </r>
  <r>
    <x v="6318"/>
    <x v="1"/>
    <x v="1"/>
    <x v="2"/>
    <n v="91.25"/>
    <x v="7"/>
    <x v="4632"/>
    <x v="0"/>
    <x v="1"/>
    <x v="1"/>
    <x v="1"/>
  </r>
  <r>
    <x v="6319"/>
    <x v="0"/>
    <x v="2"/>
    <x v="3"/>
    <n v="89.75"/>
    <x v="27"/>
    <x v="5470"/>
    <x v="0"/>
    <x v="2"/>
    <x v="1"/>
    <x v="3"/>
  </r>
  <r>
    <x v="6320"/>
    <x v="0"/>
    <x v="2"/>
    <x v="2"/>
    <n v="104.4"/>
    <x v="25"/>
    <x v="3170"/>
    <x v="0"/>
    <x v="1"/>
    <x v="1"/>
    <x v="1"/>
  </r>
  <r>
    <x v="6321"/>
    <x v="0"/>
    <x v="0"/>
    <x v="1"/>
    <n v="90.15"/>
    <x v="57"/>
    <x v="5471"/>
    <x v="0"/>
    <x v="1"/>
    <x v="2"/>
    <x v="2"/>
  </r>
  <r>
    <x v="6322"/>
    <x v="1"/>
    <x v="1"/>
    <x v="0"/>
    <n v="40.299999999999997"/>
    <x v="20"/>
    <x v="5472"/>
    <x v="0"/>
    <x v="0"/>
    <x v="1"/>
    <x v="1"/>
  </r>
  <r>
    <x v="6323"/>
    <x v="1"/>
    <x v="2"/>
    <x v="2"/>
    <n v="105.25"/>
    <x v="47"/>
    <x v="5473"/>
    <x v="0"/>
    <x v="2"/>
    <x v="1"/>
    <x v="3"/>
  </r>
  <r>
    <x v="6324"/>
    <x v="0"/>
    <x v="1"/>
    <x v="0"/>
    <n v="106"/>
    <x v="31"/>
    <x v="5474"/>
    <x v="1"/>
    <x v="2"/>
    <x v="1"/>
    <x v="3"/>
  </r>
  <r>
    <x v="6325"/>
    <x v="0"/>
    <x v="2"/>
    <x v="0"/>
    <n v="104"/>
    <x v="56"/>
    <x v="5475"/>
    <x v="0"/>
    <x v="2"/>
    <x v="1"/>
    <x v="3"/>
  </r>
  <r>
    <x v="6326"/>
    <x v="0"/>
    <x v="0"/>
    <x v="0"/>
    <n v="69.650000000000006"/>
    <x v="60"/>
    <x v="5476"/>
    <x v="0"/>
    <x v="0"/>
    <x v="2"/>
    <x v="2"/>
  </r>
  <r>
    <x v="6327"/>
    <x v="1"/>
    <x v="0"/>
    <x v="0"/>
    <n v="74.3"/>
    <x v="58"/>
    <x v="5477"/>
    <x v="0"/>
    <x v="1"/>
    <x v="1"/>
    <x v="3"/>
  </r>
  <r>
    <x v="6328"/>
    <x v="0"/>
    <x v="1"/>
    <x v="1"/>
    <n v="100.9"/>
    <x v="49"/>
    <x v="4775"/>
    <x v="0"/>
    <x v="2"/>
    <x v="1"/>
    <x v="3"/>
  </r>
  <r>
    <x v="6329"/>
    <x v="1"/>
    <x v="0"/>
    <x v="1"/>
    <n v="20.25"/>
    <x v="0"/>
    <x v="291"/>
    <x v="0"/>
    <x v="0"/>
    <x v="0"/>
    <x v="0"/>
  </r>
  <r>
    <x v="6330"/>
    <x v="1"/>
    <x v="0"/>
    <x v="1"/>
    <n v="49.9"/>
    <x v="0"/>
    <x v="673"/>
    <x v="1"/>
    <x v="0"/>
    <x v="0"/>
    <x v="0"/>
  </r>
  <r>
    <x v="6331"/>
    <x v="1"/>
    <x v="0"/>
    <x v="3"/>
    <n v="96.9"/>
    <x v="57"/>
    <x v="5478"/>
    <x v="0"/>
    <x v="1"/>
    <x v="2"/>
    <x v="2"/>
  </r>
  <r>
    <x v="6332"/>
    <x v="0"/>
    <x v="0"/>
    <x v="0"/>
    <n v="100.35"/>
    <x v="9"/>
    <x v="5479"/>
    <x v="1"/>
    <x v="0"/>
    <x v="2"/>
    <x v="2"/>
  </r>
  <r>
    <x v="6333"/>
    <x v="1"/>
    <x v="0"/>
    <x v="0"/>
    <n v="104.1"/>
    <x v="20"/>
    <x v="5480"/>
    <x v="0"/>
    <x v="1"/>
    <x v="1"/>
    <x v="1"/>
  </r>
  <r>
    <x v="6334"/>
    <x v="1"/>
    <x v="1"/>
    <x v="1"/>
    <n v="20.100000000000001"/>
    <x v="46"/>
    <x v="5481"/>
    <x v="0"/>
    <x v="0"/>
    <x v="1"/>
    <x v="1"/>
  </r>
  <r>
    <x v="6335"/>
    <x v="0"/>
    <x v="0"/>
    <x v="2"/>
    <n v="74.95"/>
    <x v="46"/>
    <x v="5482"/>
    <x v="1"/>
    <x v="1"/>
    <x v="1"/>
    <x v="1"/>
  </r>
  <r>
    <x v="6336"/>
    <x v="0"/>
    <x v="0"/>
    <x v="3"/>
    <n v="56.55"/>
    <x v="2"/>
    <x v="5483"/>
    <x v="0"/>
    <x v="0"/>
    <x v="0"/>
    <x v="0"/>
  </r>
  <r>
    <x v="6337"/>
    <x v="1"/>
    <x v="0"/>
    <x v="3"/>
    <n v="49.25"/>
    <x v="0"/>
    <x v="5484"/>
    <x v="1"/>
    <x v="0"/>
    <x v="0"/>
    <x v="0"/>
  </r>
  <r>
    <x v="6338"/>
    <x v="1"/>
    <x v="0"/>
    <x v="2"/>
    <n v="68.599999999999994"/>
    <x v="30"/>
    <x v="5485"/>
    <x v="0"/>
    <x v="0"/>
    <x v="2"/>
    <x v="2"/>
  </r>
  <r>
    <x v="6339"/>
    <x v="0"/>
    <x v="0"/>
    <x v="3"/>
    <n v="69.05"/>
    <x v="70"/>
    <x v="5486"/>
    <x v="0"/>
    <x v="0"/>
    <x v="1"/>
    <x v="1"/>
  </r>
  <r>
    <x v="6340"/>
    <x v="0"/>
    <x v="2"/>
    <x v="3"/>
    <n v="19.7"/>
    <x v="42"/>
    <x v="5487"/>
    <x v="0"/>
    <x v="0"/>
    <x v="1"/>
    <x v="1"/>
  </r>
  <r>
    <x v="6341"/>
    <x v="1"/>
    <x v="0"/>
    <x v="1"/>
    <n v="20.05"/>
    <x v="35"/>
    <x v="1144"/>
    <x v="0"/>
    <x v="0"/>
    <x v="0"/>
    <x v="0"/>
  </r>
  <r>
    <x v="6342"/>
    <x v="1"/>
    <x v="0"/>
    <x v="0"/>
    <n v="103.7"/>
    <x v="37"/>
    <x v="5488"/>
    <x v="1"/>
    <x v="2"/>
    <x v="1"/>
    <x v="3"/>
  </r>
  <r>
    <x v="6343"/>
    <x v="1"/>
    <x v="0"/>
    <x v="0"/>
    <n v="94.4"/>
    <x v="41"/>
    <x v="5489"/>
    <x v="0"/>
    <x v="1"/>
    <x v="1"/>
    <x v="1"/>
  </r>
  <r>
    <x v="6344"/>
    <x v="1"/>
    <x v="0"/>
    <x v="3"/>
    <n v="54.95"/>
    <x v="6"/>
    <x v="1822"/>
    <x v="0"/>
    <x v="0"/>
    <x v="0"/>
    <x v="0"/>
  </r>
  <r>
    <x v="6345"/>
    <x v="0"/>
    <x v="1"/>
    <x v="2"/>
    <n v="93.7"/>
    <x v="59"/>
    <x v="5490"/>
    <x v="0"/>
    <x v="2"/>
    <x v="1"/>
    <x v="3"/>
  </r>
  <r>
    <x v="6346"/>
    <x v="0"/>
    <x v="2"/>
    <x v="3"/>
    <n v="110.25"/>
    <x v="47"/>
    <x v="5491"/>
    <x v="0"/>
    <x v="2"/>
    <x v="1"/>
    <x v="3"/>
  </r>
  <r>
    <x v="6347"/>
    <x v="1"/>
    <x v="1"/>
    <x v="0"/>
    <n v="98.9"/>
    <x v="6"/>
    <x v="5492"/>
    <x v="0"/>
    <x v="0"/>
    <x v="0"/>
    <x v="0"/>
  </r>
  <r>
    <x v="6348"/>
    <x v="1"/>
    <x v="1"/>
    <x v="0"/>
    <n v="89.75"/>
    <x v="45"/>
    <x v="5493"/>
    <x v="1"/>
    <x v="2"/>
    <x v="1"/>
    <x v="3"/>
  </r>
  <r>
    <x v="6349"/>
    <x v="0"/>
    <x v="2"/>
    <x v="2"/>
    <n v="80.45"/>
    <x v="21"/>
    <x v="4975"/>
    <x v="0"/>
    <x v="2"/>
    <x v="1"/>
    <x v="3"/>
  </r>
  <r>
    <x v="6350"/>
    <x v="1"/>
    <x v="0"/>
    <x v="0"/>
    <n v="79.400000000000006"/>
    <x v="49"/>
    <x v="5494"/>
    <x v="0"/>
    <x v="1"/>
    <x v="1"/>
    <x v="3"/>
  </r>
  <r>
    <x v="6351"/>
    <x v="0"/>
    <x v="0"/>
    <x v="1"/>
    <n v="20.3"/>
    <x v="0"/>
    <x v="3045"/>
    <x v="1"/>
    <x v="0"/>
    <x v="0"/>
    <x v="0"/>
  </r>
  <r>
    <x v="6352"/>
    <x v="0"/>
    <x v="0"/>
    <x v="2"/>
    <n v="62.8"/>
    <x v="40"/>
    <x v="5495"/>
    <x v="0"/>
    <x v="0"/>
    <x v="0"/>
    <x v="0"/>
  </r>
  <r>
    <x v="6353"/>
    <x v="0"/>
    <x v="0"/>
    <x v="1"/>
    <n v="74.900000000000006"/>
    <x v="2"/>
    <x v="4160"/>
    <x v="0"/>
    <x v="0"/>
    <x v="0"/>
    <x v="0"/>
  </r>
  <r>
    <x v="6354"/>
    <x v="0"/>
    <x v="0"/>
    <x v="0"/>
    <n v="74.849999999999994"/>
    <x v="34"/>
    <x v="5496"/>
    <x v="0"/>
    <x v="0"/>
    <x v="0"/>
    <x v="0"/>
  </r>
  <r>
    <x v="6355"/>
    <x v="1"/>
    <x v="2"/>
    <x v="3"/>
    <n v="25.85"/>
    <x v="23"/>
    <x v="5497"/>
    <x v="0"/>
    <x v="0"/>
    <x v="1"/>
    <x v="1"/>
  </r>
  <r>
    <x v="6356"/>
    <x v="1"/>
    <x v="0"/>
    <x v="0"/>
    <n v="101.95"/>
    <x v="40"/>
    <x v="5498"/>
    <x v="1"/>
    <x v="0"/>
    <x v="0"/>
    <x v="0"/>
  </r>
  <r>
    <x v="6357"/>
    <x v="0"/>
    <x v="2"/>
    <x v="1"/>
    <n v="68.3"/>
    <x v="38"/>
    <x v="5499"/>
    <x v="0"/>
    <x v="1"/>
    <x v="1"/>
    <x v="3"/>
  </r>
  <r>
    <x v="6358"/>
    <x v="1"/>
    <x v="2"/>
    <x v="2"/>
    <n v="48.4"/>
    <x v="27"/>
    <x v="5500"/>
    <x v="0"/>
    <x v="1"/>
    <x v="1"/>
    <x v="3"/>
  </r>
  <r>
    <x v="6359"/>
    <x v="1"/>
    <x v="0"/>
    <x v="0"/>
    <n v="94"/>
    <x v="2"/>
    <x v="5501"/>
    <x v="1"/>
    <x v="0"/>
    <x v="0"/>
    <x v="0"/>
  </r>
  <r>
    <x v="6360"/>
    <x v="1"/>
    <x v="2"/>
    <x v="0"/>
    <n v="105.05"/>
    <x v="56"/>
    <x v="5502"/>
    <x v="0"/>
    <x v="2"/>
    <x v="1"/>
    <x v="3"/>
  </r>
  <r>
    <x v="6361"/>
    <x v="0"/>
    <x v="0"/>
    <x v="3"/>
    <n v="89.3"/>
    <x v="3"/>
    <x v="4516"/>
    <x v="1"/>
    <x v="1"/>
    <x v="1"/>
    <x v="1"/>
  </r>
  <r>
    <x v="6362"/>
    <x v="0"/>
    <x v="2"/>
    <x v="3"/>
    <n v="25.15"/>
    <x v="65"/>
    <x v="5503"/>
    <x v="0"/>
    <x v="0"/>
    <x v="1"/>
    <x v="2"/>
  </r>
  <r>
    <x v="6363"/>
    <x v="1"/>
    <x v="2"/>
    <x v="3"/>
    <n v="19.5"/>
    <x v="54"/>
    <x v="5504"/>
    <x v="0"/>
    <x v="0"/>
    <x v="0"/>
    <x v="0"/>
  </r>
  <r>
    <x v="6364"/>
    <x v="1"/>
    <x v="0"/>
    <x v="2"/>
    <n v="92.95"/>
    <x v="66"/>
    <x v="5505"/>
    <x v="0"/>
    <x v="1"/>
    <x v="1"/>
    <x v="1"/>
  </r>
  <r>
    <x v="6365"/>
    <x v="0"/>
    <x v="2"/>
    <x v="1"/>
    <n v="20.7"/>
    <x v="21"/>
    <x v="966"/>
    <x v="0"/>
    <x v="0"/>
    <x v="1"/>
    <x v="3"/>
  </r>
  <r>
    <x v="6366"/>
    <x v="0"/>
    <x v="0"/>
    <x v="3"/>
    <n v="74.3"/>
    <x v="0"/>
    <x v="1941"/>
    <x v="1"/>
    <x v="0"/>
    <x v="0"/>
    <x v="0"/>
  </r>
  <r>
    <x v="6367"/>
    <x v="1"/>
    <x v="2"/>
    <x v="2"/>
    <n v="19.350000000000001"/>
    <x v="33"/>
    <x v="5506"/>
    <x v="0"/>
    <x v="0"/>
    <x v="1"/>
    <x v="3"/>
  </r>
  <r>
    <x v="6368"/>
    <x v="1"/>
    <x v="0"/>
    <x v="1"/>
    <n v="44.65"/>
    <x v="0"/>
    <x v="5507"/>
    <x v="1"/>
    <x v="0"/>
    <x v="0"/>
    <x v="0"/>
  </r>
  <r>
    <x v="6369"/>
    <x v="1"/>
    <x v="0"/>
    <x v="0"/>
    <n v="84.05"/>
    <x v="9"/>
    <x v="5508"/>
    <x v="1"/>
    <x v="0"/>
    <x v="2"/>
    <x v="2"/>
  </r>
  <r>
    <x v="6370"/>
    <x v="1"/>
    <x v="0"/>
    <x v="2"/>
    <n v="80.7"/>
    <x v="6"/>
    <x v="1491"/>
    <x v="1"/>
    <x v="0"/>
    <x v="0"/>
    <x v="0"/>
  </r>
  <r>
    <x v="6371"/>
    <x v="1"/>
    <x v="0"/>
    <x v="0"/>
    <n v="104.35"/>
    <x v="45"/>
    <x v="5509"/>
    <x v="0"/>
    <x v="2"/>
    <x v="1"/>
    <x v="3"/>
  </r>
  <r>
    <x v="6372"/>
    <x v="1"/>
    <x v="0"/>
    <x v="1"/>
    <n v="19.55"/>
    <x v="0"/>
    <x v="533"/>
    <x v="0"/>
    <x v="0"/>
    <x v="0"/>
    <x v="0"/>
  </r>
  <r>
    <x v="6373"/>
    <x v="1"/>
    <x v="1"/>
    <x v="0"/>
    <n v="74.05"/>
    <x v="46"/>
    <x v="5510"/>
    <x v="0"/>
    <x v="1"/>
    <x v="1"/>
    <x v="1"/>
  </r>
  <r>
    <x v="6374"/>
    <x v="1"/>
    <x v="2"/>
    <x v="1"/>
    <n v="40.1"/>
    <x v="57"/>
    <x v="5511"/>
    <x v="0"/>
    <x v="0"/>
    <x v="2"/>
    <x v="2"/>
  </r>
  <r>
    <x v="6375"/>
    <x v="0"/>
    <x v="1"/>
    <x v="1"/>
    <n v="20.100000000000001"/>
    <x v="6"/>
    <x v="5512"/>
    <x v="0"/>
    <x v="0"/>
    <x v="0"/>
    <x v="0"/>
  </r>
  <r>
    <x v="6376"/>
    <x v="1"/>
    <x v="0"/>
    <x v="0"/>
    <n v="101.7"/>
    <x v="54"/>
    <x v="5513"/>
    <x v="1"/>
    <x v="0"/>
    <x v="0"/>
    <x v="0"/>
  </r>
  <r>
    <x v="6377"/>
    <x v="1"/>
    <x v="2"/>
    <x v="3"/>
    <n v="83.55"/>
    <x v="21"/>
    <x v="5514"/>
    <x v="0"/>
    <x v="2"/>
    <x v="1"/>
    <x v="3"/>
  </r>
  <r>
    <x v="6378"/>
    <x v="0"/>
    <x v="0"/>
    <x v="0"/>
    <n v="56.85"/>
    <x v="42"/>
    <x v="5515"/>
    <x v="0"/>
    <x v="0"/>
    <x v="1"/>
    <x v="1"/>
  </r>
  <r>
    <x v="6379"/>
    <x v="0"/>
    <x v="0"/>
    <x v="1"/>
    <n v="20.399999999999999"/>
    <x v="0"/>
    <x v="486"/>
    <x v="1"/>
    <x v="0"/>
    <x v="0"/>
    <x v="0"/>
  </r>
  <r>
    <x v="6380"/>
    <x v="0"/>
    <x v="2"/>
    <x v="3"/>
    <n v="19.55"/>
    <x v="11"/>
    <x v="2115"/>
    <x v="0"/>
    <x v="0"/>
    <x v="1"/>
    <x v="3"/>
  </r>
  <r>
    <x v="6381"/>
    <x v="1"/>
    <x v="1"/>
    <x v="0"/>
    <n v="106.15"/>
    <x v="27"/>
    <x v="5516"/>
    <x v="0"/>
    <x v="2"/>
    <x v="1"/>
    <x v="3"/>
  </r>
  <r>
    <x v="6382"/>
    <x v="1"/>
    <x v="1"/>
    <x v="3"/>
    <n v="78.95"/>
    <x v="46"/>
    <x v="5517"/>
    <x v="0"/>
    <x v="1"/>
    <x v="1"/>
    <x v="1"/>
  </r>
  <r>
    <x v="6383"/>
    <x v="0"/>
    <x v="0"/>
    <x v="0"/>
    <n v="49.75"/>
    <x v="31"/>
    <x v="5518"/>
    <x v="0"/>
    <x v="1"/>
    <x v="1"/>
    <x v="3"/>
  </r>
  <r>
    <x v="6384"/>
    <x v="1"/>
    <x v="0"/>
    <x v="3"/>
    <n v="92.4"/>
    <x v="70"/>
    <x v="5519"/>
    <x v="0"/>
    <x v="1"/>
    <x v="1"/>
    <x v="1"/>
  </r>
  <r>
    <x v="6385"/>
    <x v="0"/>
    <x v="1"/>
    <x v="2"/>
    <n v="58.2"/>
    <x v="4"/>
    <x v="5520"/>
    <x v="0"/>
    <x v="0"/>
    <x v="0"/>
    <x v="0"/>
  </r>
  <r>
    <x v="6386"/>
    <x v="1"/>
    <x v="1"/>
    <x v="0"/>
    <n v="102.6"/>
    <x v="52"/>
    <x v="5521"/>
    <x v="1"/>
    <x v="1"/>
    <x v="1"/>
    <x v="1"/>
  </r>
  <r>
    <x v="6387"/>
    <x v="0"/>
    <x v="0"/>
    <x v="3"/>
    <n v="91.95"/>
    <x v="51"/>
    <x v="5522"/>
    <x v="0"/>
    <x v="1"/>
    <x v="1"/>
    <x v="1"/>
  </r>
  <r>
    <x v="6388"/>
    <x v="1"/>
    <x v="1"/>
    <x v="2"/>
    <n v="65.25"/>
    <x v="68"/>
    <x v="5523"/>
    <x v="0"/>
    <x v="1"/>
    <x v="1"/>
    <x v="3"/>
  </r>
  <r>
    <x v="6389"/>
    <x v="1"/>
    <x v="2"/>
    <x v="2"/>
    <n v="106"/>
    <x v="16"/>
    <x v="5524"/>
    <x v="1"/>
    <x v="2"/>
    <x v="1"/>
    <x v="3"/>
  </r>
  <r>
    <x v="6390"/>
    <x v="0"/>
    <x v="0"/>
    <x v="0"/>
    <n v="73.099999999999994"/>
    <x v="49"/>
    <x v="5525"/>
    <x v="0"/>
    <x v="1"/>
    <x v="1"/>
    <x v="3"/>
  </r>
  <r>
    <x v="6391"/>
    <x v="0"/>
    <x v="2"/>
    <x v="2"/>
    <n v="59.75"/>
    <x v="21"/>
    <x v="5526"/>
    <x v="0"/>
    <x v="1"/>
    <x v="1"/>
    <x v="3"/>
  </r>
  <r>
    <x v="6392"/>
    <x v="0"/>
    <x v="0"/>
    <x v="1"/>
    <n v="55.1"/>
    <x v="35"/>
    <x v="5527"/>
    <x v="1"/>
    <x v="0"/>
    <x v="0"/>
    <x v="0"/>
  </r>
  <r>
    <x v="6393"/>
    <x v="0"/>
    <x v="2"/>
    <x v="2"/>
    <n v="59.8"/>
    <x v="68"/>
    <x v="5528"/>
    <x v="0"/>
    <x v="1"/>
    <x v="1"/>
    <x v="3"/>
  </r>
  <r>
    <x v="6394"/>
    <x v="1"/>
    <x v="2"/>
    <x v="2"/>
    <n v="116.6"/>
    <x v="21"/>
    <x v="5529"/>
    <x v="0"/>
    <x v="2"/>
    <x v="1"/>
    <x v="3"/>
  </r>
  <r>
    <x v="6395"/>
    <x v="1"/>
    <x v="2"/>
    <x v="0"/>
    <n v="109.3"/>
    <x v="15"/>
    <x v="5530"/>
    <x v="0"/>
    <x v="2"/>
    <x v="1"/>
    <x v="3"/>
  </r>
  <r>
    <x v="6396"/>
    <x v="0"/>
    <x v="1"/>
    <x v="2"/>
    <n v="101.4"/>
    <x v="31"/>
    <x v="478"/>
    <x v="0"/>
    <x v="2"/>
    <x v="1"/>
    <x v="3"/>
  </r>
  <r>
    <x v="6397"/>
    <x v="0"/>
    <x v="0"/>
    <x v="3"/>
    <n v="50.65"/>
    <x v="71"/>
    <x v="5531"/>
    <x v="0"/>
    <x v="0"/>
    <x v="1"/>
    <x v="1"/>
  </r>
  <r>
    <x v="6398"/>
    <x v="0"/>
    <x v="1"/>
    <x v="1"/>
    <n v="56.15"/>
    <x v="30"/>
    <x v="5532"/>
    <x v="0"/>
    <x v="0"/>
    <x v="2"/>
    <x v="2"/>
  </r>
  <r>
    <x v="6399"/>
    <x v="1"/>
    <x v="2"/>
    <x v="2"/>
    <n v="106.5"/>
    <x v="14"/>
    <x v="5533"/>
    <x v="1"/>
    <x v="2"/>
    <x v="1"/>
    <x v="3"/>
  </r>
  <r>
    <x v="6400"/>
    <x v="1"/>
    <x v="1"/>
    <x v="1"/>
    <n v="19.2"/>
    <x v="29"/>
    <x v="5534"/>
    <x v="0"/>
    <x v="0"/>
    <x v="1"/>
    <x v="1"/>
  </r>
  <r>
    <x v="6401"/>
    <x v="0"/>
    <x v="1"/>
    <x v="2"/>
    <n v="83"/>
    <x v="28"/>
    <x v="5535"/>
    <x v="0"/>
    <x v="2"/>
    <x v="1"/>
    <x v="3"/>
  </r>
  <r>
    <x v="6402"/>
    <x v="1"/>
    <x v="0"/>
    <x v="0"/>
    <n v="70.099999999999994"/>
    <x v="2"/>
    <x v="5536"/>
    <x v="0"/>
    <x v="0"/>
    <x v="0"/>
    <x v="0"/>
  </r>
  <r>
    <x v="6403"/>
    <x v="0"/>
    <x v="2"/>
    <x v="2"/>
    <n v="108.3"/>
    <x v="21"/>
    <x v="5537"/>
    <x v="0"/>
    <x v="2"/>
    <x v="1"/>
    <x v="3"/>
  </r>
  <r>
    <x v="6404"/>
    <x v="0"/>
    <x v="0"/>
    <x v="2"/>
    <n v="91.05"/>
    <x v="48"/>
    <x v="5332"/>
    <x v="1"/>
    <x v="1"/>
    <x v="1"/>
    <x v="1"/>
  </r>
  <r>
    <x v="6405"/>
    <x v="1"/>
    <x v="2"/>
    <x v="3"/>
    <n v="25.25"/>
    <x v="63"/>
    <x v="5538"/>
    <x v="0"/>
    <x v="0"/>
    <x v="1"/>
    <x v="1"/>
  </r>
  <r>
    <x v="6406"/>
    <x v="0"/>
    <x v="1"/>
    <x v="0"/>
    <n v="45.35"/>
    <x v="11"/>
    <x v="5539"/>
    <x v="0"/>
    <x v="1"/>
    <x v="1"/>
    <x v="3"/>
  </r>
  <r>
    <x v="6407"/>
    <x v="1"/>
    <x v="2"/>
    <x v="0"/>
    <n v="43.9"/>
    <x v="56"/>
    <x v="5540"/>
    <x v="0"/>
    <x v="1"/>
    <x v="1"/>
    <x v="3"/>
  </r>
  <r>
    <x v="6408"/>
    <x v="0"/>
    <x v="0"/>
    <x v="0"/>
    <n v="77.5"/>
    <x v="69"/>
    <x v="492"/>
    <x v="1"/>
    <x v="1"/>
    <x v="1"/>
    <x v="3"/>
  </r>
  <r>
    <x v="6409"/>
    <x v="1"/>
    <x v="1"/>
    <x v="1"/>
    <n v="79.3"/>
    <x v="36"/>
    <x v="5541"/>
    <x v="0"/>
    <x v="1"/>
    <x v="1"/>
    <x v="1"/>
  </r>
  <r>
    <x v="6410"/>
    <x v="1"/>
    <x v="0"/>
    <x v="3"/>
    <n v="84.9"/>
    <x v="14"/>
    <x v="5542"/>
    <x v="0"/>
    <x v="2"/>
    <x v="1"/>
    <x v="3"/>
  </r>
  <r>
    <x v="6411"/>
    <x v="1"/>
    <x v="1"/>
    <x v="0"/>
    <n v="79.25"/>
    <x v="48"/>
    <x v="5543"/>
    <x v="0"/>
    <x v="1"/>
    <x v="1"/>
    <x v="1"/>
  </r>
  <r>
    <x v="6412"/>
    <x v="0"/>
    <x v="2"/>
    <x v="3"/>
    <n v="71.05"/>
    <x v="17"/>
    <x v="5544"/>
    <x v="0"/>
    <x v="0"/>
    <x v="2"/>
    <x v="2"/>
  </r>
  <r>
    <x v="6413"/>
    <x v="1"/>
    <x v="1"/>
    <x v="0"/>
    <n v="53.75"/>
    <x v="15"/>
    <x v="5545"/>
    <x v="0"/>
    <x v="1"/>
    <x v="1"/>
    <x v="3"/>
  </r>
  <r>
    <x v="6414"/>
    <x v="0"/>
    <x v="2"/>
    <x v="3"/>
    <n v="24.25"/>
    <x v="21"/>
    <x v="5546"/>
    <x v="0"/>
    <x v="0"/>
    <x v="1"/>
    <x v="3"/>
  </r>
  <r>
    <x v="6415"/>
    <x v="0"/>
    <x v="2"/>
    <x v="0"/>
    <n v="54.2"/>
    <x v="21"/>
    <x v="5547"/>
    <x v="1"/>
    <x v="1"/>
    <x v="1"/>
    <x v="3"/>
  </r>
  <r>
    <x v="6416"/>
    <x v="1"/>
    <x v="1"/>
    <x v="2"/>
    <n v="44.25"/>
    <x v="15"/>
    <x v="5548"/>
    <x v="0"/>
    <x v="1"/>
    <x v="1"/>
    <x v="3"/>
  </r>
  <r>
    <x v="6417"/>
    <x v="0"/>
    <x v="1"/>
    <x v="2"/>
    <n v="50.05"/>
    <x v="52"/>
    <x v="5549"/>
    <x v="0"/>
    <x v="1"/>
    <x v="1"/>
    <x v="1"/>
  </r>
  <r>
    <x v="6418"/>
    <x v="1"/>
    <x v="2"/>
    <x v="1"/>
    <n v="20.149999999999999"/>
    <x v="52"/>
    <x v="5550"/>
    <x v="0"/>
    <x v="0"/>
    <x v="1"/>
    <x v="1"/>
  </r>
  <r>
    <x v="6419"/>
    <x v="0"/>
    <x v="0"/>
    <x v="1"/>
    <n v="69.25"/>
    <x v="53"/>
    <x v="5551"/>
    <x v="1"/>
    <x v="0"/>
    <x v="0"/>
    <x v="0"/>
  </r>
  <r>
    <x v="6420"/>
    <x v="1"/>
    <x v="1"/>
    <x v="3"/>
    <n v="69.349999999999994"/>
    <x v="56"/>
    <x v="5552"/>
    <x v="0"/>
    <x v="1"/>
    <x v="1"/>
    <x v="3"/>
  </r>
  <r>
    <x v="6421"/>
    <x v="0"/>
    <x v="0"/>
    <x v="1"/>
    <n v="19.350000000000001"/>
    <x v="10"/>
    <x v="3223"/>
    <x v="0"/>
    <x v="0"/>
    <x v="2"/>
    <x v="2"/>
  </r>
  <r>
    <x v="6422"/>
    <x v="1"/>
    <x v="2"/>
    <x v="1"/>
    <n v="19.149999999999999"/>
    <x v="22"/>
    <x v="5553"/>
    <x v="0"/>
    <x v="0"/>
    <x v="2"/>
    <x v="2"/>
  </r>
  <r>
    <x v="6423"/>
    <x v="1"/>
    <x v="0"/>
    <x v="1"/>
    <n v="61"/>
    <x v="42"/>
    <x v="5554"/>
    <x v="0"/>
    <x v="1"/>
    <x v="1"/>
    <x v="1"/>
  </r>
  <r>
    <x v="6424"/>
    <x v="0"/>
    <x v="2"/>
    <x v="3"/>
    <n v="20.5"/>
    <x v="11"/>
    <x v="5555"/>
    <x v="0"/>
    <x v="0"/>
    <x v="1"/>
    <x v="3"/>
  </r>
  <r>
    <x v="6425"/>
    <x v="1"/>
    <x v="0"/>
    <x v="0"/>
    <n v="50.5"/>
    <x v="0"/>
    <x v="5556"/>
    <x v="1"/>
    <x v="0"/>
    <x v="0"/>
    <x v="0"/>
  </r>
  <r>
    <x v="6426"/>
    <x v="1"/>
    <x v="2"/>
    <x v="1"/>
    <n v="50.2"/>
    <x v="15"/>
    <x v="5557"/>
    <x v="0"/>
    <x v="1"/>
    <x v="1"/>
    <x v="3"/>
  </r>
  <r>
    <x v="6427"/>
    <x v="0"/>
    <x v="2"/>
    <x v="2"/>
    <n v="79.599999999999994"/>
    <x v="27"/>
    <x v="5558"/>
    <x v="0"/>
    <x v="2"/>
    <x v="1"/>
    <x v="3"/>
  </r>
  <r>
    <x v="6428"/>
    <x v="0"/>
    <x v="2"/>
    <x v="2"/>
    <n v="24.9"/>
    <x v="67"/>
    <x v="5559"/>
    <x v="0"/>
    <x v="0"/>
    <x v="2"/>
    <x v="2"/>
  </r>
  <r>
    <x v="6429"/>
    <x v="1"/>
    <x v="0"/>
    <x v="0"/>
    <n v="74.400000000000006"/>
    <x v="0"/>
    <x v="2628"/>
    <x v="1"/>
    <x v="0"/>
    <x v="0"/>
    <x v="0"/>
  </r>
  <r>
    <x v="6430"/>
    <x v="0"/>
    <x v="0"/>
    <x v="0"/>
    <n v="106.9"/>
    <x v="42"/>
    <x v="5560"/>
    <x v="0"/>
    <x v="1"/>
    <x v="1"/>
    <x v="1"/>
  </r>
  <r>
    <x v="6431"/>
    <x v="0"/>
    <x v="0"/>
    <x v="0"/>
    <n v="101.35"/>
    <x v="48"/>
    <x v="5561"/>
    <x v="0"/>
    <x v="1"/>
    <x v="1"/>
    <x v="1"/>
  </r>
  <r>
    <x v="6432"/>
    <x v="0"/>
    <x v="0"/>
    <x v="3"/>
    <n v="55.35"/>
    <x v="22"/>
    <x v="5562"/>
    <x v="0"/>
    <x v="0"/>
    <x v="2"/>
    <x v="2"/>
  </r>
  <r>
    <x v="6433"/>
    <x v="0"/>
    <x v="1"/>
    <x v="3"/>
    <n v="50.55"/>
    <x v="56"/>
    <x v="131"/>
    <x v="0"/>
    <x v="1"/>
    <x v="1"/>
    <x v="3"/>
  </r>
  <r>
    <x v="6434"/>
    <x v="0"/>
    <x v="0"/>
    <x v="2"/>
    <n v="19.5"/>
    <x v="34"/>
    <x v="1303"/>
    <x v="0"/>
    <x v="0"/>
    <x v="0"/>
    <x v="0"/>
  </r>
  <r>
    <x v="6435"/>
    <x v="1"/>
    <x v="1"/>
    <x v="1"/>
    <n v="79.45"/>
    <x v="36"/>
    <x v="5563"/>
    <x v="1"/>
    <x v="1"/>
    <x v="1"/>
    <x v="1"/>
  </r>
  <r>
    <x v="6436"/>
    <x v="1"/>
    <x v="0"/>
    <x v="0"/>
    <n v="90.65"/>
    <x v="54"/>
    <x v="5564"/>
    <x v="0"/>
    <x v="0"/>
    <x v="0"/>
    <x v="0"/>
  </r>
  <r>
    <x v="6437"/>
    <x v="1"/>
    <x v="1"/>
    <x v="2"/>
    <n v="89.85"/>
    <x v="11"/>
    <x v="5565"/>
    <x v="0"/>
    <x v="2"/>
    <x v="1"/>
    <x v="3"/>
  </r>
  <r>
    <x v="6438"/>
    <x v="1"/>
    <x v="1"/>
    <x v="1"/>
    <n v="79"/>
    <x v="31"/>
    <x v="5566"/>
    <x v="0"/>
    <x v="1"/>
    <x v="1"/>
    <x v="3"/>
  </r>
  <r>
    <x v="6439"/>
    <x v="1"/>
    <x v="1"/>
    <x v="0"/>
    <n v="104.65"/>
    <x v="11"/>
    <x v="5567"/>
    <x v="1"/>
    <x v="2"/>
    <x v="1"/>
    <x v="3"/>
  </r>
  <r>
    <x v="6440"/>
    <x v="1"/>
    <x v="0"/>
    <x v="1"/>
    <n v="19.55"/>
    <x v="0"/>
    <x v="533"/>
    <x v="0"/>
    <x v="0"/>
    <x v="0"/>
    <x v="0"/>
  </r>
  <r>
    <x v="6441"/>
    <x v="0"/>
    <x v="2"/>
    <x v="1"/>
    <n v="19.899999999999999"/>
    <x v="23"/>
    <x v="5568"/>
    <x v="0"/>
    <x v="0"/>
    <x v="1"/>
    <x v="1"/>
  </r>
  <r>
    <x v="6442"/>
    <x v="1"/>
    <x v="1"/>
    <x v="0"/>
    <n v="116.25"/>
    <x v="33"/>
    <x v="5569"/>
    <x v="0"/>
    <x v="2"/>
    <x v="1"/>
    <x v="3"/>
  </r>
  <r>
    <x v="6443"/>
    <x v="1"/>
    <x v="0"/>
    <x v="2"/>
    <n v="87.75"/>
    <x v="30"/>
    <x v="5570"/>
    <x v="0"/>
    <x v="0"/>
    <x v="2"/>
    <x v="2"/>
  </r>
  <r>
    <x v="6444"/>
    <x v="1"/>
    <x v="0"/>
    <x v="0"/>
    <n v="100.05"/>
    <x v="20"/>
    <x v="5571"/>
    <x v="1"/>
    <x v="1"/>
    <x v="1"/>
    <x v="1"/>
  </r>
  <r>
    <x v="6445"/>
    <x v="0"/>
    <x v="0"/>
    <x v="3"/>
    <n v="81.3"/>
    <x v="52"/>
    <x v="5572"/>
    <x v="0"/>
    <x v="1"/>
    <x v="1"/>
    <x v="1"/>
  </r>
  <r>
    <x v="6446"/>
    <x v="1"/>
    <x v="0"/>
    <x v="0"/>
    <n v="44.3"/>
    <x v="64"/>
    <x v="5573"/>
    <x v="0"/>
    <x v="1"/>
    <x v="1"/>
    <x v="3"/>
  </r>
  <r>
    <x v="6447"/>
    <x v="0"/>
    <x v="2"/>
    <x v="3"/>
    <n v="70.349999999999994"/>
    <x v="37"/>
    <x v="5574"/>
    <x v="0"/>
    <x v="1"/>
    <x v="1"/>
    <x v="3"/>
  </r>
  <r>
    <x v="6448"/>
    <x v="1"/>
    <x v="1"/>
    <x v="3"/>
    <n v="44.45"/>
    <x v="22"/>
    <x v="5575"/>
    <x v="0"/>
    <x v="0"/>
    <x v="2"/>
    <x v="2"/>
  </r>
  <r>
    <x v="6449"/>
    <x v="1"/>
    <x v="0"/>
    <x v="0"/>
    <n v="49.15"/>
    <x v="53"/>
    <x v="3363"/>
    <x v="0"/>
    <x v="0"/>
    <x v="0"/>
    <x v="0"/>
  </r>
  <r>
    <x v="6450"/>
    <x v="1"/>
    <x v="0"/>
    <x v="3"/>
    <n v="29.45"/>
    <x v="69"/>
    <x v="5576"/>
    <x v="0"/>
    <x v="0"/>
    <x v="1"/>
    <x v="3"/>
  </r>
  <r>
    <x v="6451"/>
    <x v="1"/>
    <x v="0"/>
    <x v="0"/>
    <n v="100.55"/>
    <x v="66"/>
    <x v="5577"/>
    <x v="1"/>
    <x v="1"/>
    <x v="1"/>
    <x v="1"/>
  </r>
  <r>
    <x v="6452"/>
    <x v="1"/>
    <x v="0"/>
    <x v="3"/>
    <n v="85.3"/>
    <x v="12"/>
    <x v="5578"/>
    <x v="0"/>
    <x v="1"/>
    <x v="1"/>
    <x v="3"/>
  </r>
  <r>
    <x v="6453"/>
    <x v="1"/>
    <x v="0"/>
    <x v="0"/>
    <n v="95.65"/>
    <x v="2"/>
    <x v="5579"/>
    <x v="1"/>
    <x v="0"/>
    <x v="0"/>
    <x v="0"/>
  </r>
  <r>
    <x v="6454"/>
    <x v="1"/>
    <x v="1"/>
    <x v="1"/>
    <n v="69.099999999999994"/>
    <x v="64"/>
    <x v="5580"/>
    <x v="0"/>
    <x v="1"/>
    <x v="1"/>
    <x v="3"/>
  </r>
  <r>
    <x v="6455"/>
    <x v="1"/>
    <x v="0"/>
    <x v="2"/>
    <n v="70.349999999999994"/>
    <x v="37"/>
    <x v="5574"/>
    <x v="0"/>
    <x v="1"/>
    <x v="1"/>
    <x v="3"/>
  </r>
  <r>
    <x v="6456"/>
    <x v="0"/>
    <x v="2"/>
    <x v="1"/>
    <n v="20.6"/>
    <x v="64"/>
    <x v="5581"/>
    <x v="0"/>
    <x v="0"/>
    <x v="1"/>
    <x v="3"/>
  </r>
  <r>
    <x v="6457"/>
    <x v="1"/>
    <x v="0"/>
    <x v="1"/>
    <n v="74.150000000000006"/>
    <x v="32"/>
    <x v="3184"/>
    <x v="0"/>
    <x v="0"/>
    <x v="2"/>
    <x v="2"/>
  </r>
  <r>
    <x v="6458"/>
    <x v="1"/>
    <x v="0"/>
    <x v="0"/>
    <n v="75.05"/>
    <x v="6"/>
    <x v="5582"/>
    <x v="0"/>
    <x v="0"/>
    <x v="0"/>
    <x v="0"/>
  </r>
  <r>
    <x v="6459"/>
    <x v="1"/>
    <x v="1"/>
    <x v="0"/>
    <n v="44.6"/>
    <x v="60"/>
    <x v="5583"/>
    <x v="0"/>
    <x v="0"/>
    <x v="2"/>
    <x v="2"/>
  </r>
  <r>
    <x v="6460"/>
    <x v="1"/>
    <x v="2"/>
    <x v="2"/>
    <n v="21.45"/>
    <x v="42"/>
    <x v="5584"/>
    <x v="0"/>
    <x v="0"/>
    <x v="1"/>
    <x v="1"/>
  </r>
  <r>
    <x v="6461"/>
    <x v="1"/>
    <x v="1"/>
    <x v="1"/>
    <n v="43.45"/>
    <x v="4"/>
    <x v="5585"/>
    <x v="0"/>
    <x v="0"/>
    <x v="0"/>
    <x v="0"/>
  </r>
  <r>
    <x v="6462"/>
    <x v="1"/>
    <x v="1"/>
    <x v="2"/>
    <n v="20.05"/>
    <x v="32"/>
    <x v="2354"/>
    <x v="0"/>
    <x v="0"/>
    <x v="2"/>
    <x v="2"/>
  </r>
  <r>
    <x v="6463"/>
    <x v="0"/>
    <x v="1"/>
    <x v="2"/>
    <n v="94.15"/>
    <x v="31"/>
    <x v="5586"/>
    <x v="0"/>
    <x v="2"/>
    <x v="1"/>
    <x v="3"/>
  </r>
  <r>
    <x v="6464"/>
    <x v="0"/>
    <x v="0"/>
    <x v="0"/>
    <n v="94.4"/>
    <x v="0"/>
    <x v="5587"/>
    <x v="1"/>
    <x v="0"/>
    <x v="0"/>
    <x v="0"/>
  </r>
  <r>
    <x v="6465"/>
    <x v="0"/>
    <x v="2"/>
    <x v="1"/>
    <n v="19.55"/>
    <x v="53"/>
    <x v="2041"/>
    <x v="0"/>
    <x v="0"/>
    <x v="0"/>
    <x v="0"/>
  </r>
  <r>
    <x v="6466"/>
    <x v="0"/>
    <x v="0"/>
    <x v="1"/>
    <n v="75.900000000000006"/>
    <x v="67"/>
    <x v="5588"/>
    <x v="0"/>
    <x v="0"/>
    <x v="2"/>
    <x v="2"/>
  </r>
  <r>
    <x v="6467"/>
    <x v="1"/>
    <x v="1"/>
    <x v="2"/>
    <n v="64.150000000000006"/>
    <x v="62"/>
    <x v="5589"/>
    <x v="0"/>
    <x v="1"/>
    <x v="1"/>
    <x v="3"/>
  </r>
  <r>
    <x v="6468"/>
    <x v="1"/>
    <x v="2"/>
    <x v="2"/>
    <n v="109.55"/>
    <x v="21"/>
    <x v="2306"/>
    <x v="0"/>
    <x v="2"/>
    <x v="1"/>
    <x v="3"/>
  </r>
  <r>
    <x v="6469"/>
    <x v="0"/>
    <x v="2"/>
    <x v="3"/>
    <n v="110.8"/>
    <x v="31"/>
    <x v="5590"/>
    <x v="0"/>
    <x v="2"/>
    <x v="1"/>
    <x v="3"/>
  </r>
  <r>
    <x v="6470"/>
    <x v="0"/>
    <x v="0"/>
    <x v="3"/>
    <n v="55"/>
    <x v="0"/>
    <x v="465"/>
    <x v="1"/>
    <x v="0"/>
    <x v="0"/>
    <x v="0"/>
  </r>
  <r>
    <x v="6471"/>
    <x v="0"/>
    <x v="0"/>
    <x v="1"/>
    <n v="53.45"/>
    <x v="9"/>
    <x v="5591"/>
    <x v="0"/>
    <x v="0"/>
    <x v="2"/>
    <x v="2"/>
  </r>
  <r>
    <x v="6472"/>
    <x v="0"/>
    <x v="0"/>
    <x v="3"/>
    <n v="69.95"/>
    <x v="24"/>
    <x v="1480"/>
    <x v="0"/>
    <x v="0"/>
    <x v="0"/>
    <x v="0"/>
  </r>
  <r>
    <x v="6473"/>
    <x v="1"/>
    <x v="0"/>
    <x v="0"/>
    <n v="101.45"/>
    <x v="0"/>
    <x v="5592"/>
    <x v="1"/>
    <x v="0"/>
    <x v="0"/>
    <x v="0"/>
  </r>
  <r>
    <x v="6474"/>
    <x v="1"/>
    <x v="0"/>
    <x v="0"/>
    <n v="97"/>
    <x v="9"/>
    <x v="5593"/>
    <x v="0"/>
    <x v="0"/>
    <x v="2"/>
    <x v="2"/>
  </r>
  <r>
    <x v="6475"/>
    <x v="1"/>
    <x v="1"/>
    <x v="2"/>
    <n v="90.6"/>
    <x v="50"/>
    <x v="5594"/>
    <x v="0"/>
    <x v="1"/>
    <x v="1"/>
    <x v="1"/>
  </r>
  <r>
    <x v="6476"/>
    <x v="1"/>
    <x v="0"/>
    <x v="1"/>
    <n v="73.55"/>
    <x v="38"/>
    <x v="5595"/>
    <x v="0"/>
    <x v="1"/>
    <x v="1"/>
    <x v="3"/>
  </r>
  <r>
    <x v="6477"/>
    <x v="0"/>
    <x v="0"/>
    <x v="2"/>
    <n v="67.95"/>
    <x v="24"/>
    <x v="5596"/>
    <x v="1"/>
    <x v="0"/>
    <x v="0"/>
    <x v="0"/>
  </r>
  <r>
    <x v="6478"/>
    <x v="0"/>
    <x v="2"/>
    <x v="2"/>
    <n v="94.35"/>
    <x v="59"/>
    <x v="5597"/>
    <x v="0"/>
    <x v="2"/>
    <x v="1"/>
    <x v="3"/>
  </r>
  <r>
    <x v="6479"/>
    <x v="0"/>
    <x v="0"/>
    <x v="0"/>
    <n v="69.5"/>
    <x v="0"/>
    <x v="2372"/>
    <x v="1"/>
    <x v="0"/>
    <x v="0"/>
    <x v="0"/>
  </r>
  <r>
    <x v="6480"/>
    <x v="1"/>
    <x v="0"/>
    <x v="1"/>
    <n v="18.850000000000001"/>
    <x v="0"/>
    <x v="1112"/>
    <x v="1"/>
    <x v="0"/>
    <x v="0"/>
    <x v="0"/>
  </r>
  <r>
    <x v="6481"/>
    <x v="1"/>
    <x v="1"/>
    <x v="1"/>
    <n v="19.399999999999999"/>
    <x v="70"/>
    <x v="5598"/>
    <x v="0"/>
    <x v="0"/>
    <x v="1"/>
    <x v="1"/>
  </r>
  <r>
    <x v="6482"/>
    <x v="0"/>
    <x v="0"/>
    <x v="0"/>
    <n v="69.2"/>
    <x v="0"/>
    <x v="5599"/>
    <x v="1"/>
    <x v="0"/>
    <x v="0"/>
    <x v="0"/>
  </r>
  <r>
    <x v="6483"/>
    <x v="1"/>
    <x v="2"/>
    <x v="1"/>
    <n v="19.75"/>
    <x v="65"/>
    <x v="2047"/>
    <x v="0"/>
    <x v="0"/>
    <x v="1"/>
    <x v="2"/>
  </r>
  <r>
    <x v="6484"/>
    <x v="1"/>
    <x v="1"/>
    <x v="0"/>
    <n v="54.6"/>
    <x v="22"/>
    <x v="783"/>
    <x v="0"/>
    <x v="0"/>
    <x v="2"/>
    <x v="2"/>
  </r>
  <r>
    <x v="6485"/>
    <x v="0"/>
    <x v="0"/>
    <x v="1"/>
    <n v="29.8"/>
    <x v="70"/>
    <x v="5600"/>
    <x v="0"/>
    <x v="0"/>
    <x v="1"/>
    <x v="1"/>
  </r>
  <r>
    <x v="6486"/>
    <x v="1"/>
    <x v="0"/>
    <x v="0"/>
    <n v="69.650000000000006"/>
    <x v="0"/>
    <x v="4561"/>
    <x v="1"/>
    <x v="0"/>
    <x v="0"/>
    <x v="0"/>
  </r>
  <r>
    <x v="6487"/>
    <x v="1"/>
    <x v="0"/>
    <x v="0"/>
    <n v="101.85"/>
    <x v="63"/>
    <x v="5601"/>
    <x v="1"/>
    <x v="1"/>
    <x v="1"/>
    <x v="1"/>
  </r>
  <r>
    <x v="6488"/>
    <x v="1"/>
    <x v="0"/>
    <x v="0"/>
    <n v="103.05"/>
    <x v="15"/>
    <x v="5602"/>
    <x v="0"/>
    <x v="2"/>
    <x v="1"/>
    <x v="3"/>
  </r>
  <r>
    <x v="6489"/>
    <x v="0"/>
    <x v="0"/>
    <x v="0"/>
    <n v="82.3"/>
    <x v="0"/>
    <x v="5603"/>
    <x v="1"/>
    <x v="0"/>
    <x v="0"/>
    <x v="0"/>
  </r>
  <r>
    <x v="6490"/>
    <x v="1"/>
    <x v="0"/>
    <x v="1"/>
    <n v="20.3"/>
    <x v="0"/>
    <x v="3045"/>
    <x v="0"/>
    <x v="0"/>
    <x v="0"/>
    <x v="0"/>
  </r>
  <r>
    <x v="6491"/>
    <x v="0"/>
    <x v="2"/>
    <x v="1"/>
    <n v="35.1"/>
    <x v="17"/>
    <x v="5604"/>
    <x v="0"/>
    <x v="0"/>
    <x v="2"/>
    <x v="2"/>
  </r>
  <r>
    <x v="6492"/>
    <x v="0"/>
    <x v="1"/>
    <x v="2"/>
    <n v="105.7"/>
    <x v="56"/>
    <x v="5605"/>
    <x v="0"/>
    <x v="2"/>
    <x v="1"/>
    <x v="3"/>
  </r>
  <r>
    <x v="6493"/>
    <x v="0"/>
    <x v="0"/>
    <x v="2"/>
    <n v="56.25"/>
    <x v="66"/>
    <x v="5606"/>
    <x v="0"/>
    <x v="1"/>
    <x v="1"/>
    <x v="1"/>
  </r>
  <r>
    <x v="6494"/>
    <x v="1"/>
    <x v="1"/>
    <x v="0"/>
    <n v="60.35"/>
    <x v="27"/>
    <x v="5607"/>
    <x v="0"/>
    <x v="1"/>
    <x v="1"/>
    <x v="3"/>
  </r>
  <r>
    <x v="6495"/>
    <x v="1"/>
    <x v="0"/>
    <x v="0"/>
    <n v="79.25"/>
    <x v="35"/>
    <x v="5608"/>
    <x v="1"/>
    <x v="0"/>
    <x v="0"/>
    <x v="0"/>
  </r>
  <r>
    <x v="6496"/>
    <x v="1"/>
    <x v="2"/>
    <x v="2"/>
    <n v="59.8"/>
    <x v="39"/>
    <x v="3492"/>
    <x v="0"/>
    <x v="1"/>
    <x v="1"/>
    <x v="3"/>
  </r>
  <r>
    <x v="6497"/>
    <x v="0"/>
    <x v="0"/>
    <x v="0"/>
    <n v="84.6"/>
    <x v="9"/>
    <x v="5609"/>
    <x v="1"/>
    <x v="0"/>
    <x v="2"/>
    <x v="2"/>
  </r>
  <r>
    <x v="6498"/>
    <x v="0"/>
    <x v="0"/>
    <x v="2"/>
    <n v="93.4"/>
    <x v="11"/>
    <x v="5610"/>
    <x v="1"/>
    <x v="2"/>
    <x v="1"/>
    <x v="3"/>
  </r>
  <r>
    <x v="6499"/>
    <x v="0"/>
    <x v="0"/>
    <x v="0"/>
    <n v="94.2"/>
    <x v="41"/>
    <x v="5611"/>
    <x v="1"/>
    <x v="1"/>
    <x v="1"/>
    <x v="1"/>
  </r>
  <r>
    <x v="6500"/>
    <x v="1"/>
    <x v="0"/>
    <x v="0"/>
    <n v="25.05"/>
    <x v="0"/>
    <x v="2936"/>
    <x v="1"/>
    <x v="0"/>
    <x v="0"/>
    <x v="0"/>
  </r>
  <r>
    <x v="6501"/>
    <x v="0"/>
    <x v="2"/>
    <x v="1"/>
    <n v="99.65"/>
    <x v="25"/>
    <x v="5612"/>
    <x v="0"/>
    <x v="1"/>
    <x v="1"/>
    <x v="1"/>
  </r>
  <r>
    <x v="6502"/>
    <x v="0"/>
    <x v="2"/>
    <x v="2"/>
    <n v="50.65"/>
    <x v="28"/>
    <x v="5613"/>
    <x v="0"/>
    <x v="1"/>
    <x v="1"/>
    <x v="3"/>
  </r>
  <r>
    <x v="6503"/>
    <x v="1"/>
    <x v="0"/>
    <x v="0"/>
    <n v="60.9"/>
    <x v="26"/>
    <x v="5614"/>
    <x v="0"/>
    <x v="0"/>
    <x v="0"/>
    <x v="0"/>
  </r>
  <r>
    <x v="6504"/>
    <x v="1"/>
    <x v="0"/>
    <x v="2"/>
    <n v="59.65"/>
    <x v="30"/>
    <x v="5615"/>
    <x v="0"/>
    <x v="0"/>
    <x v="2"/>
    <x v="2"/>
  </r>
  <r>
    <x v="6505"/>
    <x v="1"/>
    <x v="2"/>
    <x v="0"/>
    <n v="64.7"/>
    <x v="21"/>
    <x v="3843"/>
    <x v="0"/>
    <x v="1"/>
    <x v="1"/>
    <x v="3"/>
  </r>
  <r>
    <x v="6506"/>
    <x v="0"/>
    <x v="0"/>
    <x v="3"/>
    <n v="25.1"/>
    <x v="44"/>
    <x v="5616"/>
    <x v="1"/>
    <x v="0"/>
    <x v="1"/>
    <x v="1"/>
  </r>
  <r>
    <x v="6507"/>
    <x v="1"/>
    <x v="0"/>
    <x v="0"/>
    <n v="48.95"/>
    <x v="0"/>
    <x v="5617"/>
    <x v="1"/>
    <x v="0"/>
    <x v="0"/>
    <x v="0"/>
  </r>
  <r>
    <x v="6508"/>
    <x v="0"/>
    <x v="0"/>
    <x v="0"/>
    <n v="54.85"/>
    <x v="53"/>
    <x v="5618"/>
    <x v="0"/>
    <x v="0"/>
    <x v="0"/>
    <x v="0"/>
  </r>
  <r>
    <x v="6509"/>
    <x v="1"/>
    <x v="0"/>
    <x v="0"/>
    <n v="45.3"/>
    <x v="0"/>
    <x v="180"/>
    <x v="1"/>
    <x v="0"/>
    <x v="0"/>
    <x v="0"/>
  </r>
  <r>
    <x v="6510"/>
    <x v="1"/>
    <x v="1"/>
    <x v="0"/>
    <n v="91.35"/>
    <x v="28"/>
    <x v="5619"/>
    <x v="0"/>
    <x v="2"/>
    <x v="1"/>
    <x v="3"/>
  </r>
  <r>
    <x v="6511"/>
    <x v="1"/>
    <x v="0"/>
    <x v="0"/>
    <n v="85.85"/>
    <x v="2"/>
    <x v="5620"/>
    <x v="1"/>
    <x v="0"/>
    <x v="0"/>
    <x v="0"/>
  </r>
  <r>
    <x v="6512"/>
    <x v="0"/>
    <x v="2"/>
    <x v="1"/>
    <n v="25.1"/>
    <x v="32"/>
    <x v="5621"/>
    <x v="0"/>
    <x v="0"/>
    <x v="2"/>
    <x v="2"/>
  </r>
  <r>
    <x v="6513"/>
    <x v="0"/>
    <x v="0"/>
    <x v="2"/>
    <n v="34"/>
    <x v="29"/>
    <x v="5622"/>
    <x v="0"/>
    <x v="0"/>
    <x v="1"/>
    <x v="1"/>
  </r>
  <r>
    <x v="6514"/>
    <x v="0"/>
    <x v="1"/>
    <x v="1"/>
    <n v="45.9"/>
    <x v="30"/>
    <x v="5623"/>
    <x v="0"/>
    <x v="0"/>
    <x v="2"/>
    <x v="2"/>
  </r>
  <r>
    <x v="6515"/>
    <x v="1"/>
    <x v="0"/>
    <x v="0"/>
    <n v="95.2"/>
    <x v="6"/>
    <x v="5624"/>
    <x v="1"/>
    <x v="0"/>
    <x v="0"/>
    <x v="0"/>
  </r>
  <r>
    <x v="6516"/>
    <x v="1"/>
    <x v="2"/>
    <x v="1"/>
    <n v="20.5"/>
    <x v="49"/>
    <x v="5625"/>
    <x v="0"/>
    <x v="0"/>
    <x v="1"/>
    <x v="3"/>
  </r>
  <r>
    <x v="6517"/>
    <x v="1"/>
    <x v="1"/>
    <x v="2"/>
    <n v="100.6"/>
    <x v="12"/>
    <x v="5626"/>
    <x v="1"/>
    <x v="1"/>
    <x v="1"/>
    <x v="3"/>
  </r>
  <r>
    <x v="6518"/>
    <x v="1"/>
    <x v="0"/>
    <x v="1"/>
    <n v="55.3"/>
    <x v="53"/>
    <x v="5627"/>
    <x v="1"/>
    <x v="0"/>
    <x v="0"/>
    <x v="0"/>
  </r>
  <r>
    <x v="6519"/>
    <x v="1"/>
    <x v="2"/>
    <x v="3"/>
    <n v="20.350000000000001"/>
    <x v="27"/>
    <x v="5628"/>
    <x v="0"/>
    <x v="0"/>
    <x v="1"/>
    <x v="3"/>
  </r>
  <r>
    <x v="6520"/>
    <x v="1"/>
    <x v="0"/>
    <x v="1"/>
    <n v="74.849999999999994"/>
    <x v="2"/>
    <x v="5629"/>
    <x v="1"/>
    <x v="0"/>
    <x v="0"/>
    <x v="0"/>
  </r>
  <r>
    <x v="6521"/>
    <x v="1"/>
    <x v="1"/>
    <x v="2"/>
    <n v="36.1"/>
    <x v="28"/>
    <x v="5630"/>
    <x v="0"/>
    <x v="1"/>
    <x v="1"/>
    <x v="3"/>
  </r>
  <r>
    <x v="6522"/>
    <x v="0"/>
    <x v="0"/>
    <x v="2"/>
    <n v="65.8"/>
    <x v="13"/>
    <x v="5631"/>
    <x v="0"/>
    <x v="0"/>
    <x v="1"/>
    <x v="1"/>
  </r>
  <r>
    <x v="6523"/>
    <x v="0"/>
    <x v="1"/>
    <x v="2"/>
    <n v="20.350000000000001"/>
    <x v="32"/>
    <x v="5632"/>
    <x v="0"/>
    <x v="0"/>
    <x v="2"/>
    <x v="2"/>
  </r>
  <r>
    <x v="6524"/>
    <x v="1"/>
    <x v="0"/>
    <x v="0"/>
    <n v="105.8"/>
    <x v="7"/>
    <x v="5633"/>
    <x v="0"/>
    <x v="1"/>
    <x v="1"/>
    <x v="1"/>
  </r>
  <r>
    <x v="6525"/>
    <x v="0"/>
    <x v="1"/>
    <x v="1"/>
    <n v="96.75"/>
    <x v="62"/>
    <x v="5634"/>
    <x v="0"/>
    <x v="2"/>
    <x v="1"/>
    <x v="3"/>
  </r>
  <r>
    <x v="6526"/>
    <x v="1"/>
    <x v="1"/>
    <x v="2"/>
    <n v="102.35"/>
    <x v="42"/>
    <x v="5635"/>
    <x v="1"/>
    <x v="1"/>
    <x v="1"/>
    <x v="1"/>
  </r>
  <r>
    <x v="6527"/>
    <x v="1"/>
    <x v="0"/>
    <x v="1"/>
    <n v="24.4"/>
    <x v="0"/>
    <x v="3001"/>
    <x v="0"/>
    <x v="0"/>
    <x v="0"/>
    <x v="0"/>
  </r>
  <r>
    <x v="6528"/>
    <x v="1"/>
    <x v="1"/>
    <x v="3"/>
    <n v="115.65"/>
    <x v="27"/>
    <x v="5636"/>
    <x v="1"/>
    <x v="2"/>
    <x v="1"/>
    <x v="3"/>
  </r>
  <r>
    <x v="6529"/>
    <x v="1"/>
    <x v="0"/>
    <x v="0"/>
    <n v="79.849999999999994"/>
    <x v="2"/>
    <x v="5637"/>
    <x v="1"/>
    <x v="0"/>
    <x v="0"/>
    <x v="0"/>
  </r>
  <r>
    <x v="6530"/>
    <x v="0"/>
    <x v="0"/>
    <x v="0"/>
    <n v="73.05"/>
    <x v="70"/>
    <x v="5638"/>
    <x v="0"/>
    <x v="0"/>
    <x v="1"/>
    <x v="1"/>
  </r>
  <r>
    <x v="6531"/>
    <x v="0"/>
    <x v="1"/>
    <x v="0"/>
    <n v="64.349999999999994"/>
    <x v="1"/>
    <x v="5639"/>
    <x v="0"/>
    <x v="1"/>
    <x v="1"/>
    <x v="1"/>
  </r>
  <r>
    <x v="6532"/>
    <x v="0"/>
    <x v="2"/>
    <x v="1"/>
    <n v="20.5"/>
    <x v="67"/>
    <x v="5640"/>
    <x v="0"/>
    <x v="0"/>
    <x v="2"/>
    <x v="2"/>
  </r>
  <r>
    <x v="6533"/>
    <x v="1"/>
    <x v="0"/>
    <x v="1"/>
    <n v="76"/>
    <x v="30"/>
    <x v="5641"/>
    <x v="1"/>
    <x v="0"/>
    <x v="2"/>
    <x v="2"/>
  </r>
  <r>
    <x v="6534"/>
    <x v="0"/>
    <x v="1"/>
    <x v="3"/>
    <n v="54.75"/>
    <x v="8"/>
    <x v="5642"/>
    <x v="0"/>
    <x v="1"/>
    <x v="1"/>
    <x v="3"/>
  </r>
  <r>
    <x v="6535"/>
    <x v="0"/>
    <x v="0"/>
    <x v="2"/>
    <n v="104.75"/>
    <x v="41"/>
    <x v="5643"/>
    <x v="1"/>
    <x v="1"/>
    <x v="1"/>
    <x v="1"/>
  </r>
  <r>
    <x v="6536"/>
    <x v="0"/>
    <x v="0"/>
    <x v="0"/>
    <n v="74.650000000000006"/>
    <x v="34"/>
    <x v="5644"/>
    <x v="1"/>
    <x v="0"/>
    <x v="0"/>
    <x v="0"/>
  </r>
  <r>
    <x v="6537"/>
    <x v="1"/>
    <x v="0"/>
    <x v="0"/>
    <n v="51.15"/>
    <x v="65"/>
    <x v="5645"/>
    <x v="0"/>
    <x v="0"/>
    <x v="1"/>
    <x v="2"/>
  </r>
  <r>
    <x v="6538"/>
    <x v="1"/>
    <x v="2"/>
    <x v="0"/>
    <n v="41.95"/>
    <x v="47"/>
    <x v="5646"/>
    <x v="0"/>
    <x v="1"/>
    <x v="1"/>
    <x v="3"/>
  </r>
  <r>
    <x v="6539"/>
    <x v="1"/>
    <x v="0"/>
    <x v="1"/>
    <n v="54.35"/>
    <x v="36"/>
    <x v="5647"/>
    <x v="0"/>
    <x v="0"/>
    <x v="1"/>
    <x v="1"/>
  </r>
  <r>
    <x v="6540"/>
    <x v="0"/>
    <x v="0"/>
    <x v="0"/>
    <n v="56.25"/>
    <x v="0"/>
    <x v="5648"/>
    <x v="1"/>
    <x v="0"/>
    <x v="0"/>
    <x v="0"/>
  </r>
  <r>
    <x v="6541"/>
    <x v="1"/>
    <x v="0"/>
    <x v="0"/>
    <n v="106.1"/>
    <x v="17"/>
    <x v="5649"/>
    <x v="1"/>
    <x v="1"/>
    <x v="2"/>
    <x v="2"/>
  </r>
  <r>
    <x v="6542"/>
    <x v="0"/>
    <x v="1"/>
    <x v="0"/>
    <n v="96"/>
    <x v="28"/>
    <x v="5650"/>
    <x v="0"/>
    <x v="2"/>
    <x v="1"/>
    <x v="3"/>
  </r>
  <r>
    <x v="6543"/>
    <x v="0"/>
    <x v="0"/>
    <x v="2"/>
    <n v="79.75"/>
    <x v="2"/>
    <x v="4627"/>
    <x v="1"/>
    <x v="0"/>
    <x v="0"/>
    <x v="0"/>
  </r>
  <r>
    <x v="6544"/>
    <x v="0"/>
    <x v="2"/>
    <x v="2"/>
    <n v="61.45"/>
    <x v="59"/>
    <x v="5651"/>
    <x v="0"/>
    <x v="1"/>
    <x v="1"/>
    <x v="3"/>
  </r>
  <r>
    <x v="6545"/>
    <x v="0"/>
    <x v="0"/>
    <x v="0"/>
    <n v="68.650000000000006"/>
    <x v="0"/>
    <x v="5652"/>
    <x v="1"/>
    <x v="0"/>
    <x v="0"/>
    <x v="0"/>
  </r>
  <r>
    <x v="6546"/>
    <x v="1"/>
    <x v="1"/>
    <x v="1"/>
    <n v="19.649999999999999"/>
    <x v="32"/>
    <x v="1994"/>
    <x v="0"/>
    <x v="0"/>
    <x v="2"/>
    <x v="2"/>
  </r>
  <r>
    <x v="6547"/>
    <x v="0"/>
    <x v="1"/>
    <x v="3"/>
    <n v="19"/>
    <x v="53"/>
    <x v="5653"/>
    <x v="0"/>
    <x v="0"/>
    <x v="0"/>
    <x v="0"/>
  </r>
  <r>
    <x v="6548"/>
    <x v="0"/>
    <x v="0"/>
    <x v="0"/>
    <n v="100"/>
    <x v="55"/>
    <x v="5654"/>
    <x v="0"/>
    <x v="1"/>
    <x v="1"/>
    <x v="1"/>
  </r>
  <r>
    <x v="6549"/>
    <x v="1"/>
    <x v="0"/>
    <x v="2"/>
    <n v="20.25"/>
    <x v="10"/>
    <x v="4390"/>
    <x v="1"/>
    <x v="0"/>
    <x v="2"/>
    <x v="2"/>
  </r>
  <r>
    <x v="6550"/>
    <x v="0"/>
    <x v="0"/>
    <x v="0"/>
    <n v="98.7"/>
    <x v="39"/>
    <x v="5655"/>
    <x v="0"/>
    <x v="2"/>
    <x v="1"/>
    <x v="3"/>
  </r>
  <r>
    <x v="6551"/>
    <x v="1"/>
    <x v="1"/>
    <x v="1"/>
    <n v="19.8"/>
    <x v="57"/>
    <x v="4024"/>
    <x v="0"/>
    <x v="0"/>
    <x v="2"/>
    <x v="2"/>
  </r>
  <r>
    <x v="6552"/>
    <x v="1"/>
    <x v="0"/>
    <x v="0"/>
    <n v="73.8"/>
    <x v="34"/>
    <x v="5656"/>
    <x v="0"/>
    <x v="0"/>
    <x v="0"/>
    <x v="0"/>
  </r>
  <r>
    <x v="6553"/>
    <x v="0"/>
    <x v="0"/>
    <x v="0"/>
    <n v="100.2"/>
    <x v="60"/>
    <x v="5657"/>
    <x v="1"/>
    <x v="0"/>
    <x v="2"/>
    <x v="2"/>
  </r>
  <r>
    <x v="6554"/>
    <x v="1"/>
    <x v="0"/>
    <x v="2"/>
    <n v="74.900000000000006"/>
    <x v="30"/>
    <x v="5658"/>
    <x v="1"/>
    <x v="0"/>
    <x v="2"/>
    <x v="2"/>
  </r>
  <r>
    <x v="6555"/>
    <x v="1"/>
    <x v="0"/>
    <x v="3"/>
    <n v="20.05"/>
    <x v="24"/>
    <x v="794"/>
    <x v="0"/>
    <x v="0"/>
    <x v="0"/>
    <x v="0"/>
  </r>
  <r>
    <x v="6556"/>
    <x v="1"/>
    <x v="0"/>
    <x v="0"/>
    <n v="106.2"/>
    <x v="59"/>
    <x v="5659"/>
    <x v="0"/>
    <x v="2"/>
    <x v="1"/>
    <x v="3"/>
  </r>
  <r>
    <x v="6557"/>
    <x v="1"/>
    <x v="2"/>
    <x v="3"/>
    <n v="116.55"/>
    <x v="27"/>
    <x v="5660"/>
    <x v="0"/>
    <x v="2"/>
    <x v="1"/>
    <x v="3"/>
  </r>
  <r>
    <x v="6558"/>
    <x v="1"/>
    <x v="0"/>
    <x v="0"/>
    <n v="99.7"/>
    <x v="30"/>
    <x v="5661"/>
    <x v="0"/>
    <x v="0"/>
    <x v="2"/>
    <x v="2"/>
  </r>
  <r>
    <x v="6559"/>
    <x v="1"/>
    <x v="2"/>
    <x v="1"/>
    <n v="19.7"/>
    <x v="4"/>
    <x v="2229"/>
    <x v="0"/>
    <x v="0"/>
    <x v="0"/>
    <x v="0"/>
  </r>
  <r>
    <x v="6560"/>
    <x v="0"/>
    <x v="2"/>
    <x v="1"/>
    <n v="19.5"/>
    <x v="4"/>
    <x v="5307"/>
    <x v="0"/>
    <x v="0"/>
    <x v="0"/>
    <x v="0"/>
  </r>
  <r>
    <x v="6561"/>
    <x v="0"/>
    <x v="0"/>
    <x v="1"/>
    <n v="29.15"/>
    <x v="54"/>
    <x v="5662"/>
    <x v="0"/>
    <x v="0"/>
    <x v="0"/>
    <x v="0"/>
  </r>
  <r>
    <x v="6562"/>
    <x v="0"/>
    <x v="1"/>
    <x v="1"/>
    <n v="55"/>
    <x v="1"/>
    <x v="5663"/>
    <x v="0"/>
    <x v="0"/>
    <x v="1"/>
    <x v="1"/>
  </r>
  <r>
    <x v="6563"/>
    <x v="1"/>
    <x v="2"/>
    <x v="3"/>
    <n v="90.8"/>
    <x v="47"/>
    <x v="5664"/>
    <x v="0"/>
    <x v="2"/>
    <x v="1"/>
    <x v="3"/>
  </r>
  <r>
    <x v="6564"/>
    <x v="0"/>
    <x v="1"/>
    <x v="2"/>
    <n v="51"/>
    <x v="3"/>
    <x v="5665"/>
    <x v="0"/>
    <x v="1"/>
    <x v="1"/>
    <x v="1"/>
  </r>
  <r>
    <x v="6565"/>
    <x v="0"/>
    <x v="0"/>
    <x v="0"/>
    <n v="90.1"/>
    <x v="34"/>
    <x v="5666"/>
    <x v="0"/>
    <x v="0"/>
    <x v="0"/>
    <x v="0"/>
  </r>
  <r>
    <x v="6566"/>
    <x v="0"/>
    <x v="0"/>
    <x v="1"/>
    <n v="59.05"/>
    <x v="5"/>
    <x v="5667"/>
    <x v="0"/>
    <x v="0"/>
    <x v="2"/>
    <x v="2"/>
  </r>
  <r>
    <x v="6567"/>
    <x v="0"/>
    <x v="0"/>
    <x v="1"/>
    <n v="20.3"/>
    <x v="2"/>
    <x v="3182"/>
    <x v="0"/>
    <x v="0"/>
    <x v="0"/>
    <x v="0"/>
  </r>
  <r>
    <x v="6568"/>
    <x v="1"/>
    <x v="2"/>
    <x v="2"/>
    <n v="72.95"/>
    <x v="27"/>
    <x v="5668"/>
    <x v="0"/>
    <x v="2"/>
    <x v="1"/>
    <x v="3"/>
  </r>
  <r>
    <x v="6569"/>
    <x v="0"/>
    <x v="1"/>
    <x v="3"/>
    <n v="73.55"/>
    <x v="6"/>
    <x v="5669"/>
    <x v="0"/>
    <x v="0"/>
    <x v="0"/>
    <x v="0"/>
  </r>
  <r>
    <x v="6570"/>
    <x v="1"/>
    <x v="2"/>
    <x v="3"/>
    <n v="84.3"/>
    <x v="21"/>
    <x v="5670"/>
    <x v="0"/>
    <x v="2"/>
    <x v="1"/>
    <x v="3"/>
  </r>
  <r>
    <x v="6571"/>
    <x v="0"/>
    <x v="1"/>
    <x v="3"/>
    <n v="78"/>
    <x v="12"/>
    <x v="5671"/>
    <x v="0"/>
    <x v="1"/>
    <x v="1"/>
    <x v="3"/>
  </r>
  <r>
    <x v="6572"/>
    <x v="0"/>
    <x v="1"/>
    <x v="1"/>
    <n v="72.099999999999994"/>
    <x v="68"/>
    <x v="5672"/>
    <x v="0"/>
    <x v="1"/>
    <x v="1"/>
    <x v="3"/>
  </r>
  <r>
    <x v="6573"/>
    <x v="0"/>
    <x v="2"/>
    <x v="3"/>
    <n v="106.75"/>
    <x v="16"/>
    <x v="5673"/>
    <x v="0"/>
    <x v="2"/>
    <x v="1"/>
    <x v="3"/>
  </r>
  <r>
    <x v="6574"/>
    <x v="0"/>
    <x v="1"/>
    <x v="1"/>
    <n v="19.25"/>
    <x v="5"/>
    <x v="988"/>
    <x v="0"/>
    <x v="0"/>
    <x v="2"/>
    <x v="2"/>
  </r>
  <r>
    <x v="6575"/>
    <x v="0"/>
    <x v="2"/>
    <x v="3"/>
    <n v="20.55"/>
    <x v="37"/>
    <x v="4334"/>
    <x v="0"/>
    <x v="0"/>
    <x v="1"/>
    <x v="3"/>
  </r>
  <r>
    <x v="6576"/>
    <x v="0"/>
    <x v="1"/>
    <x v="1"/>
    <n v="20"/>
    <x v="29"/>
    <x v="5674"/>
    <x v="0"/>
    <x v="0"/>
    <x v="1"/>
    <x v="1"/>
  </r>
  <r>
    <x v="6577"/>
    <x v="0"/>
    <x v="2"/>
    <x v="3"/>
    <n v="24.65"/>
    <x v="3"/>
    <x v="1115"/>
    <x v="0"/>
    <x v="0"/>
    <x v="1"/>
    <x v="1"/>
  </r>
  <r>
    <x v="6578"/>
    <x v="1"/>
    <x v="0"/>
    <x v="2"/>
    <n v="103.5"/>
    <x v="38"/>
    <x v="827"/>
    <x v="0"/>
    <x v="2"/>
    <x v="1"/>
    <x v="3"/>
  </r>
  <r>
    <x v="6579"/>
    <x v="0"/>
    <x v="2"/>
    <x v="1"/>
    <n v="23.85"/>
    <x v="57"/>
    <x v="5675"/>
    <x v="0"/>
    <x v="0"/>
    <x v="2"/>
    <x v="2"/>
  </r>
  <r>
    <x v="6580"/>
    <x v="0"/>
    <x v="2"/>
    <x v="3"/>
    <n v="25.8"/>
    <x v="47"/>
    <x v="5676"/>
    <x v="0"/>
    <x v="0"/>
    <x v="1"/>
    <x v="3"/>
  </r>
  <r>
    <x v="6581"/>
    <x v="0"/>
    <x v="0"/>
    <x v="0"/>
    <n v="70.849999999999994"/>
    <x v="0"/>
    <x v="3484"/>
    <x v="1"/>
    <x v="0"/>
    <x v="0"/>
    <x v="0"/>
  </r>
  <r>
    <x v="6582"/>
    <x v="1"/>
    <x v="0"/>
    <x v="3"/>
    <n v="69.8"/>
    <x v="2"/>
    <x v="3392"/>
    <x v="1"/>
    <x v="0"/>
    <x v="0"/>
    <x v="0"/>
  </r>
  <r>
    <x v="6583"/>
    <x v="1"/>
    <x v="1"/>
    <x v="3"/>
    <n v="59.45"/>
    <x v="70"/>
    <x v="5677"/>
    <x v="0"/>
    <x v="0"/>
    <x v="1"/>
    <x v="1"/>
  </r>
  <r>
    <x v="6584"/>
    <x v="1"/>
    <x v="0"/>
    <x v="2"/>
    <n v="54.55"/>
    <x v="49"/>
    <x v="5678"/>
    <x v="1"/>
    <x v="1"/>
    <x v="1"/>
    <x v="3"/>
  </r>
  <r>
    <x v="6585"/>
    <x v="1"/>
    <x v="0"/>
    <x v="0"/>
    <n v="20.05"/>
    <x v="60"/>
    <x v="3873"/>
    <x v="0"/>
    <x v="0"/>
    <x v="2"/>
    <x v="2"/>
  </r>
  <r>
    <x v="6586"/>
    <x v="1"/>
    <x v="2"/>
    <x v="0"/>
    <n v="82.55"/>
    <x v="16"/>
    <x v="5679"/>
    <x v="0"/>
    <x v="2"/>
    <x v="1"/>
    <x v="3"/>
  </r>
  <r>
    <x v="6587"/>
    <x v="1"/>
    <x v="1"/>
    <x v="0"/>
    <n v="81.25"/>
    <x v="38"/>
    <x v="5680"/>
    <x v="0"/>
    <x v="2"/>
    <x v="1"/>
    <x v="3"/>
  </r>
  <r>
    <x v="6588"/>
    <x v="0"/>
    <x v="0"/>
    <x v="3"/>
    <n v="70.75"/>
    <x v="40"/>
    <x v="5681"/>
    <x v="1"/>
    <x v="0"/>
    <x v="0"/>
    <x v="0"/>
  </r>
  <r>
    <x v="6589"/>
    <x v="0"/>
    <x v="2"/>
    <x v="3"/>
    <n v="74.3"/>
    <x v="58"/>
    <x v="5477"/>
    <x v="0"/>
    <x v="1"/>
    <x v="1"/>
    <x v="3"/>
  </r>
  <r>
    <x v="6590"/>
    <x v="0"/>
    <x v="0"/>
    <x v="0"/>
    <n v="94.1"/>
    <x v="9"/>
    <x v="5682"/>
    <x v="1"/>
    <x v="0"/>
    <x v="2"/>
    <x v="2"/>
  </r>
  <r>
    <x v="6591"/>
    <x v="0"/>
    <x v="0"/>
    <x v="3"/>
    <n v="29.7"/>
    <x v="35"/>
    <x v="3885"/>
    <x v="1"/>
    <x v="0"/>
    <x v="0"/>
    <x v="0"/>
  </r>
  <r>
    <x v="6592"/>
    <x v="1"/>
    <x v="2"/>
    <x v="3"/>
    <n v="109.7"/>
    <x v="21"/>
    <x v="192"/>
    <x v="0"/>
    <x v="2"/>
    <x v="1"/>
    <x v="3"/>
  </r>
  <r>
    <x v="6593"/>
    <x v="0"/>
    <x v="0"/>
    <x v="3"/>
    <n v="96.35"/>
    <x v="63"/>
    <x v="5683"/>
    <x v="0"/>
    <x v="1"/>
    <x v="1"/>
    <x v="1"/>
  </r>
  <r>
    <x v="6594"/>
    <x v="1"/>
    <x v="0"/>
    <x v="3"/>
    <n v="66.599999999999994"/>
    <x v="60"/>
    <x v="5684"/>
    <x v="0"/>
    <x v="0"/>
    <x v="2"/>
    <x v="2"/>
  </r>
  <r>
    <x v="6595"/>
    <x v="1"/>
    <x v="0"/>
    <x v="0"/>
    <n v="44.5"/>
    <x v="2"/>
    <x v="5685"/>
    <x v="0"/>
    <x v="0"/>
    <x v="0"/>
    <x v="0"/>
  </r>
  <r>
    <x v="6596"/>
    <x v="1"/>
    <x v="1"/>
    <x v="3"/>
    <n v="110.9"/>
    <x v="33"/>
    <x v="5686"/>
    <x v="1"/>
    <x v="2"/>
    <x v="1"/>
    <x v="3"/>
  </r>
  <r>
    <x v="6597"/>
    <x v="0"/>
    <x v="0"/>
    <x v="0"/>
    <n v="105"/>
    <x v="46"/>
    <x v="5687"/>
    <x v="1"/>
    <x v="1"/>
    <x v="1"/>
    <x v="1"/>
  </r>
  <r>
    <x v="6598"/>
    <x v="1"/>
    <x v="0"/>
    <x v="0"/>
    <n v="25.3"/>
    <x v="0"/>
    <x v="5688"/>
    <x v="1"/>
    <x v="0"/>
    <x v="0"/>
    <x v="0"/>
  </r>
  <r>
    <x v="6599"/>
    <x v="1"/>
    <x v="1"/>
    <x v="3"/>
    <n v="55.15"/>
    <x v="5"/>
    <x v="2800"/>
    <x v="1"/>
    <x v="0"/>
    <x v="2"/>
    <x v="2"/>
  </r>
  <r>
    <x v="6600"/>
    <x v="1"/>
    <x v="0"/>
    <x v="1"/>
    <n v="20.100000000000001"/>
    <x v="0"/>
    <x v="2985"/>
    <x v="1"/>
    <x v="0"/>
    <x v="0"/>
    <x v="0"/>
  </r>
  <r>
    <x v="6601"/>
    <x v="1"/>
    <x v="0"/>
    <x v="1"/>
    <n v="80.099999999999994"/>
    <x v="24"/>
    <x v="5689"/>
    <x v="0"/>
    <x v="0"/>
    <x v="0"/>
    <x v="0"/>
  </r>
  <r>
    <x v="6602"/>
    <x v="1"/>
    <x v="1"/>
    <x v="2"/>
    <n v="69.05"/>
    <x v="44"/>
    <x v="5690"/>
    <x v="0"/>
    <x v="1"/>
    <x v="1"/>
    <x v="1"/>
  </r>
  <r>
    <x v="6603"/>
    <x v="1"/>
    <x v="0"/>
    <x v="1"/>
    <n v="69.900000000000006"/>
    <x v="0"/>
    <x v="946"/>
    <x v="1"/>
    <x v="0"/>
    <x v="0"/>
    <x v="0"/>
  </r>
  <r>
    <x v="6604"/>
    <x v="0"/>
    <x v="0"/>
    <x v="1"/>
    <n v="20.399999999999999"/>
    <x v="35"/>
    <x v="5691"/>
    <x v="0"/>
    <x v="0"/>
    <x v="0"/>
    <x v="0"/>
  </r>
  <r>
    <x v="6605"/>
    <x v="1"/>
    <x v="2"/>
    <x v="3"/>
    <n v="19.7"/>
    <x v="16"/>
    <x v="1761"/>
    <x v="0"/>
    <x v="0"/>
    <x v="1"/>
    <x v="3"/>
  </r>
  <r>
    <x v="6606"/>
    <x v="1"/>
    <x v="0"/>
    <x v="0"/>
    <n v="50.1"/>
    <x v="34"/>
    <x v="5692"/>
    <x v="0"/>
    <x v="0"/>
    <x v="0"/>
    <x v="0"/>
  </r>
  <r>
    <x v="6607"/>
    <x v="1"/>
    <x v="0"/>
    <x v="0"/>
    <n v="101.4"/>
    <x v="29"/>
    <x v="5693"/>
    <x v="1"/>
    <x v="1"/>
    <x v="1"/>
    <x v="1"/>
  </r>
  <r>
    <x v="6608"/>
    <x v="0"/>
    <x v="1"/>
    <x v="3"/>
    <n v="83.45"/>
    <x v="43"/>
    <x v="5694"/>
    <x v="0"/>
    <x v="1"/>
    <x v="1"/>
    <x v="1"/>
  </r>
  <r>
    <x v="6609"/>
    <x v="1"/>
    <x v="0"/>
    <x v="3"/>
    <n v="86.65"/>
    <x v="70"/>
    <x v="5695"/>
    <x v="0"/>
    <x v="1"/>
    <x v="1"/>
    <x v="1"/>
  </r>
  <r>
    <x v="6610"/>
    <x v="0"/>
    <x v="0"/>
    <x v="2"/>
    <n v="20.149999999999999"/>
    <x v="34"/>
    <x v="2852"/>
    <x v="0"/>
    <x v="0"/>
    <x v="0"/>
    <x v="0"/>
  </r>
  <r>
    <x v="6611"/>
    <x v="1"/>
    <x v="0"/>
    <x v="0"/>
    <n v="80.8"/>
    <x v="0"/>
    <x v="2741"/>
    <x v="1"/>
    <x v="0"/>
    <x v="0"/>
    <x v="0"/>
  </r>
  <r>
    <x v="6612"/>
    <x v="0"/>
    <x v="2"/>
    <x v="3"/>
    <n v="19.399999999999999"/>
    <x v="25"/>
    <x v="1644"/>
    <x v="0"/>
    <x v="0"/>
    <x v="1"/>
    <x v="1"/>
  </r>
  <r>
    <x v="6613"/>
    <x v="1"/>
    <x v="0"/>
    <x v="2"/>
    <n v="62.05"/>
    <x v="2"/>
    <x v="5696"/>
    <x v="1"/>
    <x v="0"/>
    <x v="0"/>
    <x v="0"/>
  </r>
  <r>
    <x v="6614"/>
    <x v="1"/>
    <x v="0"/>
    <x v="0"/>
    <n v="76.45"/>
    <x v="0"/>
    <x v="5697"/>
    <x v="1"/>
    <x v="0"/>
    <x v="0"/>
    <x v="0"/>
  </r>
  <r>
    <x v="6615"/>
    <x v="1"/>
    <x v="2"/>
    <x v="2"/>
    <n v="60.05"/>
    <x v="38"/>
    <x v="5698"/>
    <x v="0"/>
    <x v="1"/>
    <x v="1"/>
    <x v="3"/>
  </r>
  <r>
    <x v="6616"/>
    <x v="0"/>
    <x v="0"/>
    <x v="0"/>
    <n v="91.3"/>
    <x v="18"/>
    <x v="2520"/>
    <x v="1"/>
    <x v="0"/>
    <x v="2"/>
    <x v="0"/>
  </r>
  <r>
    <x v="6617"/>
    <x v="1"/>
    <x v="0"/>
    <x v="0"/>
    <n v="95.75"/>
    <x v="53"/>
    <x v="5699"/>
    <x v="1"/>
    <x v="0"/>
    <x v="0"/>
    <x v="0"/>
  </r>
  <r>
    <x v="6618"/>
    <x v="0"/>
    <x v="1"/>
    <x v="1"/>
    <n v="20.350000000000001"/>
    <x v="64"/>
    <x v="5700"/>
    <x v="0"/>
    <x v="0"/>
    <x v="1"/>
    <x v="3"/>
  </r>
  <r>
    <x v="6619"/>
    <x v="0"/>
    <x v="1"/>
    <x v="1"/>
    <n v="94.05"/>
    <x v="40"/>
    <x v="5701"/>
    <x v="0"/>
    <x v="0"/>
    <x v="0"/>
    <x v="0"/>
  </r>
  <r>
    <x v="6620"/>
    <x v="0"/>
    <x v="2"/>
    <x v="3"/>
    <n v="84.1"/>
    <x v="21"/>
    <x v="1982"/>
    <x v="0"/>
    <x v="2"/>
    <x v="1"/>
    <x v="3"/>
  </r>
  <r>
    <x v="6621"/>
    <x v="1"/>
    <x v="0"/>
    <x v="0"/>
    <n v="78.75"/>
    <x v="10"/>
    <x v="1097"/>
    <x v="0"/>
    <x v="0"/>
    <x v="2"/>
    <x v="2"/>
  </r>
  <r>
    <x v="6622"/>
    <x v="1"/>
    <x v="0"/>
    <x v="3"/>
    <n v="55.55"/>
    <x v="13"/>
    <x v="5702"/>
    <x v="0"/>
    <x v="0"/>
    <x v="1"/>
    <x v="1"/>
  </r>
  <r>
    <x v="6623"/>
    <x v="0"/>
    <x v="0"/>
    <x v="0"/>
    <n v="62.65"/>
    <x v="1"/>
    <x v="5703"/>
    <x v="1"/>
    <x v="1"/>
    <x v="1"/>
    <x v="1"/>
  </r>
  <r>
    <x v="6624"/>
    <x v="0"/>
    <x v="0"/>
    <x v="0"/>
    <n v="74.5"/>
    <x v="0"/>
    <x v="2160"/>
    <x v="1"/>
    <x v="0"/>
    <x v="0"/>
    <x v="0"/>
  </r>
  <r>
    <x v="6625"/>
    <x v="0"/>
    <x v="0"/>
    <x v="3"/>
    <n v="102.1"/>
    <x v="6"/>
    <x v="5704"/>
    <x v="1"/>
    <x v="0"/>
    <x v="0"/>
    <x v="0"/>
  </r>
  <r>
    <x v="6626"/>
    <x v="1"/>
    <x v="1"/>
    <x v="1"/>
    <n v="20.100000000000001"/>
    <x v="65"/>
    <x v="5705"/>
    <x v="0"/>
    <x v="0"/>
    <x v="1"/>
    <x v="2"/>
  </r>
  <r>
    <x v="6627"/>
    <x v="0"/>
    <x v="1"/>
    <x v="0"/>
    <n v="70.3"/>
    <x v="6"/>
    <x v="2456"/>
    <x v="0"/>
    <x v="0"/>
    <x v="0"/>
    <x v="0"/>
  </r>
  <r>
    <x v="6628"/>
    <x v="1"/>
    <x v="1"/>
    <x v="3"/>
    <n v="53.65"/>
    <x v="14"/>
    <x v="2834"/>
    <x v="0"/>
    <x v="1"/>
    <x v="1"/>
    <x v="3"/>
  </r>
  <r>
    <x v="6629"/>
    <x v="1"/>
    <x v="2"/>
    <x v="1"/>
    <n v="20.75"/>
    <x v="58"/>
    <x v="4318"/>
    <x v="0"/>
    <x v="0"/>
    <x v="1"/>
    <x v="3"/>
  </r>
  <r>
    <x v="6630"/>
    <x v="1"/>
    <x v="1"/>
    <x v="2"/>
    <n v="103.4"/>
    <x v="37"/>
    <x v="5706"/>
    <x v="0"/>
    <x v="2"/>
    <x v="1"/>
    <x v="3"/>
  </r>
  <r>
    <x v="6631"/>
    <x v="1"/>
    <x v="1"/>
    <x v="1"/>
    <n v="50.8"/>
    <x v="7"/>
    <x v="5707"/>
    <x v="0"/>
    <x v="0"/>
    <x v="1"/>
    <x v="1"/>
  </r>
  <r>
    <x v="6632"/>
    <x v="0"/>
    <x v="0"/>
    <x v="0"/>
    <n v="50.15"/>
    <x v="10"/>
    <x v="935"/>
    <x v="1"/>
    <x v="0"/>
    <x v="2"/>
    <x v="2"/>
  </r>
  <r>
    <x v="6633"/>
    <x v="1"/>
    <x v="0"/>
    <x v="1"/>
    <n v="79"/>
    <x v="13"/>
    <x v="5708"/>
    <x v="0"/>
    <x v="0"/>
    <x v="1"/>
    <x v="1"/>
  </r>
  <r>
    <x v="6634"/>
    <x v="0"/>
    <x v="0"/>
    <x v="2"/>
    <n v="74.599999999999994"/>
    <x v="35"/>
    <x v="5709"/>
    <x v="0"/>
    <x v="0"/>
    <x v="0"/>
    <x v="0"/>
  </r>
  <r>
    <x v="6635"/>
    <x v="1"/>
    <x v="1"/>
    <x v="2"/>
    <n v="96.5"/>
    <x v="59"/>
    <x v="5710"/>
    <x v="0"/>
    <x v="2"/>
    <x v="1"/>
    <x v="3"/>
  </r>
  <r>
    <x v="6636"/>
    <x v="0"/>
    <x v="0"/>
    <x v="1"/>
    <n v="20.100000000000001"/>
    <x v="2"/>
    <x v="250"/>
    <x v="0"/>
    <x v="0"/>
    <x v="0"/>
    <x v="0"/>
  </r>
  <r>
    <x v="6637"/>
    <x v="1"/>
    <x v="1"/>
    <x v="1"/>
    <n v="19.399999999999999"/>
    <x v="69"/>
    <x v="5711"/>
    <x v="0"/>
    <x v="0"/>
    <x v="1"/>
    <x v="3"/>
  </r>
  <r>
    <x v="6638"/>
    <x v="0"/>
    <x v="2"/>
    <x v="3"/>
    <n v="77.55"/>
    <x v="16"/>
    <x v="5712"/>
    <x v="0"/>
    <x v="2"/>
    <x v="1"/>
    <x v="3"/>
  </r>
  <r>
    <x v="6639"/>
    <x v="0"/>
    <x v="0"/>
    <x v="1"/>
    <n v="20.05"/>
    <x v="61"/>
    <x v="4389"/>
    <x v="0"/>
    <x v="0"/>
    <x v="2"/>
    <x v="2"/>
  </r>
  <r>
    <x v="6640"/>
    <x v="1"/>
    <x v="0"/>
    <x v="3"/>
    <n v="19.850000000000001"/>
    <x v="53"/>
    <x v="2332"/>
    <x v="0"/>
    <x v="0"/>
    <x v="0"/>
    <x v="0"/>
  </r>
  <r>
    <x v="6641"/>
    <x v="0"/>
    <x v="0"/>
    <x v="1"/>
    <n v="20.2"/>
    <x v="53"/>
    <x v="1102"/>
    <x v="0"/>
    <x v="0"/>
    <x v="0"/>
    <x v="0"/>
  </r>
  <r>
    <x v="6642"/>
    <x v="0"/>
    <x v="0"/>
    <x v="1"/>
    <n v="67.45"/>
    <x v="44"/>
    <x v="5713"/>
    <x v="0"/>
    <x v="0"/>
    <x v="1"/>
    <x v="1"/>
  </r>
  <r>
    <x v="6643"/>
    <x v="1"/>
    <x v="2"/>
    <x v="3"/>
    <n v="18.55"/>
    <x v="51"/>
    <x v="5714"/>
    <x v="0"/>
    <x v="0"/>
    <x v="1"/>
    <x v="1"/>
  </r>
  <r>
    <x v="6644"/>
    <x v="0"/>
    <x v="0"/>
    <x v="1"/>
    <n v="29.75"/>
    <x v="7"/>
    <x v="5715"/>
    <x v="0"/>
    <x v="0"/>
    <x v="1"/>
    <x v="1"/>
  </r>
  <r>
    <x v="6645"/>
    <x v="0"/>
    <x v="0"/>
    <x v="0"/>
    <n v="86.5"/>
    <x v="40"/>
    <x v="5716"/>
    <x v="1"/>
    <x v="0"/>
    <x v="0"/>
    <x v="0"/>
  </r>
  <r>
    <x v="6646"/>
    <x v="0"/>
    <x v="2"/>
    <x v="1"/>
    <n v="24.2"/>
    <x v="28"/>
    <x v="5717"/>
    <x v="0"/>
    <x v="0"/>
    <x v="1"/>
    <x v="3"/>
  </r>
  <r>
    <x v="6647"/>
    <x v="1"/>
    <x v="2"/>
    <x v="1"/>
    <n v="23.55"/>
    <x v="43"/>
    <x v="2973"/>
    <x v="0"/>
    <x v="0"/>
    <x v="1"/>
    <x v="1"/>
  </r>
  <r>
    <x v="6648"/>
    <x v="0"/>
    <x v="1"/>
    <x v="2"/>
    <n v="20.45"/>
    <x v="12"/>
    <x v="2201"/>
    <x v="0"/>
    <x v="0"/>
    <x v="1"/>
    <x v="3"/>
  </r>
  <r>
    <x v="6649"/>
    <x v="1"/>
    <x v="0"/>
    <x v="0"/>
    <n v="81.45"/>
    <x v="23"/>
    <x v="5718"/>
    <x v="1"/>
    <x v="1"/>
    <x v="1"/>
    <x v="1"/>
  </r>
  <r>
    <x v="6650"/>
    <x v="1"/>
    <x v="2"/>
    <x v="3"/>
    <n v="92.3"/>
    <x v="21"/>
    <x v="5719"/>
    <x v="0"/>
    <x v="2"/>
    <x v="1"/>
    <x v="3"/>
  </r>
  <r>
    <x v="6651"/>
    <x v="1"/>
    <x v="0"/>
    <x v="0"/>
    <n v="69.150000000000006"/>
    <x v="0"/>
    <x v="5720"/>
    <x v="1"/>
    <x v="0"/>
    <x v="0"/>
    <x v="0"/>
  </r>
  <r>
    <x v="6652"/>
    <x v="0"/>
    <x v="2"/>
    <x v="3"/>
    <n v="53.65"/>
    <x v="21"/>
    <x v="5721"/>
    <x v="0"/>
    <x v="1"/>
    <x v="1"/>
    <x v="3"/>
  </r>
  <r>
    <x v="6653"/>
    <x v="0"/>
    <x v="1"/>
    <x v="3"/>
    <n v="39.65"/>
    <x v="20"/>
    <x v="5722"/>
    <x v="0"/>
    <x v="0"/>
    <x v="1"/>
    <x v="1"/>
  </r>
  <r>
    <x v="6654"/>
    <x v="0"/>
    <x v="0"/>
    <x v="0"/>
    <n v="54.65"/>
    <x v="0"/>
    <x v="5723"/>
    <x v="0"/>
    <x v="0"/>
    <x v="0"/>
    <x v="0"/>
  </r>
  <r>
    <x v="6655"/>
    <x v="0"/>
    <x v="1"/>
    <x v="2"/>
    <n v="104.8"/>
    <x v="51"/>
    <x v="5724"/>
    <x v="0"/>
    <x v="1"/>
    <x v="1"/>
    <x v="1"/>
  </r>
  <r>
    <x v="6656"/>
    <x v="1"/>
    <x v="0"/>
    <x v="3"/>
    <n v="29.3"/>
    <x v="29"/>
    <x v="5725"/>
    <x v="0"/>
    <x v="0"/>
    <x v="1"/>
    <x v="1"/>
  </r>
  <r>
    <x v="6657"/>
    <x v="0"/>
    <x v="0"/>
    <x v="0"/>
    <n v="83.85"/>
    <x v="23"/>
    <x v="5726"/>
    <x v="0"/>
    <x v="1"/>
    <x v="1"/>
    <x v="1"/>
  </r>
  <r>
    <x v="6658"/>
    <x v="0"/>
    <x v="0"/>
    <x v="0"/>
    <n v="79.55"/>
    <x v="34"/>
    <x v="3676"/>
    <x v="1"/>
    <x v="0"/>
    <x v="0"/>
    <x v="0"/>
  </r>
  <r>
    <x v="6659"/>
    <x v="0"/>
    <x v="0"/>
    <x v="0"/>
    <n v="103.65"/>
    <x v="46"/>
    <x v="5727"/>
    <x v="0"/>
    <x v="1"/>
    <x v="1"/>
    <x v="1"/>
  </r>
  <r>
    <x v="6660"/>
    <x v="0"/>
    <x v="0"/>
    <x v="0"/>
    <n v="99.05"/>
    <x v="42"/>
    <x v="921"/>
    <x v="0"/>
    <x v="1"/>
    <x v="1"/>
    <x v="1"/>
  </r>
  <r>
    <x v="6661"/>
    <x v="0"/>
    <x v="2"/>
    <x v="1"/>
    <n v="100.05"/>
    <x v="64"/>
    <x v="5728"/>
    <x v="0"/>
    <x v="2"/>
    <x v="1"/>
    <x v="3"/>
  </r>
  <r>
    <x v="6662"/>
    <x v="1"/>
    <x v="2"/>
    <x v="3"/>
    <n v="20.350000000000001"/>
    <x v="23"/>
    <x v="5729"/>
    <x v="0"/>
    <x v="0"/>
    <x v="1"/>
    <x v="1"/>
  </r>
  <r>
    <x v="6663"/>
    <x v="0"/>
    <x v="0"/>
    <x v="0"/>
    <n v="43.95"/>
    <x v="2"/>
    <x v="5730"/>
    <x v="0"/>
    <x v="0"/>
    <x v="0"/>
    <x v="0"/>
  </r>
  <r>
    <x v="6664"/>
    <x v="1"/>
    <x v="0"/>
    <x v="1"/>
    <n v="23.5"/>
    <x v="40"/>
    <x v="5731"/>
    <x v="0"/>
    <x v="0"/>
    <x v="0"/>
    <x v="0"/>
  </r>
  <r>
    <x v="6665"/>
    <x v="0"/>
    <x v="1"/>
    <x v="1"/>
    <n v="70.7"/>
    <x v="51"/>
    <x v="5732"/>
    <x v="0"/>
    <x v="1"/>
    <x v="1"/>
    <x v="1"/>
  </r>
  <r>
    <x v="6666"/>
    <x v="0"/>
    <x v="0"/>
    <x v="2"/>
    <n v="94.3"/>
    <x v="52"/>
    <x v="5733"/>
    <x v="0"/>
    <x v="1"/>
    <x v="1"/>
    <x v="1"/>
  </r>
  <r>
    <x v="6667"/>
    <x v="0"/>
    <x v="0"/>
    <x v="0"/>
    <n v="29.15"/>
    <x v="9"/>
    <x v="5734"/>
    <x v="0"/>
    <x v="0"/>
    <x v="2"/>
    <x v="2"/>
  </r>
  <r>
    <x v="6668"/>
    <x v="1"/>
    <x v="2"/>
    <x v="3"/>
    <n v="20.85"/>
    <x v="67"/>
    <x v="5735"/>
    <x v="0"/>
    <x v="0"/>
    <x v="2"/>
    <x v="2"/>
  </r>
  <r>
    <x v="6669"/>
    <x v="0"/>
    <x v="2"/>
    <x v="2"/>
    <n v="37.700000000000003"/>
    <x v="31"/>
    <x v="5736"/>
    <x v="0"/>
    <x v="1"/>
    <x v="1"/>
    <x v="3"/>
  </r>
  <r>
    <x v="6670"/>
    <x v="0"/>
    <x v="2"/>
    <x v="1"/>
    <n v="95.5"/>
    <x v="43"/>
    <x v="5737"/>
    <x v="1"/>
    <x v="1"/>
    <x v="1"/>
    <x v="1"/>
  </r>
  <r>
    <x v="6671"/>
    <x v="1"/>
    <x v="0"/>
    <x v="0"/>
    <n v="91.05"/>
    <x v="35"/>
    <x v="5738"/>
    <x v="1"/>
    <x v="0"/>
    <x v="0"/>
    <x v="0"/>
  </r>
  <r>
    <x v="6672"/>
    <x v="1"/>
    <x v="2"/>
    <x v="1"/>
    <n v="92.45"/>
    <x v="14"/>
    <x v="5739"/>
    <x v="0"/>
    <x v="2"/>
    <x v="1"/>
    <x v="3"/>
  </r>
  <r>
    <x v="6673"/>
    <x v="1"/>
    <x v="1"/>
    <x v="0"/>
    <n v="44.15"/>
    <x v="29"/>
    <x v="5740"/>
    <x v="0"/>
    <x v="0"/>
    <x v="1"/>
    <x v="1"/>
  </r>
  <r>
    <x v="6674"/>
    <x v="0"/>
    <x v="1"/>
    <x v="1"/>
    <n v="36.049999999999997"/>
    <x v="26"/>
    <x v="5741"/>
    <x v="0"/>
    <x v="0"/>
    <x v="0"/>
    <x v="0"/>
  </r>
  <r>
    <x v="6675"/>
    <x v="0"/>
    <x v="0"/>
    <x v="3"/>
    <n v="50.25"/>
    <x v="3"/>
    <x v="5742"/>
    <x v="0"/>
    <x v="1"/>
    <x v="1"/>
    <x v="1"/>
  </r>
  <r>
    <x v="6676"/>
    <x v="1"/>
    <x v="2"/>
    <x v="3"/>
    <n v="109.75"/>
    <x v="21"/>
    <x v="4685"/>
    <x v="0"/>
    <x v="2"/>
    <x v="1"/>
    <x v="3"/>
  </r>
  <r>
    <x v="6677"/>
    <x v="0"/>
    <x v="0"/>
    <x v="0"/>
    <n v="79.2"/>
    <x v="2"/>
    <x v="2266"/>
    <x v="1"/>
    <x v="0"/>
    <x v="0"/>
    <x v="0"/>
  </r>
  <r>
    <x v="6678"/>
    <x v="0"/>
    <x v="2"/>
    <x v="2"/>
    <n v="20.3"/>
    <x v="18"/>
    <x v="2652"/>
    <x v="0"/>
    <x v="0"/>
    <x v="2"/>
    <x v="0"/>
  </r>
  <r>
    <x v="6679"/>
    <x v="0"/>
    <x v="1"/>
    <x v="3"/>
    <n v="112.35"/>
    <x v="56"/>
    <x v="5743"/>
    <x v="0"/>
    <x v="2"/>
    <x v="1"/>
    <x v="3"/>
  </r>
  <r>
    <x v="6680"/>
    <x v="1"/>
    <x v="2"/>
    <x v="1"/>
    <n v="94.3"/>
    <x v="50"/>
    <x v="5744"/>
    <x v="0"/>
    <x v="1"/>
    <x v="1"/>
    <x v="1"/>
  </r>
  <r>
    <x v="6681"/>
    <x v="0"/>
    <x v="1"/>
    <x v="2"/>
    <n v="41.15"/>
    <x v="71"/>
    <x v="5745"/>
    <x v="0"/>
    <x v="0"/>
    <x v="1"/>
    <x v="1"/>
  </r>
  <r>
    <x v="6682"/>
    <x v="0"/>
    <x v="0"/>
    <x v="2"/>
    <n v="74.650000000000006"/>
    <x v="52"/>
    <x v="5746"/>
    <x v="0"/>
    <x v="1"/>
    <x v="1"/>
    <x v="1"/>
  </r>
  <r>
    <x v="6683"/>
    <x v="0"/>
    <x v="0"/>
    <x v="0"/>
    <n v="48.25"/>
    <x v="13"/>
    <x v="5747"/>
    <x v="0"/>
    <x v="0"/>
    <x v="1"/>
    <x v="1"/>
  </r>
  <r>
    <x v="6684"/>
    <x v="1"/>
    <x v="2"/>
    <x v="3"/>
    <n v="76.150000000000006"/>
    <x v="4"/>
    <x v="5748"/>
    <x v="0"/>
    <x v="0"/>
    <x v="0"/>
    <x v="0"/>
  </r>
  <r>
    <x v="6685"/>
    <x v="0"/>
    <x v="2"/>
    <x v="1"/>
    <n v="71.099999999999994"/>
    <x v="16"/>
    <x v="5749"/>
    <x v="0"/>
    <x v="2"/>
    <x v="1"/>
    <x v="3"/>
  </r>
  <r>
    <x v="6686"/>
    <x v="1"/>
    <x v="0"/>
    <x v="0"/>
    <n v="96.55"/>
    <x v="24"/>
    <x v="5750"/>
    <x v="0"/>
    <x v="0"/>
    <x v="0"/>
    <x v="0"/>
  </r>
  <r>
    <x v="6687"/>
    <x v="0"/>
    <x v="1"/>
    <x v="3"/>
    <n v="79.3"/>
    <x v="19"/>
    <x v="5751"/>
    <x v="0"/>
    <x v="1"/>
    <x v="1"/>
    <x v="1"/>
  </r>
  <r>
    <x v="6688"/>
    <x v="1"/>
    <x v="1"/>
    <x v="3"/>
    <n v="89.6"/>
    <x v="63"/>
    <x v="5752"/>
    <x v="0"/>
    <x v="1"/>
    <x v="1"/>
    <x v="1"/>
  </r>
  <r>
    <x v="6689"/>
    <x v="0"/>
    <x v="2"/>
    <x v="1"/>
    <n v="20.5"/>
    <x v="68"/>
    <x v="2798"/>
    <x v="0"/>
    <x v="0"/>
    <x v="1"/>
    <x v="3"/>
  </r>
  <r>
    <x v="6690"/>
    <x v="1"/>
    <x v="2"/>
    <x v="2"/>
    <n v="106.3"/>
    <x v="21"/>
    <x v="5753"/>
    <x v="0"/>
    <x v="2"/>
    <x v="1"/>
    <x v="3"/>
  </r>
  <r>
    <x v="6691"/>
    <x v="1"/>
    <x v="1"/>
    <x v="2"/>
    <n v="100.35"/>
    <x v="7"/>
    <x v="5754"/>
    <x v="0"/>
    <x v="1"/>
    <x v="1"/>
    <x v="1"/>
  </r>
  <r>
    <x v="6692"/>
    <x v="1"/>
    <x v="0"/>
    <x v="0"/>
    <n v="85.6"/>
    <x v="32"/>
    <x v="5755"/>
    <x v="0"/>
    <x v="0"/>
    <x v="2"/>
    <x v="2"/>
  </r>
  <r>
    <x v="6693"/>
    <x v="0"/>
    <x v="0"/>
    <x v="0"/>
    <n v="45.25"/>
    <x v="2"/>
    <x v="5424"/>
    <x v="1"/>
    <x v="0"/>
    <x v="0"/>
    <x v="0"/>
  </r>
  <r>
    <x v="6694"/>
    <x v="0"/>
    <x v="1"/>
    <x v="0"/>
    <n v="106.15"/>
    <x v="64"/>
    <x v="5756"/>
    <x v="0"/>
    <x v="2"/>
    <x v="1"/>
    <x v="3"/>
  </r>
  <r>
    <x v="6695"/>
    <x v="1"/>
    <x v="0"/>
    <x v="0"/>
    <n v="51.1"/>
    <x v="5"/>
    <x v="5757"/>
    <x v="0"/>
    <x v="0"/>
    <x v="2"/>
    <x v="2"/>
  </r>
  <r>
    <x v="6696"/>
    <x v="0"/>
    <x v="0"/>
    <x v="1"/>
    <n v="19.899999999999999"/>
    <x v="0"/>
    <x v="403"/>
    <x v="0"/>
    <x v="0"/>
    <x v="0"/>
    <x v="0"/>
  </r>
  <r>
    <x v="6697"/>
    <x v="0"/>
    <x v="2"/>
    <x v="3"/>
    <n v="25.7"/>
    <x v="21"/>
    <x v="5758"/>
    <x v="0"/>
    <x v="0"/>
    <x v="1"/>
    <x v="3"/>
  </r>
  <r>
    <x v="6698"/>
    <x v="0"/>
    <x v="0"/>
    <x v="0"/>
    <n v="74.3"/>
    <x v="60"/>
    <x v="5759"/>
    <x v="1"/>
    <x v="0"/>
    <x v="2"/>
    <x v="2"/>
  </r>
  <r>
    <x v="6699"/>
    <x v="1"/>
    <x v="1"/>
    <x v="0"/>
    <n v="99.4"/>
    <x v="37"/>
    <x v="5760"/>
    <x v="0"/>
    <x v="1"/>
    <x v="1"/>
    <x v="3"/>
  </r>
  <r>
    <x v="6700"/>
    <x v="0"/>
    <x v="1"/>
    <x v="2"/>
    <n v="69.7"/>
    <x v="43"/>
    <x v="5761"/>
    <x v="0"/>
    <x v="1"/>
    <x v="1"/>
    <x v="1"/>
  </r>
  <r>
    <x v="6701"/>
    <x v="0"/>
    <x v="0"/>
    <x v="0"/>
    <n v="98.35"/>
    <x v="12"/>
    <x v="5762"/>
    <x v="0"/>
    <x v="1"/>
    <x v="1"/>
    <x v="3"/>
  </r>
  <r>
    <x v="6702"/>
    <x v="1"/>
    <x v="0"/>
    <x v="0"/>
    <n v="85.45"/>
    <x v="7"/>
    <x v="5763"/>
    <x v="0"/>
    <x v="1"/>
    <x v="1"/>
    <x v="1"/>
  </r>
  <r>
    <x v="6703"/>
    <x v="1"/>
    <x v="0"/>
    <x v="0"/>
    <n v="95.9"/>
    <x v="47"/>
    <x v="5764"/>
    <x v="0"/>
    <x v="2"/>
    <x v="1"/>
    <x v="3"/>
  </r>
  <r>
    <x v="6704"/>
    <x v="1"/>
    <x v="0"/>
    <x v="0"/>
    <n v="100.75"/>
    <x v="9"/>
    <x v="5765"/>
    <x v="0"/>
    <x v="0"/>
    <x v="2"/>
    <x v="2"/>
  </r>
  <r>
    <x v="6705"/>
    <x v="0"/>
    <x v="0"/>
    <x v="0"/>
    <n v="89.2"/>
    <x v="26"/>
    <x v="5766"/>
    <x v="0"/>
    <x v="0"/>
    <x v="0"/>
    <x v="0"/>
  </r>
  <r>
    <x v="6706"/>
    <x v="0"/>
    <x v="0"/>
    <x v="3"/>
    <n v="74.099999999999994"/>
    <x v="35"/>
    <x v="5767"/>
    <x v="1"/>
    <x v="0"/>
    <x v="0"/>
    <x v="0"/>
  </r>
  <r>
    <x v="6707"/>
    <x v="1"/>
    <x v="0"/>
    <x v="0"/>
    <n v="100.6"/>
    <x v="58"/>
    <x v="2440"/>
    <x v="1"/>
    <x v="2"/>
    <x v="1"/>
    <x v="3"/>
  </r>
  <r>
    <x v="6708"/>
    <x v="1"/>
    <x v="0"/>
    <x v="1"/>
    <n v="75"/>
    <x v="35"/>
    <x v="5768"/>
    <x v="1"/>
    <x v="0"/>
    <x v="0"/>
    <x v="0"/>
  </r>
  <r>
    <x v="6709"/>
    <x v="1"/>
    <x v="2"/>
    <x v="3"/>
    <n v="25.75"/>
    <x v="21"/>
    <x v="5769"/>
    <x v="0"/>
    <x v="0"/>
    <x v="1"/>
    <x v="3"/>
  </r>
  <r>
    <x v="6710"/>
    <x v="1"/>
    <x v="2"/>
    <x v="0"/>
    <n v="84.1"/>
    <x v="27"/>
    <x v="5770"/>
    <x v="0"/>
    <x v="2"/>
    <x v="1"/>
    <x v="3"/>
  </r>
  <r>
    <x v="6711"/>
    <x v="0"/>
    <x v="2"/>
    <x v="2"/>
    <n v="79.3"/>
    <x v="12"/>
    <x v="5771"/>
    <x v="0"/>
    <x v="1"/>
    <x v="1"/>
    <x v="3"/>
  </r>
  <r>
    <x v="6712"/>
    <x v="0"/>
    <x v="1"/>
    <x v="3"/>
    <n v="107.05"/>
    <x v="56"/>
    <x v="5772"/>
    <x v="0"/>
    <x v="2"/>
    <x v="1"/>
    <x v="3"/>
  </r>
  <r>
    <x v="6713"/>
    <x v="1"/>
    <x v="2"/>
    <x v="2"/>
    <n v="20.05"/>
    <x v="25"/>
    <x v="5511"/>
    <x v="0"/>
    <x v="0"/>
    <x v="1"/>
    <x v="1"/>
  </r>
  <r>
    <x v="6714"/>
    <x v="0"/>
    <x v="2"/>
    <x v="3"/>
    <n v="70.2"/>
    <x v="38"/>
    <x v="5773"/>
    <x v="1"/>
    <x v="1"/>
    <x v="1"/>
    <x v="3"/>
  </r>
  <r>
    <x v="6715"/>
    <x v="0"/>
    <x v="0"/>
    <x v="2"/>
    <n v="19.5"/>
    <x v="50"/>
    <x v="4774"/>
    <x v="0"/>
    <x v="0"/>
    <x v="1"/>
    <x v="1"/>
  </r>
  <r>
    <x v="6716"/>
    <x v="0"/>
    <x v="0"/>
    <x v="0"/>
    <n v="70.75"/>
    <x v="2"/>
    <x v="3051"/>
    <x v="1"/>
    <x v="0"/>
    <x v="0"/>
    <x v="0"/>
  </r>
  <r>
    <x v="6717"/>
    <x v="0"/>
    <x v="0"/>
    <x v="0"/>
    <n v="45.3"/>
    <x v="9"/>
    <x v="2148"/>
    <x v="0"/>
    <x v="0"/>
    <x v="2"/>
    <x v="2"/>
  </r>
  <r>
    <x v="6718"/>
    <x v="0"/>
    <x v="2"/>
    <x v="0"/>
    <n v="115.15"/>
    <x v="21"/>
    <x v="3757"/>
    <x v="0"/>
    <x v="2"/>
    <x v="1"/>
    <x v="3"/>
  </r>
  <r>
    <x v="6719"/>
    <x v="1"/>
    <x v="2"/>
    <x v="2"/>
    <n v="72.95"/>
    <x v="47"/>
    <x v="5774"/>
    <x v="0"/>
    <x v="1"/>
    <x v="1"/>
    <x v="3"/>
  </r>
  <r>
    <x v="6720"/>
    <x v="1"/>
    <x v="1"/>
    <x v="1"/>
    <n v="19.649999999999999"/>
    <x v="30"/>
    <x v="1507"/>
    <x v="0"/>
    <x v="0"/>
    <x v="2"/>
    <x v="2"/>
  </r>
  <r>
    <x v="6721"/>
    <x v="0"/>
    <x v="2"/>
    <x v="2"/>
    <n v="19.55"/>
    <x v="65"/>
    <x v="1504"/>
    <x v="0"/>
    <x v="0"/>
    <x v="1"/>
    <x v="2"/>
  </r>
  <r>
    <x v="6722"/>
    <x v="0"/>
    <x v="0"/>
    <x v="0"/>
    <n v="89.55"/>
    <x v="65"/>
    <x v="3950"/>
    <x v="0"/>
    <x v="1"/>
    <x v="1"/>
    <x v="2"/>
  </r>
  <r>
    <x v="6723"/>
    <x v="1"/>
    <x v="0"/>
    <x v="1"/>
    <n v="50.35"/>
    <x v="23"/>
    <x v="5775"/>
    <x v="0"/>
    <x v="0"/>
    <x v="1"/>
    <x v="1"/>
  </r>
  <r>
    <x v="6724"/>
    <x v="1"/>
    <x v="0"/>
    <x v="2"/>
    <n v="50.25"/>
    <x v="18"/>
    <x v="2479"/>
    <x v="1"/>
    <x v="0"/>
    <x v="2"/>
    <x v="0"/>
  </r>
  <r>
    <x v="6725"/>
    <x v="0"/>
    <x v="2"/>
    <x v="3"/>
    <n v="87.25"/>
    <x v="16"/>
    <x v="5776"/>
    <x v="0"/>
    <x v="2"/>
    <x v="1"/>
    <x v="3"/>
  </r>
  <r>
    <x v="6726"/>
    <x v="1"/>
    <x v="2"/>
    <x v="1"/>
    <n v="20.8"/>
    <x v="56"/>
    <x v="5777"/>
    <x v="0"/>
    <x v="0"/>
    <x v="1"/>
    <x v="3"/>
  </r>
  <r>
    <x v="6727"/>
    <x v="0"/>
    <x v="2"/>
    <x v="2"/>
    <n v="109.25"/>
    <x v="28"/>
    <x v="5778"/>
    <x v="0"/>
    <x v="2"/>
    <x v="1"/>
    <x v="3"/>
  </r>
  <r>
    <x v="6728"/>
    <x v="1"/>
    <x v="0"/>
    <x v="1"/>
    <n v="20.350000000000001"/>
    <x v="0"/>
    <x v="1338"/>
    <x v="0"/>
    <x v="0"/>
    <x v="0"/>
    <x v="0"/>
  </r>
  <r>
    <x v="6729"/>
    <x v="1"/>
    <x v="0"/>
    <x v="0"/>
    <n v="55.9"/>
    <x v="54"/>
    <x v="5779"/>
    <x v="0"/>
    <x v="0"/>
    <x v="0"/>
    <x v="0"/>
  </r>
  <r>
    <x v="6730"/>
    <x v="0"/>
    <x v="0"/>
    <x v="3"/>
    <n v="79.2"/>
    <x v="63"/>
    <x v="5780"/>
    <x v="1"/>
    <x v="1"/>
    <x v="1"/>
    <x v="1"/>
  </r>
  <r>
    <x v="6731"/>
    <x v="0"/>
    <x v="0"/>
    <x v="0"/>
    <n v="96"/>
    <x v="18"/>
    <x v="4895"/>
    <x v="1"/>
    <x v="0"/>
    <x v="2"/>
    <x v="0"/>
  </r>
  <r>
    <x v="6732"/>
    <x v="1"/>
    <x v="2"/>
    <x v="0"/>
    <n v="79.2"/>
    <x v="15"/>
    <x v="5781"/>
    <x v="0"/>
    <x v="1"/>
    <x v="1"/>
    <x v="3"/>
  </r>
  <r>
    <x v="6733"/>
    <x v="1"/>
    <x v="0"/>
    <x v="0"/>
    <n v="24"/>
    <x v="6"/>
    <x v="3041"/>
    <x v="0"/>
    <x v="0"/>
    <x v="0"/>
    <x v="0"/>
  </r>
  <r>
    <x v="6734"/>
    <x v="1"/>
    <x v="1"/>
    <x v="2"/>
    <n v="101.35"/>
    <x v="47"/>
    <x v="5782"/>
    <x v="0"/>
    <x v="2"/>
    <x v="1"/>
    <x v="3"/>
  </r>
  <r>
    <x v="6735"/>
    <x v="0"/>
    <x v="0"/>
    <x v="0"/>
    <n v="100.1"/>
    <x v="68"/>
    <x v="5783"/>
    <x v="1"/>
    <x v="2"/>
    <x v="1"/>
    <x v="3"/>
  </r>
  <r>
    <x v="6736"/>
    <x v="0"/>
    <x v="0"/>
    <x v="1"/>
    <n v="56.5"/>
    <x v="54"/>
    <x v="5784"/>
    <x v="1"/>
    <x v="0"/>
    <x v="0"/>
    <x v="0"/>
  </r>
  <r>
    <x v="6737"/>
    <x v="0"/>
    <x v="1"/>
    <x v="1"/>
    <n v="35.450000000000003"/>
    <x v="15"/>
    <x v="5785"/>
    <x v="0"/>
    <x v="0"/>
    <x v="1"/>
    <x v="3"/>
  </r>
  <r>
    <x v="6738"/>
    <x v="0"/>
    <x v="0"/>
    <x v="0"/>
    <n v="85"/>
    <x v="0"/>
    <x v="525"/>
    <x v="1"/>
    <x v="0"/>
    <x v="0"/>
    <x v="0"/>
  </r>
  <r>
    <x v="6739"/>
    <x v="1"/>
    <x v="1"/>
    <x v="2"/>
    <n v="79.400000000000006"/>
    <x v="27"/>
    <x v="5786"/>
    <x v="0"/>
    <x v="2"/>
    <x v="1"/>
    <x v="3"/>
  </r>
  <r>
    <x v="6740"/>
    <x v="1"/>
    <x v="1"/>
    <x v="3"/>
    <n v="35.200000000000003"/>
    <x v="29"/>
    <x v="5787"/>
    <x v="0"/>
    <x v="0"/>
    <x v="1"/>
    <x v="1"/>
  </r>
  <r>
    <x v="6741"/>
    <x v="1"/>
    <x v="2"/>
    <x v="1"/>
    <n v="19.649999999999999"/>
    <x v="15"/>
    <x v="3857"/>
    <x v="0"/>
    <x v="0"/>
    <x v="1"/>
    <x v="3"/>
  </r>
  <r>
    <x v="6742"/>
    <x v="0"/>
    <x v="2"/>
    <x v="1"/>
    <n v="49.85"/>
    <x v="18"/>
    <x v="2271"/>
    <x v="0"/>
    <x v="0"/>
    <x v="2"/>
    <x v="0"/>
  </r>
  <r>
    <x v="6743"/>
    <x v="0"/>
    <x v="1"/>
    <x v="2"/>
    <n v="68.75"/>
    <x v="39"/>
    <x v="546"/>
    <x v="0"/>
    <x v="1"/>
    <x v="1"/>
    <x v="3"/>
  </r>
  <r>
    <x v="6744"/>
    <x v="1"/>
    <x v="0"/>
    <x v="0"/>
    <n v="79.900000000000006"/>
    <x v="41"/>
    <x v="5788"/>
    <x v="0"/>
    <x v="1"/>
    <x v="1"/>
    <x v="1"/>
  </r>
  <r>
    <x v="6745"/>
    <x v="1"/>
    <x v="0"/>
    <x v="2"/>
    <n v="89.75"/>
    <x v="5"/>
    <x v="5789"/>
    <x v="0"/>
    <x v="0"/>
    <x v="2"/>
    <x v="2"/>
  </r>
  <r>
    <x v="6746"/>
    <x v="1"/>
    <x v="1"/>
    <x v="0"/>
    <n v="59.3"/>
    <x v="69"/>
    <x v="5790"/>
    <x v="1"/>
    <x v="1"/>
    <x v="1"/>
    <x v="3"/>
  </r>
  <r>
    <x v="6747"/>
    <x v="1"/>
    <x v="0"/>
    <x v="3"/>
    <n v="19.399999999999999"/>
    <x v="23"/>
    <x v="1016"/>
    <x v="0"/>
    <x v="0"/>
    <x v="1"/>
    <x v="1"/>
  </r>
  <r>
    <x v="6748"/>
    <x v="1"/>
    <x v="1"/>
    <x v="2"/>
    <n v="93.65"/>
    <x v="69"/>
    <x v="5791"/>
    <x v="0"/>
    <x v="1"/>
    <x v="1"/>
    <x v="3"/>
  </r>
  <r>
    <x v="6749"/>
    <x v="1"/>
    <x v="0"/>
    <x v="0"/>
    <n v="49.4"/>
    <x v="54"/>
    <x v="5792"/>
    <x v="1"/>
    <x v="0"/>
    <x v="0"/>
    <x v="0"/>
  </r>
  <r>
    <x v="6750"/>
    <x v="1"/>
    <x v="0"/>
    <x v="1"/>
    <n v="19.899999999999999"/>
    <x v="0"/>
    <x v="403"/>
    <x v="0"/>
    <x v="0"/>
    <x v="0"/>
    <x v="0"/>
  </r>
  <r>
    <x v="6751"/>
    <x v="1"/>
    <x v="0"/>
    <x v="1"/>
    <n v="55"/>
    <x v="42"/>
    <x v="5793"/>
    <x v="1"/>
    <x v="0"/>
    <x v="1"/>
    <x v="1"/>
  </r>
  <r>
    <x v="6752"/>
    <x v="1"/>
    <x v="1"/>
    <x v="2"/>
    <n v="72.900000000000006"/>
    <x v="16"/>
    <x v="5794"/>
    <x v="0"/>
    <x v="2"/>
    <x v="1"/>
    <x v="3"/>
  </r>
  <r>
    <x v="6753"/>
    <x v="0"/>
    <x v="0"/>
    <x v="0"/>
    <n v="69.2"/>
    <x v="0"/>
    <x v="5599"/>
    <x v="1"/>
    <x v="0"/>
    <x v="0"/>
    <x v="0"/>
  </r>
  <r>
    <x v="6754"/>
    <x v="0"/>
    <x v="2"/>
    <x v="2"/>
    <n v="25.6"/>
    <x v="14"/>
    <x v="5795"/>
    <x v="0"/>
    <x v="0"/>
    <x v="1"/>
    <x v="3"/>
  </r>
  <r>
    <x v="6755"/>
    <x v="1"/>
    <x v="1"/>
    <x v="1"/>
    <n v="19.75"/>
    <x v="60"/>
    <x v="5796"/>
    <x v="0"/>
    <x v="0"/>
    <x v="2"/>
    <x v="2"/>
  </r>
  <r>
    <x v="6756"/>
    <x v="1"/>
    <x v="0"/>
    <x v="0"/>
    <n v="55.7"/>
    <x v="58"/>
    <x v="5797"/>
    <x v="0"/>
    <x v="1"/>
    <x v="1"/>
    <x v="3"/>
  </r>
  <r>
    <x v="6757"/>
    <x v="0"/>
    <x v="2"/>
    <x v="3"/>
    <n v="117.5"/>
    <x v="21"/>
    <x v="5798"/>
    <x v="0"/>
    <x v="2"/>
    <x v="1"/>
    <x v="3"/>
  </r>
  <r>
    <x v="6758"/>
    <x v="1"/>
    <x v="2"/>
    <x v="3"/>
    <n v="19.850000000000001"/>
    <x v="43"/>
    <x v="5799"/>
    <x v="0"/>
    <x v="0"/>
    <x v="1"/>
    <x v="1"/>
  </r>
  <r>
    <x v="6759"/>
    <x v="0"/>
    <x v="0"/>
    <x v="1"/>
    <n v="78.900000000000006"/>
    <x v="54"/>
    <x v="5800"/>
    <x v="0"/>
    <x v="0"/>
    <x v="0"/>
    <x v="0"/>
  </r>
  <r>
    <x v="6760"/>
    <x v="1"/>
    <x v="0"/>
    <x v="0"/>
    <n v="20.65"/>
    <x v="36"/>
    <x v="5801"/>
    <x v="0"/>
    <x v="0"/>
    <x v="1"/>
    <x v="1"/>
  </r>
  <r>
    <x v="6761"/>
    <x v="1"/>
    <x v="1"/>
    <x v="1"/>
    <n v="62.3"/>
    <x v="46"/>
    <x v="5802"/>
    <x v="1"/>
    <x v="1"/>
    <x v="1"/>
    <x v="1"/>
  </r>
  <r>
    <x v="6762"/>
    <x v="1"/>
    <x v="0"/>
    <x v="0"/>
    <n v="92.5"/>
    <x v="50"/>
    <x v="5803"/>
    <x v="1"/>
    <x v="1"/>
    <x v="1"/>
    <x v="1"/>
  </r>
  <r>
    <x v="6763"/>
    <x v="0"/>
    <x v="0"/>
    <x v="1"/>
    <n v="19.649999999999999"/>
    <x v="0"/>
    <x v="1015"/>
    <x v="0"/>
    <x v="0"/>
    <x v="0"/>
    <x v="0"/>
  </r>
  <r>
    <x v="6764"/>
    <x v="1"/>
    <x v="2"/>
    <x v="2"/>
    <n v="79.75"/>
    <x v="58"/>
    <x v="5804"/>
    <x v="0"/>
    <x v="1"/>
    <x v="1"/>
    <x v="3"/>
  </r>
  <r>
    <x v="6765"/>
    <x v="0"/>
    <x v="2"/>
    <x v="3"/>
    <n v="79.95"/>
    <x v="8"/>
    <x v="5805"/>
    <x v="0"/>
    <x v="1"/>
    <x v="1"/>
    <x v="3"/>
  </r>
  <r>
    <x v="6766"/>
    <x v="1"/>
    <x v="0"/>
    <x v="0"/>
    <n v="29.9"/>
    <x v="35"/>
    <x v="5806"/>
    <x v="0"/>
    <x v="0"/>
    <x v="0"/>
    <x v="0"/>
  </r>
  <r>
    <x v="6767"/>
    <x v="0"/>
    <x v="2"/>
    <x v="1"/>
    <n v="19.75"/>
    <x v="21"/>
    <x v="5807"/>
    <x v="0"/>
    <x v="0"/>
    <x v="1"/>
    <x v="3"/>
  </r>
  <r>
    <x v="6768"/>
    <x v="1"/>
    <x v="0"/>
    <x v="1"/>
    <n v="45"/>
    <x v="44"/>
    <x v="257"/>
    <x v="0"/>
    <x v="0"/>
    <x v="1"/>
    <x v="1"/>
  </r>
  <r>
    <x v="6769"/>
    <x v="1"/>
    <x v="0"/>
    <x v="2"/>
    <n v="44.8"/>
    <x v="9"/>
    <x v="5808"/>
    <x v="0"/>
    <x v="0"/>
    <x v="2"/>
    <x v="2"/>
  </r>
  <r>
    <x v="6770"/>
    <x v="1"/>
    <x v="0"/>
    <x v="0"/>
    <n v="69.650000000000006"/>
    <x v="35"/>
    <x v="5809"/>
    <x v="1"/>
    <x v="0"/>
    <x v="0"/>
    <x v="0"/>
  </r>
  <r>
    <x v="6771"/>
    <x v="0"/>
    <x v="0"/>
    <x v="0"/>
    <n v="51.1"/>
    <x v="26"/>
    <x v="4567"/>
    <x v="0"/>
    <x v="0"/>
    <x v="0"/>
    <x v="0"/>
  </r>
  <r>
    <x v="6772"/>
    <x v="0"/>
    <x v="2"/>
    <x v="1"/>
    <n v="53.15"/>
    <x v="17"/>
    <x v="5810"/>
    <x v="0"/>
    <x v="0"/>
    <x v="2"/>
    <x v="2"/>
  </r>
  <r>
    <x v="6773"/>
    <x v="0"/>
    <x v="0"/>
    <x v="2"/>
    <n v="24.7"/>
    <x v="67"/>
    <x v="5811"/>
    <x v="0"/>
    <x v="0"/>
    <x v="2"/>
    <x v="2"/>
  </r>
  <r>
    <x v="6774"/>
    <x v="1"/>
    <x v="2"/>
    <x v="3"/>
    <n v="111.6"/>
    <x v="59"/>
    <x v="5812"/>
    <x v="1"/>
    <x v="2"/>
    <x v="1"/>
    <x v="3"/>
  </r>
  <r>
    <x v="6775"/>
    <x v="0"/>
    <x v="0"/>
    <x v="3"/>
    <n v="48.55"/>
    <x v="26"/>
    <x v="5813"/>
    <x v="1"/>
    <x v="0"/>
    <x v="0"/>
    <x v="0"/>
  </r>
  <r>
    <x v="6776"/>
    <x v="1"/>
    <x v="0"/>
    <x v="0"/>
    <n v="109.95"/>
    <x v="42"/>
    <x v="5814"/>
    <x v="0"/>
    <x v="1"/>
    <x v="1"/>
    <x v="1"/>
  </r>
  <r>
    <x v="6777"/>
    <x v="1"/>
    <x v="0"/>
    <x v="1"/>
    <n v="20.8"/>
    <x v="13"/>
    <x v="5815"/>
    <x v="0"/>
    <x v="0"/>
    <x v="1"/>
    <x v="1"/>
  </r>
  <r>
    <x v="6778"/>
    <x v="0"/>
    <x v="0"/>
    <x v="1"/>
    <n v="20.2"/>
    <x v="0"/>
    <x v="33"/>
    <x v="1"/>
    <x v="0"/>
    <x v="0"/>
    <x v="0"/>
  </r>
  <r>
    <x v="6779"/>
    <x v="0"/>
    <x v="2"/>
    <x v="2"/>
    <n v="25.6"/>
    <x v="56"/>
    <x v="4015"/>
    <x v="0"/>
    <x v="0"/>
    <x v="1"/>
    <x v="3"/>
  </r>
  <r>
    <x v="6780"/>
    <x v="1"/>
    <x v="0"/>
    <x v="0"/>
    <n v="39.65"/>
    <x v="67"/>
    <x v="5816"/>
    <x v="1"/>
    <x v="0"/>
    <x v="2"/>
    <x v="2"/>
  </r>
  <r>
    <x v="6781"/>
    <x v="1"/>
    <x v="1"/>
    <x v="0"/>
    <n v="24.9"/>
    <x v="39"/>
    <x v="5817"/>
    <x v="1"/>
    <x v="0"/>
    <x v="1"/>
    <x v="3"/>
  </r>
  <r>
    <x v="6782"/>
    <x v="1"/>
    <x v="2"/>
    <x v="3"/>
    <n v="108.4"/>
    <x v="21"/>
    <x v="5058"/>
    <x v="0"/>
    <x v="2"/>
    <x v="1"/>
    <x v="3"/>
  </r>
  <r>
    <x v="6783"/>
    <x v="1"/>
    <x v="2"/>
    <x v="1"/>
    <n v="19.55"/>
    <x v="29"/>
    <x v="5818"/>
    <x v="0"/>
    <x v="0"/>
    <x v="1"/>
    <x v="1"/>
  </r>
  <r>
    <x v="6784"/>
    <x v="0"/>
    <x v="0"/>
    <x v="0"/>
    <n v="85.1"/>
    <x v="49"/>
    <x v="4858"/>
    <x v="0"/>
    <x v="1"/>
    <x v="1"/>
    <x v="3"/>
  </r>
  <r>
    <x v="6785"/>
    <x v="1"/>
    <x v="0"/>
    <x v="1"/>
    <n v="56.7"/>
    <x v="2"/>
    <x v="5819"/>
    <x v="1"/>
    <x v="0"/>
    <x v="0"/>
    <x v="0"/>
  </r>
  <r>
    <x v="6786"/>
    <x v="1"/>
    <x v="0"/>
    <x v="1"/>
    <n v="69.05"/>
    <x v="23"/>
    <x v="5820"/>
    <x v="0"/>
    <x v="0"/>
    <x v="1"/>
    <x v="1"/>
  </r>
  <r>
    <x v="6787"/>
    <x v="0"/>
    <x v="0"/>
    <x v="1"/>
    <n v="70.150000000000006"/>
    <x v="9"/>
    <x v="2583"/>
    <x v="0"/>
    <x v="0"/>
    <x v="2"/>
    <x v="2"/>
  </r>
  <r>
    <x v="6788"/>
    <x v="0"/>
    <x v="2"/>
    <x v="1"/>
    <n v="111.15"/>
    <x v="27"/>
    <x v="5821"/>
    <x v="0"/>
    <x v="2"/>
    <x v="1"/>
    <x v="3"/>
  </r>
  <r>
    <x v="6789"/>
    <x v="0"/>
    <x v="1"/>
    <x v="1"/>
    <n v="105.95"/>
    <x v="60"/>
    <x v="5822"/>
    <x v="1"/>
    <x v="0"/>
    <x v="2"/>
    <x v="2"/>
  </r>
  <r>
    <x v="6790"/>
    <x v="0"/>
    <x v="1"/>
    <x v="2"/>
    <n v="89.35"/>
    <x v="67"/>
    <x v="5823"/>
    <x v="0"/>
    <x v="0"/>
    <x v="2"/>
    <x v="2"/>
  </r>
  <r>
    <x v="6791"/>
    <x v="0"/>
    <x v="0"/>
    <x v="2"/>
    <n v="89.1"/>
    <x v="61"/>
    <x v="1702"/>
    <x v="0"/>
    <x v="0"/>
    <x v="2"/>
    <x v="2"/>
  </r>
  <r>
    <x v="6792"/>
    <x v="1"/>
    <x v="1"/>
    <x v="3"/>
    <n v="91.25"/>
    <x v="29"/>
    <x v="5824"/>
    <x v="0"/>
    <x v="1"/>
    <x v="1"/>
    <x v="1"/>
  </r>
  <r>
    <x v="6793"/>
    <x v="1"/>
    <x v="0"/>
    <x v="1"/>
    <n v="90.35"/>
    <x v="24"/>
    <x v="5825"/>
    <x v="0"/>
    <x v="0"/>
    <x v="0"/>
    <x v="0"/>
  </r>
  <r>
    <x v="6794"/>
    <x v="0"/>
    <x v="1"/>
    <x v="2"/>
    <n v="105.55"/>
    <x v="27"/>
    <x v="5826"/>
    <x v="0"/>
    <x v="2"/>
    <x v="1"/>
    <x v="3"/>
  </r>
  <r>
    <x v="6795"/>
    <x v="0"/>
    <x v="2"/>
    <x v="1"/>
    <n v="19.100000000000001"/>
    <x v="63"/>
    <x v="5827"/>
    <x v="0"/>
    <x v="0"/>
    <x v="1"/>
    <x v="1"/>
  </r>
  <r>
    <x v="6796"/>
    <x v="1"/>
    <x v="2"/>
    <x v="3"/>
    <n v="20.399999999999999"/>
    <x v="53"/>
    <x v="5828"/>
    <x v="0"/>
    <x v="0"/>
    <x v="0"/>
    <x v="0"/>
  </r>
  <r>
    <x v="6797"/>
    <x v="1"/>
    <x v="2"/>
    <x v="0"/>
    <n v="100.45"/>
    <x v="71"/>
    <x v="5829"/>
    <x v="0"/>
    <x v="1"/>
    <x v="1"/>
    <x v="1"/>
  </r>
  <r>
    <x v="6798"/>
    <x v="1"/>
    <x v="0"/>
    <x v="0"/>
    <n v="74.95"/>
    <x v="54"/>
    <x v="5830"/>
    <x v="1"/>
    <x v="0"/>
    <x v="0"/>
    <x v="0"/>
  </r>
  <r>
    <x v="6799"/>
    <x v="1"/>
    <x v="0"/>
    <x v="0"/>
    <n v="29.7"/>
    <x v="30"/>
    <x v="4872"/>
    <x v="1"/>
    <x v="0"/>
    <x v="2"/>
    <x v="2"/>
  </r>
  <r>
    <x v="6800"/>
    <x v="1"/>
    <x v="0"/>
    <x v="0"/>
    <n v="50.35"/>
    <x v="0"/>
    <x v="5831"/>
    <x v="1"/>
    <x v="0"/>
    <x v="0"/>
    <x v="0"/>
  </r>
  <r>
    <x v="6801"/>
    <x v="0"/>
    <x v="0"/>
    <x v="2"/>
    <n v="85.7"/>
    <x v="3"/>
    <x v="5832"/>
    <x v="0"/>
    <x v="1"/>
    <x v="1"/>
    <x v="1"/>
  </r>
  <r>
    <x v="6802"/>
    <x v="0"/>
    <x v="2"/>
    <x v="0"/>
    <n v="47.85"/>
    <x v="38"/>
    <x v="5833"/>
    <x v="1"/>
    <x v="1"/>
    <x v="1"/>
    <x v="3"/>
  </r>
  <r>
    <x v="6803"/>
    <x v="0"/>
    <x v="0"/>
    <x v="3"/>
    <n v="94"/>
    <x v="58"/>
    <x v="5834"/>
    <x v="0"/>
    <x v="2"/>
    <x v="1"/>
    <x v="3"/>
  </r>
  <r>
    <x v="6804"/>
    <x v="1"/>
    <x v="2"/>
    <x v="2"/>
    <n v="69.849999999999994"/>
    <x v="21"/>
    <x v="5835"/>
    <x v="0"/>
    <x v="2"/>
    <x v="1"/>
    <x v="3"/>
  </r>
  <r>
    <x v="6805"/>
    <x v="1"/>
    <x v="0"/>
    <x v="0"/>
    <n v="70.3"/>
    <x v="0"/>
    <x v="4446"/>
    <x v="1"/>
    <x v="0"/>
    <x v="0"/>
    <x v="0"/>
  </r>
  <r>
    <x v="6806"/>
    <x v="1"/>
    <x v="2"/>
    <x v="3"/>
    <n v="25.85"/>
    <x v="21"/>
    <x v="5836"/>
    <x v="0"/>
    <x v="0"/>
    <x v="1"/>
    <x v="3"/>
  </r>
  <r>
    <x v="6807"/>
    <x v="0"/>
    <x v="2"/>
    <x v="1"/>
    <n v="71.099999999999994"/>
    <x v="35"/>
    <x v="5837"/>
    <x v="0"/>
    <x v="0"/>
    <x v="0"/>
    <x v="0"/>
  </r>
  <r>
    <x v="6808"/>
    <x v="1"/>
    <x v="0"/>
    <x v="0"/>
    <n v="98.8"/>
    <x v="49"/>
    <x v="5838"/>
    <x v="1"/>
    <x v="2"/>
    <x v="1"/>
    <x v="3"/>
  </r>
  <r>
    <x v="6809"/>
    <x v="0"/>
    <x v="0"/>
    <x v="0"/>
    <n v="93.35"/>
    <x v="64"/>
    <x v="5839"/>
    <x v="0"/>
    <x v="2"/>
    <x v="1"/>
    <x v="3"/>
  </r>
  <r>
    <x v="6810"/>
    <x v="0"/>
    <x v="0"/>
    <x v="2"/>
    <n v="99.85"/>
    <x v="32"/>
    <x v="5840"/>
    <x v="1"/>
    <x v="0"/>
    <x v="2"/>
    <x v="2"/>
  </r>
  <r>
    <x v="6811"/>
    <x v="1"/>
    <x v="0"/>
    <x v="3"/>
    <n v="80.3"/>
    <x v="48"/>
    <x v="5841"/>
    <x v="1"/>
    <x v="1"/>
    <x v="1"/>
    <x v="1"/>
  </r>
  <r>
    <x v="6812"/>
    <x v="0"/>
    <x v="0"/>
    <x v="2"/>
    <n v="50.55"/>
    <x v="54"/>
    <x v="5842"/>
    <x v="0"/>
    <x v="0"/>
    <x v="0"/>
    <x v="0"/>
  </r>
  <r>
    <x v="6813"/>
    <x v="0"/>
    <x v="0"/>
    <x v="3"/>
    <n v="80.45"/>
    <x v="33"/>
    <x v="5843"/>
    <x v="1"/>
    <x v="2"/>
    <x v="1"/>
    <x v="3"/>
  </r>
  <r>
    <x v="6814"/>
    <x v="1"/>
    <x v="0"/>
    <x v="0"/>
    <n v="81.3"/>
    <x v="23"/>
    <x v="5844"/>
    <x v="0"/>
    <x v="1"/>
    <x v="1"/>
    <x v="1"/>
  </r>
  <r>
    <x v="6815"/>
    <x v="1"/>
    <x v="0"/>
    <x v="3"/>
    <n v="20.7"/>
    <x v="54"/>
    <x v="2195"/>
    <x v="0"/>
    <x v="0"/>
    <x v="0"/>
    <x v="0"/>
  </r>
  <r>
    <x v="6816"/>
    <x v="1"/>
    <x v="0"/>
    <x v="3"/>
    <n v="79.05"/>
    <x v="31"/>
    <x v="5845"/>
    <x v="0"/>
    <x v="1"/>
    <x v="1"/>
    <x v="3"/>
  </r>
  <r>
    <x v="6817"/>
    <x v="0"/>
    <x v="2"/>
    <x v="1"/>
    <n v="19.05"/>
    <x v="4"/>
    <x v="5846"/>
    <x v="0"/>
    <x v="0"/>
    <x v="0"/>
    <x v="0"/>
  </r>
  <r>
    <x v="6818"/>
    <x v="1"/>
    <x v="2"/>
    <x v="3"/>
    <n v="19.600000000000001"/>
    <x v="4"/>
    <x v="5847"/>
    <x v="0"/>
    <x v="0"/>
    <x v="0"/>
    <x v="0"/>
  </r>
  <r>
    <x v="6819"/>
    <x v="1"/>
    <x v="2"/>
    <x v="1"/>
    <n v="20.2"/>
    <x v="42"/>
    <x v="5848"/>
    <x v="0"/>
    <x v="0"/>
    <x v="1"/>
    <x v="1"/>
  </r>
  <r>
    <x v="6820"/>
    <x v="1"/>
    <x v="0"/>
    <x v="0"/>
    <n v="86.8"/>
    <x v="40"/>
    <x v="5849"/>
    <x v="1"/>
    <x v="0"/>
    <x v="0"/>
    <x v="0"/>
  </r>
  <r>
    <x v="6821"/>
    <x v="0"/>
    <x v="2"/>
    <x v="1"/>
    <n v="20.9"/>
    <x v="62"/>
    <x v="5850"/>
    <x v="0"/>
    <x v="0"/>
    <x v="1"/>
    <x v="3"/>
  </r>
  <r>
    <x v="6822"/>
    <x v="0"/>
    <x v="0"/>
    <x v="3"/>
    <n v="103.6"/>
    <x v="32"/>
    <x v="5851"/>
    <x v="0"/>
    <x v="0"/>
    <x v="2"/>
    <x v="2"/>
  </r>
  <r>
    <x v="6823"/>
    <x v="0"/>
    <x v="2"/>
    <x v="1"/>
    <n v="38.799999999999997"/>
    <x v="30"/>
    <x v="1718"/>
    <x v="0"/>
    <x v="0"/>
    <x v="2"/>
    <x v="2"/>
  </r>
  <r>
    <x v="6824"/>
    <x v="1"/>
    <x v="1"/>
    <x v="2"/>
    <n v="88.4"/>
    <x v="56"/>
    <x v="5852"/>
    <x v="0"/>
    <x v="2"/>
    <x v="1"/>
    <x v="3"/>
  </r>
  <r>
    <x v="6825"/>
    <x v="1"/>
    <x v="0"/>
    <x v="0"/>
    <n v="84.2"/>
    <x v="53"/>
    <x v="914"/>
    <x v="1"/>
    <x v="0"/>
    <x v="0"/>
    <x v="0"/>
  </r>
  <r>
    <x v="6826"/>
    <x v="1"/>
    <x v="0"/>
    <x v="0"/>
    <n v="79.7"/>
    <x v="53"/>
    <x v="5853"/>
    <x v="0"/>
    <x v="0"/>
    <x v="0"/>
    <x v="0"/>
  </r>
  <r>
    <x v="6827"/>
    <x v="1"/>
    <x v="0"/>
    <x v="1"/>
    <n v="99"/>
    <x v="9"/>
    <x v="5256"/>
    <x v="1"/>
    <x v="0"/>
    <x v="2"/>
    <x v="2"/>
  </r>
  <r>
    <x v="6828"/>
    <x v="0"/>
    <x v="0"/>
    <x v="0"/>
    <n v="100.75"/>
    <x v="26"/>
    <x v="5854"/>
    <x v="1"/>
    <x v="0"/>
    <x v="0"/>
    <x v="0"/>
  </r>
  <r>
    <x v="6829"/>
    <x v="1"/>
    <x v="0"/>
    <x v="1"/>
    <n v="19.3"/>
    <x v="0"/>
    <x v="1996"/>
    <x v="0"/>
    <x v="0"/>
    <x v="0"/>
    <x v="0"/>
  </r>
  <r>
    <x v="6830"/>
    <x v="1"/>
    <x v="0"/>
    <x v="1"/>
    <n v="55.75"/>
    <x v="24"/>
    <x v="5855"/>
    <x v="0"/>
    <x v="0"/>
    <x v="0"/>
    <x v="0"/>
  </r>
  <r>
    <x v="6831"/>
    <x v="1"/>
    <x v="1"/>
    <x v="1"/>
    <n v="19.95"/>
    <x v="9"/>
    <x v="1441"/>
    <x v="0"/>
    <x v="0"/>
    <x v="2"/>
    <x v="2"/>
  </r>
  <r>
    <x v="6832"/>
    <x v="0"/>
    <x v="0"/>
    <x v="2"/>
    <n v="91.75"/>
    <x v="34"/>
    <x v="5856"/>
    <x v="1"/>
    <x v="0"/>
    <x v="0"/>
    <x v="0"/>
  </r>
  <r>
    <x v="6833"/>
    <x v="1"/>
    <x v="0"/>
    <x v="1"/>
    <n v="89.65"/>
    <x v="44"/>
    <x v="5857"/>
    <x v="0"/>
    <x v="1"/>
    <x v="1"/>
    <x v="1"/>
  </r>
  <r>
    <x v="6834"/>
    <x v="1"/>
    <x v="0"/>
    <x v="1"/>
    <n v="45.85"/>
    <x v="0"/>
    <x v="1182"/>
    <x v="0"/>
    <x v="0"/>
    <x v="0"/>
    <x v="0"/>
  </r>
  <r>
    <x v="6835"/>
    <x v="0"/>
    <x v="0"/>
    <x v="1"/>
    <n v="79.55"/>
    <x v="0"/>
    <x v="2807"/>
    <x v="1"/>
    <x v="0"/>
    <x v="0"/>
    <x v="0"/>
  </r>
  <r>
    <x v="6836"/>
    <x v="0"/>
    <x v="0"/>
    <x v="1"/>
    <n v="55.95"/>
    <x v="32"/>
    <x v="5858"/>
    <x v="0"/>
    <x v="0"/>
    <x v="2"/>
    <x v="2"/>
  </r>
  <r>
    <x v="6837"/>
    <x v="0"/>
    <x v="0"/>
    <x v="3"/>
    <n v="69"/>
    <x v="2"/>
    <x v="5859"/>
    <x v="0"/>
    <x v="0"/>
    <x v="0"/>
    <x v="0"/>
  </r>
  <r>
    <x v="6838"/>
    <x v="1"/>
    <x v="0"/>
    <x v="2"/>
    <n v="83.55"/>
    <x v="19"/>
    <x v="5860"/>
    <x v="0"/>
    <x v="1"/>
    <x v="1"/>
    <x v="1"/>
  </r>
  <r>
    <x v="6839"/>
    <x v="1"/>
    <x v="2"/>
    <x v="2"/>
    <n v="65.7"/>
    <x v="33"/>
    <x v="5861"/>
    <x v="0"/>
    <x v="1"/>
    <x v="1"/>
    <x v="3"/>
  </r>
  <r>
    <x v="6840"/>
    <x v="1"/>
    <x v="2"/>
    <x v="2"/>
    <n v="94.9"/>
    <x v="46"/>
    <x v="5862"/>
    <x v="0"/>
    <x v="1"/>
    <x v="1"/>
    <x v="1"/>
  </r>
  <r>
    <x v="6841"/>
    <x v="1"/>
    <x v="0"/>
    <x v="1"/>
    <n v="61.9"/>
    <x v="66"/>
    <x v="5863"/>
    <x v="0"/>
    <x v="1"/>
    <x v="1"/>
    <x v="1"/>
  </r>
  <r>
    <x v="6842"/>
    <x v="0"/>
    <x v="0"/>
    <x v="0"/>
    <n v="111.1"/>
    <x v="68"/>
    <x v="5864"/>
    <x v="1"/>
    <x v="2"/>
    <x v="1"/>
    <x v="3"/>
  </r>
  <r>
    <x v="6843"/>
    <x v="1"/>
    <x v="0"/>
    <x v="1"/>
    <n v="20"/>
    <x v="2"/>
    <x v="452"/>
    <x v="0"/>
    <x v="0"/>
    <x v="0"/>
    <x v="0"/>
  </r>
  <r>
    <x v="6844"/>
    <x v="0"/>
    <x v="1"/>
    <x v="1"/>
    <n v="67.7"/>
    <x v="41"/>
    <x v="5865"/>
    <x v="0"/>
    <x v="1"/>
    <x v="1"/>
    <x v="1"/>
  </r>
  <r>
    <x v="6845"/>
    <x v="0"/>
    <x v="2"/>
    <x v="3"/>
    <n v="25.15"/>
    <x v="11"/>
    <x v="5866"/>
    <x v="0"/>
    <x v="0"/>
    <x v="1"/>
    <x v="3"/>
  </r>
  <r>
    <x v="6846"/>
    <x v="1"/>
    <x v="0"/>
    <x v="0"/>
    <n v="92.85"/>
    <x v="11"/>
    <x v="5867"/>
    <x v="0"/>
    <x v="2"/>
    <x v="1"/>
    <x v="3"/>
  </r>
  <r>
    <x v="6847"/>
    <x v="0"/>
    <x v="0"/>
    <x v="0"/>
    <n v="89.1"/>
    <x v="13"/>
    <x v="5868"/>
    <x v="1"/>
    <x v="1"/>
    <x v="1"/>
    <x v="1"/>
  </r>
  <r>
    <x v="6848"/>
    <x v="0"/>
    <x v="2"/>
    <x v="1"/>
    <n v="111.3"/>
    <x v="16"/>
    <x v="5869"/>
    <x v="0"/>
    <x v="2"/>
    <x v="1"/>
    <x v="3"/>
  </r>
  <r>
    <x v="6849"/>
    <x v="0"/>
    <x v="0"/>
    <x v="2"/>
    <n v="101.9"/>
    <x v="50"/>
    <x v="5870"/>
    <x v="1"/>
    <x v="1"/>
    <x v="1"/>
    <x v="1"/>
  </r>
  <r>
    <x v="6850"/>
    <x v="0"/>
    <x v="0"/>
    <x v="0"/>
    <n v="91.65"/>
    <x v="60"/>
    <x v="5871"/>
    <x v="1"/>
    <x v="0"/>
    <x v="2"/>
    <x v="2"/>
  </r>
  <r>
    <x v="6851"/>
    <x v="0"/>
    <x v="0"/>
    <x v="0"/>
    <n v="88.85"/>
    <x v="54"/>
    <x v="5872"/>
    <x v="1"/>
    <x v="0"/>
    <x v="0"/>
    <x v="0"/>
  </r>
  <r>
    <x v="6852"/>
    <x v="0"/>
    <x v="1"/>
    <x v="2"/>
    <n v="60.6"/>
    <x v="43"/>
    <x v="5873"/>
    <x v="0"/>
    <x v="1"/>
    <x v="1"/>
    <x v="1"/>
  </r>
  <r>
    <x v="6853"/>
    <x v="0"/>
    <x v="0"/>
    <x v="0"/>
    <n v="25.3"/>
    <x v="35"/>
    <x v="4937"/>
    <x v="1"/>
    <x v="0"/>
    <x v="0"/>
    <x v="0"/>
  </r>
  <r>
    <x v="6854"/>
    <x v="0"/>
    <x v="2"/>
    <x v="1"/>
    <n v="65.5"/>
    <x v="4"/>
    <x v="4606"/>
    <x v="0"/>
    <x v="0"/>
    <x v="0"/>
    <x v="0"/>
  </r>
  <r>
    <x v="6855"/>
    <x v="1"/>
    <x v="0"/>
    <x v="0"/>
    <n v="95.45"/>
    <x v="0"/>
    <x v="5874"/>
    <x v="1"/>
    <x v="0"/>
    <x v="0"/>
    <x v="0"/>
  </r>
  <r>
    <x v="6856"/>
    <x v="1"/>
    <x v="2"/>
    <x v="2"/>
    <n v="19.95"/>
    <x v="56"/>
    <x v="5875"/>
    <x v="0"/>
    <x v="0"/>
    <x v="1"/>
    <x v="3"/>
  </r>
  <r>
    <x v="6857"/>
    <x v="1"/>
    <x v="0"/>
    <x v="0"/>
    <n v="91.1"/>
    <x v="9"/>
    <x v="5876"/>
    <x v="1"/>
    <x v="0"/>
    <x v="2"/>
    <x v="2"/>
  </r>
  <r>
    <x v="6858"/>
    <x v="0"/>
    <x v="1"/>
    <x v="3"/>
    <n v="54.15"/>
    <x v="3"/>
    <x v="5877"/>
    <x v="1"/>
    <x v="1"/>
    <x v="1"/>
    <x v="1"/>
  </r>
  <r>
    <x v="6859"/>
    <x v="1"/>
    <x v="0"/>
    <x v="2"/>
    <n v="74.599999999999994"/>
    <x v="12"/>
    <x v="5878"/>
    <x v="0"/>
    <x v="1"/>
    <x v="1"/>
    <x v="3"/>
  </r>
  <r>
    <x v="6860"/>
    <x v="0"/>
    <x v="0"/>
    <x v="2"/>
    <n v="94.6"/>
    <x v="15"/>
    <x v="5879"/>
    <x v="0"/>
    <x v="1"/>
    <x v="1"/>
    <x v="3"/>
  </r>
  <r>
    <x v="6861"/>
    <x v="0"/>
    <x v="1"/>
    <x v="3"/>
    <n v="81.150000000000006"/>
    <x v="28"/>
    <x v="5880"/>
    <x v="0"/>
    <x v="2"/>
    <x v="1"/>
    <x v="3"/>
  </r>
  <r>
    <x v="6862"/>
    <x v="0"/>
    <x v="2"/>
    <x v="2"/>
    <n v="89.05"/>
    <x v="47"/>
    <x v="5881"/>
    <x v="0"/>
    <x v="2"/>
    <x v="1"/>
    <x v="3"/>
  </r>
  <r>
    <x v="6863"/>
    <x v="0"/>
    <x v="0"/>
    <x v="1"/>
    <n v="49.2"/>
    <x v="36"/>
    <x v="5882"/>
    <x v="0"/>
    <x v="0"/>
    <x v="1"/>
    <x v="1"/>
  </r>
  <r>
    <x v="6864"/>
    <x v="0"/>
    <x v="2"/>
    <x v="3"/>
    <n v="19.45"/>
    <x v="38"/>
    <x v="2675"/>
    <x v="0"/>
    <x v="0"/>
    <x v="1"/>
    <x v="3"/>
  </r>
  <r>
    <x v="6865"/>
    <x v="0"/>
    <x v="1"/>
    <x v="0"/>
    <n v="104.3"/>
    <x v="8"/>
    <x v="5883"/>
    <x v="0"/>
    <x v="2"/>
    <x v="1"/>
    <x v="3"/>
  </r>
  <r>
    <x v="6866"/>
    <x v="0"/>
    <x v="0"/>
    <x v="2"/>
    <n v="69.7"/>
    <x v="0"/>
    <x v="5884"/>
    <x v="1"/>
    <x v="0"/>
    <x v="0"/>
    <x v="0"/>
  </r>
  <r>
    <x v="6867"/>
    <x v="0"/>
    <x v="0"/>
    <x v="0"/>
    <n v="89.5"/>
    <x v="53"/>
    <x v="5390"/>
    <x v="1"/>
    <x v="0"/>
    <x v="0"/>
    <x v="0"/>
  </r>
  <r>
    <x v="6868"/>
    <x v="0"/>
    <x v="0"/>
    <x v="0"/>
    <n v="86.05"/>
    <x v="17"/>
    <x v="5885"/>
    <x v="0"/>
    <x v="0"/>
    <x v="2"/>
    <x v="2"/>
  </r>
  <r>
    <x v="6869"/>
    <x v="0"/>
    <x v="2"/>
    <x v="2"/>
    <n v="25.2"/>
    <x v="21"/>
    <x v="889"/>
    <x v="0"/>
    <x v="0"/>
    <x v="1"/>
    <x v="3"/>
  </r>
  <r>
    <x v="6870"/>
    <x v="0"/>
    <x v="0"/>
    <x v="0"/>
    <n v="35.15"/>
    <x v="48"/>
    <x v="5886"/>
    <x v="0"/>
    <x v="0"/>
    <x v="1"/>
    <x v="1"/>
  </r>
  <r>
    <x v="6871"/>
    <x v="0"/>
    <x v="1"/>
    <x v="3"/>
    <n v="99.65"/>
    <x v="16"/>
    <x v="3896"/>
    <x v="0"/>
    <x v="2"/>
    <x v="1"/>
    <x v="3"/>
  </r>
  <r>
    <x v="6872"/>
    <x v="0"/>
    <x v="0"/>
    <x v="2"/>
    <n v="105.35"/>
    <x v="1"/>
    <x v="4081"/>
    <x v="0"/>
    <x v="1"/>
    <x v="1"/>
    <x v="1"/>
  </r>
  <r>
    <x v="6873"/>
    <x v="1"/>
    <x v="0"/>
    <x v="0"/>
    <n v="35.15"/>
    <x v="35"/>
    <x v="5887"/>
    <x v="1"/>
    <x v="0"/>
    <x v="0"/>
    <x v="0"/>
  </r>
  <r>
    <x v="6874"/>
    <x v="1"/>
    <x v="0"/>
    <x v="3"/>
    <n v="73.75"/>
    <x v="18"/>
    <x v="5888"/>
    <x v="1"/>
    <x v="0"/>
    <x v="2"/>
    <x v="0"/>
  </r>
  <r>
    <x v="6875"/>
    <x v="0"/>
    <x v="0"/>
    <x v="0"/>
    <n v="101.35"/>
    <x v="4"/>
    <x v="5889"/>
    <x v="1"/>
    <x v="0"/>
    <x v="0"/>
    <x v="0"/>
  </r>
  <r>
    <x v="6876"/>
    <x v="0"/>
    <x v="2"/>
    <x v="2"/>
    <n v="24.3"/>
    <x v="42"/>
    <x v="2639"/>
    <x v="0"/>
    <x v="0"/>
    <x v="1"/>
    <x v="1"/>
  </r>
  <r>
    <x v="6877"/>
    <x v="0"/>
    <x v="0"/>
    <x v="0"/>
    <n v="80.7"/>
    <x v="35"/>
    <x v="5890"/>
    <x v="0"/>
    <x v="0"/>
    <x v="0"/>
    <x v="0"/>
  </r>
  <r>
    <x v="6878"/>
    <x v="1"/>
    <x v="0"/>
    <x v="1"/>
    <n v="89.85"/>
    <x v="35"/>
    <x v="114"/>
    <x v="0"/>
    <x v="0"/>
    <x v="0"/>
    <x v="0"/>
  </r>
  <r>
    <x v="6879"/>
    <x v="1"/>
    <x v="1"/>
    <x v="0"/>
    <n v="61.1"/>
    <x v="62"/>
    <x v="5891"/>
    <x v="0"/>
    <x v="1"/>
    <x v="1"/>
    <x v="3"/>
  </r>
  <r>
    <x v="6880"/>
    <x v="0"/>
    <x v="0"/>
    <x v="0"/>
    <n v="29.05"/>
    <x v="54"/>
    <x v="5892"/>
    <x v="0"/>
    <x v="0"/>
    <x v="0"/>
    <x v="0"/>
  </r>
  <r>
    <x v="6881"/>
    <x v="0"/>
    <x v="1"/>
    <x v="2"/>
    <n v="99.7"/>
    <x v="43"/>
    <x v="5893"/>
    <x v="0"/>
    <x v="1"/>
    <x v="1"/>
    <x v="1"/>
  </r>
  <r>
    <x v="6882"/>
    <x v="0"/>
    <x v="0"/>
    <x v="3"/>
    <n v="55.9"/>
    <x v="53"/>
    <x v="5894"/>
    <x v="1"/>
    <x v="0"/>
    <x v="0"/>
    <x v="0"/>
  </r>
  <r>
    <x v="6883"/>
    <x v="1"/>
    <x v="0"/>
    <x v="0"/>
    <n v="105.9"/>
    <x v="35"/>
    <x v="5895"/>
    <x v="1"/>
    <x v="0"/>
    <x v="0"/>
    <x v="0"/>
  </r>
  <r>
    <x v="6884"/>
    <x v="1"/>
    <x v="2"/>
    <x v="3"/>
    <n v="46"/>
    <x v="68"/>
    <x v="5896"/>
    <x v="0"/>
    <x v="1"/>
    <x v="1"/>
    <x v="3"/>
  </r>
  <r>
    <x v="6885"/>
    <x v="0"/>
    <x v="0"/>
    <x v="1"/>
    <n v="43.95"/>
    <x v="0"/>
    <x v="2065"/>
    <x v="1"/>
    <x v="0"/>
    <x v="0"/>
    <x v="0"/>
  </r>
  <r>
    <x v="6886"/>
    <x v="1"/>
    <x v="0"/>
    <x v="2"/>
    <n v="80.400000000000006"/>
    <x v="8"/>
    <x v="5897"/>
    <x v="0"/>
    <x v="1"/>
    <x v="1"/>
    <x v="3"/>
  </r>
  <r>
    <x v="6887"/>
    <x v="1"/>
    <x v="1"/>
    <x v="1"/>
    <n v="100.05"/>
    <x v="5"/>
    <x v="5898"/>
    <x v="0"/>
    <x v="1"/>
    <x v="2"/>
    <x v="2"/>
  </r>
  <r>
    <x v="6888"/>
    <x v="1"/>
    <x v="0"/>
    <x v="2"/>
    <n v="45.1"/>
    <x v="0"/>
    <x v="1754"/>
    <x v="1"/>
    <x v="0"/>
    <x v="0"/>
    <x v="0"/>
  </r>
  <r>
    <x v="6889"/>
    <x v="1"/>
    <x v="1"/>
    <x v="2"/>
    <n v="94"/>
    <x v="69"/>
    <x v="5899"/>
    <x v="0"/>
    <x v="1"/>
    <x v="1"/>
    <x v="3"/>
  </r>
  <r>
    <x v="6890"/>
    <x v="0"/>
    <x v="1"/>
    <x v="3"/>
    <n v="68.95"/>
    <x v="19"/>
    <x v="5900"/>
    <x v="0"/>
    <x v="1"/>
    <x v="1"/>
    <x v="1"/>
  </r>
  <r>
    <x v="6891"/>
    <x v="0"/>
    <x v="1"/>
    <x v="3"/>
    <n v="68.45"/>
    <x v="39"/>
    <x v="5901"/>
    <x v="0"/>
    <x v="1"/>
    <x v="1"/>
    <x v="3"/>
  </r>
  <r>
    <x v="6892"/>
    <x v="1"/>
    <x v="1"/>
    <x v="0"/>
    <n v="69"/>
    <x v="42"/>
    <x v="5902"/>
    <x v="0"/>
    <x v="1"/>
    <x v="1"/>
    <x v="1"/>
  </r>
  <r>
    <x v="6893"/>
    <x v="0"/>
    <x v="0"/>
    <x v="0"/>
    <n v="43.85"/>
    <x v="38"/>
    <x v="5903"/>
    <x v="0"/>
    <x v="1"/>
    <x v="1"/>
    <x v="3"/>
  </r>
  <r>
    <x v="6894"/>
    <x v="1"/>
    <x v="0"/>
    <x v="0"/>
    <n v="44.5"/>
    <x v="19"/>
    <x v="887"/>
    <x v="0"/>
    <x v="0"/>
    <x v="1"/>
    <x v="1"/>
  </r>
  <r>
    <x v="6895"/>
    <x v="0"/>
    <x v="2"/>
    <x v="1"/>
    <n v="18.7"/>
    <x v="13"/>
    <x v="5904"/>
    <x v="0"/>
    <x v="0"/>
    <x v="1"/>
    <x v="1"/>
  </r>
  <r>
    <x v="6896"/>
    <x v="0"/>
    <x v="0"/>
    <x v="2"/>
    <n v="70.25"/>
    <x v="52"/>
    <x v="5905"/>
    <x v="1"/>
    <x v="1"/>
    <x v="1"/>
    <x v="1"/>
  </r>
  <r>
    <x v="6897"/>
    <x v="1"/>
    <x v="0"/>
    <x v="0"/>
    <n v="55.35"/>
    <x v="34"/>
    <x v="5906"/>
    <x v="1"/>
    <x v="0"/>
    <x v="0"/>
    <x v="0"/>
  </r>
  <r>
    <x v="6898"/>
    <x v="0"/>
    <x v="0"/>
    <x v="1"/>
    <n v="53.55"/>
    <x v="0"/>
    <x v="4890"/>
    <x v="0"/>
    <x v="0"/>
    <x v="0"/>
    <x v="0"/>
  </r>
  <r>
    <x v="6899"/>
    <x v="1"/>
    <x v="2"/>
    <x v="0"/>
    <n v="114.6"/>
    <x v="27"/>
    <x v="5907"/>
    <x v="0"/>
    <x v="2"/>
    <x v="1"/>
    <x v="3"/>
  </r>
  <r>
    <x v="6900"/>
    <x v="0"/>
    <x v="2"/>
    <x v="2"/>
    <n v="20.100000000000001"/>
    <x v="58"/>
    <x v="5908"/>
    <x v="0"/>
    <x v="0"/>
    <x v="1"/>
    <x v="3"/>
  </r>
  <r>
    <x v="6901"/>
    <x v="1"/>
    <x v="0"/>
    <x v="0"/>
    <n v="85.5"/>
    <x v="34"/>
    <x v="2353"/>
    <x v="0"/>
    <x v="0"/>
    <x v="0"/>
    <x v="0"/>
  </r>
  <r>
    <x v="6902"/>
    <x v="0"/>
    <x v="1"/>
    <x v="2"/>
    <n v="108.75"/>
    <x v="14"/>
    <x v="5909"/>
    <x v="0"/>
    <x v="2"/>
    <x v="1"/>
    <x v="3"/>
  </r>
  <r>
    <x v="6903"/>
    <x v="1"/>
    <x v="0"/>
    <x v="0"/>
    <n v="103"/>
    <x v="29"/>
    <x v="5910"/>
    <x v="1"/>
    <x v="1"/>
    <x v="1"/>
    <x v="1"/>
  </r>
  <r>
    <x v="6904"/>
    <x v="0"/>
    <x v="2"/>
    <x v="0"/>
    <n v="97.85"/>
    <x v="21"/>
    <x v="5911"/>
    <x v="0"/>
    <x v="2"/>
    <x v="1"/>
    <x v="3"/>
  </r>
  <r>
    <x v="6905"/>
    <x v="1"/>
    <x v="2"/>
    <x v="2"/>
    <n v="19.55"/>
    <x v="66"/>
    <x v="5912"/>
    <x v="0"/>
    <x v="0"/>
    <x v="1"/>
    <x v="1"/>
  </r>
  <r>
    <x v="6906"/>
    <x v="0"/>
    <x v="2"/>
    <x v="2"/>
    <n v="84.05"/>
    <x v="21"/>
    <x v="5913"/>
    <x v="0"/>
    <x v="2"/>
    <x v="1"/>
    <x v="3"/>
  </r>
  <r>
    <x v="6907"/>
    <x v="0"/>
    <x v="1"/>
    <x v="0"/>
    <n v="103.75"/>
    <x v="55"/>
    <x v="5914"/>
    <x v="1"/>
    <x v="1"/>
    <x v="1"/>
    <x v="1"/>
  </r>
  <r>
    <x v="6908"/>
    <x v="1"/>
    <x v="0"/>
    <x v="3"/>
    <n v="89.4"/>
    <x v="68"/>
    <x v="5915"/>
    <x v="0"/>
    <x v="1"/>
    <x v="1"/>
    <x v="3"/>
  </r>
  <r>
    <x v="6909"/>
    <x v="1"/>
    <x v="2"/>
    <x v="3"/>
    <n v="19.7"/>
    <x v="23"/>
    <x v="5916"/>
    <x v="0"/>
    <x v="0"/>
    <x v="1"/>
    <x v="1"/>
  </r>
  <r>
    <x v="6910"/>
    <x v="1"/>
    <x v="0"/>
    <x v="2"/>
    <n v="79.849999999999994"/>
    <x v="68"/>
    <x v="5917"/>
    <x v="0"/>
    <x v="1"/>
    <x v="1"/>
    <x v="3"/>
  </r>
  <r>
    <x v="6911"/>
    <x v="1"/>
    <x v="0"/>
    <x v="3"/>
    <n v="74.45"/>
    <x v="35"/>
    <x v="5918"/>
    <x v="0"/>
    <x v="0"/>
    <x v="0"/>
    <x v="0"/>
  </r>
  <r>
    <x v="6912"/>
    <x v="0"/>
    <x v="1"/>
    <x v="2"/>
    <n v="74.099999999999994"/>
    <x v="62"/>
    <x v="5919"/>
    <x v="0"/>
    <x v="1"/>
    <x v="1"/>
    <x v="3"/>
  </r>
  <r>
    <x v="6913"/>
    <x v="1"/>
    <x v="0"/>
    <x v="0"/>
    <n v="69.349999999999994"/>
    <x v="0"/>
    <x v="4060"/>
    <x v="1"/>
    <x v="0"/>
    <x v="0"/>
    <x v="0"/>
  </r>
  <r>
    <x v="6914"/>
    <x v="1"/>
    <x v="1"/>
    <x v="1"/>
    <n v="18.8"/>
    <x v="30"/>
    <x v="2117"/>
    <x v="0"/>
    <x v="0"/>
    <x v="2"/>
    <x v="2"/>
  </r>
  <r>
    <x v="6915"/>
    <x v="0"/>
    <x v="0"/>
    <x v="0"/>
    <n v="73.849999999999994"/>
    <x v="39"/>
    <x v="5920"/>
    <x v="1"/>
    <x v="1"/>
    <x v="1"/>
    <x v="3"/>
  </r>
  <r>
    <x v="6916"/>
    <x v="1"/>
    <x v="0"/>
    <x v="3"/>
    <n v="64.400000000000006"/>
    <x v="24"/>
    <x v="5921"/>
    <x v="0"/>
    <x v="0"/>
    <x v="0"/>
    <x v="0"/>
  </r>
  <r>
    <x v="6917"/>
    <x v="1"/>
    <x v="1"/>
    <x v="3"/>
    <n v="55.8"/>
    <x v="43"/>
    <x v="5922"/>
    <x v="0"/>
    <x v="1"/>
    <x v="1"/>
    <x v="1"/>
  </r>
  <r>
    <x v="6918"/>
    <x v="0"/>
    <x v="0"/>
    <x v="3"/>
    <n v="20.05"/>
    <x v="13"/>
    <x v="3925"/>
    <x v="0"/>
    <x v="0"/>
    <x v="1"/>
    <x v="1"/>
  </r>
  <r>
    <x v="6919"/>
    <x v="0"/>
    <x v="0"/>
    <x v="3"/>
    <n v="75.150000000000006"/>
    <x v="35"/>
    <x v="5923"/>
    <x v="1"/>
    <x v="0"/>
    <x v="0"/>
    <x v="0"/>
  </r>
  <r>
    <x v="6920"/>
    <x v="1"/>
    <x v="1"/>
    <x v="2"/>
    <n v="99.15"/>
    <x v="11"/>
    <x v="5924"/>
    <x v="0"/>
    <x v="2"/>
    <x v="1"/>
    <x v="3"/>
  </r>
  <r>
    <x v="6921"/>
    <x v="1"/>
    <x v="0"/>
    <x v="2"/>
    <n v="56.75"/>
    <x v="6"/>
    <x v="5925"/>
    <x v="0"/>
    <x v="0"/>
    <x v="0"/>
    <x v="0"/>
  </r>
  <r>
    <x v="6922"/>
    <x v="1"/>
    <x v="0"/>
    <x v="0"/>
    <n v="69.599999999999994"/>
    <x v="0"/>
    <x v="1659"/>
    <x v="1"/>
    <x v="0"/>
    <x v="0"/>
    <x v="0"/>
  </r>
  <r>
    <x v="6923"/>
    <x v="1"/>
    <x v="2"/>
    <x v="3"/>
    <n v="104.15"/>
    <x v="16"/>
    <x v="5926"/>
    <x v="0"/>
    <x v="2"/>
    <x v="1"/>
    <x v="3"/>
  </r>
  <r>
    <x v="6924"/>
    <x v="0"/>
    <x v="2"/>
    <x v="3"/>
    <n v="110.8"/>
    <x v="45"/>
    <x v="5927"/>
    <x v="0"/>
    <x v="2"/>
    <x v="1"/>
    <x v="3"/>
  </r>
  <r>
    <x v="6925"/>
    <x v="1"/>
    <x v="0"/>
    <x v="0"/>
    <n v="80.150000000000006"/>
    <x v="24"/>
    <x v="5928"/>
    <x v="1"/>
    <x v="0"/>
    <x v="0"/>
    <x v="0"/>
  </r>
  <r>
    <x v="6926"/>
    <x v="0"/>
    <x v="0"/>
    <x v="1"/>
    <n v="35.75"/>
    <x v="7"/>
    <x v="5929"/>
    <x v="0"/>
    <x v="0"/>
    <x v="1"/>
    <x v="1"/>
  </r>
  <r>
    <x v="6927"/>
    <x v="0"/>
    <x v="2"/>
    <x v="2"/>
    <n v="69.900000000000006"/>
    <x v="56"/>
    <x v="5930"/>
    <x v="0"/>
    <x v="1"/>
    <x v="1"/>
    <x v="3"/>
  </r>
  <r>
    <x v="6928"/>
    <x v="1"/>
    <x v="1"/>
    <x v="0"/>
    <n v="89.2"/>
    <x v="42"/>
    <x v="1325"/>
    <x v="0"/>
    <x v="1"/>
    <x v="1"/>
    <x v="1"/>
  </r>
  <r>
    <x v="6929"/>
    <x v="0"/>
    <x v="2"/>
    <x v="3"/>
    <n v="55.65"/>
    <x v="21"/>
    <x v="5931"/>
    <x v="0"/>
    <x v="1"/>
    <x v="1"/>
    <x v="3"/>
  </r>
  <r>
    <x v="6930"/>
    <x v="0"/>
    <x v="1"/>
    <x v="2"/>
    <n v="50.7"/>
    <x v="59"/>
    <x v="5932"/>
    <x v="0"/>
    <x v="1"/>
    <x v="1"/>
    <x v="3"/>
  </r>
  <r>
    <x v="6931"/>
    <x v="1"/>
    <x v="2"/>
    <x v="3"/>
    <n v="20"/>
    <x v="47"/>
    <x v="5933"/>
    <x v="0"/>
    <x v="0"/>
    <x v="1"/>
    <x v="3"/>
  </r>
  <r>
    <x v="6932"/>
    <x v="0"/>
    <x v="0"/>
    <x v="2"/>
    <n v="30.5"/>
    <x v="0"/>
    <x v="5934"/>
    <x v="1"/>
    <x v="0"/>
    <x v="0"/>
    <x v="0"/>
  </r>
  <r>
    <x v="6933"/>
    <x v="1"/>
    <x v="0"/>
    <x v="1"/>
    <n v="19.100000000000001"/>
    <x v="35"/>
    <x v="2944"/>
    <x v="0"/>
    <x v="0"/>
    <x v="0"/>
    <x v="0"/>
  </r>
  <r>
    <x v="6934"/>
    <x v="1"/>
    <x v="2"/>
    <x v="2"/>
    <n v="98.3"/>
    <x v="27"/>
    <x v="5935"/>
    <x v="1"/>
    <x v="2"/>
    <x v="1"/>
    <x v="3"/>
  </r>
  <r>
    <x v="6935"/>
    <x v="0"/>
    <x v="0"/>
    <x v="3"/>
    <n v="45.55"/>
    <x v="43"/>
    <x v="5936"/>
    <x v="0"/>
    <x v="1"/>
    <x v="1"/>
    <x v="1"/>
  </r>
  <r>
    <x v="6936"/>
    <x v="1"/>
    <x v="1"/>
    <x v="3"/>
    <n v="101.05"/>
    <x v="47"/>
    <x v="5937"/>
    <x v="0"/>
    <x v="2"/>
    <x v="1"/>
    <x v="3"/>
  </r>
  <r>
    <x v="6937"/>
    <x v="0"/>
    <x v="1"/>
    <x v="0"/>
    <n v="103.7"/>
    <x v="20"/>
    <x v="5938"/>
    <x v="0"/>
    <x v="1"/>
    <x v="1"/>
    <x v="1"/>
  </r>
  <r>
    <x v="6938"/>
    <x v="1"/>
    <x v="1"/>
    <x v="1"/>
    <n v="36.25"/>
    <x v="48"/>
    <x v="5939"/>
    <x v="0"/>
    <x v="0"/>
    <x v="1"/>
    <x v="1"/>
  </r>
  <r>
    <x v="6939"/>
    <x v="0"/>
    <x v="0"/>
    <x v="1"/>
    <n v="49.4"/>
    <x v="24"/>
    <x v="5940"/>
    <x v="0"/>
    <x v="0"/>
    <x v="0"/>
    <x v="0"/>
  </r>
  <r>
    <x v="6940"/>
    <x v="1"/>
    <x v="2"/>
    <x v="3"/>
    <n v="19.899999999999999"/>
    <x v="12"/>
    <x v="5941"/>
    <x v="0"/>
    <x v="0"/>
    <x v="1"/>
    <x v="3"/>
  </r>
  <r>
    <x v="6941"/>
    <x v="0"/>
    <x v="0"/>
    <x v="2"/>
    <n v="107.4"/>
    <x v="43"/>
    <x v="5942"/>
    <x v="1"/>
    <x v="2"/>
    <x v="1"/>
    <x v="1"/>
  </r>
  <r>
    <x v="6942"/>
    <x v="0"/>
    <x v="0"/>
    <x v="0"/>
    <n v="82"/>
    <x v="9"/>
    <x v="5943"/>
    <x v="1"/>
    <x v="0"/>
    <x v="2"/>
    <x v="2"/>
  </r>
  <r>
    <x v="6943"/>
    <x v="1"/>
    <x v="0"/>
    <x v="1"/>
    <n v="19.8"/>
    <x v="30"/>
    <x v="2940"/>
    <x v="0"/>
    <x v="0"/>
    <x v="2"/>
    <x v="2"/>
  </r>
  <r>
    <x v="6944"/>
    <x v="0"/>
    <x v="0"/>
    <x v="0"/>
    <n v="45.05"/>
    <x v="18"/>
    <x v="4648"/>
    <x v="0"/>
    <x v="0"/>
    <x v="2"/>
    <x v="0"/>
  </r>
  <r>
    <x v="6945"/>
    <x v="1"/>
    <x v="2"/>
    <x v="2"/>
    <n v="64.55"/>
    <x v="56"/>
    <x v="5944"/>
    <x v="0"/>
    <x v="1"/>
    <x v="1"/>
    <x v="3"/>
  </r>
  <r>
    <x v="6946"/>
    <x v="1"/>
    <x v="0"/>
    <x v="0"/>
    <n v="86.25"/>
    <x v="34"/>
    <x v="5945"/>
    <x v="0"/>
    <x v="0"/>
    <x v="0"/>
    <x v="0"/>
  </r>
  <r>
    <x v="6947"/>
    <x v="0"/>
    <x v="2"/>
    <x v="2"/>
    <n v="19.75"/>
    <x v="9"/>
    <x v="3651"/>
    <x v="0"/>
    <x v="0"/>
    <x v="2"/>
    <x v="2"/>
  </r>
  <r>
    <x v="6948"/>
    <x v="0"/>
    <x v="1"/>
    <x v="1"/>
    <n v="89.1"/>
    <x v="46"/>
    <x v="5946"/>
    <x v="0"/>
    <x v="1"/>
    <x v="1"/>
    <x v="1"/>
  </r>
  <r>
    <x v="6949"/>
    <x v="0"/>
    <x v="0"/>
    <x v="0"/>
    <n v="95.55"/>
    <x v="41"/>
    <x v="5947"/>
    <x v="0"/>
    <x v="1"/>
    <x v="1"/>
    <x v="1"/>
  </r>
  <r>
    <x v="6950"/>
    <x v="0"/>
    <x v="0"/>
    <x v="3"/>
    <n v="75.400000000000006"/>
    <x v="65"/>
    <x v="5948"/>
    <x v="1"/>
    <x v="0"/>
    <x v="1"/>
    <x v="2"/>
  </r>
  <r>
    <x v="6951"/>
    <x v="0"/>
    <x v="0"/>
    <x v="0"/>
    <n v="101.25"/>
    <x v="23"/>
    <x v="5949"/>
    <x v="1"/>
    <x v="1"/>
    <x v="1"/>
    <x v="1"/>
  </r>
  <r>
    <x v="6952"/>
    <x v="1"/>
    <x v="0"/>
    <x v="3"/>
    <n v="102.6"/>
    <x v="34"/>
    <x v="5950"/>
    <x v="0"/>
    <x v="0"/>
    <x v="0"/>
    <x v="0"/>
  </r>
  <r>
    <x v="6953"/>
    <x v="0"/>
    <x v="1"/>
    <x v="3"/>
    <n v="56.3"/>
    <x v="12"/>
    <x v="5951"/>
    <x v="0"/>
    <x v="1"/>
    <x v="1"/>
    <x v="3"/>
  </r>
  <r>
    <x v="6954"/>
    <x v="0"/>
    <x v="0"/>
    <x v="3"/>
    <n v="94.2"/>
    <x v="59"/>
    <x v="5952"/>
    <x v="0"/>
    <x v="2"/>
    <x v="1"/>
    <x v="3"/>
  </r>
  <r>
    <x v="6955"/>
    <x v="1"/>
    <x v="1"/>
    <x v="2"/>
    <n v="43.05"/>
    <x v="37"/>
    <x v="5953"/>
    <x v="0"/>
    <x v="1"/>
    <x v="1"/>
    <x v="3"/>
  </r>
  <r>
    <x v="6956"/>
    <x v="1"/>
    <x v="0"/>
    <x v="0"/>
    <n v="89.5"/>
    <x v="13"/>
    <x v="5954"/>
    <x v="1"/>
    <x v="1"/>
    <x v="1"/>
    <x v="1"/>
  </r>
  <r>
    <x v="6957"/>
    <x v="0"/>
    <x v="0"/>
    <x v="2"/>
    <n v="74.400000000000006"/>
    <x v="5"/>
    <x v="5955"/>
    <x v="1"/>
    <x v="0"/>
    <x v="2"/>
    <x v="2"/>
  </r>
  <r>
    <x v="6958"/>
    <x v="1"/>
    <x v="0"/>
    <x v="1"/>
    <n v="20.5"/>
    <x v="0"/>
    <x v="2641"/>
    <x v="1"/>
    <x v="0"/>
    <x v="0"/>
    <x v="0"/>
  </r>
  <r>
    <x v="6959"/>
    <x v="1"/>
    <x v="0"/>
    <x v="0"/>
    <n v="74.349999999999994"/>
    <x v="54"/>
    <x v="5956"/>
    <x v="1"/>
    <x v="0"/>
    <x v="0"/>
    <x v="0"/>
  </r>
  <r>
    <x v="6960"/>
    <x v="0"/>
    <x v="0"/>
    <x v="2"/>
    <n v="99.75"/>
    <x v="32"/>
    <x v="5957"/>
    <x v="1"/>
    <x v="0"/>
    <x v="2"/>
    <x v="2"/>
  </r>
  <r>
    <x v="6961"/>
    <x v="0"/>
    <x v="1"/>
    <x v="0"/>
    <n v="111.95"/>
    <x v="39"/>
    <x v="5958"/>
    <x v="1"/>
    <x v="2"/>
    <x v="1"/>
    <x v="3"/>
  </r>
  <r>
    <x v="6962"/>
    <x v="0"/>
    <x v="1"/>
    <x v="0"/>
    <n v="94"/>
    <x v="62"/>
    <x v="5959"/>
    <x v="0"/>
    <x v="1"/>
    <x v="1"/>
    <x v="3"/>
  </r>
  <r>
    <x v="6963"/>
    <x v="0"/>
    <x v="1"/>
    <x v="0"/>
    <n v="98.85"/>
    <x v="69"/>
    <x v="5960"/>
    <x v="0"/>
    <x v="2"/>
    <x v="1"/>
    <x v="3"/>
  </r>
  <r>
    <x v="6964"/>
    <x v="0"/>
    <x v="2"/>
    <x v="0"/>
    <n v="64.349999999999994"/>
    <x v="65"/>
    <x v="5961"/>
    <x v="0"/>
    <x v="0"/>
    <x v="1"/>
    <x v="2"/>
  </r>
  <r>
    <x v="6965"/>
    <x v="0"/>
    <x v="2"/>
    <x v="3"/>
    <n v="72"/>
    <x v="8"/>
    <x v="5962"/>
    <x v="0"/>
    <x v="1"/>
    <x v="1"/>
    <x v="3"/>
  </r>
  <r>
    <x v="6966"/>
    <x v="1"/>
    <x v="0"/>
    <x v="1"/>
    <n v="49.7"/>
    <x v="65"/>
    <x v="589"/>
    <x v="0"/>
    <x v="0"/>
    <x v="1"/>
    <x v="2"/>
  </r>
  <r>
    <x v="6967"/>
    <x v="0"/>
    <x v="2"/>
    <x v="0"/>
    <n v="80.7"/>
    <x v="27"/>
    <x v="5586"/>
    <x v="0"/>
    <x v="2"/>
    <x v="1"/>
    <x v="3"/>
  </r>
  <r>
    <x v="6968"/>
    <x v="1"/>
    <x v="0"/>
    <x v="1"/>
    <n v="24.2"/>
    <x v="0"/>
    <x v="5963"/>
    <x v="0"/>
    <x v="0"/>
    <x v="0"/>
    <x v="0"/>
  </r>
  <r>
    <x v="6969"/>
    <x v="1"/>
    <x v="0"/>
    <x v="1"/>
    <n v="39"/>
    <x v="10"/>
    <x v="5964"/>
    <x v="1"/>
    <x v="0"/>
    <x v="2"/>
    <x v="2"/>
  </r>
  <r>
    <x v="6970"/>
    <x v="0"/>
    <x v="0"/>
    <x v="0"/>
    <n v="65.45"/>
    <x v="4"/>
    <x v="5965"/>
    <x v="0"/>
    <x v="0"/>
    <x v="0"/>
    <x v="0"/>
  </r>
  <r>
    <x v="6971"/>
    <x v="0"/>
    <x v="2"/>
    <x v="0"/>
    <n v="74.349999999999994"/>
    <x v="21"/>
    <x v="5966"/>
    <x v="0"/>
    <x v="2"/>
    <x v="1"/>
    <x v="3"/>
  </r>
  <r>
    <x v="6972"/>
    <x v="0"/>
    <x v="0"/>
    <x v="2"/>
    <n v="83.2"/>
    <x v="57"/>
    <x v="5967"/>
    <x v="0"/>
    <x v="0"/>
    <x v="2"/>
    <x v="2"/>
  </r>
  <r>
    <x v="6973"/>
    <x v="1"/>
    <x v="0"/>
    <x v="3"/>
    <n v="25"/>
    <x v="36"/>
    <x v="5968"/>
    <x v="0"/>
    <x v="0"/>
    <x v="1"/>
    <x v="1"/>
  </r>
  <r>
    <x v="6974"/>
    <x v="1"/>
    <x v="1"/>
    <x v="0"/>
    <n v="40.200000000000003"/>
    <x v="50"/>
    <x v="1440"/>
    <x v="0"/>
    <x v="0"/>
    <x v="1"/>
    <x v="1"/>
  </r>
  <r>
    <x v="6975"/>
    <x v="0"/>
    <x v="0"/>
    <x v="3"/>
    <n v="94.1"/>
    <x v="19"/>
    <x v="5969"/>
    <x v="1"/>
    <x v="1"/>
    <x v="1"/>
    <x v="1"/>
  </r>
  <r>
    <x v="6976"/>
    <x v="0"/>
    <x v="1"/>
    <x v="0"/>
    <n v="108.35"/>
    <x v="42"/>
    <x v="5970"/>
    <x v="0"/>
    <x v="1"/>
    <x v="1"/>
    <x v="1"/>
  </r>
  <r>
    <x v="6977"/>
    <x v="0"/>
    <x v="0"/>
    <x v="3"/>
    <n v="69.5"/>
    <x v="57"/>
    <x v="5971"/>
    <x v="0"/>
    <x v="0"/>
    <x v="2"/>
    <x v="2"/>
  </r>
  <r>
    <x v="6978"/>
    <x v="0"/>
    <x v="1"/>
    <x v="2"/>
    <n v="76"/>
    <x v="61"/>
    <x v="5972"/>
    <x v="0"/>
    <x v="0"/>
    <x v="2"/>
    <x v="2"/>
  </r>
  <r>
    <x v="6979"/>
    <x v="1"/>
    <x v="0"/>
    <x v="0"/>
    <n v="93.6"/>
    <x v="51"/>
    <x v="5973"/>
    <x v="0"/>
    <x v="1"/>
    <x v="1"/>
    <x v="1"/>
  </r>
  <r>
    <x v="6980"/>
    <x v="0"/>
    <x v="0"/>
    <x v="2"/>
    <n v="95.65"/>
    <x v="4"/>
    <x v="5974"/>
    <x v="1"/>
    <x v="0"/>
    <x v="0"/>
    <x v="0"/>
  </r>
  <r>
    <x v="6981"/>
    <x v="1"/>
    <x v="1"/>
    <x v="2"/>
    <n v="100.55"/>
    <x v="16"/>
    <x v="5975"/>
    <x v="0"/>
    <x v="2"/>
    <x v="1"/>
    <x v="3"/>
  </r>
  <r>
    <x v="6982"/>
    <x v="0"/>
    <x v="0"/>
    <x v="0"/>
    <n v="88.05"/>
    <x v="37"/>
    <x v="5976"/>
    <x v="1"/>
    <x v="1"/>
    <x v="1"/>
    <x v="3"/>
  </r>
  <r>
    <x v="6983"/>
    <x v="0"/>
    <x v="1"/>
    <x v="2"/>
    <n v="24.45"/>
    <x v="29"/>
    <x v="5977"/>
    <x v="0"/>
    <x v="0"/>
    <x v="1"/>
    <x v="1"/>
  </r>
  <r>
    <x v="6984"/>
    <x v="1"/>
    <x v="2"/>
    <x v="1"/>
    <n v="89.55"/>
    <x v="58"/>
    <x v="5978"/>
    <x v="0"/>
    <x v="2"/>
    <x v="1"/>
    <x v="3"/>
  </r>
  <r>
    <x v="6985"/>
    <x v="0"/>
    <x v="1"/>
    <x v="2"/>
    <n v="66.5"/>
    <x v="52"/>
    <x v="5979"/>
    <x v="1"/>
    <x v="1"/>
    <x v="1"/>
    <x v="1"/>
  </r>
  <r>
    <x v="6986"/>
    <x v="0"/>
    <x v="0"/>
    <x v="0"/>
    <n v="76.099999999999994"/>
    <x v="23"/>
    <x v="5980"/>
    <x v="0"/>
    <x v="1"/>
    <x v="1"/>
    <x v="1"/>
  </r>
  <r>
    <x v="6987"/>
    <x v="0"/>
    <x v="0"/>
    <x v="0"/>
    <n v="80.5"/>
    <x v="9"/>
    <x v="5981"/>
    <x v="0"/>
    <x v="0"/>
    <x v="2"/>
    <x v="2"/>
  </r>
  <r>
    <x v="6988"/>
    <x v="1"/>
    <x v="0"/>
    <x v="1"/>
    <n v="35.450000000000003"/>
    <x v="35"/>
    <x v="5982"/>
    <x v="1"/>
    <x v="0"/>
    <x v="0"/>
    <x v="0"/>
  </r>
  <r>
    <x v="6989"/>
    <x v="0"/>
    <x v="1"/>
    <x v="0"/>
    <n v="20.55"/>
    <x v="56"/>
    <x v="5983"/>
    <x v="0"/>
    <x v="0"/>
    <x v="1"/>
    <x v="3"/>
  </r>
  <r>
    <x v="6990"/>
    <x v="1"/>
    <x v="0"/>
    <x v="1"/>
    <n v="49.9"/>
    <x v="35"/>
    <x v="5629"/>
    <x v="1"/>
    <x v="0"/>
    <x v="0"/>
    <x v="0"/>
  </r>
  <r>
    <x v="6991"/>
    <x v="0"/>
    <x v="2"/>
    <x v="2"/>
    <n v="105.4"/>
    <x v="38"/>
    <x v="5984"/>
    <x v="0"/>
    <x v="2"/>
    <x v="1"/>
    <x v="3"/>
  </r>
  <r>
    <x v="6992"/>
    <x v="1"/>
    <x v="0"/>
    <x v="0"/>
    <n v="35.75"/>
    <x v="70"/>
    <x v="5985"/>
    <x v="0"/>
    <x v="0"/>
    <x v="1"/>
    <x v="1"/>
  </r>
  <r>
    <x v="6993"/>
    <x v="1"/>
    <x v="0"/>
    <x v="3"/>
    <n v="95.1"/>
    <x v="46"/>
    <x v="5986"/>
    <x v="0"/>
    <x v="1"/>
    <x v="1"/>
    <x v="1"/>
  </r>
  <r>
    <x v="6994"/>
    <x v="1"/>
    <x v="1"/>
    <x v="3"/>
    <n v="19.3"/>
    <x v="57"/>
    <x v="5987"/>
    <x v="0"/>
    <x v="0"/>
    <x v="2"/>
    <x v="2"/>
  </r>
  <r>
    <x v="6995"/>
    <x v="1"/>
    <x v="0"/>
    <x v="3"/>
    <n v="104.5"/>
    <x v="63"/>
    <x v="5988"/>
    <x v="1"/>
    <x v="1"/>
    <x v="1"/>
    <x v="1"/>
  </r>
  <r>
    <x v="6996"/>
    <x v="1"/>
    <x v="2"/>
    <x v="2"/>
    <n v="63.1"/>
    <x v="21"/>
    <x v="5989"/>
    <x v="0"/>
    <x v="1"/>
    <x v="1"/>
    <x v="3"/>
  </r>
  <r>
    <x v="6997"/>
    <x v="0"/>
    <x v="0"/>
    <x v="3"/>
    <n v="75.05"/>
    <x v="35"/>
    <x v="730"/>
    <x v="1"/>
    <x v="0"/>
    <x v="0"/>
    <x v="0"/>
  </r>
  <r>
    <x v="6998"/>
    <x v="1"/>
    <x v="0"/>
    <x v="0"/>
    <n v="81"/>
    <x v="57"/>
    <x v="5990"/>
    <x v="1"/>
    <x v="0"/>
    <x v="2"/>
    <x v="2"/>
  </r>
  <r>
    <x v="6999"/>
    <x v="0"/>
    <x v="0"/>
    <x v="0"/>
    <n v="74.45"/>
    <x v="0"/>
    <x v="4702"/>
    <x v="1"/>
    <x v="0"/>
    <x v="0"/>
    <x v="0"/>
  </r>
  <r>
    <x v="7000"/>
    <x v="0"/>
    <x v="0"/>
    <x v="1"/>
    <n v="60.4"/>
    <x v="54"/>
    <x v="5991"/>
    <x v="1"/>
    <x v="0"/>
    <x v="0"/>
    <x v="0"/>
  </r>
  <r>
    <x v="7001"/>
    <x v="0"/>
    <x v="2"/>
    <x v="0"/>
    <n v="84.95"/>
    <x v="8"/>
    <x v="5992"/>
    <x v="0"/>
    <x v="2"/>
    <x v="1"/>
    <x v="3"/>
  </r>
  <r>
    <x v="7002"/>
    <x v="0"/>
    <x v="0"/>
    <x v="2"/>
    <n v="93.4"/>
    <x v="63"/>
    <x v="5993"/>
    <x v="0"/>
    <x v="1"/>
    <x v="1"/>
    <x v="1"/>
  </r>
  <r>
    <x v="7003"/>
    <x v="1"/>
    <x v="0"/>
    <x v="0"/>
    <n v="89.2"/>
    <x v="52"/>
    <x v="5994"/>
    <x v="0"/>
    <x v="1"/>
    <x v="1"/>
    <x v="1"/>
  </r>
  <r>
    <x v="7004"/>
    <x v="1"/>
    <x v="0"/>
    <x v="3"/>
    <n v="85.2"/>
    <x v="1"/>
    <x v="2692"/>
    <x v="0"/>
    <x v="1"/>
    <x v="1"/>
    <x v="1"/>
  </r>
  <r>
    <x v="7005"/>
    <x v="0"/>
    <x v="0"/>
    <x v="0"/>
    <n v="49.95"/>
    <x v="0"/>
    <x v="1328"/>
    <x v="0"/>
    <x v="0"/>
    <x v="0"/>
    <x v="0"/>
  </r>
  <r>
    <x v="7006"/>
    <x v="0"/>
    <x v="2"/>
    <x v="2"/>
    <n v="20.65"/>
    <x v="69"/>
    <x v="5995"/>
    <x v="0"/>
    <x v="0"/>
    <x v="1"/>
    <x v="3"/>
  </r>
  <r>
    <x v="7007"/>
    <x v="1"/>
    <x v="0"/>
    <x v="1"/>
    <n v="70.650000000000006"/>
    <x v="0"/>
    <x v="5996"/>
    <x v="1"/>
    <x v="0"/>
    <x v="0"/>
    <x v="0"/>
  </r>
  <r>
    <x v="7008"/>
    <x v="0"/>
    <x v="2"/>
    <x v="1"/>
    <n v="20.149999999999999"/>
    <x v="71"/>
    <x v="5997"/>
    <x v="0"/>
    <x v="0"/>
    <x v="1"/>
    <x v="1"/>
  </r>
  <r>
    <x v="7009"/>
    <x v="1"/>
    <x v="0"/>
    <x v="0"/>
    <n v="19.2"/>
    <x v="18"/>
    <x v="5998"/>
    <x v="0"/>
    <x v="0"/>
    <x v="2"/>
    <x v="0"/>
  </r>
  <r>
    <x v="7010"/>
    <x v="1"/>
    <x v="1"/>
    <x v="0"/>
    <n v="59.8"/>
    <x v="18"/>
    <x v="5999"/>
    <x v="1"/>
    <x v="0"/>
    <x v="2"/>
    <x v="0"/>
  </r>
  <r>
    <x v="7011"/>
    <x v="1"/>
    <x v="1"/>
    <x v="0"/>
    <n v="104.95"/>
    <x v="21"/>
    <x v="6000"/>
    <x v="0"/>
    <x v="2"/>
    <x v="1"/>
    <x v="3"/>
  </r>
  <r>
    <x v="7012"/>
    <x v="0"/>
    <x v="0"/>
    <x v="0"/>
    <n v="103.5"/>
    <x v="28"/>
    <x v="6001"/>
    <x v="0"/>
    <x v="2"/>
    <x v="1"/>
    <x v="3"/>
  </r>
  <r>
    <x v="7013"/>
    <x v="1"/>
    <x v="0"/>
    <x v="3"/>
    <n v="84.8"/>
    <x v="66"/>
    <x v="1829"/>
    <x v="0"/>
    <x v="1"/>
    <x v="1"/>
    <x v="1"/>
  </r>
  <r>
    <x v="7014"/>
    <x v="0"/>
    <x v="0"/>
    <x v="2"/>
    <n v="95.05"/>
    <x v="32"/>
    <x v="6002"/>
    <x v="0"/>
    <x v="0"/>
    <x v="2"/>
    <x v="2"/>
  </r>
  <r>
    <x v="7015"/>
    <x v="0"/>
    <x v="0"/>
    <x v="2"/>
    <n v="44.2"/>
    <x v="34"/>
    <x v="6003"/>
    <x v="1"/>
    <x v="0"/>
    <x v="0"/>
    <x v="0"/>
  </r>
  <r>
    <x v="7016"/>
    <x v="1"/>
    <x v="0"/>
    <x v="1"/>
    <n v="73.349999999999994"/>
    <x v="9"/>
    <x v="6004"/>
    <x v="0"/>
    <x v="0"/>
    <x v="2"/>
    <x v="2"/>
  </r>
  <r>
    <x v="7017"/>
    <x v="0"/>
    <x v="2"/>
    <x v="2"/>
    <n v="64.099999999999994"/>
    <x v="47"/>
    <x v="6005"/>
    <x v="0"/>
    <x v="1"/>
    <x v="1"/>
    <x v="3"/>
  </r>
  <r>
    <x v="7018"/>
    <x v="0"/>
    <x v="0"/>
    <x v="0"/>
    <n v="44.4"/>
    <x v="53"/>
    <x v="6006"/>
    <x v="0"/>
    <x v="0"/>
    <x v="0"/>
    <x v="0"/>
  </r>
  <r>
    <x v="7019"/>
    <x v="0"/>
    <x v="0"/>
    <x v="1"/>
    <n v="20.05"/>
    <x v="2"/>
    <x v="2403"/>
    <x v="0"/>
    <x v="0"/>
    <x v="0"/>
    <x v="0"/>
  </r>
  <r>
    <x v="7020"/>
    <x v="1"/>
    <x v="1"/>
    <x v="3"/>
    <n v="60"/>
    <x v="49"/>
    <x v="5654"/>
    <x v="0"/>
    <x v="1"/>
    <x v="1"/>
    <x v="3"/>
  </r>
  <r>
    <x v="7021"/>
    <x v="1"/>
    <x v="0"/>
    <x v="0"/>
    <n v="75.75"/>
    <x v="0"/>
    <x v="4348"/>
    <x v="1"/>
    <x v="0"/>
    <x v="0"/>
    <x v="0"/>
  </r>
  <r>
    <x v="7022"/>
    <x v="1"/>
    <x v="0"/>
    <x v="3"/>
    <n v="69.5"/>
    <x v="46"/>
    <x v="6007"/>
    <x v="0"/>
    <x v="1"/>
    <x v="1"/>
    <x v="1"/>
  </r>
  <r>
    <x v="7023"/>
    <x v="0"/>
    <x v="0"/>
    <x v="3"/>
    <n v="102.95"/>
    <x v="56"/>
    <x v="6008"/>
    <x v="1"/>
    <x v="2"/>
    <x v="1"/>
    <x v="3"/>
  </r>
  <r>
    <x v="7024"/>
    <x v="1"/>
    <x v="0"/>
    <x v="2"/>
    <n v="78.7"/>
    <x v="67"/>
    <x v="6009"/>
    <x v="0"/>
    <x v="0"/>
    <x v="2"/>
    <x v="2"/>
  </r>
  <r>
    <x v="7025"/>
    <x v="0"/>
    <x v="1"/>
    <x v="0"/>
    <n v="60.65"/>
    <x v="18"/>
    <x v="6010"/>
    <x v="0"/>
    <x v="0"/>
    <x v="2"/>
    <x v="0"/>
  </r>
  <r>
    <x v="7026"/>
    <x v="0"/>
    <x v="2"/>
    <x v="2"/>
    <n v="21.15"/>
    <x v="21"/>
    <x v="6011"/>
    <x v="0"/>
    <x v="0"/>
    <x v="1"/>
    <x v="3"/>
  </r>
  <r>
    <x v="7027"/>
    <x v="1"/>
    <x v="1"/>
    <x v="1"/>
    <n v="84.8"/>
    <x v="65"/>
    <x v="6012"/>
    <x v="0"/>
    <x v="1"/>
    <x v="1"/>
    <x v="2"/>
  </r>
  <r>
    <x v="7028"/>
    <x v="0"/>
    <x v="1"/>
    <x v="3"/>
    <n v="103.2"/>
    <x v="21"/>
    <x v="6013"/>
    <x v="0"/>
    <x v="2"/>
    <x v="1"/>
    <x v="3"/>
  </r>
  <r>
    <x v="7029"/>
    <x v="0"/>
    <x v="0"/>
    <x v="0"/>
    <n v="29.6"/>
    <x v="26"/>
    <x v="6014"/>
    <x v="0"/>
    <x v="0"/>
    <x v="0"/>
    <x v="0"/>
  </r>
  <r>
    <x v="7030"/>
    <x v="1"/>
    <x v="0"/>
    <x v="1"/>
    <n v="74.400000000000006"/>
    <x v="54"/>
    <x v="1637"/>
    <x v="1"/>
    <x v="0"/>
    <x v="0"/>
    <x v="0"/>
  </r>
  <r>
    <x v="7031"/>
    <x v="1"/>
    <x v="2"/>
    <x v="2"/>
    <n v="105.65"/>
    <x v="33"/>
    <x v="6015"/>
    <x v="0"/>
    <x v="2"/>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B6" firstHeaderRow="1" firstDataRow="1" firstDataCol="1"/>
  <pivotFields count="11">
    <pivotField dataField="1" showAll="0"/>
    <pivotField showAll="0"/>
    <pivotField showAll="0"/>
    <pivotField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axis="axisRow" showAll="0">
      <items count="3">
        <item x="0"/>
        <item x="1"/>
        <item t="default"/>
      </items>
    </pivotField>
    <pivotField showAll="0">
      <items count="4">
        <item x="2"/>
        <item x="0"/>
        <item x="1"/>
        <item t="default"/>
      </items>
    </pivotField>
    <pivotField showAll="0"/>
    <pivotField showAll="0" defaultSubtotal="0">
      <items count="4">
        <item x="0"/>
        <item x="2"/>
        <item x="1"/>
        <item x="3"/>
      </items>
    </pivotField>
  </pivotFields>
  <rowFields count="1">
    <field x="7"/>
  </rowFields>
  <rowItems count="3">
    <i>
      <x/>
    </i>
    <i>
      <x v="1"/>
    </i>
    <i t="grand">
      <x/>
    </i>
  </rowItems>
  <colItems count="1">
    <i/>
  </colItems>
  <dataFields count="1">
    <dataField name="Count of customerID" fld="0"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7" count="1" selected="0">
            <x v="0"/>
          </reference>
        </references>
      </pivotArea>
    </chartFormat>
    <chartFormat chart="19"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8" firstHeaderRow="1" firstDataRow="2" firstDataCol="1"/>
  <pivotFields count="11">
    <pivotField dataField="1" showAll="0"/>
    <pivotField showAll="0"/>
    <pivotField axis="axisRow" showAll="0" defaultSubtotal="0">
      <items count="3">
        <item x="0"/>
        <item x="1"/>
        <item x="2"/>
      </items>
    </pivotField>
    <pivotField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axis="axisCol" showAll="0" sortType="ascending">
      <items count="3">
        <item x="0"/>
        <item x="1"/>
        <item t="default"/>
      </items>
    </pivotField>
    <pivotField showAll="0"/>
    <pivotField showAll="0"/>
    <pivotField showAll="0" defaultSubtotal="0">
      <items count="4">
        <item x="0"/>
        <item x="2"/>
        <item x="1"/>
        <item x="3"/>
      </items>
    </pivotField>
  </pivotFields>
  <rowFields count="1">
    <field x="2"/>
  </rowFields>
  <rowItems count="4">
    <i>
      <x/>
    </i>
    <i>
      <x v="1"/>
    </i>
    <i>
      <x v="2"/>
    </i>
    <i t="grand">
      <x/>
    </i>
  </rowItems>
  <colFields count="1">
    <field x="7"/>
  </colFields>
  <colItems count="3">
    <i>
      <x/>
    </i>
    <i>
      <x v="1"/>
    </i>
    <i t="grand">
      <x/>
    </i>
  </colItems>
  <dataFields count="1">
    <dataField name="Count of customerID" fld="0" subtotal="count" baseField="0" baseItem="0"/>
  </dataFields>
  <chartFormats count="5">
    <chartFormat chart="0" format="0" series="1">
      <pivotArea type="data" outline="0" fieldPosition="0">
        <references count="1">
          <reference field="7" count="1" selected="0">
            <x v="0"/>
          </reference>
        </references>
      </pivotArea>
    </chartFormat>
    <chartFormat chart="0" format="1" series="1">
      <pivotArea type="data" outline="0" fieldPosition="0">
        <references count="1">
          <reference field="7" count="1" selected="0">
            <x v="1"/>
          </reference>
        </references>
      </pivotArea>
    </chartFormat>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7" firstHeaderRow="1" firstDataRow="1" firstDataCol="1"/>
  <pivotFields count="11">
    <pivotField showAll="0"/>
    <pivotField showAll="0"/>
    <pivotField showAll="0"/>
    <pivotField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dataField="1" showAll="0"/>
    <pivotField showAll="0"/>
    <pivotField axis="axisRow" showAll="0">
      <items count="4">
        <item x="2"/>
        <item x="0"/>
        <item x="1"/>
        <item t="default"/>
      </items>
    </pivotField>
    <pivotField showAll="0"/>
    <pivotField showAll="0" defaultSubtotal="0">
      <items count="4">
        <item x="0"/>
        <item x="2"/>
        <item x="1"/>
        <item x="3"/>
      </items>
    </pivotField>
  </pivotFields>
  <rowFields count="1">
    <field x="8"/>
  </rowFields>
  <rowItems count="4">
    <i>
      <x/>
    </i>
    <i>
      <x v="1"/>
    </i>
    <i>
      <x v="2"/>
    </i>
    <i t="grand">
      <x/>
    </i>
  </rowItems>
  <colItems count="1">
    <i/>
  </colItems>
  <dataFields count="1">
    <dataField name="Sum of CLV" fld="6" baseField="0" baseItem="0"/>
  </dataFields>
  <formats count="3">
    <format dxfId="4">
      <pivotArea collapsedLevelsAreSubtotals="1" fieldPosition="0">
        <references count="1">
          <reference field="8" count="1">
            <x v="1"/>
          </reference>
        </references>
      </pivotArea>
    </format>
    <format dxfId="3">
      <pivotArea collapsedLevelsAreSubtotals="1" fieldPosition="0">
        <references count="1">
          <reference field="8" count="1">
            <x v="2"/>
          </reference>
        </references>
      </pivotArea>
    </format>
    <format dxfId="2">
      <pivotArea collapsedLevelsAreSubtotals="1" fieldPosition="0">
        <references count="1">
          <reference field="8" count="1">
            <x v="0"/>
          </reference>
        </references>
      </pivotArea>
    </format>
  </formats>
  <chartFormats count="4">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2"/>
          </reference>
        </references>
      </pivotArea>
    </chartFormat>
    <chartFormat chart="11" format="4">
      <pivotArea type="data" outline="0" fieldPosition="0">
        <references count="2">
          <reference field="4294967294" count="1" selected="0">
            <x v="0"/>
          </reference>
          <reference field="8" count="1" selected="0">
            <x v="1"/>
          </reference>
        </references>
      </pivotArea>
    </chartFormat>
    <chartFormat chart="11"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9" firstHeaderRow="1" firstDataRow="2" firstDataCol="1"/>
  <pivotFields count="11">
    <pivotField dataField="1" showAll="0"/>
    <pivotField showAll="0"/>
    <pivotField showAll="0"/>
    <pivotField axis="axisRow"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axis="axisCol" showAll="0">
      <items count="3">
        <item x="0"/>
        <item x="1"/>
        <item t="default"/>
      </items>
    </pivotField>
    <pivotField showAll="0"/>
    <pivotField showAll="0"/>
    <pivotField showAll="0" defaultSubtotal="0">
      <items count="4">
        <item x="0"/>
        <item x="2"/>
        <item x="1"/>
        <item x="3"/>
      </items>
    </pivotField>
  </pivotFields>
  <rowFields count="1">
    <field x="3"/>
  </rowFields>
  <rowItems count="5">
    <i>
      <x/>
    </i>
    <i>
      <x v="1"/>
    </i>
    <i>
      <x v="2"/>
    </i>
    <i>
      <x v="3"/>
    </i>
    <i t="grand">
      <x/>
    </i>
  </rowItems>
  <colFields count="1">
    <field x="7"/>
  </colFields>
  <colItems count="3">
    <i>
      <x/>
    </i>
    <i>
      <x v="1"/>
    </i>
    <i t="grand">
      <x/>
    </i>
  </colItems>
  <dataFields count="1">
    <dataField name="Count of customerID" fld="0" subtotal="count" baseField="0" baseItem="0"/>
  </dataFields>
  <chartFormats count="2">
    <chartFormat chart="3" format="5" series="1">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D7" firstHeaderRow="1" firstDataRow="2" firstDataCol="1"/>
  <pivotFields count="11">
    <pivotField dataField="1" showAll="0"/>
    <pivotField axis="axisRow" showAll="0">
      <items count="3">
        <item x="0"/>
        <item x="1"/>
        <item t="default"/>
      </items>
    </pivotField>
    <pivotField showAll="0">
      <items count="4">
        <item x="0"/>
        <item x="1"/>
        <item x="2"/>
        <item t="default"/>
      </items>
    </pivotField>
    <pivotField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axis="axisCol" showAll="0">
      <items count="3">
        <item x="0"/>
        <item x="1"/>
        <item t="default"/>
      </items>
    </pivotField>
    <pivotField showAll="0"/>
    <pivotField showAll="0"/>
    <pivotField showAll="0" defaultSubtotal="0">
      <items count="4">
        <item x="0"/>
        <item x="2"/>
        <item x="1"/>
        <item x="3"/>
      </items>
    </pivotField>
  </pivotFields>
  <rowFields count="1">
    <field x="1"/>
  </rowFields>
  <rowItems count="3">
    <i>
      <x/>
    </i>
    <i>
      <x v="1"/>
    </i>
    <i t="grand">
      <x/>
    </i>
  </rowItems>
  <colFields count="1">
    <field x="7"/>
  </colFields>
  <colItems count="3">
    <i>
      <x/>
    </i>
    <i>
      <x v="1"/>
    </i>
    <i t="grand">
      <x/>
    </i>
  </colItems>
  <dataFields count="1">
    <dataField name="Count of customerID" fld="0" subtotal="count" baseField="0" baseItem="0"/>
  </dataFields>
  <chartFormats count="2">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D9" firstHeaderRow="1" firstDataRow="2" firstDataCol="1"/>
  <pivotFields count="11">
    <pivotField dataField="1" showAll="0">
      <items count="7033">
        <item x="2302"/>
        <item x="3482"/>
        <item x="3838"/>
        <item x="5922"/>
        <item x="5560"/>
        <item x="1203"/>
        <item x="2370"/>
        <item x="2625"/>
        <item x="2273"/>
        <item x="4706"/>
        <item x="1997"/>
        <item x="4199"/>
        <item x="4768"/>
        <item x="1951"/>
        <item x="4022"/>
        <item x="2341"/>
        <item x="6011"/>
        <item x="345"/>
        <item x="2524"/>
        <item x="4388"/>
        <item x="2427"/>
        <item x="6590"/>
        <item x="5585"/>
        <item x="755"/>
        <item x="1320"/>
        <item x="6932"/>
        <item x="815"/>
        <item x="1212"/>
        <item x="6212"/>
        <item x="1299"/>
        <item x="886"/>
        <item x="6648"/>
        <item x="5001"/>
        <item x="6989"/>
        <item x="4837"/>
        <item x="6044"/>
        <item x="2791"/>
        <item x="4950"/>
        <item x="6678"/>
        <item x="3780"/>
        <item x="686"/>
        <item x="5912"/>
        <item x="6189"/>
        <item x="1119"/>
        <item x="6768"/>
        <item x="695"/>
        <item x="6110"/>
        <item x="1184"/>
        <item x="5898"/>
        <item x="4453"/>
        <item x="6587"/>
        <item x="4913"/>
        <item x="2266"/>
        <item x="6995"/>
        <item x="238"/>
        <item x="4348"/>
        <item x="1237"/>
        <item x="1124"/>
        <item x="3444"/>
        <item x="4511"/>
        <item x="362"/>
        <item x="1736"/>
        <item x="2921"/>
        <item x="1169"/>
        <item x="1699"/>
        <item x="407"/>
        <item x="5361"/>
        <item x="4075"/>
        <item x="715"/>
        <item x="4896"/>
        <item x="1318"/>
        <item x="816"/>
        <item x="5891"/>
        <item x="6147"/>
        <item x="1329"/>
        <item x="333"/>
        <item x="265"/>
        <item x="1174"/>
        <item x="5168"/>
        <item x="4689"/>
        <item x="1907"/>
        <item x="6213"/>
        <item x="3585"/>
        <item x="1751"/>
        <item x="1159"/>
        <item x="3299"/>
        <item x="2608"/>
        <item x="4436"/>
        <item x="752"/>
        <item x="2413"/>
        <item x="2420"/>
        <item x="5659"/>
        <item x="2868"/>
        <item x="2264"/>
        <item x="5687"/>
        <item x="2598"/>
        <item x="6721"/>
        <item x="5695"/>
        <item x="3643"/>
        <item x="396"/>
        <item x="6131"/>
        <item x="1226"/>
        <item x="2016"/>
        <item x="6297"/>
        <item x="4143"/>
        <item x="2440"/>
        <item x="2544"/>
        <item x="3727"/>
        <item x="78"/>
        <item x="5675"/>
        <item x="638"/>
        <item x="1351"/>
        <item x="5484"/>
        <item x="2752"/>
        <item x="6171"/>
        <item x="1302"/>
        <item x="2531"/>
        <item x="3844"/>
        <item x="442"/>
        <item x="874"/>
        <item x="2929"/>
        <item x="5974"/>
        <item x="668"/>
        <item x="592"/>
        <item x="6981"/>
        <item x="2268"/>
        <item x="353"/>
        <item x="6511"/>
        <item x="5457"/>
        <item x="245"/>
        <item x="1447"/>
        <item x="2001"/>
        <item x="6178"/>
        <item x="392"/>
        <item x="4486"/>
        <item x="4386"/>
        <item x="787"/>
        <item x="6521"/>
        <item x="217"/>
        <item x="5634"/>
        <item x="2848"/>
        <item x="2335"/>
        <item x="2362"/>
        <item x="769"/>
        <item x="3847"/>
        <item x="3018"/>
        <item x="5969"/>
        <item x="2712"/>
        <item x="3462"/>
        <item x="2147"/>
        <item x="5504"/>
        <item x="3302"/>
        <item x="5020"/>
        <item x="2690"/>
        <item x="6433"/>
        <item x="453"/>
        <item x="4395"/>
        <item x="517"/>
        <item x="2963"/>
        <item x="371"/>
        <item x="3574"/>
        <item x="3051"/>
        <item x="4912"/>
        <item x="306"/>
        <item x="4684"/>
        <item x="1992"/>
        <item x="4019"/>
        <item x="3044"/>
        <item x="5876"/>
        <item x="6804"/>
        <item x="1684"/>
        <item x="5081"/>
        <item x="2557"/>
        <item x="97"/>
        <item x="13"/>
        <item x="5840"/>
        <item x="6022"/>
        <item x="780"/>
        <item x="5764"/>
        <item x="5394"/>
        <item x="6855"/>
        <item x="821"/>
        <item x="905"/>
        <item x="6426"/>
        <item x="2910"/>
        <item x="1077"/>
        <item x="5224"/>
        <item x="246"/>
        <item x="5133"/>
        <item x="6674"/>
        <item x="478"/>
        <item x="4227"/>
        <item x="2021"/>
        <item x="568"/>
        <item x="2872"/>
        <item x="2398"/>
        <item x="3783"/>
        <item x="4613"/>
        <item x="3452"/>
        <item x="280"/>
        <item x="3090"/>
        <item x="4536"/>
        <item x="84"/>
        <item x="1235"/>
        <item x="2470"/>
        <item x="2269"/>
        <item x="777"/>
        <item x="248"/>
        <item x="867"/>
        <item x="4076"/>
        <item x="4616"/>
        <item x="3447"/>
        <item x="6283"/>
        <item x="6258"/>
        <item x="5540"/>
        <item x="3277"/>
        <item x="1538"/>
        <item x="410"/>
        <item x="5319"/>
        <item x="5681"/>
        <item x="2248"/>
        <item x="3328"/>
        <item x="1106"/>
        <item x="5268"/>
        <item x="4677"/>
        <item x="936"/>
        <item x="1976"/>
        <item x="1678"/>
        <item x="2573"/>
        <item x="6049"/>
        <item x="528"/>
        <item x="6918"/>
        <item x="5172"/>
        <item x="2242"/>
        <item x="4711"/>
        <item x="5706"/>
        <item x="5088"/>
        <item x="3856"/>
        <item x="4452"/>
        <item x="5197"/>
        <item x="4786"/>
        <item x="3419"/>
        <item x="4742"/>
        <item x="4057"/>
        <item x="598"/>
        <item x="5807"/>
        <item x="1689"/>
        <item x="6979"/>
        <item x="1056"/>
        <item x="4382"/>
        <item x="3517"/>
        <item x="5848"/>
        <item x="4530"/>
        <item x="4410"/>
        <item x="902"/>
        <item x="2200"/>
        <item x="2576"/>
        <item x="5881"/>
        <item x="3336"/>
        <item x="1227"/>
        <item x="1710"/>
        <item x="491"/>
        <item x="139"/>
        <item x="839"/>
        <item x="5270"/>
        <item x="3373"/>
        <item x="3620"/>
        <item x="3108"/>
        <item x="2475"/>
        <item x="2976"/>
        <item x="6062"/>
        <item x="6849"/>
        <item x="5819"/>
        <item x="1712"/>
        <item x="122"/>
        <item x="3987"/>
        <item x="2562"/>
        <item x="1760"/>
        <item x="3458"/>
        <item x="1143"/>
        <item x="3746"/>
        <item x="2735"/>
        <item x="6452"/>
        <item x="1939"/>
        <item x="3993"/>
        <item x="4407"/>
        <item x="843"/>
        <item x="6963"/>
        <item x="4521"/>
        <item x="3493"/>
        <item x="3430"/>
        <item x="2873"/>
        <item x="3756"/>
        <item x="2706"/>
        <item x="3971"/>
        <item x="60"/>
        <item x="3450"/>
        <item x="6183"/>
        <item x="4918"/>
        <item x="6010"/>
        <item x="4039"/>
        <item x="4845"/>
        <item x="5989"/>
        <item x="4482"/>
        <item x="481"/>
        <item x="2513"/>
        <item x="929"/>
        <item x="1192"/>
        <item x="1076"/>
        <item x="6251"/>
        <item x="591"/>
        <item x="3240"/>
        <item x="4685"/>
        <item x="1873"/>
        <item x="6921"/>
        <item x="3261"/>
        <item x="3436"/>
        <item x="4569"/>
        <item x="1390"/>
        <item x="6167"/>
        <item x="3854"/>
        <item x="4771"/>
        <item x="6414"/>
        <item x="1498"/>
        <item x="2909"/>
        <item x="2710"/>
        <item x="5353"/>
        <item x="110"/>
        <item x="480"/>
        <item x="3635"/>
        <item x="6041"/>
        <item x="5581"/>
        <item x="6479"/>
        <item x="6271"/>
        <item x="3606"/>
        <item x="2886"/>
        <item x="4177"/>
        <item x="3125"/>
        <item x="4674"/>
        <item x="496"/>
        <item x="1434"/>
        <item x="5776"/>
        <item x="3734"/>
        <item x="6900"/>
        <item x="4781"/>
        <item x="3633"/>
        <item x="350"/>
        <item x="4409"/>
        <item x="6691"/>
        <item x="3000"/>
        <item x="620"/>
        <item x="1775"/>
        <item x="3097"/>
        <item x="2795"/>
        <item x="6031"/>
        <item x="6526"/>
        <item x="1857"/>
        <item x="2150"/>
        <item x="62"/>
        <item x="1493"/>
        <item x="6899"/>
        <item x="6839"/>
        <item x="4063"/>
        <item x="386"/>
        <item x="4886"/>
        <item x="2811"/>
        <item x="1339"/>
        <item x="4822"/>
        <item x="4359"/>
        <item x="2841"/>
        <item x="6309"/>
        <item x="3209"/>
        <item x="7016"/>
        <item x="969"/>
        <item x="63"/>
        <item x="4298"/>
        <item x="4906"/>
        <item x="5888"/>
        <item x="1374"/>
        <item x="2916"/>
        <item x="1947"/>
        <item x="1962"/>
        <item x="4243"/>
        <item x="2432"/>
        <item x="4994"/>
        <item x="5861"/>
        <item x="3190"/>
        <item x="6501"/>
        <item x="4489"/>
        <item x="4114"/>
        <item x="4426"/>
        <item x="418"/>
        <item x="5439"/>
        <item x="3149"/>
        <item x="2784"/>
        <item x="3996"/>
        <item x="4828"/>
        <item x="3207"/>
        <item x="3183"/>
        <item x="4686"/>
        <item x="4345"/>
        <item x="2968"/>
        <item x="4563"/>
        <item x="5627"/>
        <item x="1973"/>
        <item x="3410"/>
        <item x="4030"/>
        <item x="971"/>
        <item x="4811"/>
        <item x="1986"/>
        <item x="4093"/>
        <item x="2902"/>
        <item x="3646"/>
        <item x="6054"/>
        <item x="6500"/>
        <item x="6802"/>
        <item x="3050"/>
        <item x="3988"/>
        <item x="589"/>
        <item x="5121"/>
        <item x="1588"/>
        <item x="1152"/>
        <item x="535"/>
        <item x="236"/>
        <item x="3384"/>
        <item x="1844"/>
        <item x="6114"/>
        <item x="5505"/>
        <item x="354"/>
        <item x="6261"/>
        <item x="4603"/>
        <item x="4071"/>
        <item x="1062"/>
        <item x="2827"/>
        <item x="4738"/>
        <item x="6369"/>
        <item x="1553"/>
        <item x="7023"/>
        <item x="1522"/>
        <item x="4088"/>
        <item x="5190"/>
        <item x="6156"/>
        <item x="3800"/>
        <item x="5689"/>
        <item x="2540"/>
        <item x="1070"/>
        <item x="3711"/>
        <item x="6852"/>
        <item x="2517"/>
        <item x="6547"/>
        <item x="1326"/>
        <item x="1508"/>
        <item x="6230"/>
        <item x="7004"/>
        <item x="4459"/>
        <item x="1238"/>
        <item x="3542"/>
        <item x="4085"/>
        <item x="2116"/>
        <item x="2907"/>
        <item x="6654"/>
        <item x="5650"/>
        <item x="5549"/>
        <item x="895"/>
        <item x="2895"/>
        <item x="2495"/>
        <item x="1418"/>
        <item x="6868"/>
        <item x="3766"/>
        <item x="6716"/>
        <item x="5983"/>
        <item x="3258"/>
        <item x="3354"/>
        <item x="6086"/>
        <item x="783"/>
        <item x="173"/>
        <item x="6314"/>
        <item x="5153"/>
        <item x="3320"/>
        <item x="215"/>
        <item x="1950"/>
        <item x="3929"/>
        <item x="6376"/>
        <item x="5300"/>
        <item x="4504"/>
        <item x="6038"/>
        <item x="5007"/>
        <item x="2790"/>
        <item x="5755"/>
        <item x="594"/>
        <item x="2525"/>
        <item x="4655"/>
        <item x="6999"/>
        <item x="4727"/>
        <item x="1253"/>
        <item x="6151"/>
        <item x="838"/>
        <item x="1701"/>
        <item x="5429"/>
        <item x="2367"/>
        <item x="893"/>
        <item x="71"/>
        <item x="447"/>
        <item x="5862"/>
        <item x="5195"/>
        <item x="2536"/>
        <item x="587"/>
        <item x="223"/>
        <item x="6489"/>
        <item x="1478"/>
        <item x="4001"/>
        <item x="2053"/>
        <item x="3399"/>
        <item x="4102"/>
        <item x="3511"/>
        <item x="6717"/>
        <item x="524"/>
        <item x="3221"/>
        <item x="1895"/>
        <item x="6304"/>
        <item x="5283"/>
        <item x="4053"/>
        <item x="2091"/>
        <item x="4155"/>
        <item x="5337"/>
        <item x="440"/>
        <item x="2810"/>
        <item x="1134"/>
        <item x="5281"/>
        <item x="5527"/>
        <item x="5968"/>
        <item x="903"/>
        <item x="1213"/>
        <item x="2519"/>
        <item x="5188"/>
        <item x="6969"/>
        <item x="5805"/>
        <item x="2222"/>
        <item x="1671"/>
        <item x="1819"/>
        <item x="3653"/>
        <item x="588"/>
        <item x="5694"/>
        <item x="1564"/>
        <item x="5480"/>
        <item x="6983"/>
        <item x="6392"/>
        <item x="786"/>
        <item x="1043"/>
        <item x="938"/>
        <item x="3836"/>
        <item x="4600"/>
        <item x="2739"/>
        <item x="5608"/>
        <item x="1808"/>
        <item x="6649"/>
        <item x="2619"/>
        <item x="676"/>
        <item x="6657"/>
        <item x="673"/>
        <item x="6253"/>
        <item x="4572"/>
        <item x="6643"/>
        <item x="2245"/>
        <item x="4089"/>
        <item x="1133"/>
        <item x="937"/>
        <item x="907"/>
        <item x="3674"/>
        <item x="2212"/>
        <item x="1792"/>
        <item x="3851"/>
        <item x="3331"/>
        <item x="1140"/>
        <item x="2103"/>
        <item x="5376"/>
        <item x="5356"/>
        <item x="6358"/>
        <item x="4402"/>
        <item x="950"/>
        <item x="4369"/>
        <item x="3537"/>
        <item x="1932"/>
        <item x="5901"/>
        <item x="6462"/>
        <item x="926"/>
        <item x="6288"/>
        <item x="2239"/>
        <item x="3109"/>
        <item x="161"/>
        <item x="4847"/>
        <item x="2322"/>
        <item x="6128"/>
        <item x="7019"/>
        <item x="6116"/>
        <item x="6454"/>
        <item x="1216"/>
        <item x="6658"/>
        <item x="5655"/>
        <item x="3045"/>
        <item x="5362"/>
        <item x="2620"/>
        <item x="462"/>
        <item x="4652"/>
        <item x="6266"/>
        <item x="6951"/>
        <item x="645"/>
        <item x="1179"/>
        <item x="3195"/>
        <item x="300"/>
        <item x="3550"/>
        <item x="1402"/>
        <item x="3343"/>
        <item x="6635"/>
        <item x="4859"/>
        <item x="5043"/>
        <item x="6334"/>
        <item x="4835"/>
        <item x="4163"/>
        <item x="2631"/>
        <item x="4981"/>
        <item x="6199"/>
        <item x="521"/>
        <item x="6077"/>
        <item x="4070"/>
        <item x="3433"/>
        <item x="4817"/>
        <item x="1862"/>
        <item x="2731"/>
        <item x="2100"/>
        <item x="6372"/>
        <item x="1122"/>
        <item x="3228"/>
        <item x="6987"/>
        <item x="1007"/>
        <item x="4618"/>
        <item x="4929"/>
        <item x="4842"/>
        <item x="5742"/>
        <item x="2812"/>
        <item x="6471"/>
        <item x="567"/>
        <item x="6370"/>
        <item x="457"/>
        <item x="6364"/>
        <item x="229"/>
        <item x="4067"/>
        <item x="687"/>
        <item x="5166"/>
        <item x="860"/>
        <item x="2538"/>
        <item x="2898"/>
        <item x="6005"/>
        <item x="188"/>
        <item x="4320"/>
        <item x="249"/>
        <item x="3048"/>
        <item x="4699"/>
        <item x="2588"/>
        <item x="3544"/>
        <item x="4490"/>
        <item x="3719"/>
        <item x="3516"/>
        <item x="641"/>
        <item x="6763"/>
        <item x="1103"/>
        <item x="1868"/>
        <item x="3483"/>
        <item x="3486"/>
        <item x="864"/>
        <item x="402"/>
        <item x="4666"/>
        <item x="5781"/>
        <item x="5685"/>
        <item x="4793"/>
        <item x="4470"/>
        <item x="3904"/>
        <item x="1571"/>
        <item x="5274"/>
        <item x="1674"/>
        <item x="6600"/>
        <item x="1261"/>
        <item x="623"/>
        <item x="365"/>
        <item x="2238"/>
        <item x="2802"/>
        <item x="1728"/>
        <item x="3641"/>
        <item x="2796"/>
        <item x="4241"/>
        <item x="1900"/>
        <item x="2786"/>
        <item x="185"/>
        <item x="6948"/>
        <item x="1969"/>
        <item x="6339"/>
        <item x="6349"/>
        <item x="5180"/>
        <item x="709"/>
        <item x="6581"/>
        <item x="2484"/>
        <item x="7012"/>
        <item x="6816"/>
        <item x="2994"/>
        <item x="840"/>
        <item x="6896"/>
        <item x="6201"/>
        <item x="4758"/>
        <item x="4265"/>
        <item x="4411"/>
        <item x="1116"/>
        <item x="6783"/>
        <item x="2421"/>
        <item x="2581"/>
        <item x="898"/>
        <item x="4724"/>
        <item x="3534"/>
        <item x="2089"/>
        <item x="1673"/>
        <item x="5269"/>
        <item x="6603"/>
        <item x="3413"/>
        <item x="4759"/>
        <item x="22"/>
        <item x="2613"/>
        <item x="4577"/>
        <item x="4000"/>
        <item x="2571"/>
        <item x="6618"/>
        <item x="5222"/>
        <item x="3548"/>
        <item x="5136"/>
        <item x="3833"/>
        <item x="1359"/>
        <item x="2079"/>
        <item x="3278"/>
        <item x="3289"/>
        <item x="2012"/>
        <item x="4252"/>
        <item x="2474"/>
        <item x="4375"/>
        <item x="2396"/>
        <item x="5710"/>
        <item x="449"/>
        <item x="6194"/>
        <item x="120"/>
        <item x="1504"/>
        <item x="6512"/>
        <item x="3902"/>
        <item x="6564"/>
        <item x="6122"/>
        <item x="142"/>
        <item x="601"/>
        <item x="3714"/>
        <item x="1842"/>
        <item x="310"/>
        <item x="3863"/>
        <item x="5978"/>
        <item x="4529"/>
        <item x="4321"/>
        <item x="2325"/>
        <item x="6524"/>
        <item x="978"/>
        <item x="2726"/>
        <item x="4802"/>
        <item x="6789"/>
        <item x="5466"/>
        <item x="6797"/>
        <item x="5752"/>
        <item x="3345"/>
        <item x="5651"/>
        <item x="7007"/>
        <item x="6628"/>
        <item x="3335"/>
        <item x="4293"/>
        <item x="144"/>
        <item x="1375"/>
        <item x="2418"/>
        <item x="2493"/>
        <item x="2597"/>
        <item x="508"/>
        <item x="2176"/>
        <item x="3693"/>
        <item x="4466"/>
        <item x="652"/>
        <item x="3655"/>
        <item x="3134"/>
        <item x="2724"/>
        <item x="6463"/>
        <item x="3688"/>
        <item x="2220"/>
        <item x="556"/>
        <item x="5127"/>
        <item x="1556"/>
        <item x="169"/>
        <item x="5785"/>
        <item x="2123"/>
        <item x="2964"/>
        <item x="4194"/>
        <item x="3401"/>
        <item x="2725"/>
        <item x="5788"/>
        <item x="2044"/>
        <item x="1655"/>
        <item x="5341"/>
        <item x="733"/>
        <item x="6705"/>
        <item x="2481"/>
        <item x="6467"/>
        <item x="2169"/>
        <item x="2745"/>
        <item x="5757"/>
        <item x="1343"/>
        <item x="2315"/>
        <item x="4866"/>
        <item x="4161"/>
        <item x="3835"/>
        <item x="2754"/>
        <item x="6857"/>
        <item x="4081"/>
        <item x="2448"/>
        <item x="3974"/>
        <item x="4620"/>
        <item x="1573"/>
        <item x="987"/>
        <item x="4191"/>
        <item x="3024"/>
        <item x="5464"/>
        <item x="4171"/>
        <item x="2472"/>
        <item x="5308"/>
        <item x="4872"/>
        <item x="61"/>
        <item x="2837"/>
        <item x="2050"/>
        <item x="731"/>
        <item x="5660"/>
        <item x="579"/>
        <item x="1660"/>
        <item x="5452"/>
        <item x="1735"/>
        <item x="5624"/>
        <item x="4937"/>
        <item x="6621"/>
        <item x="2385"/>
        <item x="4269"/>
        <item x="4260"/>
        <item x="1653"/>
        <item x="6104"/>
        <item x="2761"/>
        <item x="4635"/>
        <item x="3187"/>
        <item x="1037"/>
        <item x="4963"/>
        <item x="4594"/>
        <item x="3673"/>
        <item x="5214"/>
        <item x="6741"/>
        <item x="3270"/>
        <item x="2381"/>
        <item x="305"/>
        <item x="235"/>
        <item x="1262"/>
        <item x="2439"/>
        <item x="1268"/>
        <item x="885"/>
        <item x="6168"/>
        <item x="5005"/>
        <item x="1620"/>
        <item x="4494"/>
        <item x="6953"/>
        <item x="2590"/>
        <item x="1839"/>
        <item x="5756"/>
        <item x="3176"/>
        <item x="761"/>
        <item x="5028"/>
        <item x="4628"/>
        <item x="5318"/>
        <item x="1047"/>
        <item x="1111"/>
        <item x="6720"/>
        <item x="6851"/>
        <item x="1165"/>
        <item x="207"/>
        <item x="1296"/>
        <item x="6365"/>
        <item x="3465"/>
        <item x="532"/>
        <item x="1693"/>
        <item x="1229"/>
        <item x="3536"/>
        <item x="6367"/>
        <item x="2214"/>
        <item x="2981"/>
        <item x="472"/>
        <item x="3925"/>
        <item x="6904"/>
        <item x="2317"/>
        <item x="4396"/>
        <item x="737"/>
        <item x="6541"/>
        <item x="3768"/>
        <item x="5406"/>
        <item x="4725"/>
        <item x="6782"/>
        <item x="5601"/>
        <item x="1744"/>
        <item x="3037"/>
        <item x="2466"/>
        <item x="5963"/>
        <item x="4069"/>
        <item x="5096"/>
        <item x="4017"/>
        <item x="5516"/>
        <item x="3976"/>
        <item x="5282"/>
        <item x="3339"/>
        <item x="3774"/>
        <item x="3499"/>
        <item x="3293"/>
        <item x="4846"/>
        <item x="1090"/>
        <item x="542"/>
        <item x="339"/>
        <item x="2143"/>
        <item x="3156"/>
        <item x="5551"/>
        <item x="1171"/>
        <item x="209"/>
        <item x="1832"/>
        <item x="550"/>
        <item x="1028"/>
        <item x="3662"/>
        <item x="6503"/>
        <item x="6273"/>
        <item x="4857"/>
        <item x="5917"/>
        <item x="3862"/>
        <item x="2444"/>
        <item x="5040"/>
        <item x="5997"/>
        <item x="4830"/>
        <item x="5816"/>
        <item x="3362"/>
        <item x="1631"/>
        <item x="5735"/>
        <item x="1207"/>
        <item x="994"/>
        <item x="5050"/>
        <item x="2131"/>
        <item x="5104"/>
        <item x="4861"/>
        <item x="4544"/>
        <item x="4562"/>
        <item x="6671"/>
        <item x="6978"/>
        <item x="2140"/>
        <item x="2233"/>
        <item x="4887"/>
        <item x="6656"/>
        <item x="3989"/>
        <item x="3861"/>
        <item x="6058"/>
        <item x="5080"/>
        <item x="2246"/>
        <item x="6883"/>
        <item x="2865"/>
        <item x="5018"/>
        <item x="3012"/>
        <item x="530"/>
        <item x="3295"/>
        <item x="3036"/>
        <item x="3188"/>
        <item x="5252"/>
        <item x="751"/>
        <item x="5939"/>
        <item x="5774"/>
        <item x="5753"/>
        <item x="6411"/>
        <item x="582"/>
        <item x="6550"/>
        <item x="2919"/>
        <item x="6395"/>
        <item x="2763"/>
        <item x="1142"/>
        <item x="4305"/>
        <item x="5745"/>
        <item x="3122"/>
        <item x="1562"/>
        <item x="4980"/>
        <item x="6667"/>
        <item x="1666"/>
        <item x="6528"/>
        <item x="6651"/>
        <item x="1998"/>
        <item x="5314"/>
        <item x="679"/>
        <item x="4933"/>
        <item x="799"/>
        <item x="6915"/>
        <item x="6"/>
        <item x="6216"/>
        <item x="459"/>
        <item x="1017"/>
        <item x="4083"/>
        <item x="4319"/>
        <item x="5894"/>
        <item x="4445"/>
        <item x="703"/>
        <item x="1115"/>
        <item x="5348"/>
        <item x="2281"/>
        <item x="6625"/>
        <item x="2429"/>
        <item x="6074"/>
        <item x="3777"/>
        <item x="5307"/>
        <item x="7005"/>
        <item x="5981"/>
        <item x="3380"/>
        <item x="2442"/>
        <item x="1628"/>
        <item x="464"/>
        <item x="5834"/>
        <item x="2969"/>
        <item x="4381"/>
        <item x="4028"/>
        <item x="2020"/>
        <item x="6760"/>
        <item x="5566"/>
        <item x="2006"/>
        <item x="5606"/>
        <item x="4581"/>
        <item x="6210"/>
        <item x="1637"/>
        <item x="3010"/>
        <item x="3597"/>
        <item x="4983"/>
        <item x="4278"/>
        <item x="3789"/>
        <item x="3332"/>
        <item x="4343"/>
        <item x="6536"/>
        <item x="5966"/>
        <item x="699"/>
        <item x="5247"/>
        <item x="3535"/>
        <item x="5831"/>
        <item x="6362"/>
        <item x="684"/>
        <item x="3247"/>
        <item x="5762"/>
        <item x="4717"/>
        <item x="1231"/>
        <item x="4412"/>
        <item x="6881"/>
        <item x="3659"/>
        <item x="3741"/>
        <item x="6556"/>
        <item x="2601"/>
        <item x="3042"/>
        <item x="2337"/>
        <item x="3595"/>
        <item x="2486"/>
        <item x="6029"/>
        <item x="5795"/>
        <item x="312"/>
        <item x="3933"/>
        <item x="5034"/>
        <item x="294"/>
        <item x="2859"/>
        <item x="6942"/>
        <item x="4891"/>
        <item x="4233"/>
        <item x="3541"/>
        <item x="1780"/>
        <item x="2683"/>
        <item x="1429"/>
        <item x="869"/>
        <item x="4107"/>
        <item x="2814"/>
        <item x="5645"/>
        <item x="6312"/>
        <item x="1188"/>
        <item x="5723"/>
        <item x="4749"/>
        <item x="2260"/>
        <item x="6188"/>
        <item x="2277"/>
        <item x="722"/>
        <item x="6748"/>
        <item x="2960"/>
        <item x="3619"/>
        <item x="2489"/>
        <item x="6771"/>
        <item x="5423"/>
        <item x="6296"/>
        <item x="3078"/>
        <item x="6208"/>
        <item x="4821"/>
        <item x="5061"/>
        <item x="4443"/>
        <item x="1848"/>
        <item x="3022"/>
        <item x="1219"/>
        <item x="4448"/>
        <item x="1450"/>
        <item x="4776"/>
        <item x="2407"/>
        <item x="3556"/>
        <item x="1054"/>
        <item x="3409"/>
        <item x="644"/>
        <item x="4945"/>
        <item x="5896"/>
        <item x="4054"/>
        <item x="743"/>
        <item x="6532"/>
        <item x="5887"/>
        <item x="1887"/>
        <item x="3323"/>
        <item x="1137"/>
        <item x="1168"/>
        <item x="3391"/>
        <item x="5068"/>
        <item x="1519"/>
        <item x="2173"/>
        <item x="55"/>
        <item x="2897"/>
        <item x="6162"/>
        <item x="5579"/>
        <item x="1308"/>
        <item x="1811"/>
        <item x="3058"/>
        <item x="1432"/>
        <item x="3561"/>
        <item x="5187"/>
        <item x="4763"/>
        <item x="152"/>
        <item x="21"/>
        <item x="4744"/>
        <item x="6977"/>
        <item x="7002"/>
        <item x="4150"/>
        <item x="4016"/>
        <item x="1228"/>
        <item x="6035"/>
        <item x="5442"/>
        <item x="1687"/>
        <item x="1373"/>
        <item x="2696"/>
        <item x="5796"/>
        <item x="3427"/>
        <item x="7010"/>
        <item x="4991"/>
        <item x="2825"/>
        <item x="1708"/>
        <item x="3524"/>
        <item x="4361"/>
        <item x="6646"/>
        <item x="5578"/>
        <item x="387"/>
        <item x="5877"/>
        <item x="597"/>
        <item x="5515"/>
        <item x="5771"/>
        <item x="3667"/>
        <item x="2736"/>
        <item x="6829"/>
        <item x="3782"/>
        <item x="1315"/>
        <item x="3043"/>
        <item x="1494"/>
        <item x="3927"/>
        <item x="1059"/>
        <item x="3566"/>
        <item x="3984"/>
        <item x="3852"/>
        <item x="2885"/>
        <item x="4598"/>
        <item x="1445"/>
        <item x="2460"/>
        <item x="4592"/>
        <item x="175"/>
        <item x="5063"/>
        <item x="6897"/>
        <item x="1078"/>
        <item x="5811"/>
        <item x="6745"/>
        <item x="3907"/>
        <item x="5223"/>
        <item x="5494"/>
        <item x="6777"/>
        <item x="3025"/>
        <item x="6523"/>
        <item x="2139"/>
        <item x="870"/>
        <item x="701"/>
        <item x="1032"/>
        <item x="3839"/>
        <item x="4188"/>
        <item x="1330"/>
        <item x="1499"/>
        <item x="3634"/>
        <item x="631"/>
        <item x="2500"/>
        <item x="3075"/>
        <item x="1131"/>
        <item x="3064"/>
        <item x="2152"/>
        <item x="6702"/>
        <item x="2600"/>
        <item x="4660"/>
        <item x="4405"/>
        <item x="5594"/>
        <item x="6504"/>
        <item x="3017"/>
        <item x="1750"/>
        <item x="5500"/>
        <item x="3063"/>
        <item x="2759"/>
        <item x="2247"/>
        <item x="5686"/>
        <item x="3759"/>
        <item x="3172"/>
        <item x="3747"/>
        <item x="5772"/>
        <item x="4625"/>
        <item x="807"/>
        <item x="2425"/>
        <item x="1408"/>
        <item x="5919"/>
        <item x="5436"/>
        <item x="5435"/>
        <item x="3815"/>
        <item x="4591"/>
        <item x="3160"/>
        <item x="3416"/>
        <item x="1370"/>
        <item x="1823"/>
        <item x="5916"/>
        <item x="5201"/>
        <item x="6342"/>
        <item x="3283"/>
        <item x="1919"/>
        <item x="2822"/>
        <item x="2361"/>
        <item x="5021"/>
        <item x="2550"/>
        <item x="4399"/>
        <item x="2061"/>
        <item x="4622"/>
        <item x="717"/>
        <item x="4632"/>
        <item x="3360"/>
        <item x="2669"/>
        <item x="87"/>
        <item x="4975"/>
        <item x="4557"/>
        <item x="1303"/>
        <item x="1460"/>
        <item x="3769"/>
        <item x="2718"/>
        <item x="4995"/>
        <item x="3096"/>
        <item x="6019"/>
        <item x="2671"/>
        <item x="171"/>
        <item x="3428"/>
        <item x="2992"/>
        <item x="72"/>
        <item x="5702"/>
        <item x="759"/>
        <item x="2167"/>
        <item x="2846"/>
        <item x="4584"/>
        <item x="3089"/>
        <item x="1627"/>
        <item x="5186"/>
        <item x="6964"/>
        <item x="4165"/>
        <item x="908"/>
        <item x="1314"/>
        <item x="444"/>
        <item x="4055"/>
        <item x="1038"/>
        <item x="184"/>
        <item x="4095"/>
        <item x="1510"/>
        <item x="1513"/>
        <item x="3607"/>
        <item x="6645"/>
        <item x="2504"/>
        <item x="1810"/>
        <item x="4696"/>
        <item x="6322"/>
        <item x="4377"/>
        <item x="2923"/>
        <item x="6846"/>
        <item x="6227"/>
        <item x="1387"/>
        <item x="1334"/>
        <item x="5304"/>
        <item x="2914"/>
        <item x="6346"/>
        <item x="868"/>
        <item x="5298"/>
        <item x="2697"/>
        <item x="4522"/>
        <item x="264"/>
        <item x="1897"/>
        <item x="6375"/>
        <item x="4347"/>
        <item x="6887"/>
        <item x="1721"/>
        <item x="6732"/>
        <item x="1975"/>
        <item x="6509"/>
        <item x="6379"/>
        <item x="1928"/>
        <item x="5897"/>
        <item x="3720"/>
        <item x="1399"/>
        <item x="1606"/>
        <item x="5758"/>
        <item x="5902"/>
        <item x="5489"/>
        <item x="6248"/>
        <item x="6997"/>
        <item x="5237"/>
        <item x="552"/>
        <item x="5688"/>
        <item x="234"/>
        <item x="2798"/>
        <item x="4672"/>
        <item x="4964"/>
        <item x="998"/>
        <item x="3639"/>
        <item x="414"/>
        <item x="5577"/>
        <item x="2530"/>
        <item x="3440"/>
        <item x="4441"/>
        <item x="602"/>
        <item x="2832"/>
        <item x="1570"/>
        <item x="2856"/>
        <item x="6817"/>
        <item x="1768"/>
        <item x="2639"/>
        <item x="4509"/>
        <item x="4501"/>
        <item x="2144"/>
        <item x="1337"/>
        <item x="3865"/>
        <item x="1924"/>
        <item x="3950"/>
        <item x="2142"/>
        <item x="650"/>
        <item x="6827"/>
        <item x="1249"/>
        <item x="6692"/>
        <item x="5257"/>
        <item x="2289"/>
        <item x="6021"/>
        <item x="4184"/>
        <item x="6796"/>
        <item x="4204"/>
        <item x="346"/>
        <item x="4450"/>
        <item x="772"/>
        <item x="2047"/>
        <item x="2168"/>
        <item x="6642"/>
        <item x="1879"/>
        <item x="218"/>
        <item x="794"/>
        <item x="1224"/>
        <item x="1730"/>
        <item x="3288"/>
        <item x="5510"/>
        <item x="3551"/>
        <item x="5952"/>
        <item x="2534"/>
        <item x="2252"/>
        <item x="4921"/>
        <item x="4843"/>
        <item x="425"/>
        <item x="5230"/>
        <item x="1748"/>
        <item x="4385"/>
        <item x="1657"/>
        <item x="6715"/>
        <item x="3008"/>
        <item x="4996"/>
        <item x="6713"/>
        <item x="177"/>
        <item x="1806"/>
        <item x="4746"/>
        <item x="5009"/>
        <item x="1055"/>
        <item x="4541"/>
        <item x="551"/>
        <item x="6939"/>
        <item x="636"/>
        <item x="5830"/>
        <item x="6419"/>
        <item x="5179"/>
        <item x="5984"/>
        <item x="282"/>
        <item x="6329"/>
        <item x="1714"/>
        <item x="5306"/>
        <item x="5292"/>
        <item x="1807"/>
        <item x="658"/>
        <item x="5626"/>
        <item x="337"/>
        <item x="1532"/>
        <item x="4645"/>
        <item x="4285"/>
        <item x="6421"/>
        <item x="6217"/>
        <item x="6477"/>
        <item x="6390"/>
        <item x="3703"/>
        <item x="4580"/>
        <item x="3636"/>
        <item x="6622"/>
        <item x="6988"/>
        <item x="3402"/>
        <item x="1071"/>
        <item x="4286"/>
        <item x="2899"/>
        <item x="1236"/>
        <item x="4256"/>
        <item x="3113"/>
        <item x="5864"/>
        <item x="884"/>
        <item x="1920"/>
        <item x="4037"/>
        <item x="3763"/>
        <item x="6872"/>
        <item x="2283"/>
        <item x="147"/>
        <item x="5522"/>
        <item x="5873"/>
        <item x="3900"/>
        <item x="3074"/>
        <item x="2465"/>
        <item x="5286"/>
        <item x="6740"/>
        <item x="194"/>
        <item x="2667"/>
        <item x="4234"/>
        <item x="3685"/>
        <item x="2096"/>
        <item x="4524"/>
        <item x="1772"/>
        <item x="4248"/>
        <item x="6555"/>
        <item x="3007"/>
        <item x="5383"/>
        <item x="6639"/>
        <item x="3528"/>
        <item x="4263"/>
        <item x="6300"/>
        <item x="2435"/>
        <item x="3342"/>
        <item x="1108"/>
        <item x="3874"/>
        <item x="1796"/>
        <item x="6731"/>
        <item x="2912"/>
        <item x="432"/>
        <item x="4292"/>
        <item x="4304"/>
        <item x="2875"/>
        <item x="6562"/>
        <item x="2052"/>
        <item x="756"/>
        <item x="2094"/>
        <item x="4100"/>
        <item x="4718"/>
        <item x="4290"/>
        <item x="5986"/>
        <item x="5850"/>
        <item x="3315"/>
        <item x="2637"/>
        <item x="4960"/>
        <item x="4337"/>
        <item x="5934"/>
        <item x="785"/>
        <item x="3626"/>
        <item x="6437"/>
        <item x="2437"/>
        <item x="855"/>
        <item x="5449"/>
        <item x="2986"/>
        <item x="4797"/>
        <item x="1974"/>
        <item x="5487"/>
        <item x="1130"/>
        <item x="4126"/>
        <item x="2990"/>
        <item x="4587"/>
        <item x="2232"/>
        <item x="6901"/>
        <item x="3533"/>
        <item x="6161"/>
        <item x="3871"/>
        <item x="1240"/>
        <item x="5570"/>
        <item x="1252"/>
        <item x="3562"/>
        <item x="4282"/>
        <item x="6560"/>
        <item x="3291"/>
        <item x="2455"/>
        <item x="227"/>
        <item x="420"/>
        <item x="6448"/>
        <item x="2215"/>
        <item x="7028"/>
        <item x="7018"/>
        <item x="4079"/>
        <item x="3350"/>
        <item x="5915"/>
        <item x="5770"/>
        <item x="2988"/>
        <item x="1931"/>
        <item x="808"/>
        <item x="304"/>
        <item x="5284"/>
        <item x="1754"/>
        <item x="1547"/>
        <item x="2948"/>
        <item x="2758"/>
        <item x="2087"/>
        <item x="4552"/>
        <item x="5158"/>
        <item x="849"/>
        <item x="3155"/>
        <item x="3530"/>
        <item x="6719"/>
        <item x="6594"/>
        <item x="3654"/>
        <item x="3589"/>
        <item x="2595"/>
        <item x="4430"/>
        <item x="2839"/>
        <item x="2563"/>
        <item x="2321"/>
        <item x="897"/>
        <item x="6803"/>
        <item x="5559"/>
        <item x="1389"/>
        <item x="6698"/>
        <item x="1902"/>
        <item x="4926"/>
        <item x="70"/>
        <item x="6996"/>
        <item x="5471"/>
        <item x="692"/>
        <item x="400"/>
        <item x="1479"/>
        <item x="2845"/>
        <item x="4374"/>
        <item x="6197"/>
        <item x="5211"/>
        <item x="4785"/>
        <item x="3577"/>
        <item x="1340"/>
        <item x="1215"/>
        <item x="292"/>
        <item x="5866"/>
        <item x="5412"/>
        <item x="4867"/>
        <item x="5557"/>
        <item x="4961"/>
        <item x="4873"/>
        <item x="1770"/>
        <item x="5586"/>
        <item x="2985"/>
        <item x="823"/>
        <item x="6929"/>
        <item x="845"/>
        <item x="5625"/>
        <item x="435"/>
        <item x="5633"/>
        <item x="4865"/>
        <item x="317"/>
        <item x="6135"/>
        <item x="2738"/>
        <item x="675"/>
        <item x="5964"/>
        <item x="6006"/>
        <item x="5711"/>
        <item x="3827"/>
        <item x="6215"/>
        <item x="3522"/>
        <item x="3891"/>
        <item x="2491"/>
        <item x="6374"/>
        <item x="5846"/>
        <item x="6567"/>
        <item x="5590"/>
        <item x="6662"/>
        <item x="2695"/>
        <item x="6424"/>
        <item x="6343"/>
        <item x="1786"/>
        <item x="2733"/>
        <item x="1635"/>
        <item x="4181"/>
        <item x="4876"/>
        <item x="475"/>
        <item x="4997"/>
        <item x="4827"/>
        <item x="1901"/>
        <item x="1617"/>
        <item x="5374"/>
        <item x="6886"/>
        <item x="3670"/>
        <item x="3502"/>
        <item x="6750"/>
        <item x="4730"/>
        <item x="5649"/>
        <item x="2729"/>
        <item x="6920"/>
        <item x="134"/>
        <item x="1398"/>
        <item x="6164"/>
        <item x="6371"/>
        <item x="3256"/>
        <item x="5388"/>
        <item x="332"/>
        <item x="6718"/>
        <item x="853"/>
        <item x="5734"/>
        <item x="3085"/>
        <item x="3781"/>
        <item x="1603"/>
        <item x="1276"/>
        <item x="646"/>
        <item x="3737"/>
        <item x="583"/>
        <item x="2685"/>
        <item x="5741"/>
        <item x="6516"/>
        <item x="4575"/>
        <item x="3309"/>
        <item x="3868"/>
        <item x="5526"/>
        <item x="6930"/>
        <item x="6841"/>
        <item x="1264"/>
        <item x="2756"/>
        <item x="3092"/>
        <item x="1740"/>
        <item x="5799"/>
        <item x="91"/>
        <item x="5858"/>
        <item x="4186"/>
        <item x="1536"/>
        <item x="1959"/>
        <item x="3425"/>
        <item x="4588"/>
        <item x="2634"/>
        <item x="4040"/>
        <item x="4907"/>
        <item x="1625"/>
        <item x="2753"/>
        <item x="6206"/>
        <item x="6805"/>
        <item x="1139"/>
        <item x="2414"/>
        <item x="6945"/>
        <item x="2855"/>
        <item x="6697"/>
        <item x="3143"/>
        <item x="6572"/>
        <item x="2826"/>
        <item x="5418"/>
        <item x="5617"/>
        <item x="5598"/>
        <item x="1138"/>
        <item x="4623"/>
        <item x="4149"/>
        <item x="4109"/>
        <item x="2689"/>
        <item x="3127"/>
        <item x="627"/>
        <item x="191"/>
        <item x="6487"/>
        <item x="1791"/>
        <item x="513"/>
        <item x="4086"/>
        <item x="6446"/>
        <item x="4463"/>
        <item x="1436"/>
        <item x="694"/>
        <item x="5165"/>
        <item x="5433"/>
        <item x="2226"/>
        <item x="979"/>
        <item x="1923"/>
        <item x="1846"/>
        <item x="6409"/>
        <item x="2743"/>
        <item x="5251"/>
        <item x="5352"/>
        <item x="5309"/>
        <item x="744"/>
        <item x="557"/>
        <item x="214"/>
        <item x="2258"/>
        <item x="5445"/>
        <item x="5071"/>
        <item x="6709"/>
        <item x="6876"/>
        <item x="1755"/>
        <item x="2189"/>
        <item x="3367"/>
        <item x="6043"/>
        <item x="398"/>
        <item x="2423"/>
        <item x="1776"/>
        <item x="4601"/>
        <item x="736"/>
        <item x="3745"/>
        <item x="5672"/>
        <item x="6986"/>
        <item x="4031"/>
        <item x="2219"/>
        <item x="6281"/>
        <item x="2177"/>
        <item x="3797"/>
        <item x="4889"/>
        <item x="5305"/>
        <item x="2041"/>
        <item x="3963"/>
        <item x="4229"/>
        <item x="3340"/>
        <item x="995"/>
        <item x="2015"/>
        <item x="3515"/>
        <item x="2039"/>
        <item x="3480"/>
        <item x="546"/>
        <item x="3570"/>
        <item x="2146"/>
        <item x="3998"/>
        <item x="1357"/>
        <item x="4860"/>
        <item x="7026"/>
        <item x="2379"/>
        <item x="6214"/>
        <item x="2953"/>
        <item x="2310"/>
        <item x="6255"/>
        <item x="5329"/>
        <item x="6067"/>
        <item x="1641"/>
        <item x="4302"/>
        <item x="2457"/>
        <item x="1784"/>
        <item x="3663"/>
        <item x="1718"/>
        <item x="5390"/>
        <item x="3882"/>
        <item x="4362"/>
        <item x="1388"/>
        <item x="6909"/>
        <item x="5014"/>
        <item x="6459"/>
        <item x="3159"/>
        <item x="195"/>
        <item x="983"/>
        <item x="2924"/>
        <item x="5083"/>
        <item x="3999"/>
        <item x="4526"/>
        <item x="2672"/>
        <item x="2459"/>
        <item x="1263"/>
        <item x="3604"/>
        <item x="4938"/>
        <item x="5243"/>
        <item x="1284"/>
        <item x="2354"/>
        <item x="5513"/>
        <item x="5856"/>
        <item x="3600"/>
        <item x="1344"/>
        <item x="4934"/>
        <item x="2171"/>
        <item x="3957"/>
        <item x="1030"/>
        <item x="4258"/>
        <item x="2770"/>
        <item x="3296"/>
        <item x="2463"/>
        <item x="143"/>
        <item x="2338"/>
        <item x="129"/>
        <item x="578"/>
        <item x="2998"/>
        <item x="5806"/>
        <item x="4180"/>
        <item x="3739"/>
        <item x="4145"/>
        <item x="4101"/>
        <item x="230"/>
        <item x="555"/>
        <item x="176"/>
        <item x="3823"/>
        <item x="5574"/>
        <item x="5450"/>
        <item x="2199"/>
        <item x="1559"/>
        <item x="6250"/>
        <item x="3264"/>
        <item x="4814"/>
        <item x="4465"/>
        <item x="1489"/>
        <item x="2887"/>
        <item x="3454"/>
        <item x="6445"/>
        <item x="2290"/>
        <item x="2864"/>
        <item x="4435"/>
        <item x="831"/>
        <item x="75"/>
        <item x="4878"/>
        <item x="2952"/>
        <item x="4330"/>
        <item x="4043"/>
        <item x="5970"/>
        <item x="4353"/>
        <item x="6490"/>
        <item x="5481"/>
        <item x="5085"/>
        <item x="6385"/>
        <item x="693"/>
        <item x="4247"/>
        <item x="2343"/>
        <item x="727"/>
        <item x="6847"/>
        <item x="4065"/>
        <item x="5316"/>
        <item x="2774"/>
        <item x="935"/>
        <item x="1406"/>
        <item x="4268"/>
        <item x="4978"/>
        <item x="6328"/>
        <item x="5486"/>
        <item x="3371"/>
        <item x="4559"/>
        <item x="4318"/>
        <item x="3227"/>
        <item x="3303"/>
        <item x="5883"/>
        <item x="6807"/>
        <item x="2366"/>
        <item x="4118"/>
        <item x="6277"/>
        <item x="4920"/>
        <item x="4367"/>
        <item x="900"/>
        <item x="1578"/>
        <item x="6359"/>
        <item x="3625"/>
        <item x="5405"/>
        <item x="5998"/>
        <item x="5267"/>
        <item x="2649"/>
        <item x="5468"/>
        <item x="5950"/>
        <item x="603"/>
        <item x="865"/>
        <item x="6693"/>
        <item x="2151"/>
        <item x="329"/>
        <item x="3123"/>
        <item x="6733"/>
        <item x="2851"/>
        <item x="3431"/>
        <item x="4133"/>
        <item x="157"/>
        <item x="6937"/>
        <item x="728"/>
        <item x="2275"/>
        <item x="6515"/>
        <item x="6295"/>
        <item x="6928"/>
        <item x="1590"/>
        <item x="2913"/>
        <item x="2768"/>
        <item x="1798"/>
        <item x="3894"/>
        <item x="2319"/>
        <item x="4077"/>
        <item x="4732"/>
        <item x="1576"/>
        <item x="540"/>
        <item x="5363"/>
        <item x="1233"/>
        <item x="4284"/>
        <item x="2348"/>
        <item x="2783"/>
        <item x="6610"/>
        <item x="2623"/>
        <item x="1925"/>
        <item x="5202"/>
        <item x="88"/>
        <item x="1535"/>
        <item x="805"/>
        <item x="313"/>
        <item x="5483"/>
        <item x="3792"/>
        <item x="664"/>
        <item x="1913"/>
        <item x="611"/>
        <item x="5780"/>
        <item x="373"/>
        <item x="426"/>
        <item x="1669"/>
        <item x="2326"/>
        <item x="6431"/>
        <item x="6632"/>
        <item x="1503"/>
        <item x="6276"/>
        <item x="1610"/>
        <item x="1566"/>
        <item x="2965"/>
        <item x="3101"/>
        <item x="543"/>
        <item x="4264"/>
        <item x="5066"/>
        <item x="7014"/>
        <item x="4400"/>
        <item x="5654"/>
        <item x="957"/>
        <item x="678"/>
        <item x="3476"/>
        <item x="1045"/>
        <item x="4492"/>
        <item x="3459"/>
        <item x="6659"/>
        <item x="4681"/>
        <item x="1245"/>
        <item x="6514"/>
        <item x="972"/>
        <item x="3173"/>
        <item x="3715"/>
        <item x="318"/>
        <item x="3678"/>
        <item x="6218"/>
        <item x="6966"/>
        <item x="2943"/>
        <item x="1341"/>
        <item x="6357"/>
        <item x="109"/>
        <item x="1644"/>
        <item x="5244"/>
        <item x="4599"/>
        <item x="6545"/>
        <item x="6190"/>
        <item x="1002"/>
        <item x="3053"/>
        <item x="3968"/>
        <item x="5827"/>
        <item x="5941"/>
        <item x="378"/>
        <item x="581"/>
        <item x="541"/>
        <item x="6181"/>
        <item x="6185"/>
        <item x="6159"/>
        <item x="334"/>
        <item x="6361"/>
        <item x="4051"/>
        <item x="3269"/>
        <item x="130"/>
        <item x="4124"/>
        <item x="5592"/>
        <item x="4761"/>
        <item x="2172"/>
        <item x="3523"/>
        <item x="2546"/>
        <item x="1531"/>
        <item x="3366"/>
        <item x="2373"/>
        <item x="5259"/>
        <item x="1542"/>
        <item x="6016"/>
        <item x="5717"/>
        <item x="4602"/>
        <item x="6282"/>
        <item x="5506"/>
        <item x="5320"/>
        <item x="5668"/>
        <item x="3725"/>
        <item x="3870"/>
        <item x="6936"/>
        <item x="3645"/>
        <item x="3804"/>
        <item x="6906"/>
        <item x="5835"/>
        <item x="164"/>
        <item x="2236"/>
        <item x="5932"/>
        <item x="6475"/>
        <item x="5054"/>
        <item x="2097"/>
        <item x="3500"/>
        <item x="3140"/>
        <item x="3962"/>
        <item x="3478"/>
        <item x="1512"/>
        <item x="6890"/>
        <item x="6173"/>
        <item x="3730"/>
        <item x="5285"/>
        <item x="1596"/>
        <item x="121"/>
        <item x="2400"/>
        <item x="1619"/>
        <item x="3793"/>
        <item x="5926"/>
        <item x="4299"/>
        <item x="2161"/>
        <item x="2920"/>
        <item x="3615"/>
        <item x="1173"/>
        <item x="443"/>
        <item x="6260"/>
        <item x="3417"/>
        <item x="1442"/>
        <item x="1455"/>
        <item x="49"/>
        <item x="2081"/>
        <item x="5041"/>
        <item x="4695"/>
        <item x="5951"/>
        <item x="433"/>
        <item x="1443"/>
        <item x="1822"/>
        <item x="6037"/>
        <item x="3757"/>
        <item x="2973"/>
        <item x="4187"/>
        <item x="4756"/>
        <item x="1649"/>
        <item x="5865"/>
        <item x="5828"/>
        <item x="4135"/>
        <item x="4011"/>
        <item x="5833"/>
        <item x="2324"/>
        <item x="6387"/>
        <item x="395"/>
        <item x="6566"/>
        <item x="4322"/>
        <item x="5332"/>
        <item x="5117"/>
        <item x="5206"/>
        <item x="1521"/>
        <item x="4018"/>
        <item x="192"/>
        <item x="3735"/>
        <item x="6275"/>
        <item x="298"/>
        <item x="3985"/>
        <item x="4680"/>
        <item x="1630"/>
        <item x="6187"/>
        <item x="6867"/>
        <item x="4209"/>
        <item x="5533"/>
        <item x="5097"/>
        <item x="6428"/>
        <item x="465"/>
        <item x="6412"/>
        <item x="2797"/>
        <item x="5182"/>
        <item x="5462"/>
        <item x="624"/>
        <item x="6808"/>
        <item x="4127"/>
        <item x="4670"/>
        <item x="4609"/>
        <item x="797"/>
        <item x="4668"/>
        <item x="1520"/>
        <item x="707"/>
        <item x="89"/>
        <item x="4456"/>
        <item x="5177"/>
        <item x="1289"/>
        <item x="2135"/>
        <item x="5443"/>
        <item x="2644"/>
        <item x="842"/>
        <item x="1824"/>
        <item x="3152"/>
        <item x="661"/>
        <item x="5208"/>
        <item x="3596"/>
        <item x="6130"/>
        <item x="6298"/>
        <item x="2970"/>
        <item x="4056"/>
        <item x="1645"/>
        <item x="5273"/>
        <item x="873"/>
        <item x="4728"/>
        <item x="1217"/>
        <item x="6053"/>
        <item x="1763"/>
        <item x="5555"/>
        <item x="6386"/>
        <item x="6195"/>
        <item x="4417"/>
        <item x="2068"/>
        <item x="1866"/>
        <item x="6079"/>
        <item x="4225"/>
        <item x="403"/>
        <item x="1595"/>
        <item x="6140"/>
        <item x="1454"/>
        <item x="4831"/>
        <item x="1565"/>
        <item x="1372"/>
        <item x="115"/>
        <item x="2005"/>
        <item x="154"/>
        <item x="6947"/>
        <item x="4129"/>
        <item x="3218"/>
        <item x="1135"/>
        <item x="3726"/>
        <item x="1358"/>
        <item x="6885"/>
        <item x="4391"/>
        <item x="670"/>
        <item x="4731"/>
        <item x="6774"/>
        <item x="2025"/>
        <item x="5769"/>
        <item x="133"/>
        <item x="1607"/>
        <item x="6457"/>
        <item x="5648"/>
        <item x="1785"/>
        <item x="5713"/>
        <item x="3392"/>
        <item x="2589"/>
        <item x="2833"/>
        <item x="4958"/>
        <item x="1068"/>
        <item x="6082"/>
        <item x="2320"/>
        <item x="5905"/>
        <item x="826"/>
        <item x="2099"/>
        <item x="1286"/>
        <item x="2330"/>
        <item x="3908"/>
        <item x="6580"/>
        <item x="4484"/>
        <item x="4740"/>
        <item x="2256"/>
        <item x="1492"/>
        <item x="3859"/>
        <item x="2618"/>
        <item x="1394"/>
        <item x="1827"/>
        <item x="2520"/>
        <item x="4437"/>
        <item x="5375"/>
        <item x="767"/>
        <item x="802"/>
        <item x="1899"/>
        <item x="5324"/>
        <item x="3690"/>
        <item x="1764"/>
        <item x="4195"/>
        <item x="140"/>
        <item x="3115"/>
        <item x="3236"/>
        <item x="6158"/>
        <item x="4719"/>
        <item x="1129"/>
        <item x="966"/>
        <item x="4068"/>
        <item x="5818"/>
        <item x="1317"/>
        <item x="6302"/>
        <item x="4882"/>
        <item x="1371"/>
        <item x="1178"/>
        <item x="1220"/>
        <item x="2654"/>
        <item x="308"/>
        <item x="2881"/>
        <item x="68"/>
        <item x="5503"/>
        <item x="1838"/>
        <item x="801"/>
        <item x="6776"/>
        <item x="2072"/>
        <item x="4644"/>
        <item x="4451"/>
        <item x="277"/>
        <item x="4568"/>
        <item x="3128"/>
        <item x="7031"/>
        <item x="1551"/>
        <item x="1977"/>
        <item x="6127"/>
        <item x="6517"/>
        <item x="6877"/>
        <item x="4122"/>
        <item x="104"/>
        <item x="3660"/>
        <item x="1491"/>
        <item x="813"/>
        <item x="267"/>
        <item x="5809"/>
        <item x="1742"/>
        <item x="881"/>
        <item x="3504"/>
        <item x="2467"/>
        <item x="6583"/>
        <item x="2201"/>
        <item x="3602"/>
        <item x="3612"/>
        <item x="1440"/>
        <item x="2331"/>
        <item x="98"/>
        <item x="6345"/>
        <item x="4948"/>
        <item x="1912"/>
        <item x="1910"/>
        <item x="1558"/>
        <item x="6278"/>
        <item x="856"/>
        <item x="2561"/>
        <item x="5872"/>
        <item x="1298"/>
        <item x="2556"/>
        <item x="2559"/>
        <item x="996"/>
        <item x="5277"/>
        <item x="2957"/>
        <item x="5239"/>
        <item x="3621"/>
        <item x="4329"/>
        <item x="5653"/>
        <item x="1927"/>
        <item x="5019"/>
        <item x="6317"/>
        <item x="1356"/>
        <item x="2815"/>
        <item x="1437"/>
        <item x="1487"/>
        <item x="5044"/>
        <item x="6450"/>
        <item x="6125"/>
        <item x="3628"/>
        <item x="6394"/>
        <item x="6389"/>
        <item x="6764"/>
        <item x="2801"/>
        <item x="953"/>
        <item x="5048"/>
        <item x="6422"/>
        <item x="2569"/>
        <item x="3411"/>
        <item x="3956"/>
        <item x="2404"/>
        <item x="671"/>
        <item x="6256"/>
        <item x="1855"/>
        <item x="1704"/>
        <item x="986"/>
        <item x="253"/>
        <item x="1672"/>
        <item x="4296"/>
        <item x="4167"/>
        <item x="1563"/>
        <item x="5128"/>
        <item x="6222"/>
        <item x="2221"/>
        <item x="2652"/>
        <item x="5605"/>
        <item x="1647"/>
        <item x="6108"/>
        <item x="4036"/>
        <item x="2984"/>
        <item x="1110"/>
        <item x="5691"/>
        <item x="866"/>
        <item x="6631"/>
        <item x="6533"/>
        <item x="231"/>
        <item x="5275"/>
        <item x="6119"/>
        <item x="977"/>
        <item x="1898"/>
        <item x="3281"/>
        <item x="6617"/>
        <item x="5011"/>
        <item x="6331"/>
        <item x="2303"/>
        <item x="2446"/>
        <item x="5326"/>
        <item x="4049"/>
        <item x="1639"/>
        <item x="1378"/>
        <item x="2614"/>
        <item x="5241"/>
        <item x="4816"/>
        <item x="4360"/>
        <item x="2945"/>
        <item x="4097"/>
        <item x="3611"/>
        <item x="708"/>
        <item x="2917"/>
        <item x="5740"/>
        <item x="356"/>
        <item x="2609"/>
        <item x="2931"/>
        <item x="3006"/>
        <item x="1041"/>
        <item x="4897"/>
        <item x="202"/>
        <item x="6032"/>
        <item x="1987"/>
        <item x="5330"/>
        <item x="5837"/>
        <item x="4364"/>
        <item x="1304"/>
        <item x="2106"/>
        <item x="4384"/>
        <item x="5719"/>
        <item x="1608"/>
        <item x="5469"/>
        <item x="166"/>
        <item x="2237"/>
        <item x="6333"/>
        <item x="6063"/>
        <item x="2722"/>
        <item x="6579"/>
        <item x="4818"/>
        <item x="1105"/>
        <item x="2066"/>
        <item x="4663"/>
        <item x="5810"/>
        <item x="4432"/>
        <item x="6616"/>
        <item x="2235"/>
        <item x="5843"/>
        <item x="1605"/>
        <item x="4378"/>
        <item x="3077"/>
        <item x="1826"/>
        <item x="2941"/>
        <item x="5760"/>
        <item x="6341"/>
        <item x="5860"/>
        <item x="67"/>
        <item x="6634"/>
        <item x="34"/>
        <item x="6175"/>
        <item x="2375"/>
        <item x="4052"/>
        <item x="6200"/>
        <item x="608"/>
        <item x="4908"/>
        <item x="2231"/>
        <item x="6279"/>
        <item x="5803"/>
        <item x="1018"/>
        <item x="4061"/>
        <item x="1983"/>
        <item x="2715"/>
        <item x="6154"/>
        <item x="6238"/>
        <item x="4528"/>
        <item x="965"/>
        <item x="6527"/>
        <item x="4589"/>
        <item x="3966"/>
        <item x="789"/>
        <item x="168"/>
        <item x="4940"/>
        <item x="2351"/>
        <item x="6340"/>
        <item x="1125"/>
        <item x="1275"/>
        <item x="4117"/>
        <item x="6859"/>
        <item x="3785"/>
        <item x="6931"/>
        <item x="3181"/>
        <item x="5455"/>
        <item x="6001"/>
        <item x="5988"/>
        <item x="149"/>
        <item x="6384"/>
        <item x="1888"/>
        <item x="6627"/>
        <item x="4170"/>
        <item x="2767"/>
        <item x="5155"/>
        <item x="6405"/>
        <item x="1451"/>
        <item x="3357"/>
        <item x="3210"/>
        <item x="515"/>
        <item x="4421"/>
        <item x="2077"/>
        <item x="1052"/>
        <item x="830"/>
        <item x="288"/>
        <item x="3729"/>
        <item x="2944"/>
        <item x="1874"/>
        <item x="2224"/>
        <item x="1414"/>
        <item x="1654"/>
        <item x="5783"/>
        <item x="2405"/>
        <item x="4512"/>
        <item x="1793"/>
        <item x="5184"/>
        <item x="6848"/>
        <item x="3434"/>
        <item x="648"/>
        <item x="1957"/>
        <item x="5204"/>
        <item x="5432"/>
        <item x="6468"/>
        <item x="2728"/>
        <item x="4219"/>
        <item x="369"/>
        <item x="2104"/>
        <item x="4888"/>
        <item x="5333"/>
        <item x="1141"/>
        <item x="879"/>
        <item x="3192"/>
        <item x="1042"/>
        <item x="4380"/>
        <item x="5006"/>
        <item x="3381"/>
        <item x="4500"/>
        <item x="1624"/>
        <item x="1816"/>
        <item x="3762"/>
        <item x="1845"/>
        <item x="5871"/>
        <item x="4643"/>
        <item x="6784"/>
        <item x="6234"/>
        <item x="6701"/>
        <item x="2036"/>
        <item x="2547"/>
        <item x="5884"/>
        <item x="2638"/>
        <item x="811"/>
        <item x="6429"/>
        <item x="489"/>
        <item x="4710"/>
        <item x="4988"/>
        <item x="5413"/>
        <item x="6091"/>
        <item x="5665"/>
        <item x="1865"/>
        <item x="5163"/>
        <item x="3223"/>
        <item x="1393"/>
        <item x="3616"/>
        <item x="4752"/>
        <item x="5793"/>
        <item x="526"/>
        <item x="2272"/>
        <item x="2762"/>
        <item x="4267"/>
        <item x="439"/>
        <item x="5736"/>
        <item x="549"/>
        <item x="289"/>
        <item x="471"/>
        <item x="364"/>
        <item x="1604"/>
        <item x="6980"/>
        <item x="5976"/>
        <item x="6347"/>
        <item x="6660"/>
        <item x="5219"/>
        <item x="6728"/>
        <item x="2705"/>
        <item x="3212"/>
        <item x="4595"/>
        <item x="3837"/>
        <item x="390"/>
        <item x="2223"/>
        <item x="3652"/>
        <item x="7020"/>
        <item x="4457"/>
        <item x="261"/>
        <item x="3529"/>
        <item x="2526"/>
        <item x="2860"/>
        <item x="3819"/>
        <item x="3805"/>
        <item x="6553"/>
        <item x="4403"/>
        <item x="3353"/>
        <item x="6142"/>
        <item x="580"/>
        <item x="3144"/>
        <item x="3249"/>
        <item x="4503"/>
        <item x="6823"/>
        <item x="3723"/>
        <item x="2821"/>
        <item x="1890"/>
        <item x="23"/>
        <item x="4428"/>
        <item x="6769"/>
        <item x="5947"/>
        <item x="3369"/>
        <item x="5280"/>
        <item x="824"/>
        <item x="6474"/>
        <item x="199"/>
        <item x="4750"/>
        <item x="4679"/>
        <item x="6938"/>
        <item x="487"/>
        <item x="6400"/>
        <item x="5002"/>
        <item x="15"/>
        <item x="3590"/>
        <item x="4007"/>
        <item x="3356"/>
        <item x="1749"/>
        <item x="6689"/>
        <item x="4162"/>
        <item x="3238"/>
        <item x="2"/>
        <item x="4941"/>
        <item x="1847"/>
        <item x="1762"/>
        <item x="863"/>
        <item x="5169"/>
        <item x="3850"/>
        <item x="254"/>
        <item x="3038"/>
        <item x="4038"/>
        <item x="3498"/>
        <item x="101"/>
        <item x="4619"/>
        <item x="4936"/>
        <item x="4206"/>
        <item x="6439"/>
        <item x="4858"/>
        <item x="2183"/>
        <item x="3958"/>
        <item x="2415"/>
        <item x="3202"/>
        <item x="3194"/>
        <item x="1117"/>
        <item x="561"/>
        <item x="4932"/>
        <item x="5482"/>
        <item x="1525"/>
        <item x="6652"/>
        <item x="5078"/>
        <item x="6241"/>
        <item x="2505"/>
        <item x="4316"/>
        <item x="4560"/>
        <item x="179"/>
        <item x="4480"/>
        <item x="45"/>
        <item x="4398"/>
        <item x="3676"/>
        <item x="4429"/>
        <item x="558"/>
        <item x="3237"/>
        <item x="4795"/>
        <item x="1376"/>
        <item x="984"/>
        <item x="6169"/>
        <item x="4901"/>
        <item x="4854"/>
        <item x="5973"/>
        <item x="3174"/>
        <item x="2392"/>
        <item x="1961"/>
        <item x="3704"/>
        <item x="4119"/>
        <item x="6126"/>
        <item x="4003"/>
        <item x="5137"/>
        <item x="291"/>
        <item x="5993"/>
        <item x="674"/>
        <item x="1332"/>
        <item x="5403"/>
        <item x="6695"/>
        <item x="6318"/>
        <item x="4183"/>
        <item x="1953"/>
        <item x="3438"/>
        <item x="4288"/>
        <item x="2105"/>
        <item x="5055"/>
        <item x="3185"/>
        <item x="3521"/>
        <item x="1015"/>
        <item x="4548"/>
        <item x="2587"/>
        <item x="1904"/>
        <item x="6247"/>
        <item x="6012"/>
        <item x="2027"/>
        <item x="4334"/>
        <item x="5493"/>
        <item x="3470"/>
        <item x="2374"/>
        <item x="776"/>
        <item x="1656"/>
        <item x="2807"/>
        <item x="1937"/>
        <item x="4893"/>
        <item x="1581"/>
        <item x="6707"/>
        <item x="1738"/>
        <item x="2982"/>
        <item x="2387"/>
        <item x="137"/>
        <item x="5178"/>
        <item x="6380"/>
        <item x="2022"/>
        <item x="5994"/>
        <item x="476"/>
        <item x="150"/>
        <item x="3505"/>
        <item x="5696"/>
        <item x="3879"/>
        <item x="2378"/>
        <item x="4683"/>
        <item x="1355"/>
        <item x="1539"/>
        <item x="6557"/>
        <item x="1692"/>
        <item x="4597"/>
        <item x="5138"/>
        <item x="6065"/>
        <item x="6663"/>
        <item x="5591"/>
        <item x="1061"/>
        <item x="2999"/>
        <item x="5531"/>
        <item x="889"/>
        <item x="2082"/>
        <item x="4349"/>
        <item x="4788"/>
        <item x="796"/>
        <item x="286"/>
        <item x="3200"/>
        <item x="5354"/>
        <item x="463"/>
        <item x="3695"/>
        <item x="1609"/>
        <item x="4266"/>
        <item x="3938"/>
        <item x="5174"/>
        <item x="3885"/>
        <item x="6106"/>
        <item x="3456"/>
        <item x="4140"/>
        <item x="1335"/>
        <item x="5673"/>
        <item x="30"/>
        <item x="992"/>
        <item x="5953"/>
        <item x="6149"/>
        <item x="1048"/>
        <item x="4080"/>
        <item x="5124"/>
        <item x="3081"/>
        <item x="6759"/>
        <item x="1994"/>
        <item x="5225"/>
        <item x="667"/>
        <item x="1012"/>
        <item x="5512"/>
        <item x="3005"/>
        <item x="910"/>
        <item x="3359"/>
        <item x="6410"/>
        <item x="3314"/>
        <item x="2292"/>
        <item x="1417"/>
        <item x="3910"/>
        <item x="5784"/>
        <item x="4475"/>
        <item x="151"/>
        <item x="1725"/>
        <item x="3627"/>
        <item x="3905"/>
        <item x="3131"/>
        <item x="4657"/>
        <item x="3883"/>
        <item x="79"/>
        <item x="3119"/>
        <item x="3234"/>
        <item x="4424"/>
        <item x="3351"/>
        <item x="4789"/>
        <item x="2416"/>
        <item x="6123"/>
        <item x="3214"/>
        <item x="6569"/>
        <item x="4928"/>
        <item x="770"/>
        <item x="3266"/>
        <item x="1759"/>
        <item x="2788"/>
        <item x="880"/>
        <item x="6538"/>
        <item x="1325"/>
        <item x="3091"/>
        <item x="5604"/>
        <item x="3316"/>
        <item x="6946"/>
        <item x="5996"/>
        <item x="1185"/>
        <item x="6052"/>
        <item x="3026"/>
        <item x="6888"/>
        <item x="6417"/>
        <item x="1198"/>
        <item x="128"/>
        <item x="3830"/>
        <item x="4593"/>
        <item x="2084"/>
        <item x="4516"/>
        <item x="423"/>
        <item x="5389"/>
        <item x="6570"/>
        <item x="1307"/>
        <item x="4956"/>
        <item x="6059"/>
        <item x="1871"/>
        <item x="1914"/>
        <item x="5683"/>
        <item x="2737"/>
        <item x="1960"/>
        <item x="4850"/>
        <item x="394"/>
        <item x="5027"/>
        <item x="914"/>
        <item x="4506"/>
        <item x="501"/>
        <item x="4900"/>
        <item x="58"/>
        <item x="1863"/>
        <item x="1741"/>
        <item x="746"/>
        <item x="6650"/>
        <item x="6291"/>
        <item x="4327"/>
        <item x="2579"/>
        <item x="5141"/>
        <item x="316"/>
        <item x="6975"/>
        <item x="2688"/>
        <item x="5210"/>
        <item x="1996"/>
        <item x="6668"/>
        <item x="2347"/>
        <item x="3468"/>
        <item x="4106"/>
        <item x="6133"/>
        <item x="6481"/>
        <item x="2940"/>
        <item x="2186"/>
        <item x="6762"/>
        <item x="1172"/>
        <item x="2166"/>
        <item x="4760"/>
        <item x="2824"/>
        <item x="6383"/>
        <item x="6382"/>
        <item x="4755"/>
        <item x="955"/>
        <item x="6048"/>
        <item x="2876"/>
        <item x="4002"/>
        <item x="4701"/>
        <item x="6137"/>
        <item x="2130"/>
        <item x="6723"/>
        <item x="5444"/>
        <item x="6270"/>
        <item x="758"/>
        <item x="4323"/>
        <item x="3219"/>
        <item x="2780"/>
        <item x="4654"/>
        <item x="742"/>
        <item x="6640"/>
        <item x="2158"/>
        <item x="6287"/>
        <item x="6083"/>
        <item x="1044"/>
        <item x="4216"/>
        <item x="1251"/>
        <item x="3208"/>
        <item x="3834"/>
        <item x="3650"/>
        <item x="5364"/>
        <item x="5401"/>
        <item x="4029"/>
        <item x="2284"/>
        <item x="5766"/>
        <item x="618"/>
        <item x="5218"/>
        <item x="2552"/>
        <item x="6488"/>
        <item x="3507"/>
        <item x="1010"/>
        <item x="5391"/>
        <item x="6860"/>
        <item x="5720"/>
        <item x="2568"/>
        <item x="250"/>
        <item x="6157"/>
        <item x="4508"/>
        <item x="6828"/>
        <item x="6042"/>
        <item x="2138"/>
        <item x="915"/>
        <item x="44"/>
        <item x="141"/>
        <item x="1118"/>
        <item x="2391"/>
        <item x="3631"/>
        <item x="3435"/>
        <item x="6605"/>
        <item x="1155"/>
        <item x="4192"/>
        <item x="3878"/>
        <item x="309"/>
        <item x="5033"/>
        <item x="2334"/>
        <item x="5396"/>
        <item x="4025"/>
        <item x="1345"/>
        <item x="2816"/>
        <item x="473"/>
        <item x="4726"/>
        <item x="520"/>
        <item x="446"/>
        <item x="255"/>
        <item x="3418"/>
        <item x="6743"/>
        <item x="307"/>
        <item x="352"/>
        <item x="1840"/>
        <item x="4479"/>
        <item x="1716"/>
        <item x="5842"/>
        <item x="5130"/>
        <item x="1073"/>
        <item x="4279"/>
        <item x="2117"/>
        <item x="862"/>
        <item x="5120"/>
        <item x="6325"/>
        <item x="279"/>
        <item x="3265"/>
        <item x="6120"/>
        <item x="495"/>
        <item x="5053"/>
        <item x="2093"/>
        <item x="1745"/>
        <item x="2051"/>
        <item x="2112"/>
        <item x="2911"/>
        <item x="2747"/>
        <item x="2265"/>
        <item x="5008"/>
        <item x="1854"/>
        <item x="5794"/>
        <item x="1029"/>
        <item x="2858"/>
        <item x="1602"/>
        <item x="1102"/>
        <item x="653"/>
        <item x="5568"/>
        <item x="1652"/>
        <item x="411"/>
        <item x="6985"/>
        <item x="3412"/>
        <item x="3013"/>
        <item x="2987"/>
        <item x="817"/>
        <item x="4791"/>
        <item x="19"/>
        <item x="3255"/>
        <item x="1026"/>
        <item x="6510"/>
        <item x="6665"/>
        <item x="1255"/>
        <item x="5118"/>
        <item x="5159"/>
        <item x="1163"/>
        <item x="18"/>
        <item x="2666"/>
        <item x="5923"/>
        <item x="1788"/>
        <item x="1886"/>
        <item x="4325"/>
        <item x="1072"/>
        <item x="211"/>
        <item x="2184"/>
        <item x="6268"/>
        <item x="932"/>
        <item x="5730"/>
        <item x="3760"/>
        <item x="3318"/>
        <item x="947"/>
        <item x="3271"/>
        <item x="4713"/>
        <item x="2622"/>
        <item x="818"/>
        <item x="2137"/>
        <item x="4154"/>
        <item x="6105"/>
        <item x="3698"/>
        <item x="4207"/>
        <item x="4147"/>
        <item x="2700"/>
        <item x="3308"/>
        <item x="531"/>
        <item x="2720"/>
        <item x="3141"/>
        <item x="458"/>
        <item x="1544"/>
        <item x="1362"/>
        <item x="2323"/>
        <item x="3093"/>
        <item x="1626"/>
        <item x="3071"/>
        <item x="833"/>
        <item x="6007"/>
        <item x="5334"/>
        <item x="4014"/>
        <item x="4023"/>
        <item x="792"/>
        <item x="5345"/>
        <item x="5256"/>
        <item x="4715"/>
        <item x="2333"/>
        <item x="2523"/>
        <item x="5463"/>
        <item x="3788"/>
        <item x="5196"/>
        <item x="3294"/>
        <item x="4082"/>
        <item x="2681"/>
        <item x="1459"/>
        <item x="2202"/>
        <item x="806"/>
        <item x="4611"/>
        <item x="1368"/>
        <item x="5639"/>
        <item x="1208"/>
        <item x="5767"/>
        <item x="4196"/>
        <item x="3273"/>
        <item x="2714"/>
        <item x="4923"/>
        <item x="3395"/>
        <item x="5226"/>
        <item x="920"/>
        <item x="4338"/>
        <item x="2336"/>
        <item x="3810"/>
        <item x="2280"/>
        <item x="2412"/>
        <item x="6485"/>
        <item x="3525"/>
        <item x="2210"/>
        <item x="713"/>
        <item x="896"/>
        <item x="5878"/>
        <item x="3559"/>
        <item x="3527"/>
        <item x="1148"/>
        <item x="335"/>
        <item x="3272"/>
        <item x="6794"/>
        <item x="2603"/>
        <item x="3940"/>
        <item x="3244"/>
        <item x="5035"/>
        <item x="2651"/>
        <item x="4546"/>
        <item x="509"/>
        <item x="4013"/>
        <item x="822"/>
        <item x="2149"/>
        <item x="4608"/>
        <item x="6264"/>
        <item x="6700"/>
        <item x="6152"/>
        <item x="2111"/>
        <item x="5170"/>
        <item x="6470"/>
        <item x="5114"/>
        <item x="3941"/>
        <item x="4531"/>
        <item x="3206"/>
        <item x="428"/>
        <item x="2804"/>
        <item x="1074"/>
        <item x="2574"/>
        <item x="5808"/>
        <item x="2204"/>
        <item x="4340"/>
        <item x="5992"/>
        <item x="5677"/>
        <item x="4311"/>
        <item x="1979"/>
        <item x="2358"/>
        <item x="499"/>
        <item x="437"/>
        <item x="6166"/>
        <item x="958"/>
        <item x="6323"/>
        <item x="739"/>
        <item x="270"/>
        <item x="4202"/>
        <item x="1279"/>
        <item x="3920"/>
        <item x="2635"/>
        <item x="5613"/>
        <item x="5245"/>
        <item x="3191"/>
        <item x="4880"/>
        <item x="4197"/>
        <item x="5652"/>
        <item x="5554"/>
        <item x="4959"/>
        <item x="2918"/>
        <item x="1662"/>
        <item x="2775"/>
        <item x="126"/>
        <item x="6624"/>
        <item x="3744"/>
        <item x="2009"/>
        <item x="5475"/>
        <item x="1679"/>
        <item x="5628"/>
        <item x="1697"/>
        <item x="3743"/>
        <item x="1966"/>
        <item x="3100"/>
        <item x="4966"/>
        <item x="5943"/>
        <item x="477"/>
        <item x="4885"/>
        <item x="3675"/>
        <item x="6202"/>
        <item x="4123"/>
        <item x="1081"/>
        <item x="221"/>
        <item x="1956"/>
        <item x="85"/>
        <item x="2604"/>
        <item x="3429"/>
        <item x="1813"/>
        <item x="6397"/>
        <item x="5999"/>
        <item x="3554"/>
        <item x="2023"/>
        <item x="2734"/>
        <item x="5431"/>
        <item x="6056"/>
        <item x="6894"/>
        <item x="5615"/>
        <item x="657"/>
        <item x="3477"/>
        <item x="1191"/>
        <item x="4333"/>
        <item x="5642"/>
        <item x="1490"/>
        <item x="5676"/>
        <item x="6246"/>
        <item x="6655"/>
        <item x="4617"/>
        <item x="162"/>
        <item x="6008"/>
        <item x="3011"/>
        <item x="276"/>
        <item x="4949"/>
        <item x="6036"/>
        <item x="3603"/>
        <item x="6549"/>
        <item x="4289"/>
        <item x="3942"/>
        <item x="2229"/>
        <item x="6866"/>
        <item x="4871"/>
        <item x="6992"/>
        <item x="3880"/>
        <item x="3069"/>
        <item x="3946"/>
        <item x="5584"/>
        <item x="3420"/>
        <item x="1851"/>
        <item x="5851"/>
        <item x="500"/>
        <item x="1985"/>
        <item x="2829"/>
        <item x="3104"/>
        <item x="3877"/>
        <item x="244"/>
        <item x="1580"/>
        <item x="6073"/>
        <item x="1876"/>
        <item x="1230"/>
        <item x="2938"/>
        <item x="6684"/>
        <item x="2585"/>
        <item x="2257"/>
        <item x="4646"/>
        <item x="2665"/>
        <item x="6845"/>
        <item x="3347"/>
        <item x="3937"/>
        <item x="5698"/>
        <item x="1377"/>
        <item x="963"/>
        <item x="6461"/>
        <item x="1085"/>
        <item x="2101"/>
        <item x="4555"/>
        <item x="1882"/>
        <item x="5789"/>
        <item x="111"/>
        <item x="5863"/>
        <item x="2874"/>
        <item x="4174"/>
        <item x="628"/>
        <item x="3501"/>
        <item x="6316"/>
        <item x="2359"/>
        <item x="5253"/>
        <item x="5323"/>
        <item x="1319"/>
        <item x="1922"/>
        <item x="6686"/>
        <item x="1295"/>
        <item x="3132"/>
        <item x="585"/>
        <item x="2996"/>
        <item x="3867"/>
        <item x="355"/>
        <item x="3327"/>
        <item x="6599"/>
        <item x="3164"/>
        <item x="640"/>
        <item x="1034"/>
        <item x="5836"/>
        <item x="5751"/>
        <item x="4927"/>
        <item x="3378"/>
        <item x="1929"/>
        <item x="3949"/>
        <item x="2612"/>
        <item x="5539"/>
        <item x="6591"/>
        <item x="6781"/>
        <item x="4307"/>
        <item x="99"/>
        <item x="1267"/>
        <item x="4455"/>
        <item x="1093"/>
        <item x="4027"/>
        <item x="6441"/>
        <item x="2621"/>
        <item x="482"/>
        <item x="2332"/>
        <item x="5529"/>
        <item x="3751"/>
        <item x="3337"/>
        <item x="6924"/>
        <item x="5610"/>
        <item x="125"/>
        <item x="1915"/>
        <item x="5122"/>
        <item x="837"/>
        <item x="4542"/>
        <item x="2950"/>
        <item x="3825"/>
        <item x="6092"/>
        <item x="4121"/>
        <item x="5062"/>
        <item x="251"/>
        <item x="5490"/>
        <item x="5530"/>
        <item x="4115"/>
        <item x="3657"/>
        <item x="3568"/>
        <item x="2717"/>
        <item x="4413"/>
        <item x="6263"/>
        <item x="507"/>
        <item x="2719"/>
        <item x="469"/>
        <item x="5826"/>
        <item x="4213"/>
        <item x="2849"/>
        <item x="1092"/>
        <item x="3921"/>
        <item x="4982"/>
        <item x="163"/>
        <item x="3951"/>
        <item x="1424"/>
        <item x="349"/>
        <item x="4823"/>
        <item x="5563"/>
        <item x="1328"/>
        <item x="6593"/>
        <item x="4586"/>
        <item x="2664"/>
        <item x="1180"/>
        <item x="883"/>
        <item x="6613"/>
        <item x="4226"/>
        <item x="5576"/>
        <item x="54"/>
        <item x="6676"/>
        <item x="1331"/>
        <item x="43"/>
        <item x="1552"/>
        <item x="5960"/>
        <item x="2978"/>
        <item x="547"/>
        <item x="4048"/>
        <item x="781"/>
        <item x="3363"/>
        <item x="3485"/>
        <item x="3387"/>
        <item x="6265"/>
        <item x="4169"/>
        <item x="416"/>
        <item x="5739"/>
        <item x="1634"/>
        <item x="6949"/>
        <item x="2900"/>
        <item x="4467"/>
        <item x="906"/>
        <item x="1011"/>
        <item x="2179"/>
        <item x="719"/>
        <item x="6014"/>
        <item x="6089"/>
        <item x="6584"/>
        <item x="6319"/>
        <item x="2483"/>
        <item x="3031"/>
        <item x="4487"/>
        <item x="1970"/>
        <item x="1379"/>
        <item x="3518"/>
        <item x="2291"/>
        <item x="6806"/>
        <item x="2958"/>
        <item x="213"/>
        <item x="572"/>
        <item x="6916"/>
        <item x="5930"/>
        <item x="1097"/>
        <item x="5031"/>
        <item x="872"/>
        <item x="273"/>
        <item x="2464"/>
        <item x="3196"/>
        <item x="763"/>
        <item x="6180"/>
        <item x="460"/>
        <item x="1911"/>
        <item x="604"/>
        <item x="5346"/>
        <item x="6455"/>
        <item x="2647"/>
        <item x="4416"/>
        <item x="1274"/>
        <item x="4606"/>
        <item x="4939"/>
        <item x="1683"/>
        <item x="1667"/>
        <item x="4358"/>
        <item x="1257"/>
        <item x="406"/>
        <item x="3771"/>
        <item x="6958"/>
        <item x="6633"/>
        <item x="4425"/>
        <item x="2698"/>
        <item x="6033"/>
        <item x="931"/>
        <item x="1561"/>
        <item x="6492"/>
        <item x="6236"/>
        <item x="5108"/>
        <item x="2778"/>
        <item x="4624"/>
        <item x="1458"/>
        <item x="610"/>
        <item x="90"/>
        <item x="6017"/>
        <item x="2993"/>
        <item x="4919"/>
        <item x="5496"/>
        <item x="3970"/>
        <item x="6647"/>
        <item x="4365"/>
        <item x="1160"/>
        <item x="454"/>
        <item x="812"/>
        <item x="5875"/>
        <item x="5899"/>
        <item x="6177"/>
        <item x="1323"/>
        <item x="2018"/>
        <item x="858"/>
        <item x="3572"/>
        <item x="5669"/>
        <item x="3934"/>
        <item x="2295"/>
        <item x="408"/>
        <item x="7029"/>
        <item x="5154"/>
        <item x="3130"/>
        <item x="3897"/>
        <item x="4547"/>
        <item x="3403"/>
        <item x="3740"/>
        <item x="4458"/>
        <item x="7006"/>
        <item x="86"/>
        <item x="228"/>
        <item x="2296"/>
        <item x="5779"/>
        <item x="5030"/>
        <item x="2198"/>
        <item x="4989"/>
        <item x="1803"/>
        <item x="6630"/>
        <item x="5724"/>
        <item x="5737"/>
        <item x="3857"/>
        <item x="5600"/>
        <item x="3696"/>
        <item x="6099"/>
        <item x="3691"/>
        <item x="1273"/>
        <item x="4967"/>
        <item x="3110"/>
        <item x="1023"/>
        <item x="4136"/>
        <item x="922"/>
        <item x="4433"/>
        <item x="3230"/>
        <item x="2537"/>
        <item x="4111"/>
        <item x="2740"/>
        <item x="4977"/>
        <item x="3250"/>
        <item x="186"/>
        <item x="5045"/>
        <item x="1659"/>
        <item x="1058"/>
        <item x="2971"/>
        <item x="2813"/>
        <item x="2062"/>
        <item x="6129"/>
        <item x="1176"/>
        <item x="1676"/>
        <item x="3408"/>
        <item x="2628"/>
        <item x="3466"/>
        <item x="5867"/>
        <item x="113"/>
        <item x="6160"/>
        <item x="293"/>
        <item x="960"/>
        <item x="621"/>
        <item x="5961"/>
        <item x="809"/>
        <item x="1702"/>
        <item x="3406"/>
        <item x="4970"/>
        <item x="1411"/>
        <item x="4518"/>
        <item x="2772"/>
        <item x="6442"/>
        <item x="1035"/>
        <item x="5773"/>
        <item x="2045"/>
        <item x="4059"/>
        <item x="2646"/>
        <item x="4556"/>
        <item x="3705"/>
        <item x="2670"/>
        <item x="5067"/>
        <item x="1527"/>
        <item x="619"/>
        <item x="989"/>
        <item x="1040"/>
        <item x="2818"/>
        <item x="4582"/>
        <item x="6051"/>
        <item x="1935"/>
        <item x="6544"/>
        <item x="3137"/>
        <item x="3163"/>
        <item x="385"/>
        <item x="6018"/>
        <item x="2078"/>
        <item x="3290"/>
        <item x="4175"/>
        <item x="5113"/>
        <item x="6146"/>
        <item x="5882"/>
        <item x="1690"/>
        <item x="642"/>
        <item x="6592"/>
        <item x="4523"/>
        <item x="2572"/>
        <item x="1817"/>
        <item x="5465"/>
        <item x="637"/>
        <item x="4390"/>
        <item x="1700"/>
        <item x="3404"/>
        <item x="5351"/>
        <item x="6770"/>
        <item x="3860"/>
        <item x="6522"/>
        <item x="4442"/>
        <item x="6863"/>
        <item x="2514"/>
        <item x="5567"/>
        <item x="4590"/>
        <item x="31"/>
        <item x="3220"/>
        <item x="6795"/>
        <item x="470"/>
        <item x="5722"/>
        <item x="6172"/>
        <item x="1612"/>
        <item x="6669"/>
        <item x="5636"/>
        <item x="1301"/>
        <item x="3365"/>
        <item x="2300"/>
        <item x="4790"/>
        <item x="3732"/>
        <item x="725"/>
        <item x="3396"/>
        <item x="721"/>
        <item x="6576"/>
        <item x="6519"/>
        <item x="2251"/>
        <item x="681"/>
        <item x="2056"/>
        <item x="3778"/>
        <item x="258"/>
        <item x="3150"/>
        <item x="2305"/>
        <item x="5238"/>
        <item x="4935"/>
        <item x="4869"/>
        <item x="5824"/>
        <item x="3888"/>
        <item x="436"/>
        <item x="2328"/>
        <item x="5666"/>
        <item x="325"/>
        <item x="2642"/>
        <item x="5492"/>
        <item x="3489"/>
        <item x="6703"/>
        <item x="6629"/>
        <item x="784"/>
        <item x="3700"/>
        <item x="4905"/>
        <item x="5416"/>
        <item x="1632"/>
        <item x="968"/>
        <item x="6267"/>
        <item x="2185"/>
        <item x="4493"/>
        <item x="6136"/>
        <item x="6539"/>
        <item x="2785"/>
        <item x="1496"/>
        <item x="1568"/>
        <item x="3313"/>
        <item x="625"/>
        <item x="4231"/>
        <item x="4356"/>
        <item x="5209"/>
        <item x="5059"/>
        <item x="3513"/>
        <item x="320"/>
        <item x="6315"/>
        <item x="6814"/>
        <item x="6013"/>
        <item x="2857"/>
        <item x="1290"/>
        <item x="315"/>
        <item x="2624"/>
        <item x="5620"/>
        <item x="4638"/>
        <item x="5331"/>
        <item x="1622"/>
        <item x="1482"/>
        <item x="3102"/>
        <item x="2160"/>
        <item x="3319"/>
        <item x="5514"/>
        <item x="3171"/>
        <item x="259"/>
        <item x="1665"/>
        <item x="5729"/>
        <item x="4153"/>
        <item x="3080"/>
        <item x="1948"/>
        <item x="4098"/>
        <item x="5825"/>
        <item x="3103"/>
        <item x="5674"/>
        <item x="5393"/>
        <item x="6838"/>
        <item x="4422"/>
        <item x="3531"/>
        <item x="5583"/>
        <item x="6249"/>
        <item x="1471"/>
        <item x="2350"/>
        <item x="57"/>
        <item x="1534"/>
        <item x="4716"/>
        <item x="871"/>
        <item x="2732"/>
        <item x="4471"/>
        <item x="688"/>
        <item x="3133"/>
        <item x="6066"/>
        <item x="6432"/>
        <item x="5556"/>
        <item x="5552"/>
        <item x="3842"/>
        <item x="6661"/>
        <item x="1774"/>
        <item x="4894"/>
        <item x="5855"/>
        <item x="6015"/>
        <item x="1271"/>
        <item x="629"/>
        <item x="2356"/>
        <item x="4223"/>
        <item x="1964"/>
        <item x="5240"/>
        <item x="6754"/>
        <item x="4943"/>
        <item x="3046"/>
        <item x="5385"/>
        <item x="6075"/>
        <item x="6402"/>
        <item x="4160"/>
        <item x="65"/>
        <item x="5392"/>
        <item x="782"/>
        <item x="6884"/>
        <item x="1577"/>
        <item x="1869"/>
        <item x="14"/>
        <item x="2558"/>
        <item x="6965"/>
        <item x="2942"/>
        <item x="3060"/>
        <item x="2707"/>
        <item x="4829"/>
        <item x="5733"/>
        <item x="6502"/>
        <item x="6908"/>
        <item x="2388"/>
        <item x="1722"/>
        <item x="741"/>
        <item x="2658"/>
        <item x="2395"/>
        <item x="5350"/>
        <item x="5629"/>
        <item x="5908"/>
        <item x="3300"/>
        <item x="928"/>
        <item x="6856"/>
        <item x="622"/>
        <item x="3162"/>
        <item x="456"/>
        <item x="1805"/>
        <item x="917"/>
        <item x="3154"/>
        <item x="575"/>
        <item x="3047"/>
        <item x="4239"/>
        <item x="2060"/>
        <item x="3939"/>
        <item x="2010"/>
        <item x="2380"/>
        <item x="1311"/>
        <item x="2156"/>
        <item x="351"/>
        <item x="4240"/>
        <item x="6680"/>
        <item x="5958"/>
        <item x="383"/>
        <item x="483"/>
        <item x="448"/>
        <item x="882"/>
        <item x="3553"/>
        <item x="596"/>
        <item x="4641"/>
        <item x="793"/>
        <item x="600"/>
        <item x="519"/>
        <item x="4804"/>
        <item x="4803"/>
        <item x="764"/>
        <item x="4212"/>
        <item x="363"/>
        <item x="4708"/>
        <item x="4836"/>
        <item x="3374"/>
        <item x="6226"/>
        <item x="4700"/>
        <item x="5907"/>
        <item x="654"/>
        <item x="3622"/>
        <item x="2570"/>
        <item x="2512"/>
        <item x="6229"/>
        <item x="584"/>
        <item x="1540"/>
        <item x="6525"/>
        <item x="5697"/>
        <item x="4026"/>
        <item x="3179"/>
        <item x="2399"/>
        <item x="2208"/>
        <item x="2452"/>
        <item x="4261"/>
        <item x="3015"/>
        <item x="3718"/>
        <item x="3490"/>
        <item x="4579"/>
        <item x="2605"/>
        <item x="6531"/>
        <item x="5135"/>
        <item x="6780"/>
        <item x="3509"/>
        <item x="3896"/>
        <item x="1769"/>
        <item x="4103"/>
        <item x="1481"/>
        <item x="2682"/>
        <item x="4146"/>
        <item x="4096"/>
        <item x="4392"/>
        <item x="4782"/>
        <item x="4637"/>
        <item x="2928"/>
        <item x="6141"/>
        <item x="3120"/>
        <item x="1410"/>
        <item x="2863"/>
        <item x="4401"/>
        <item x="5414"/>
        <item x="361"/>
        <item x="5670"/>
        <item x="5012"/>
        <item x="1189"/>
        <item x="412"/>
        <item x="4875"/>
        <item x="2419"/>
        <item x="4976"/>
        <item x="617"/>
        <item x="1500"/>
        <item x="2225"/>
        <item x="6910"/>
        <item x="723"/>
        <item x="6737"/>
        <item x="2055"/>
        <item x="2879"/>
        <item x="28"/>
        <item x="417"/>
        <item x="114"/>
        <item x="2947"/>
        <item x="3969"/>
        <item x="2977"/>
        <item x="1153"/>
        <item x="4253"/>
        <item x="5977"/>
        <item x="5572"/>
        <item x="6666"/>
        <item x="857"/>
        <item x="3916"/>
        <item x="3992"/>
        <item x="3073"/>
        <item x="4419"/>
        <item x="4904"/>
        <item x="901"/>
        <item x="5611"/>
        <item x="5693"/>
        <item x="3709"/>
        <item x="1128"/>
        <item x="6746"/>
        <item x="3407"/>
        <item x="2933"/>
        <item x="6749"/>
        <item x="1850"/>
        <item x="3629"/>
        <item x="6861"/>
        <item x="6396"/>
        <item x="117"/>
        <item x="3864"/>
        <item x="553"/>
        <item x="1409"/>
        <item x="4877"/>
        <item x="6917"/>
        <item x="3114"/>
        <item x="3364"/>
        <item x="6352"/>
        <item x="2937"/>
        <item x="2939"/>
        <item x="2932"/>
        <item x="1569"/>
        <item x="3682"/>
        <item x="685"/>
        <item x="2617"/>
        <item x="5109"/>
        <item x="1737"/>
        <item x="819"/>
        <item x="5369"/>
        <item x="5815"/>
        <item x="4554"/>
        <item x="2925"/>
        <item x="4313"/>
        <item x="4326"/>
        <item x="1592"/>
        <item x="5684"/>
        <item x="4498"/>
        <item x="6235"/>
        <item x="2274"/>
        <item x="1154"/>
        <item x="5212"/>
        <item x="827"/>
        <item x="5311"/>
        <item x="6436"/>
        <item x="4539"/>
        <item x="5900"/>
        <item x="4218"/>
        <item x="2046"/>
        <item x="534"/>
        <item x="2026"/>
        <item x="6057"/>
        <item x="6968"/>
        <item x="2789"/>
        <item x="1909"/>
        <item x="1756"/>
        <item x="4091"/>
        <item x="1416"/>
        <item x="4525"/>
        <item x="4985"/>
        <item x="5547"/>
        <item x="1658"/>
        <item x="4692"/>
        <item x="5233"/>
        <item x="3324"/>
        <item x="1196"/>
        <item x="5106"/>
        <item x="4406"/>
        <item x="2516"/>
        <item x="5340"/>
        <item x="5384"/>
        <item x="5216"/>
        <item x="1789"/>
        <item x="4916"/>
        <item x="4840"/>
        <item x="38"/>
        <item x="2553"/>
        <item x="951"/>
        <item x="3965"/>
        <item x="5928"/>
        <item x="3184"/>
        <item x="6132"/>
        <item x="103"/>
        <item x="2830"/>
        <item x="6811"/>
        <item x="6944"/>
        <item x="923"/>
        <item x="5631"/>
        <item x="538"/>
        <item x="1464"/>
        <item x="3926"/>
        <item x="2528"/>
        <item x="3445"/>
        <item x="5680"/>
        <item x="3231"/>
        <item x="4035"/>
        <item x="1664"/>
        <item x="2449"/>
        <item x="2304"/>
        <item x="1396"/>
        <item x="5250"/>
        <item x="6473"/>
        <item x="1982"/>
        <item x="1820"/>
        <item x="5260"/>
        <item x="5024"/>
        <item x="712"/>
        <item x="6101"/>
        <item x="5145"/>
        <item x="2282"/>
        <item x="2679"/>
        <item x="6299"/>
        <item x="3664"/>
        <item x="1809"/>
        <item x="4281"/>
        <item x="1642"/>
        <item x="3494"/>
        <item x="2687"/>
        <item x="4259"/>
        <item x="1965"/>
        <item x="4203"/>
        <item x="3352"/>
        <item x="1963"/>
        <item x="6466"/>
        <item x="4420"/>
        <item x="1675"/>
        <item x="4222"/>
        <item x="4427"/>
        <item x="2159"/>
        <item x="3034"/>
        <item x="4220"/>
        <item x="4634"/>
        <item x="1175"/>
        <item x="2834"/>
        <item x="2750"/>
        <item x="1472"/>
        <item x="1342"/>
        <item x="2691"/>
        <item x="3443"/>
        <item x="6626"/>
        <item x="1364"/>
        <item x="6853"/>
        <item x="4767"/>
        <item x="2741"/>
        <item x="6712"/>
        <item x="7000"/>
        <item x="4173"/>
        <item x="3252"/>
        <item x="2847"/>
        <item x="4255"/>
        <item x="6097"/>
        <item x="1204"/>
        <item x="2213"/>
        <item x="404"/>
        <item x="2368"/>
        <item x="3257"/>
        <item x="2327"/>
        <item x="3197"/>
        <item x="4387"/>
        <item x="1942"/>
        <item x="3094"/>
        <item x="5637"/>
        <item x="590"/>
        <item x="1439"/>
        <item x="6735"/>
        <item x="5379"/>
        <item x="1711"/>
        <item x="3224"/>
        <item x="5478"/>
        <item x="3358"/>
        <item x="4538"/>
        <item x="389"/>
        <item x="1543"/>
        <item x="183"/>
        <item x="2244"/>
        <item x="1254"/>
        <item x="2776"/>
        <item x="666"/>
        <item x="1065"/>
        <item x="5474"/>
        <item x="4659"/>
        <item x="5748"/>
        <item x="2602"/>
        <item x="4779"/>
        <item x="1194"/>
        <item x="2922"/>
        <item x="904"/>
        <item x="5565"/>
        <item x="6831"/>
        <item x="5131"/>
        <item x="5564"/>
        <item x="1239"/>
        <item x="6103"/>
        <item x="2088"/>
        <item x="6677"/>
        <item x="1164"/>
        <item x="5143"/>
        <item x="419"/>
        <item x="1234"/>
        <item x="4924"/>
        <item x="5623"/>
        <item x="5980"/>
        <item x="6970"/>
        <item x="3070"/>
        <item x="3488"/>
        <item x="5290"/>
        <item x="6919"/>
        <item x="4540"/>
        <item x="4021"/>
        <item x="1"/>
        <item x="714"/>
        <item x="2764"/>
        <item x="3390"/>
        <item x="5322"/>
        <item x="287"/>
        <item x="2955"/>
        <item x="4020"/>
        <item x="77"/>
        <item x="1243"/>
        <item x="4131"/>
        <item x="2975"/>
        <item x="4314"/>
        <item x="3909"/>
        <item x="4992"/>
        <item x="5700"/>
        <item x="421"/>
        <item x="1771"/>
        <item x="4072"/>
        <item x="504"/>
        <item x="2645"/>
        <item x="6121"/>
        <item x="3694"/>
        <item x="1952"/>
        <item x="5682"/>
        <item x="2905"/>
        <item x="2751"/>
        <item x="1350"/>
        <item x="6791"/>
        <item x="5387"/>
        <item x="2145"/>
        <item x="441"/>
        <item x="74"/>
        <item x="2469"/>
        <item x="2655"/>
        <item x="4078"/>
        <item x="4812"/>
        <item x="669"/>
        <item x="647"/>
        <item x="5289"/>
        <item x="6559"/>
        <item x="3136"/>
        <item x="2951"/>
        <item x="6030"/>
        <item x="5342"/>
        <item x="659"/>
        <item x="4571"/>
        <item x="4291"/>
        <item x="380"/>
        <item x="1412"/>
        <item x="956"/>
        <item x="3061"/>
        <item x="3943"/>
        <item x="5987"/>
        <item x="2126"/>
        <item x="1812"/>
        <item x="6722"/>
        <item x="5646"/>
        <item x="1906"/>
        <item x="1050"/>
        <item x="798"/>
        <item x="6004"/>
        <item x="1181"/>
        <item x="5056"/>
        <item x="778"/>
        <item x="1403"/>
        <item x="3084"/>
        <item x="6792"/>
        <item x="757"/>
        <item x="6003"/>
        <item x="379"/>
        <item x="1779"/>
        <item x="5317"/>
        <item x="3039"/>
        <item x="1972"/>
        <item x="3605"/>
        <item x="5440"/>
        <item x="3027"/>
        <item x="6306"/>
        <item x="2882"/>
        <item x="328"/>
        <item x="64"/>
        <item x="3644"/>
        <item x="5347"/>
        <item x="3858"/>
        <item x="326"/>
        <item x="4636"/>
        <item x="6586"/>
        <item x="2492"/>
        <item x="4834"/>
        <item x="5073"/>
        <item x="6498"/>
        <item x="112"/>
        <item x="6529"/>
        <item x="3930"/>
        <item x="145"/>
        <item x="6184"/>
        <item x="1497"/>
        <item x="790"/>
        <item x="5173"/>
        <item x="4745"/>
        <item x="754"/>
        <item x="4832"/>
        <item x="2261"/>
        <item x="4796"/>
        <item x="503"/>
        <item x="1685"/>
        <item x="4324"/>
        <item x="5321"/>
        <item x="6399"/>
        <item x="3083"/>
        <item x="5498"/>
        <item x="571"/>
        <item x="492"/>
        <item x="3898"/>
        <item x="4697"/>
        <item x="677"/>
        <item x="451"/>
        <item x="3068"/>
        <item x="3372"/>
        <item x="1517"/>
        <item x="2521"/>
        <item x="6134"/>
        <item x="5084"/>
        <item x="1433"/>
        <item x="1896"/>
        <item x="4383"/>
        <item x="2583"/>
        <item x="2680"/>
        <item x="566"/>
        <item x="930"/>
        <item x="2515"/>
        <item x="3733"/>
        <item x="554"/>
        <item x="4335"/>
        <item x="2115"/>
        <item x="4764"/>
        <item x="3028"/>
        <item x="4205"/>
        <item x="1509"/>
        <item x="2206"/>
        <item x="3997"/>
        <item x="2074"/>
        <item x="2806"/>
        <item x="327"/>
        <item x="4310"/>
        <item x="4275"/>
        <item x="6257"/>
        <item x="2946"/>
        <item x="1594"/>
        <item x="5942"/>
        <item x="3886"/>
        <item x="6891"/>
        <item x="3764"/>
        <item x="4862"/>
        <item x="4543"/>
        <item x="3282"/>
        <item x="5920"/>
        <item x="2507"/>
        <item x="1877"/>
        <item x="1087"/>
        <item x="6582"/>
        <item x="1949"/>
        <item x="1232"/>
        <item x="2591"/>
        <item x="599"/>
        <item x="5149"/>
        <item x="771"/>
        <item x="2549"/>
        <item x="536"/>
        <item x="651"/>
        <item x="4979"/>
        <item x="564"/>
        <item x="1955"/>
        <item x="5749"/>
        <item x="1753"/>
        <item x="2582"/>
        <item x="6641"/>
        <item x="3855"/>
        <item x="4691"/>
        <item x="3009"/>
        <item x="6150"/>
        <item x="2121"/>
        <item x="1126"/>
        <item x="4034"/>
        <item x="4015"/>
        <item x="1157"/>
        <item x="4379"/>
        <item x="6825"/>
        <item x="4703"/>
        <item x="6301"/>
        <item x="973"/>
        <item x="6882"/>
        <item x="399"/>
        <item x="3198"/>
        <item x="974"/>
        <item x="1954"/>
        <item x="5732"/>
        <item x="3977"/>
        <item x="4947"/>
        <item x="438"/>
        <item x="5221"/>
        <item x="3519"/>
        <item x="6497"/>
        <item x="6767"/>
        <item x="2641"/>
        <item x="4772"/>
        <item x="696"/>
        <item x="3033"/>
        <item x="888"/>
        <item x="3680"/>
        <item x="1448"/>
        <item x="5236"/>
        <item x="2972"/>
        <item x="6858"/>
        <item x="4808"/>
        <item x="2447"/>
        <item x="6540"/>
        <item x="3579"/>
        <item x="3795"/>
        <item x="3960"/>
        <item x="4545"/>
        <item x="3944"/>
        <item x="5663"/>
        <item x="6837"/>
        <item x="6002"/>
        <item x="4159"/>
        <item x="174"/>
        <item x="80"/>
        <item x="5520"/>
        <item x="6476"/>
        <item x="1790"/>
        <item x="4868"/>
        <item x="3138"/>
        <item x="344"/>
        <item x="5151"/>
        <item x="1614"/>
        <item x="2197"/>
        <item x="4190"/>
        <item x="2076"/>
        <item x="1720"/>
        <item x="5746"/>
        <item x="1582"/>
        <item x="4245"/>
        <item x="274"/>
        <item x="5297"/>
        <item x="4549"/>
        <item x="2592"/>
        <item x="178"/>
        <item x="46"/>
        <item x="3442"/>
        <item x="6530"/>
        <item x="484"/>
        <item x="3394"/>
        <item x="4415"/>
        <item x="59"/>
        <item x="4270"/>
        <item x="3432"/>
        <item x="511"/>
        <item x="4693"/>
        <item x="5430"/>
        <item x="3216"/>
        <item x="3765"/>
        <item x="224"/>
        <item x="5913"/>
        <item x="4917"/>
        <item x="2451"/>
        <item x="3487"/>
        <item x="467"/>
        <item x="2181"/>
        <item x="413"/>
        <item x="5956"/>
        <item x="2606"/>
        <item x="1404"/>
        <item x="1636"/>
        <item x="5123"/>
        <item x="1051"/>
        <item x="6976"/>
        <item x="5561"/>
        <item x="5183"/>
        <item x="5587"/>
        <item x="5518"/>
        <item x="4647"/>
        <item x="2067"/>
        <item x="3887"/>
        <item x="1294"/>
        <item x="2017"/>
        <item x="911"/>
        <item x="2828"/>
        <item x="6225"/>
        <item x="5935"/>
        <item x="5064"/>
        <item x="5422"/>
        <item x="2708"/>
        <item x="6927"/>
        <item x="3437"/>
        <item x="167"/>
        <item x="6478"/>
        <item x="3555"/>
        <item x="3895"/>
        <item x="5160"/>
        <item x="6418"/>
        <item x="5400"/>
        <item x="848"/>
        <item x="4694"/>
        <item x="5499"/>
        <item x="6061"/>
        <item x="3334"/>
        <item x="1799"/>
        <item x="4112"/>
        <item x="5823"/>
        <item x="1615"/>
        <item x="3002"/>
        <item x="3990"/>
        <item x="2792"/>
        <item x="912"/>
        <item x="3145"/>
        <item x="5248"/>
        <item x="573"/>
        <item x="3087"/>
        <item x="1597"/>
        <item x="5111"/>
        <item x="6415"/>
        <item x="340"/>
        <item x="1618"/>
        <item x="3514"/>
        <item x="3684"/>
        <item x="4909"/>
        <item x="5641"/>
        <item x="36"/>
        <item x="434"/>
        <item x="6336"/>
        <item x="1470"/>
        <item x="2240"/>
        <item x="5192"/>
        <item x="5589"/>
        <item x="5467"/>
        <item x="3474"/>
        <item x="2494"/>
        <item x="3304"/>
        <item x="3274"/>
        <item x="5712"/>
        <item x="93"/>
        <item x="5543"/>
        <item x="4915"/>
        <item x="6993"/>
        <item x="1202"/>
        <item x="5295"/>
        <item x="5918"/>
        <item x="3573"/>
        <item x="5349"/>
        <item x="2127"/>
        <item x="3881"/>
        <item x="4454"/>
        <item x="5768"/>
        <item x="3689"/>
        <item x="836"/>
        <item x="5046"/>
        <item x="6064"/>
        <item x="1696"/>
        <item x="1057"/>
        <item x="2765"/>
        <item x="5022"/>
        <item x="916"/>
        <item x="562"/>
        <item x="6493"/>
        <item x="5705"/>
        <item x="6495"/>
        <item x="4621"/>
        <item x="2377"/>
        <item x="940"/>
        <item x="4737"/>
        <item x="4720"/>
        <item x="6765"/>
        <item x="6401"/>
        <item x="4341"/>
        <item x="372"/>
        <item x="4574"/>
        <item x="4235"/>
        <item x="3021"/>
        <item x="6834"/>
        <item x="2704"/>
        <item x="3586"/>
        <item x="6244"/>
        <item x="2643"/>
        <item x="2191"/>
        <item x="5874"/>
        <item x="5052"/>
        <item x="3547"/>
        <item x="5156"/>
        <item x="3306"/>
        <item x="3816"/>
        <item x="4736"/>
        <item x="2278"/>
        <item x="5437"/>
        <item x="5454"/>
        <item x="5377"/>
        <item x="4537"/>
        <item x="5640"/>
        <item x="429"/>
        <item x="5904"/>
        <item x="2799"/>
        <item x="376"/>
        <item x="2384"/>
        <item x="4438"/>
        <item x="2894"/>
        <item x="2468"/>
        <item x="1067"/>
        <item x="6505"/>
        <item x="5359"/>
        <item x="197"/>
        <item x="6589"/>
        <item x="946"/>
        <item x="5301"/>
        <item x="5892"/>
        <item x="3915"/>
        <item x="2048"/>
        <item x="3813"/>
        <item x="4774"/>
        <item x="2936"/>
        <item x="2294"/>
        <item x="4491"/>
        <item x="2069"/>
        <item x="105"/>
        <item x="1773"/>
        <item x="1515"/>
        <item x="3592"/>
        <item x="2490"/>
        <item x="3981"/>
        <item x="4254"/>
        <item x="5140"/>
        <item x="6118"/>
        <item x="1511"/>
        <item x="1293"/>
        <item x="4073"/>
        <item x="4042"/>
        <item x="285"/>
        <item x="5193"/>
        <item x="2908"/>
        <item x="2255"/>
        <item x="131"/>
        <item x="3581"/>
        <item x="6893"/>
        <item x="4110"/>
        <item x="3539"/>
        <item x="3014"/>
        <item x="6558"/>
        <item x="138"/>
        <item x="4408"/>
        <item x="6111"/>
        <item x="3479"/>
        <item x="1694"/>
        <item x="2095"/>
        <item x="479"/>
        <item x="6826"/>
        <item x="5373"/>
        <item x="6738"/>
        <item x="943"/>
        <item x="5235"/>
        <item x="1456"/>
        <item x="35"/>
        <item x="497"/>
        <item x="1397"/>
        <item x="3979"/>
        <item x="1156"/>
        <item x="2659"/>
        <item x="348"/>
        <item x="1260"/>
        <item x="4168"/>
        <item x="1291"/>
        <item x="1363"/>
        <item x="5761"/>
        <item x="6685"/>
        <item x="4351"/>
        <item x="6923"/>
        <item x="3658"/>
        <item x="6664"/>
        <item x="6563"/>
        <item x="890"/>
        <item x="1278"/>
        <item x="5664"/>
        <item x="5228"/>
        <item x="5937"/>
        <item x="1333"/>
        <item x="1599"/>
        <item x="5086"/>
        <item x="1623"/>
        <item x="1167"/>
        <item x="814"/>
        <item x="3787"/>
        <item x="1474"/>
        <item x="5335"/>
        <item x="5588"/>
        <item x="5370"/>
        <item x="3376"/>
        <item x="6098"/>
        <item x="795"/>
        <item x="2133"/>
        <item x="4306"/>
        <item x="5473"/>
        <item x="266"/>
        <item x="2983"/>
        <item x="2195"/>
        <item x="5701"/>
        <item x="2034"/>
        <item x="6809"/>
        <item x="6435"/>
        <item x="1707"/>
        <item x="6990"/>
        <item x="4676"/>
        <item x="6294"/>
        <item x="1670"/>
        <item x="2935"/>
        <item x="180"/>
        <item x="3911"/>
        <item x="3630"/>
        <item x="24"/>
        <item x="3276"/>
        <item x="268"/>
        <item x="1533"/>
        <item x="6170"/>
        <item x="5575"/>
        <item x="3549"/>
        <item x="5421"/>
        <item x="6420"/>
        <item x="4312"/>
        <item x="6034"/>
        <item x="5550"/>
        <item x="3742"/>
        <item x="3913"/>
        <item x="6552"/>
        <item x="6575"/>
        <item x="6865"/>
        <item x="226"/>
        <item x="4849"/>
        <item x="165"/>
        <item x="5656"/>
        <item x="5495"/>
        <item x="3338"/>
        <item x="206"/>
        <item x="5747"/>
        <item x="4610"/>
        <item x="2749"/>
        <item x="3722"/>
        <item x="1616"/>
        <item x="941"/>
        <item x="2064"/>
        <item x="3576"/>
        <item x="1201"/>
        <item x="2431"/>
        <item x="1452"/>
        <item x="6725"/>
        <item x="1831"/>
        <item x="2766"/>
        <item x="272"/>
        <item x="4502"/>
        <item x="6363"/>
        <item x="6862"/>
        <item x="5662"/>
        <item x="158"/>
        <item x="3899"/>
        <item x="5107"/>
        <item x="1601"/>
        <item x="3076"/>
        <item x="3016"/>
        <item x="4564"/>
        <item x="6163"/>
        <item x="100"/>
        <item x="6138"/>
        <item x="2594"/>
        <item x="5325"/>
        <item x="9"/>
        <item x="299"/>
        <item x="1306"/>
        <item x="6224"/>
        <item x="6941"/>
        <item x="3189"/>
        <item x="934"/>
        <item x="3818"/>
        <item x="2723"/>
        <item x="4665"/>
        <item x="5399"/>
        <item x="1715"/>
        <item x="5134"/>
        <item x="5725"/>
        <item x="3656"/>
        <item x="4930"/>
        <item x="76"/>
        <item x="4221"/>
        <item x="1488"/>
        <item x="3843"/>
        <item x="2164"/>
        <item x="1006"/>
        <item x="5095"/>
        <item x="5612"/>
        <item x="747"/>
        <item x="4280"/>
        <item x="4198"/>
        <item x="3157"/>
        <item x="275"/>
        <item x="6211"/>
        <item x="1705"/>
        <item x="5415"/>
        <item x="6620"/>
        <item x="5459"/>
        <item x="729"/>
        <item x="1428"/>
        <item x="6967"/>
        <item x="148"/>
        <item x="1033"/>
        <item x="3400"/>
        <item x="6973"/>
        <item x="6913"/>
        <item x="6611"/>
        <item x="6192"/>
        <item x="976"/>
        <item x="2692"/>
        <item x="2313"/>
        <item x="2578"/>
        <item x="615"/>
        <item x="3049"/>
        <item x="26"/>
        <item x="222"/>
        <item x="5658"/>
        <item x="3672"/>
        <item x="1875"/>
        <item x="1324"/>
        <item x="2479"/>
        <item x="5692"/>
        <item x="4824"/>
        <item x="1161"/>
        <item x="2227"/>
        <item x="3613"/>
        <item x="4215"/>
        <item x="2599"/>
        <item x="4232"/>
        <item x="2024"/>
        <item x="3464"/>
        <item x="2808"/>
        <item x="1589"/>
        <item x="2390"/>
        <item x="5630"/>
        <item x="219"/>
        <item x="5924"/>
        <item x="123"/>
        <item x="6734"/>
        <item x="5082"/>
        <item x="5200"/>
        <item x="6922"/>
        <item x="3275"/>
        <item x="2893"/>
        <item x="3567"/>
        <item x="5262"/>
        <item x="1241"/>
        <item x="6914"/>
        <item x="4642"/>
        <item x="1425"/>
        <item x="913"/>
        <item x="605"/>
        <item x="1546"/>
        <item x="6597"/>
        <item x="1611"/>
        <item x="1758"/>
        <item x="6403"/>
        <item x="6231"/>
        <item x="4721"/>
        <item x="577"/>
        <item x="4969"/>
        <item x="4787"/>
        <item x="6203"/>
        <item x="4064"/>
        <item x="5460"/>
        <item x="5622"/>
        <item x="609"/>
        <item x="1484"/>
        <item x="4440"/>
        <item x="5517"/>
        <item x="6239"/>
        <item x="841"/>
        <item x="724"/>
        <item x="155"/>
        <item x="5451"/>
        <item x="5057"/>
        <item x="296"/>
        <item x="2038"/>
        <item x="4142"/>
        <item x="5343"/>
        <item x="2462"/>
        <item x="6801"/>
        <item x="370"/>
        <item x="1366"/>
        <item x="3177"/>
        <item x="3105"/>
        <item x="37"/>
        <item x="5271"/>
        <item x="52"/>
        <item x="6484"/>
        <item x="4517"/>
        <item x="493"/>
        <item x="1221"/>
        <item x="181"/>
        <item x="4910"/>
        <item x="4733"/>
        <item x="6982"/>
        <item x="384"/>
        <item x="2781"/>
        <item x="2496"/>
        <item x="5502"/>
        <item x="5597"/>
        <item x="5093"/>
        <item x="4698"/>
        <item x="6024"/>
        <item x="6955"/>
        <item x="3784"/>
        <item x="397"/>
        <item x="2773"/>
        <item x="1309"/>
        <item x="6046"/>
        <item x="6320"/>
        <item x="5870"/>
        <item x="6425"/>
        <item x="3453"/>
        <item x="241"/>
        <item x="461"/>
        <item x="1008"/>
        <item x="2476"/>
        <item x="4012"/>
        <item x="6285"/>
        <item x="4651"/>
        <item x="5013"/>
        <item x="6835"/>
        <item x="2403"/>
        <item x="2482"/>
        <item x="2991"/>
        <item x="1132"/>
        <item x="730"/>
        <item x="4092"/>
        <item x="1648"/>
        <item x="5910"/>
        <item x="1258"/>
        <item x="4105"/>
        <item x="5544"/>
        <item x="3931"/>
        <item x="933"/>
        <item x="6220"/>
        <item x="4741"/>
        <item x="6972"/>
        <item x="2157"/>
        <item x="4902"/>
        <item x="1905"/>
        <item x="993"/>
        <item x="2803"/>
        <item x="5534"/>
        <item x="975"/>
        <item x="6000"/>
        <item x="735"/>
        <item x="2136"/>
        <item x="2363"/>
        <item x="1795"/>
        <item x="1921"/>
        <item x="3020"/>
        <item x="2877"/>
        <item x="5015"/>
        <item x="4809"/>
        <item x="257"/>
        <item x="6377"/>
        <item x="3671"/>
        <item x="2085"/>
        <item x="6535"/>
        <item x="690"/>
        <item x="6961"/>
        <item x="6790"/>
        <item x="2293"/>
        <item x="4344"/>
        <item x="3758"/>
        <item x="336"/>
        <item x="942"/>
        <item x="4735"/>
        <item x="5261"/>
        <item x="1322"/>
        <item x="753"/>
        <item x="3312"/>
        <item x="6144"/>
        <item x="5103"/>
        <item x="3710"/>
        <item x="4005"/>
        <item x="1893"/>
        <item x="612"/>
        <item x="7001"/>
        <item x="6850"/>
        <item x="3118"/>
        <item x="3398"/>
        <item x="5501"/>
        <item x="4444"/>
        <item x="1881"/>
        <item x="3564"/>
        <item x="3702"/>
        <item x="1814"/>
        <item x="3808"/>
        <item x="1849"/>
        <item x="3948"/>
        <item x="5328"/>
        <item x="516"/>
        <item x="3849"/>
        <item x="4474"/>
        <item x="5778"/>
        <item x="3786"/>
        <item x="7"/>
        <item x="4230"/>
        <item x="1426"/>
        <item x="3415"/>
        <item x="5690"/>
        <item x="4604"/>
        <item x="5265"/>
        <item x="6205"/>
        <item x="5461"/>
        <item x="6262"/>
        <item x="172"/>
        <item x="6398"/>
        <item x="106"/>
        <item x="6542"/>
        <item x="4532"/>
        <item x="4798"/>
        <item x="1292"/>
        <item x="1024"/>
        <item x="1916"/>
        <item x="5990"/>
        <item x="3175"/>
        <item x="6360"/>
        <item x="2382"/>
        <item x="3232"/>
        <item x="127"/>
        <item x="5995"/>
        <item x="3496"/>
        <item x="3557"/>
        <item x="4357"/>
        <item x="4649"/>
        <item x="319"/>
        <item x="2871"/>
        <item x="4778"/>
        <item x="3991"/>
        <item x="5802"/>
        <item x="5821"/>
        <item x="6612"/>
        <item x="4041"/>
        <item x="2979"/>
        <item x="1246"/>
        <item x="2633"/>
        <item x="6198"/>
        <item x="2312"/>
        <item x="1885"/>
        <item x="3724"/>
        <item x="3267"/>
        <item x="3199"/>
        <item x="3448"/>
        <item x="6148"/>
        <item x="5868"/>
        <item x="3263"/>
        <item x="225"/>
        <item x="490"/>
        <item x="2083"/>
        <item x="726"/>
        <item x="1197"/>
        <item x="1200"/>
        <item x="3389"/>
        <item x="6934"/>
        <item x="626"/>
        <item x="5532"/>
        <item x="1444"/>
        <item x="1186"/>
        <item x="6653"/>
        <item x="6577"/>
        <item x="3506"/>
        <item x="559"/>
        <item x="3217"/>
        <item x="3259"/>
        <item x="1259"/>
        <item x="5619"/>
        <item x="4271"/>
        <item x="3713"/>
        <item x="522"/>
        <item x="32"/>
        <item x="5979"/>
        <item x="5404"/>
        <item x="4125"/>
        <item x="146"/>
        <item x="3807"/>
        <item x="2844"/>
        <item x="2709"/>
        <item x="1681"/>
        <item x="7027"/>
        <item x="2178"/>
        <item x="2007"/>
        <item x="5602"/>
        <item x="6864"/>
        <item x="4863"/>
        <item x="3681"/>
        <item x="2663"/>
        <item x="297"/>
        <item x="5213"/>
        <item x="4565"/>
        <item x="6353"/>
        <item x="4826"/>
        <item x="2748"/>
        <item x="539"/>
        <item x="5949"/>
        <item x="3099"/>
        <item x="5091"/>
        <item x="2626"/>
        <item x="374"/>
        <item x="25"/>
        <item x="4244"/>
        <item x="3213"/>
        <item x="3820"/>
        <item x="1151"/>
        <item x="3829"/>
        <item x="4317"/>
        <item x="4414"/>
        <item x="6507"/>
        <item x="5948"/>
        <item x="2629"/>
        <item x="3649"/>
        <item x="341"/>
        <item x="5944"/>
        <item x="1446"/>
        <item x="1114"/>
        <item x="5060"/>
        <item x="4942"/>
        <item x="5125"/>
        <item x="4461"/>
        <item x="7021"/>
        <item x="1422"/>
        <item x="3543"/>
        <item x="6833"/>
        <item x="2956"/>
        <item x="6711"/>
        <item x="4300"/>
        <item x="3609"/>
        <item x="1113"/>
        <item x="2406"/>
        <item x="4148"/>
        <item x="381"/>
        <item x="6554"/>
        <item x="6688"/>
        <item x="5967"/>
        <item x="5181"/>
        <item x="5051"/>
        <item x="1821"/>
        <item x="1802"/>
        <item x="844"/>
        <item x="4497"/>
        <item x="4176"/>
        <item x="4152"/>
        <item x="5548"/>
        <item x="745"/>
        <item x="1095"/>
        <item x="2188"/>
        <item x="3341"/>
        <item x="5507"/>
        <item x="740"/>
        <item x="3245"/>
        <item x="5047"/>
        <item x="5841"/>
        <item x="5010"/>
        <item x="5456"/>
        <item x="5820"/>
        <item x="4469"/>
        <item x="4853"/>
        <item x="1053"/>
        <item x="702"/>
        <item x="3824"/>
        <item x="1752"/>
        <item x="718"/>
        <item x="6568"/>
        <item x="4953"/>
        <item x="6274"/>
        <item x="1837"/>
        <item x="3935"/>
        <item x="1400"/>
        <item x="1695"/>
        <item x="3707"/>
        <item x="2854"/>
        <item x="4189"/>
        <item x="6974"/>
        <item x="565"/>
        <item x="1560"/>
        <item x="3169"/>
        <item x="3770"/>
        <item x="6565"/>
        <item x="3201"/>
        <item x="2353"/>
        <item x="6869"/>
        <item x="1465"/>
        <item x="3082"/>
        <item x="4371"/>
        <item x="1209"/>
        <item x="6174"/>
        <item x="835"/>
        <item x="5671"/>
        <item x="2842"/>
        <item x="545"/>
        <item x="3983"/>
        <item x="4605"/>
        <item x="2831"/>
        <item x="1835"/>
        <item x="4332"/>
        <item x="1004"/>
        <item x="3508"/>
        <item x="2365"/>
        <item x="6381"/>
        <item x="6729"/>
        <item x="1170"/>
        <item x="4346"/>
        <item x="2675"/>
        <item x="3546"/>
        <item x="5428"/>
        <item x="3062"/>
        <item x="1272"/>
        <item x="3972"/>
        <item x="6812"/>
        <item x="2794"/>
        <item x="1864"/>
        <item x="3717"/>
        <item x="3591"/>
        <item x="1049"/>
        <item x="269"/>
        <item x="6506"/>
        <item x="2506"/>
        <item x="256"/>
        <item x="5142"/>
        <item x="6496"/>
        <item x="203"/>
        <item x="1995"/>
        <item x="2408"/>
        <item x="1405"/>
        <item x="5227"/>
        <item x="570"/>
        <item x="2673"/>
        <item x="945"/>
        <item x="3348"/>
        <item x="1084"/>
        <item x="4157"/>
        <item x="1064"/>
        <item x="3687"/>
        <item x="6286"/>
        <item x="2205"/>
        <item x="4682"/>
        <item x="2777"/>
        <item x="1495"/>
        <item x="4276"/>
        <item x="3439"/>
        <item x="1001"/>
        <item x="5786"/>
        <item x="5971"/>
        <item x="6237"/>
        <item x="5893"/>
        <item x="1856"/>
        <item x="1438"/>
        <item x="2535"/>
        <item x="6303"/>
        <item x="3405"/>
        <item x="2059"/>
        <item x="1860"/>
        <item x="2355"/>
        <item x="2013"/>
        <item x="4784"/>
        <item x="5699"/>
        <item x="1348"/>
        <item x="924"/>
        <item x="5077"/>
        <item x="3285"/>
        <item x="1420"/>
        <item x="6870"/>
        <item x="1468"/>
        <item x="3124"/>
        <item x="233"/>
        <item x="4460"/>
        <item x="4954"/>
        <item x="2433"/>
        <item x="2342"/>
        <item x="3055"/>
        <item x="5965"/>
        <item x="3748"/>
        <item x="5185"/>
        <item x="190"/>
        <item x="2155"/>
        <item x="323"/>
        <item x="6699"/>
        <item x="4182"/>
        <item x="5161"/>
        <item x="1859"/>
        <item x="1526"/>
        <item x="1575"/>
        <item x="3361"/>
        <item x="5434"/>
        <item x="6084"/>
        <item x="3268"/>
        <item x="5101"/>
        <item x="1541"/>
        <item x="1222"/>
        <item x="3029"/>
        <item x="102"/>
        <item x="4974"/>
        <item x="1195"/>
        <item x="3846"/>
        <item x="1162"/>
        <item x="544"/>
        <item x="5791"/>
        <item x="3978"/>
        <item x="4336"/>
        <item x="1352"/>
        <item x="788"/>
        <item x="704"/>
        <item x="3728"/>
        <item x="616"/>
        <item x="5075"/>
        <item x="5832"/>
        <item x="4185"/>
        <item x="4892"/>
        <item x="613"/>
        <item x="5491"/>
        <item x="2454"/>
        <item x="6903"/>
        <item x="1060"/>
        <item x="2577"/>
        <item x="1021"/>
        <item x="6350"/>
        <item x="6115"/>
        <item x="6228"/>
        <item x="1766"/>
        <item x="375"/>
        <item x="212"/>
        <item x="3686"/>
        <item x="5072"/>
        <item x="4899"/>
        <item x="6207"/>
        <item x="5954"/>
        <item x="6984"/>
        <item x="5721"/>
        <item x="3129"/>
        <item x="5946"/>
        <item x="5410"/>
        <item x="2541"/>
        <item x="2394"/>
        <item x="2259"/>
        <item x="2270"/>
        <item x="2241"/>
        <item x="4137"/>
        <item x="1270"/>
        <item x="4104"/>
        <item x="1908"/>
        <item x="1843"/>
        <item x="5058"/>
        <item x="6465"/>
        <item x="3280"/>
        <item x="1767"/>
        <item x="7011"/>
        <item x="2263"/>
        <item x="1321"/>
        <item x="2098"/>
        <item x="634"/>
        <item x="6269"/>
        <item x="2793"/>
        <item x="2203"/>
        <item x="4535"/>
        <item x="1880"/>
        <item x="506"/>
        <item x="124"/>
        <item x="3947"/>
        <item x="2878"/>
        <item x="5582"/>
        <item x="2071"/>
        <item x="5782"/>
        <item x="6513"/>
        <item x="92"/>
        <item x="6875"/>
        <item x="3385"/>
        <item x="6520"/>
        <item x="4058"/>
        <item x="5933"/>
        <item x="6960"/>
        <item x="1083"/>
        <item x="6905"/>
        <item x="6598"/>
        <item x="1933"/>
        <item x="2862"/>
        <item x="3679"/>
        <item x="5191"/>
        <item x="2301"/>
        <item x="5427"/>
        <item x="4108"/>
        <item x="5903"/>
        <item x="1361"/>
        <item x="3211"/>
        <item x="682"/>
        <item x="4478"/>
        <item x="5038"/>
        <item x="5580"/>
        <item x="6486"/>
        <item x="198"/>
        <item x="1346"/>
        <item x="5116"/>
        <item x="2360"/>
        <item x="6252"/>
        <item x="5087"/>
        <item x="4806"/>
        <item x="3095"/>
        <item x="3165"/>
        <item x="260"/>
        <item x="2713"/>
        <item x="3449"/>
        <item x="991"/>
        <item x="311"/>
        <item x="4132"/>
        <item x="1765"/>
        <item x="1713"/>
        <item x="3287"/>
        <item x="3072"/>
        <item x="2539"/>
        <item x="3845"/>
        <item x="569"/>
        <item x="967"/>
        <item x="2779"/>
        <item x="1039"/>
        <item x="1930"/>
        <item x="5025"/>
        <item x="2835"/>
        <item x="240"/>
        <item x="367"/>
        <item x="4514"/>
        <item x="3708"/>
        <item x="33"/>
        <item x="2174"/>
        <item x="5647"/>
        <item x="775"/>
        <item x="6704"/>
        <item x="3035"/>
        <item x="2386"/>
        <item x="563"/>
        <item x="3052"/>
        <item x="1825"/>
        <item x="1244"/>
        <item x="1591"/>
        <item x="4852"/>
        <item x="2249"/>
        <item x="6050"/>
        <item x="5017"/>
        <item x="2008"/>
        <item x="6191"/>
        <item x="4895"/>
        <item x="1978"/>
        <item x="6112"/>
        <item x="1555"/>
        <item x="3475"/>
        <item x="3866"/>
        <item x="2674"/>
        <item x="560"/>
        <item x="3692"/>
        <item x="5198"/>
        <item x="1584"/>
        <item x="3065"/>
        <item x="6025"/>
        <item x="5049"/>
        <item x="6095"/>
        <item x="6289"/>
        <item x="3872"/>
        <item x="6714"/>
        <item x="1688"/>
        <item x="2037"/>
        <item x="1101"/>
        <item x="3253"/>
        <item x="1841"/>
        <item x="2175"/>
        <item x="2298"/>
        <item x="4944"/>
        <item x="760"/>
        <item x="804"/>
        <item x="6873"/>
        <item x="2393"/>
        <item x="3869"/>
        <item x="5419"/>
        <item x="4315"/>
        <item x="3170"/>
        <item x="5945"/>
        <item x="4639"/>
        <item x="2035"/>
        <item x="7013"/>
        <item x="1719"/>
        <item x="5272"/>
        <item x="2287"/>
        <item x="5775"/>
        <item x="4631"/>
        <item x="4766"/>
        <item x="3953"/>
        <item x="4999"/>
        <item x="847"/>
        <item x="1926"/>
        <item x="2883"/>
        <item x="3153"/>
        <item x="69"/>
        <item x="2949"/>
        <item x="1783"/>
        <item x="3954"/>
        <item x="2102"/>
        <item x="6578"/>
        <item x="1009"/>
        <item x="1643"/>
        <item x="1502"/>
        <item x="5426"/>
        <item x="4468"/>
        <item x="6272"/>
        <item x="1091"/>
        <item x="1938"/>
        <item x="6107"/>
        <item x="3994"/>
        <item x="2890"/>
        <item x="4046"/>
        <item x="1941"/>
        <item x="5381"/>
        <item x="5632"/>
        <item x="1891"/>
        <item x="1598"/>
        <item x="1020"/>
        <item x="3961"/>
        <item x="4476"/>
        <item x="11"/>
        <item x="6879"/>
        <item x="2285"/>
        <item x="6752"/>
        <item x="918"/>
        <item x="5508"/>
        <item x="2653"/>
        <item x="3753"/>
        <item x="4952"/>
        <item x="5743"/>
        <item x="4373"/>
        <item x="2054"/>
        <item x="4667"/>
        <item x="2286"/>
        <item x="1797"/>
        <item x="6085"/>
        <item x="6308"/>
        <item x="53"/>
        <item x="680"/>
        <item x="4769"/>
        <item x="5638"/>
        <item x="3054"/>
        <item x="738"/>
        <item x="2771"/>
        <item x="5441"/>
        <item x="4301"/>
        <item x="4707"/>
        <item x="2843"/>
        <item x="2866"/>
        <item x="909"/>
        <item x="1729"/>
        <item x="4844"/>
        <item x="2453"/>
        <item x="2861"/>
        <item x="1853"/>
        <item x="2040"/>
        <item x="342"/>
        <item x="779"/>
        <item x="1395"/>
        <item x="4576"/>
        <item x="3379"/>
        <item x="5857"/>
        <item x="3623"/>
        <item x="262"/>
        <item x="1781"/>
        <item x="518"/>
        <item x="290"/>
        <item x="6028"/>
        <item x="1327"/>
        <item x="665"/>
        <item x="3571"/>
        <item x="6179"/>
        <item x="4705"/>
        <item x="6196"/>
        <item x="2401"/>
        <item x="887"/>
        <item x="4704"/>
        <item x="6518"/>
        <item x="1731"/>
        <item x="1593"/>
        <item x="1815"/>
        <item x="159"/>
        <item x="6726"/>
        <item x="6427"/>
        <item x="1419"/>
        <item x="6143"/>
        <item x="6787"/>
        <item x="314"/>
        <item x="732"/>
        <item x="5189"/>
        <item x="939"/>
        <item x="6055"/>
        <item x="4578"/>
        <item x="5176"/>
        <item x="4656"/>
        <item x="4179"/>
        <item x="242"/>
        <item x="4393"/>
        <item x="2584"/>
        <item x="5132"/>
        <item x="2297"/>
        <item x="3632"/>
        <item x="3368"/>
        <item x="4714"/>
        <item x="3279"/>
        <item x="2954"/>
        <item x="3510"/>
        <item x="0"/>
        <item x="2611"/>
        <item x="3326"/>
        <item x="4754"/>
        <item x="3545"/>
        <item x="734"/>
        <item x="1247"/>
        <item x="1365"/>
        <item x="4287"/>
        <item x="705"/>
        <item x="2701"/>
        <item x="3467"/>
        <item x="2809"/>
        <item x="5573"/>
        <item x="527"/>
        <item x="6440"/>
        <item x="4217"/>
        <item x="2445"/>
        <item x="6874"/>
        <item x="263"/>
        <item x="6675"/>
        <item x="405"/>
        <item x="2108"/>
        <item x="4770"/>
        <item x="6113"/>
        <item x="5477"/>
        <item x="2820"/>
        <item x="4449"/>
        <item x="2995"/>
        <item x="5488"/>
        <item x="1993"/>
        <item x="1248"/>
        <item x="2180"/>
        <item x="6912"/>
        <item x="5110"/>
        <item x="2187"/>
        <item x="5139"/>
        <item x="2397"/>
        <item x="6330"/>
        <item x="3980"/>
        <item x="1109"/>
        <item x="4228"/>
        <item x="2686"/>
        <item x="6596"/>
        <item x="4366"/>
        <item x="271"/>
        <item x="6040"/>
        <item x="3982"/>
        <item x="3186"/>
        <item x="3386"/>
        <item x="5744"/>
        <item x="5644"/>
        <item x="48"/>
        <item x="2004"/>
        <item x="4561"/>
        <item x="2478"/>
        <item x="2485"/>
        <item x="1585"/>
        <item x="5288"/>
        <item x="2376"/>
        <item x="1013"/>
        <item x="170"/>
        <item x="3321"/>
        <item x="5536"/>
        <item x="6753"/>
        <item x="5234"/>
        <item x="2962"/>
        <item x="3344"/>
        <item x="4389"/>
        <item x="422"/>
        <item x="2632"/>
        <item x="4074"/>
        <item x="632"/>
        <item x="4519"/>
        <item x="5205"/>
        <item x="3222"/>
        <item x="1182"/>
        <item x="6756"/>
        <item x="5264"/>
        <item x="3472"/>
        <item x="205"/>
        <item x="1567"/>
        <item x="1435"/>
        <item x="3182"/>
        <item x="4066"/>
        <item x="1382"/>
        <item x="3677"/>
        <item x="1338"/>
        <item x="3848"/>
        <item x="4372"/>
        <item x="6925"/>
        <item x="2730"/>
        <item x="2014"/>
        <item x="852"/>
        <item x="6571"/>
        <item x="1918"/>
        <item x="3796"/>
        <item x="6998"/>
        <item x="768"/>
        <item x="2456"/>
        <item x="2109"/>
        <item x="1981"/>
        <item x="6090"/>
        <item x="3251"/>
        <item x="3831"/>
        <item x="3917"/>
        <item x="2461"/>
        <item x="6338"/>
        <item x="5312"/>
        <item x="5162"/>
        <item x="1360"/>
        <item x="1099"/>
        <item x="1347"/>
        <item x="6434"/>
        <item x="6595"/>
        <item x="4294"/>
        <item x="2596"/>
        <item x="3492"/>
        <item x="4144"/>
        <item x="4283"/>
        <item x="6404"/>
        <item x="2927"/>
        <item x="4984"/>
        <item x="2901"/>
        <item x="3484"/>
        <item x="6926"/>
        <item x="2073"/>
        <item x="2575"/>
        <item x="7025"/>
        <item x="445"/>
        <item x="5232"/>
        <item x="4009"/>
        <item x="2533"/>
        <item x="6799"/>
        <item x="47"/>
        <item x="4762"/>
        <item x="5042"/>
        <item x="964"/>
        <item x="2896"/>
        <item x="4570"/>
        <item x="1423"/>
        <item x="2852"/>
        <item x="1069"/>
        <item x="3297"/>
        <item x="1548"/>
        <item x="1892"/>
        <item x="4130"/>
        <item x="3243"/>
        <item x="6155"/>
        <item x="2903"/>
        <item x="6494"/>
        <item x="431"/>
        <item x="498"/>
        <item x="3802"/>
        <item x="3298"/>
        <item x="4551"/>
        <item x="6954"/>
        <item x="1782"/>
        <item x="5476"/>
        <item x="3"/>
        <item x="4499"/>
        <item x="6326"/>
        <item x="2615"/>
        <item x="135"/>
        <item x="1747"/>
        <item x="3471"/>
        <item x="2119"/>
        <item x="502"/>
        <item x="4783"/>
        <item x="5100"/>
        <item x="5661"/>
        <item x="5167"/>
        <item x="4722"/>
        <item x="4801"/>
        <item x="6819"/>
        <item x="4702"/>
        <item x="4630"/>
        <item x="765"/>
        <item x="3558"/>
        <item x="4439"/>
        <item x="6240"/>
        <item x="5714"/>
        <item x="208"/>
        <item x="3668"/>
        <item x="3661"/>
        <item x="1305"/>
        <item x="2058"/>
        <item x="656"/>
        <item x="4914"/>
        <item x="6778"/>
        <item x="5229"/>
        <item x="210"/>
        <item x="5207"/>
        <item x="3233"/>
        <item x="136"/>
        <item x="6368"/>
        <item x="1144"/>
        <item x="4965"/>
        <item x="4951"/>
        <item x="6880"/>
        <item x="4483"/>
        <item x="2888"/>
        <item x="5797"/>
        <item x="2422"/>
        <item x="3059"/>
        <item x="5479"/>
        <item x="4166"/>
        <item x="1800"/>
        <item x="3575"/>
        <item x="1407"/>
        <item x="3791"/>
        <item x="1022"/>
        <item x="4870"/>
        <item x="3423"/>
        <item x="6292"/>
        <item x="1872"/>
        <item x="2340"/>
        <item x="875"/>
        <item x="5845"/>
        <item x="1529"/>
        <item x="2473"/>
        <item x="6696"/>
        <item x="5424"/>
        <item x="5537"/>
        <item x="1514"/>
        <item x="5885"/>
        <item x="2711"/>
        <item x="3178"/>
        <item x="8"/>
        <item x="1967"/>
        <item x="1453"/>
        <item x="6683"/>
        <item x="1505"/>
        <item x="3135"/>
        <item x="5315"/>
        <item x="2070"/>
        <item x="4342"/>
        <item x="1530"/>
        <item x="851"/>
        <item x="4472"/>
        <item x="2746"/>
        <item x="4987"/>
        <item x="415"/>
        <item x="4242"/>
        <item x="6391"/>
        <item x="6889"/>
        <item x="2880"/>
        <item x="3030"/>
        <item x="3593"/>
        <item x="4214"/>
        <item x="2170"/>
        <item x="2314"/>
        <item x="710"/>
        <item x="5411"/>
        <item x="6761"/>
        <item x="5402"/>
        <item x="2702"/>
        <item x="1861"/>
        <item x="1600"/>
        <item x="1354"/>
        <item x="876"/>
        <item x="6460"/>
        <item x="3919"/>
        <item x="5938"/>
        <item x="2196"/>
        <item x="6878"/>
        <item x="635"/>
        <item x="6747"/>
        <item x="6730"/>
        <item x="1650"/>
        <item x="2542"/>
        <item x="5525"/>
        <item x="3914"/>
        <item x="6824"/>
        <item x="3239"/>
        <item x="1958"/>
        <item x="3139"/>
        <item x="5854"/>
        <item x="762"/>
        <item x="485"/>
        <item x="3794"/>
        <item x="4477"/>
        <item x="820"/>
        <item x="6815"/>
        <item x="6284"/>
        <item x="2148"/>
        <item x="1214"/>
        <item x="4050"/>
        <item x="338"/>
        <item x="2357"/>
        <item x="409"/>
        <item x="5728"/>
        <item x="3146"/>
        <item x="1287"/>
        <item x="2458"/>
        <item x="6388"/>
        <item x="3884"/>
        <item x="2560"/>
        <item x="2057"/>
        <item x="892"/>
        <item x="4224"/>
        <item x="4350"/>
        <item x="1990"/>
        <item x="4583"/>
        <item x="6636"/>
        <item x="2154"/>
        <item x="6027"/>
        <item x="4973"/>
        <item x="3893"/>
        <item x="5126"/>
        <item x="50"/>
        <item x="3890"/>
        <item x="5129"/>
        <item x="1485"/>
        <item x="1613"/>
        <item x="189"/>
        <item x="5957"/>
        <item x="5115"/>
        <item x="1989"/>
        <item x="5553"/>
        <item x="4678"/>
        <item x="73"/>
        <item x="5528"/>
        <item x="5886"/>
        <item x="6176"/>
        <item x="5511"/>
        <item x="2122"/>
        <item x="5914"/>
        <item x="1385"/>
        <item x="3608"/>
        <item x="683"/>
        <item x="4851"/>
        <item x="5715"/>
        <item x="4404"/>
        <item x="3225"/>
        <item x="5217"/>
        <item x="2989"/>
        <item x="5497"/>
        <item x="5596"/>
        <item x="5704"/>
        <item x="5065"/>
        <item x="6534"/>
        <item x="2128"/>
        <item x="5302"/>
        <item x="1833"/>
        <item x="5279"/>
        <item x="3317"/>
        <item x="2926"/>
        <item x="1381"/>
        <item x="5157"/>
        <item x="4550"/>
        <item x="5982"/>
        <item x="2267"/>
        <item x="4596"/>
        <item x="6871"/>
        <item x="5365"/>
        <item x="5790"/>
        <item x="529"/>
        <item x="2234"/>
        <item x="1884"/>
        <item x="3057"/>
        <item x="6788"/>
        <item x="6351"/>
        <item x="5258"/>
        <item x="2207"/>
        <item x="6348"/>
        <item x="1829"/>
        <item x="6687"/>
        <item x="4664"/>
        <item x="6959"/>
        <item x="3003"/>
        <item x="6068"/>
        <item x="2002"/>
        <item x="2092"/>
        <item x="1183"/>
        <item x="12"/>
        <item x="5150"/>
        <item x="660"/>
        <item x="1523"/>
        <item x="6060"/>
        <item x="2228"/>
        <item x="301"/>
        <item x="810"/>
        <item x="5804"/>
        <item x="2030"/>
        <item x="655"/>
        <item x="3876"/>
        <item x="3647"/>
        <item x="4210"/>
        <item x="6690"/>
        <item x="81"/>
        <item x="5148"/>
        <item x="424"/>
        <item x="6186"/>
        <item x="1121"/>
        <item x="3056"/>
        <item x="5023"/>
        <item x="999"/>
        <item x="3248"/>
        <item x="5382"/>
        <item x="4864"/>
        <item x="2678"/>
        <item x="2545"/>
        <item x="5800"/>
        <item x="5558"/>
        <item x="548"/>
        <item x="4004"/>
        <item x="4800"/>
        <item x="1031"/>
        <item x="3599"/>
        <item x="2867"/>
        <item x="6818"/>
        <item x="5039"/>
        <item x="3204"/>
        <item x="2693"/>
        <item x="1583"/>
        <item x="4044"/>
        <item x="6950"/>
        <item x="1698"/>
        <item x="2134"/>
        <item x="4032"/>
        <item x="6456"/>
        <item x="4968"/>
        <item x="981"/>
        <item x="2660"/>
        <item x="4690"/>
        <item x="187"/>
        <item x="39"/>
        <item x="5708"/>
        <item x="3229"/>
        <item x="5523"/>
        <item x="3426"/>
        <item x="2555"/>
        <item x="4922"/>
        <item x="303"/>
        <item x="2218"/>
        <item x="6724"/>
        <item x="1943"/>
        <item x="834"/>
        <item x="3377"/>
        <item x="3086"/>
        <item x="1651"/>
        <item x="4277"/>
        <item x="4841"/>
        <item x="16"/>
        <item x="3828"/>
        <item x="2309"/>
        <item x="2607"/>
        <item x="5119"/>
        <item x="4363"/>
        <item x="3540"/>
        <item x="1917"/>
        <item x="295"/>
        <item x="5703"/>
        <item x="382"/>
        <item x="1461"/>
        <item x="494"/>
        <item x="3215"/>
        <item x="607"/>
        <item x="4249"/>
        <item x="595"/>
        <item x="4370"/>
        <item x="6793"/>
        <item x="6902"/>
        <item x="5569"/>
        <item x="2566"/>
        <item x="6830"/>
        <item x="4671"/>
        <item x="3638"/>
        <item x="2165"/>
        <item x="6423"/>
        <item x="1187"/>
        <item x="4172"/>
        <item x="749"/>
        <item x="4753"/>
        <item x="6406"/>
        <item x="2716"/>
        <item x="1724"/>
        <item x="1940"/>
        <item x="281"/>
        <item x="3473"/>
        <item x="2389"/>
        <item x="5357"/>
        <item x="1903"/>
        <item x="2892"/>
        <item x="2564"/>
        <item x="5849"/>
        <item x="4462"/>
        <item x="4911"/>
        <item x="1019"/>
        <item x="2511"/>
        <item x="1586"/>
        <item x="6637"/>
        <item x="2636"/>
        <item x="1127"/>
        <item x="5090"/>
        <item x="4481"/>
        <item x="1557"/>
        <item x="3767"/>
        <item x="3901"/>
        <item x="689"/>
        <item x="2426"/>
        <item x="4084"/>
        <item x="2554"/>
        <item x="6233"/>
        <item x="302"/>
        <item x="1934"/>
        <item x="6907"/>
        <item x="1205"/>
        <item x="576"/>
        <item x="2019"/>
        <item x="3325"/>
        <item x="5889"/>
        <item x="4447"/>
        <item x="3928"/>
        <item x="1828"/>
        <item x="2080"/>
        <item x="6681"/>
        <item x="1150"/>
        <item x="4993"/>
        <item x="5147"/>
        <item x="2742"/>
        <item x="3495"/>
        <item x="2028"/>
        <item x="2032"/>
        <item x="4024"/>
        <item x="2120"/>
        <item x="4955"/>
        <item x="5368"/>
        <item x="455"/>
        <item x="2428"/>
        <item x="5069"/>
        <item x="4193"/>
        <item x="6585"/>
        <item x="5657"/>
        <item x="6078"/>
        <item x="2593"/>
        <item x="5220"/>
        <item x="4496"/>
        <item x="3716"/>
        <item x="1027"/>
        <item x="1046"/>
        <item x="706"/>
        <item x="6047"/>
        <item x="1682"/>
        <item x="3126"/>
        <item x="2209"/>
        <item x="3779"/>
        <item x="698"/>
        <item x="6606"/>
        <item x="1723"/>
        <item x="2869"/>
        <item x="2657"/>
        <item x="4810"/>
        <item x="4820"/>
        <item x="1830"/>
        <item x="997"/>
        <item x="988"/>
        <item x="7030"/>
        <item x="6076"/>
        <item x="488"/>
        <item x="854"/>
        <item x="3822"/>
        <item x="1726"/>
        <item x="4558"/>
        <item x="2217"/>
        <item x="3330"/>
        <item x="1778"/>
        <item x="5203"/>
        <item x="2107"/>
        <item x="2586"/>
        <item x="1587"/>
        <item x="3832"/>
        <item x="1661"/>
        <item x="954"/>
        <item x="1288"/>
        <item x="3167"/>
        <item x="3512"/>
        <item x="3117"/>
        <item x="523"/>
        <item x="5921"/>
        <item x="1177"/>
        <item x="3455"/>
        <item x="1787"/>
        <item x="2299"/>
        <item x="118"/>
        <item x="6609"/>
        <item x="4883"/>
        <item x="4874"/>
        <item x="643"/>
        <item x="748"/>
        <item x="2424"/>
        <item x="6254"/>
        <item x="4446"/>
        <item x="6453"/>
        <item x="4309"/>
        <item x="3461"/>
        <item x="2661"/>
        <item x="4397"/>
        <item x="3552"/>
        <item x="5936"/>
        <item x="2668"/>
        <item x="4355"/>
        <item x="2805"/>
        <item x="2499"/>
        <item x="3393"/>
        <item x="720"/>
        <item x="1025"/>
        <item x="3840"/>
        <item x="6779"/>
        <item x="4669"/>
        <item x="3749"/>
        <item x="6813"/>
        <item x="1441"/>
        <item x="6785"/>
        <item x="3651"/>
        <item x="4134"/>
        <item x="2662"/>
        <item x="4650"/>
        <item x="7024"/>
        <item x="5542"/>
        <item x="1112"/>
        <item x="5798"/>
        <item x="6840"/>
        <item x="1944"/>
        <item x="949"/>
        <item x="3712"/>
        <item x="6971"/>
        <item x="6739"/>
        <item x="5472"/>
        <item x="4138"/>
        <item x="1265"/>
        <item x="2450"/>
        <item x="5242"/>
        <item x="5246"/>
        <item x="5409"/>
        <item x="2211"/>
        <item x="6182"/>
        <item x="1223"/>
        <item x="1818"/>
        <item x="3382"/>
        <item x="2307"/>
        <item x="2703"/>
        <item x="4825"/>
        <item x="6393"/>
        <item x="3032"/>
        <item x="4612"/>
        <item x="5909"/>
        <item x="3964"/>
        <item x="1300"/>
        <item x="1528"/>
        <item x="2194"/>
        <item x="510"/>
        <item x="1743"/>
        <item x="5102"/>
        <item x="2042"/>
        <item x="201"/>
        <item x="4734"/>
        <item x="5089"/>
        <item x="2192"/>
        <item x="3203"/>
        <item x="2306"/>
        <item x="6193"/>
        <item x="2823"/>
        <item x="6679"/>
        <item x="2640"/>
        <item x="5112"/>
        <item x="1894"/>
        <item x="3193"/>
        <item x="1999"/>
        <item x="2529"/>
        <item x="4903"/>
        <item x="3451"/>
        <item x="4008"/>
        <item x="5787"/>
        <item x="6094"/>
        <item x="3806"/>
        <item x="5972"/>
        <item x="1646"/>
        <item x="4505"/>
        <item x="4274"/>
        <item x="948"/>
        <item x="132"/>
        <item x="3889"/>
        <item x="1088"/>
        <item x="6682"/>
        <item x="5194"/>
        <item x="450"/>
        <item x="1691"/>
        <item x="4972"/>
        <item x="6219"/>
        <item x="108"/>
        <item x="3731"/>
        <item x="980"/>
        <item x="1486"/>
        <item x="525"/>
        <item x="4485"/>
        <item x="6373"/>
        <item x="5879"/>
        <item x="3469"/>
        <item x="2132"/>
        <item x="3790"/>
        <item x="3754"/>
        <item x="2216"/>
        <item x="4178"/>
        <item x="1384"/>
        <item x="2488"/>
        <item x="3594"/>
        <item x="1777"/>
        <item x="2065"/>
        <item x="3801"/>
        <item x="324"/>
        <item x="4120"/>
        <item x="4765"/>
        <item x="66"/>
        <item x="2684"/>
        <item x="4423"/>
        <item x="5417"/>
        <item x="3773"/>
        <item x="4805"/>
        <item x="3079"/>
        <item x="5249"/>
        <item x="6444"/>
        <item x="95"/>
        <item x="4898"/>
        <item x="1703"/>
        <item x="4376"/>
        <item x="3799"/>
        <item x="4473"/>
        <item x="5763"/>
        <item x="278"/>
        <item x="1733"/>
        <item x="6327"/>
        <item x="2961"/>
        <item x="6165"/>
        <item x="6324"/>
        <item x="4418"/>
        <item x="6100"/>
        <item x="3355"/>
        <item x="1089"/>
        <item x="5438"/>
        <item x="5777"/>
        <item x="3414"/>
        <item x="27"/>
        <item x="6413"/>
        <item x="2532"/>
        <item x="4128"/>
        <item x="4513"/>
        <item x="606"/>
        <item x="5378"/>
        <item x="6708"/>
        <item x="512"/>
        <item x="3116"/>
        <item x="5759"/>
        <item x="4354"/>
        <item x="1449"/>
        <item x="6957"/>
        <item x="4087"/>
        <item x="6602"/>
        <item x="3333"/>
        <item x="5792"/>
        <item x="1483"/>
        <item x="4839"/>
        <item x="2163"/>
        <item x="4661"/>
        <item x="4614"/>
        <item x="322"/>
        <item x="4200"/>
        <item x="5718"/>
        <item x="3610"/>
        <item x="6499"/>
        <item x="6548"/>
        <item x="3503"/>
        <item x="1280"/>
        <item x="850"/>
        <item x="1392"/>
        <item x="4848"/>
        <item x="3041"/>
        <item x="1100"/>
        <item x="5447"/>
        <item x="3936"/>
        <item x="3580"/>
        <item x="6638"/>
        <item x="6786"/>
        <item x="4855"/>
        <item x="4757"/>
        <item x="766"/>
        <item x="5313"/>
        <item x="427"/>
        <item x="3583"/>
        <item x="6344"/>
        <item x="1946"/>
        <item x="3019"/>
        <item x="2501"/>
        <item x="6844"/>
        <item x="5079"/>
        <item x="6956"/>
        <item x="2345"/>
        <item x="4751"/>
        <item x="3023"/>
        <item x="4662"/>
        <item x="5287"/>
        <item x="5541"/>
        <item x="4567"/>
        <item x="3821"/>
        <item x="4723"/>
        <item x="5727"/>
        <item x="3422"/>
        <item x="3906"/>
        <item x="5546"/>
        <item x="3648"/>
        <item x="1421"/>
        <item x="586"/>
        <item x="6313"/>
        <item x="4615"/>
        <item x="663"/>
        <item x="5940"/>
        <item x="6072"/>
        <item x="4775"/>
        <item x="6451"/>
        <item x="1761"/>
        <item x="2616"/>
        <item x="56"/>
        <item x="29"/>
        <item x="5016"/>
        <item x="7015"/>
        <item x="2031"/>
        <item x="6080"/>
        <item x="5231"/>
        <item x="1149"/>
        <item x="6354"/>
        <item x="20"/>
        <item x="5074"/>
        <item x="1266"/>
        <item x="5263"/>
        <item x="4658"/>
        <item x="2656"/>
        <item x="388"/>
        <item x="6438"/>
        <item x="6810"/>
        <item x="1415"/>
        <item x="4743"/>
        <item x="3952"/>
        <item x="1120"/>
        <item x="6854"/>
        <item x="6644"/>
        <item x="3776"/>
        <item x="1283"/>
        <item x="2934"/>
        <item x="3841"/>
        <item x="3241"/>
        <item x="1146"/>
        <item x="5144"/>
        <item x="4510"/>
        <item x="3106"/>
        <item x="3107"/>
        <item x="927"/>
        <item x="4272"/>
        <item x="3665"/>
        <item x="4257"/>
        <item x="1005"/>
        <item x="2118"/>
        <item x="1501"/>
        <item x="3812"/>
        <item x="6209"/>
        <item x="5291"/>
        <item x="6608"/>
        <item x="773"/>
        <item x="1098"/>
        <item x="2402"/>
        <item x="5485"/>
        <item x="5545"/>
        <item x="1878"/>
        <item x="1145"/>
        <item x="6311"/>
        <item x="452"/>
        <item x="4747"/>
        <item x="3235"/>
        <item x="3923"/>
        <item x="3924"/>
        <item x="3242"/>
        <item x="4777"/>
        <item x="2819"/>
        <item x="800"/>
        <item x="6009"/>
        <item x="5571"/>
        <item x="2011"/>
        <item x="40"/>
        <item x="2551"/>
        <item x="3973"/>
        <item x="2510"/>
        <item x="2889"/>
        <item x="3349"/>
        <item x="6305"/>
        <item x="3775"/>
        <item x="4151"/>
        <item x="4884"/>
        <item x="6232"/>
        <item x="5098"/>
        <item x="2182"/>
        <item x="3375"/>
        <item x="5731"/>
        <item x="1633"/>
        <item x="1066"/>
        <item x="6356"/>
        <item x="4739"/>
        <item x="2434"/>
        <item x="3752"/>
        <item x="1732"/>
        <item x="2141"/>
        <item x="3004"/>
        <item x="468"/>
        <item x="1475"/>
        <item x="1980"/>
        <item x="6145"/>
        <item x="3262"/>
        <item x="3142"/>
        <item x="5707"/>
        <item x="6310"/>
        <item x="537"/>
        <item x="4303"/>
        <item x="3166"/>
        <item x="5869"/>
        <item x="5395"/>
        <item x="4116"/>
        <item x="3538"/>
        <item x="3959"/>
        <item x="1000"/>
        <item x="1686"/>
        <item x="970"/>
        <item x="4990"/>
        <item x="2509"/>
        <item x="2850"/>
        <item x="2757"/>
        <item x="6836"/>
        <item x="2522"/>
        <item x="1709"/>
        <item x="232"/>
        <item x="3903"/>
        <item x="919"/>
        <item x="5029"/>
        <item x="1193"/>
        <item x="3932"/>
        <item x="2125"/>
        <item x="6307"/>
        <item x="1316"/>
        <item x="2318"/>
        <item x="3446"/>
        <item x="1739"/>
        <item x="2086"/>
        <item x="1836"/>
        <item x="5407"/>
        <item x="2279"/>
        <item x="5616"/>
        <item x="1801"/>
        <item x="5076"/>
        <item x="347"/>
        <item x="1190"/>
        <item x="6546"/>
        <item x="1462"/>
        <item x="3955"/>
        <item x="2129"/>
        <item x="894"/>
        <item x="6736"/>
        <item x="4712"/>
        <item x="3565"/>
        <item x="505"/>
        <item x="2411"/>
        <item x="357"/>
        <item x="2110"/>
        <item x="1282"/>
        <item x="5175"/>
        <item x="6139"/>
        <item x="5470"/>
        <item x="1147"/>
        <item x="6800"/>
        <item x="5344"/>
        <item x="160"/>
        <item x="4838"/>
        <item x="4890"/>
        <item x="2974"/>
        <item x="1082"/>
        <item x="6204"/>
        <item x="4566"/>
        <item x="1369"/>
        <item x="6153"/>
        <item x="6744"/>
        <item x="6935"/>
        <item x="2627"/>
        <item x="4308"/>
        <item x="3912"/>
        <item x="4164"/>
        <item x="3588"/>
        <item x="3520"/>
        <item x="5296"/>
        <item x="4211"/>
        <item x="3532"/>
        <item x="4534"/>
        <item x="2254"/>
        <item x="4208"/>
        <item x="5959"/>
        <item x="1086"/>
        <item x="4394"/>
        <item x="6933"/>
        <item x="3738"/>
        <item x="1427"/>
        <item x="985"/>
        <item x="5171"/>
        <item x="2436"/>
        <item x="5355"/>
        <item x="3388"/>
        <item x="1430"/>
        <item x="7003"/>
        <item x="6280"/>
        <item x="4246"/>
        <item x="3205"/>
        <item x="358"/>
        <item x="3721"/>
        <item x="4533"/>
        <item x="243"/>
        <item x="4833"/>
        <item x="1717"/>
        <item x="2162"/>
        <item x="430"/>
        <item x="3817"/>
        <item x="5812"/>
        <item x="2498"/>
        <item x="2497"/>
        <item x="4627"/>
        <item x="1225"/>
        <item x="366"/>
        <item x="5094"/>
        <item x="153"/>
        <item x="6243"/>
        <item x="466"/>
        <item x="2063"/>
        <item x="6842"/>
        <item x="2518"/>
        <item x="4573"/>
        <item x="2744"/>
        <item x="1199"/>
        <item x="1383"/>
        <item x="6023"/>
        <item x="1218"/>
        <item x="672"/>
        <item x="2840"/>
        <item x="486"/>
        <item x="5386"/>
        <item x="3161"/>
        <item x="3148"/>
        <item x="828"/>
        <item x="2369"/>
        <item x="5801"/>
        <item x="4780"/>
        <item x="5667"/>
        <item x="4998"/>
        <item x="5562"/>
        <item x="6898"/>
        <item x="990"/>
        <item x="5299"/>
        <item x="5813"/>
        <item x="3040"/>
        <item x="6088"/>
        <item x="5844"/>
        <item x="5614"/>
        <item x="961"/>
        <item x="2329"/>
        <item x="3307"/>
        <item x="3346"/>
        <item x="1166"/>
        <item x="5519"/>
        <item x="4688"/>
        <item x="6822"/>
        <item x="4352"/>
        <item x="1281"/>
        <item x="4295"/>
        <item x="4273"/>
        <item x="2471"/>
        <item x="3750"/>
        <item x="2548"/>
        <item x="6430"/>
        <item x="4113"/>
        <item x="3311"/>
        <item x="2000"/>
        <item x="4060"/>
        <item x="204"/>
        <item x="4141"/>
        <item x="3286"/>
        <item x="825"/>
        <item x="2253"/>
        <item x="5000"/>
        <item x="5593"/>
        <item x="2567"/>
        <item x="2308"/>
        <item x="1668"/>
        <item x="2787"/>
        <item x="156"/>
        <item x="2271"/>
        <item x="3826"/>
        <item x="1080"/>
        <item x="4262"/>
        <item x="2817"/>
        <item x="1794"/>
        <item x="2033"/>
        <item x="6821"/>
        <item x="3098"/>
        <item x="6447"/>
        <item x="196"/>
        <item x="4879"/>
        <item x="5975"/>
        <item x="4099"/>
        <item x="6117"/>
        <item x="82"/>
        <item x="3292"/>
        <item x="921"/>
        <item x="4813"/>
        <item x="2487"/>
        <item x="1516"/>
        <item x="4328"/>
        <item x="3706"/>
        <item x="6588"/>
        <item x="5859"/>
        <item x="3699"/>
        <item x="1250"/>
        <item x="2443"/>
        <item x="6464"/>
        <item x="3066"/>
        <item x="1677"/>
        <item x="891"/>
        <item x="239"/>
        <item x="5358"/>
        <item x="5367"/>
        <item x="832"/>
        <item x="5215"/>
        <item x="6491"/>
        <item x="4"/>
        <item x="2262"/>
        <item x="4957"/>
        <item x="1476"/>
        <item x="593"/>
        <item x="6614"/>
        <item x="6096"/>
        <item x="6293"/>
        <item x="5726"/>
        <item x="2352"/>
        <item x="6039"/>
        <item x="4156"/>
        <item x="1572"/>
        <item x="4585"/>
        <item x="3481"/>
        <item x="5105"/>
        <item x="6623"/>
        <item x="1936"/>
        <item x="1336"/>
        <item x="1353"/>
        <item x="6798"/>
        <item x="4507"/>
        <item x="1313"/>
        <item x="3892"/>
        <item x="5524"/>
        <item x="7017"/>
        <item x="3158"/>
        <item x="1889"/>
        <item x="533"/>
        <item x="1467"/>
        <item x="216"/>
        <item x="6335"/>
        <item x="5453"/>
        <item x="1477"/>
        <item x="360"/>
        <item x="2610"/>
        <item x="2153"/>
        <item x="4729"/>
        <item x="4792"/>
        <item x="2090"/>
        <item x="5"/>
        <item x="3809"/>
        <item x="2372"/>
        <item x="5255"/>
        <item x="3598"/>
        <item x="1549"/>
        <item x="1507"/>
        <item x="2371"/>
        <item x="6543"/>
        <item x="6480"/>
        <item x="200"/>
        <item x="1518"/>
        <item x="1123"/>
        <item x="6332"/>
        <item x="6469"/>
        <item x="6508"/>
        <item x="5618"/>
        <item x="1401"/>
        <item x="2288"/>
        <item x="877"/>
        <item x="6994"/>
        <item x="2966"/>
        <item x="3875"/>
        <item x="1413"/>
        <item x="1834"/>
        <item x="3761"/>
        <item x="4339"/>
        <item x="5911"/>
        <item x="4709"/>
        <item x="2959"/>
        <item x="1852"/>
        <item x="1158"/>
        <item x="4251"/>
        <item x="4675"/>
        <item x="1014"/>
        <item x="4236"/>
        <item x="6943"/>
        <item x="3975"/>
        <item x="1680"/>
        <item x="2311"/>
        <item x="5004"/>
        <item x="182"/>
        <item x="982"/>
        <item x="2838"/>
        <item x="2800"/>
        <item x="3614"/>
        <item x="6242"/>
        <item x="2769"/>
        <item x="3666"/>
        <item x="5199"/>
        <item x="330"/>
        <item x="3755"/>
        <item x="5678"/>
        <item x="6673"/>
        <item x="6472"/>
        <item x="3111"/>
        <item x="1574"/>
        <item x="3424"/>
        <item x="1016"/>
        <item x="5838"/>
        <item x="2721"/>
        <item x="614"/>
        <item x="1104"/>
        <item x="6911"/>
        <item x="474"/>
        <item x="5895"/>
        <item x="3463"/>
        <item x="5070"/>
        <item x="2503"/>
        <item x="1242"/>
        <item x="220"/>
        <item x="633"/>
        <item x="6670"/>
        <item x="514"/>
        <item x="1349"/>
        <item x="4553"/>
        <item x="4653"/>
        <item x="5927"/>
        <item x="3642"/>
        <item x="51"/>
        <item x="2349"/>
        <item x="4626"/>
        <item x="2003"/>
        <item x="3460"/>
        <item x="1380"/>
        <item x="5595"/>
        <item x="2930"/>
        <item x="1746"/>
        <item x="5327"/>
        <item x="401"/>
        <item x="2967"/>
        <item x="5635"/>
        <item x="6045"/>
        <item x="119"/>
        <item x="3584"/>
        <item x="952"/>
        <item x="700"/>
        <item x="6820"/>
        <item x="3637"/>
        <item x="2915"/>
        <item x="2677"/>
        <item x="5372"/>
        <item x="3151"/>
        <item x="1638"/>
        <item x="3873"/>
        <item x="1757"/>
        <item x="4629"/>
        <item x="4010"/>
        <item x="3526"/>
        <item x="4856"/>
        <item x="750"/>
        <item x="5276"/>
        <item x="1463"/>
        <item x="3814"/>
        <item x="2430"/>
        <item x="2648"/>
        <item x="3697"/>
        <item x="5420"/>
        <item x="6727"/>
        <item x="3683"/>
        <item x="41"/>
        <item x="4488"/>
        <item x="959"/>
        <item x="1640"/>
        <item x="2441"/>
        <item x="3322"/>
        <item x="6458"/>
        <item x="5339"/>
        <item x="1469"/>
        <item x="5448"/>
        <item x="1971"/>
        <item x="331"/>
        <item x="4607"/>
        <item x="3067"/>
        <item x="5037"/>
        <item x="5906"/>
        <item x="3569"/>
        <item x="5991"/>
        <item x="1621"/>
        <item x="3811"/>
        <item x="774"/>
        <item x="2760"/>
        <item x="5817"/>
        <item x="5164"/>
        <item x="2694"/>
        <item x="4687"/>
        <item x="2853"/>
        <item x="284"/>
        <item x="2997"/>
        <item x="252"/>
        <item x="4748"/>
        <item x="1391"/>
        <item x="4515"/>
        <item x="4047"/>
        <item x="2891"/>
        <item x="1003"/>
        <item x="6071"/>
        <item x="5336"/>
        <item x="6443"/>
        <item x="5266"/>
        <item x="6710"/>
        <item x="1277"/>
        <item x="2755"/>
        <item x="3701"/>
        <item x="2250"/>
        <item x="3587"/>
        <item x="6290"/>
        <item x="4464"/>
        <item x="3618"/>
        <item x="1431"/>
        <item x="6773"/>
        <item x="6952"/>
        <item x="6483"/>
        <item x="574"/>
        <item x="2344"/>
        <item x="3578"/>
        <item x="1136"/>
        <item x="2243"/>
        <item x="5607"/>
        <item x="6573"/>
        <item x="4819"/>
        <item x="116"/>
        <item x="5303"/>
        <item x="2508"/>
        <item x="2650"/>
        <item x="662"/>
        <item x="4807"/>
        <item x="2364"/>
        <item x="368"/>
        <item x="5535"/>
        <item x="6766"/>
        <item x="639"/>
        <item x="5509"/>
        <item x="1858"/>
        <item x="649"/>
        <item x="3457"/>
        <item x="283"/>
        <item x="1096"/>
        <item x="2276"/>
        <item x="4033"/>
        <item x="5853"/>
        <item x="5679"/>
        <item x="6991"/>
        <item x="2477"/>
        <item x="6940"/>
        <item x="6672"/>
        <item x="5254"/>
        <item x="3967"/>
        <item x="4971"/>
        <item x="6607"/>
        <item x="2565"/>
        <item x="377"/>
        <item x="3803"/>
        <item x="2417"/>
        <item x="6087"/>
        <item x="1804"/>
        <item x="6892"/>
        <item x="6407"/>
        <item x="5538"/>
        <item x="1945"/>
        <item x="3383"/>
        <item x="6574"/>
        <item x="3397"/>
        <item x="2904"/>
        <item x="3254"/>
        <item x="691"/>
        <item x="2409"/>
        <item x="2580"/>
        <item x="6081"/>
        <item x="925"/>
        <item x="4238"/>
        <item x="3284"/>
        <item x="6561"/>
        <item x="3370"/>
        <item x="5852"/>
        <item x="3772"/>
        <item x="5099"/>
        <item x="5754"/>
        <item x="1870"/>
        <item x="5366"/>
        <item x="6124"/>
        <item x="343"/>
        <item x="2699"/>
        <item x="3301"/>
        <item x="3582"/>
        <item x="5521"/>
        <item x="6449"/>
        <item x="1063"/>
        <item x="4527"/>
        <item x="5716"/>
        <item x="829"/>
        <item x="1550"/>
        <item x="4495"/>
        <item x="1663"/>
        <item x="3310"/>
        <item x="5985"/>
        <item x="711"/>
        <item x="6337"/>
        <item x="4045"/>
        <item x="4006"/>
        <item x="2502"/>
        <item x="5603"/>
        <item x="2676"/>
        <item x="1968"/>
        <item x="3560"/>
        <item x="193"/>
        <item x="1269"/>
        <item x="6223"/>
        <item x="3001"/>
        <item x="4520"/>
        <item x="5371"/>
        <item x="6069"/>
        <item x="4986"/>
        <item x="5880"/>
        <item x="4799"/>
        <item x="6601"/>
        <item x="5003"/>
        <item x="5293"/>
        <item x="6843"/>
        <item x="5380"/>
        <item x="3922"/>
        <item x="1727"/>
        <item x="5599"/>
        <item x="4331"/>
        <item x="5278"/>
        <item x="7008"/>
        <item x="3246"/>
        <item x="5931"/>
        <item x="6020"/>
        <item x="5408"/>
        <item x="5397"/>
        <item x="6355"/>
        <item x="4640"/>
        <item x="2029"/>
        <item x="3260"/>
        <item x="4946"/>
        <item x="6482"/>
        <item x="5738"/>
        <item x="4250"/>
        <item x="4815"/>
        <item x="4297"/>
        <item x="2049"/>
        <item x="899"/>
        <item x="3640"/>
        <item x="6757"/>
        <item x="4158"/>
        <item x="1094"/>
        <item x="2836"/>
        <item x="4881"/>
        <item x="6259"/>
        <item x="6416"/>
        <item x="2906"/>
        <item x="107"/>
        <item x="5643"/>
        <item x="3669"/>
        <item x="3121"/>
        <item x="2346"/>
        <item x="5026"/>
        <item x="5765"/>
        <item x="3441"/>
        <item x="10"/>
        <item x="1107"/>
        <item x="1524"/>
        <item x="3168"/>
        <item x="7022"/>
        <item x="3986"/>
        <item x="5458"/>
        <item x="6604"/>
        <item x="3798"/>
        <item x="391"/>
        <item x="6408"/>
        <item x="2316"/>
        <item x="859"/>
        <item x="1466"/>
        <item x="846"/>
        <item x="2113"/>
        <item x="4094"/>
        <item x="5955"/>
        <item x="2980"/>
        <item x="5398"/>
        <item x="2124"/>
        <item x="5338"/>
        <item x="1312"/>
        <item x="1367"/>
        <item x="6093"/>
        <item x="1297"/>
        <item x="4962"/>
        <item x="2543"/>
        <item x="2339"/>
        <item x="2193"/>
        <item x="1537"/>
        <item x="3491"/>
        <item x="4648"/>
        <item x="5962"/>
        <item x="5621"/>
        <item x="6551"/>
        <item x="2438"/>
        <item x="96"/>
        <item x="1734"/>
        <item x="2114"/>
        <item x="1480"/>
        <item x="6102"/>
        <item x="4773"/>
        <item x="3329"/>
        <item x="1554"/>
        <item x="3617"/>
        <item x="6775"/>
        <item x="3497"/>
        <item x="4139"/>
        <item x="5829"/>
        <item x="2383"/>
        <item x="3736"/>
        <item x="3995"/>
        <item x="1206"/>
        <item x="1457"/>
        <item x="2527"/>
        <item x="1988"/>
        <item x="6537"/>
        <item x="2884"/>
        <item x="1310"/>
        <item x="359"/>
        <item x="6026"/>
        <item x="4434"/>
        <item x="7009"/>
        <item x="2782"/>
        <item x="5294"/>
        <item x="5709"/>
        <item x="5152"/>
        <item x="4925"/>
        <item x="3112"/>
        <item x="1075"/>
        <item x="6755"/>
        <item x="5822"/>
        <item x="3563"/>
        <item x="94"/>
        <item x="6706"/>
        <item x="878"/>
        <item x="1473"/>
        <item x="6378"/>
        <item x="5360"/>
        <item x="3945"/>
        <item x="3853"/>
        <item x="6751"/>
        <item x="5310"/>
        <item x="1210"/>
        <item x="42"/>
        <item x="5814"/>
        <item x="6772"/>
        <item x="791"/>
        <item x="5847"/>
        <item x="5146"/>
        <item x="1079"/>
        <item x="321"/>
        <item x="6070"/>
        <item x="1386"/>
        <item x="3305"/>
        <item x="1984"/>
        <item x="6615"/>
        <item x="962"/>
        <item x="2190"/>
        <item x="6366"/>
        <item x="1883"/>
        <item x="4633"/>
        <item x="4368"/>
        <item x="1211"/>
        <item x="2410"/>
        <item x="237"/>
        <item x="944"/>
        <item x="1579"/>
        <item x="3180"/>
        <item x="3147"/>
        <item x="5032"/>
        <item x="5925"/>
        <item x="6694"/>
        <item x="6758"/>
        <item x="2230"/>
        <item x="2075"/>
        <item x="3421"/>
        <item x="83"/>
        <item x="5425"/>
        <item x="6321"/>
        <item x="2480"/>
        <item x="6109"/>
        <item x="803"/>
        <item x="5036"/>
        <item x="6742"/>
        <item x="2727"/>
        <item x="3088"/>
        <item x="630"/>
        <item x="5609"/>
        <item x="6245"/>
        <item x="3226"/>
        <item x="1867"/>
        <item x="4062"/>
        <item x="3918"/>
        <item x="6832"/>
        <item x="5092"/>
        <item x="5890"/>
        <item x="716"/>
        <item x="861"/>
        <item x="6895"/>
        <item x="247"/>
        <item x="1036"/>
        <item x="4431"/>
        <item x="2630"/>
        <item x="4201"/>
        <item x="1545"/>
        <item x="5839"/>
        <item x="17"/>
        <item x="2043"/>
        <item x="6221"/>
        <item x="1706"/>
        <item x="4673"/>
        <item x="393"/>
        <item x="1285"/>
        <item x="5446"/>
        <item x="5929"/>
        <item x="1506"/>
        <item x="4794"/>
        <item x="6962"/>
        <item x="4090"/>
        <item x="4237"/>
        <item x="4931"/>
        <item x="697"/>
        <item x="6619"/>
        <item x="5750"/>
        <item x="3624"/>
        <item x="3601"/>
        <item x="2870"/>
        <item x="1256"/>
        <item x="1991"/>
        <item x="1629"/>
        <item t="default"/>
      </items>
    </pivotField>
    <pivotField showAll="0"/>
    <pivotField showAll="0"/>
    <pivotField showAll="0">
      <items count="5">
        <item x="2"/>
        <item x="3"/>
        <item x="0"/>
        <item x="1"/>
        <item t="default"/>
      </items>
    </pivotField>
    <pivotField showAll="0"/>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6017">
        <item x="1584"/>
        <item x="1112"/>
        <item x="4383"/>
        <item x="572"/>
        <item x="1661"/>
        <item x="2875"/>
        <item x="362"/>
        <item x="1736"/>
        <item x="306"/>
        <item x="1996"/>
        <item x="2381"/>
        <item x="100"/>
        <item x="1663"/>
        <item x="533"/>
        <item x="404"/>
        <item x="1015"/>
        <item x="3176"/>
        <item x="127"/>
        <item x="2480"/>
        <item x="500"/>
        <item x="403"/>
        <item x="3809"/>
        <item x="779"/>
        <item x="650"/>
        <item x="2985"/>
        <item x="22"/>
        <item x="33"/>
        <item x="291"/>
        <item x="3045"/>
        <item x="1338"/>
        <item x="486"/>
        <item x="677"/>
        <item x="2641"/>
        <item x="1401"/>
        <item x="4603"/>
        <item x="681"/>
        <item x="3770"/>
        <item x="198"/>
        <item x="742"/>
        <item x="4964"/>
        <item x="1848"/>
        <item x="2575"/>
        <item x="1807"/>
        <item x="1849"/>
        <item x="1039"/>
        <item x="5268"/>
        <item x="3503"/>
        <item x="3623"/>
        <item x="5963"/>
        <item x="3604"/>
        <item x="3001"/>
        <item x="3410"/>
        <item x="869"/>
        <item x="1950"/>
        <item x="3969"/>
        <item x="184"/>
        <item x="5204"/>
        <item x="2790"/>
        <item x="2936"/>
        <item x="2859"/>
        <item x="1282"/>
        <item x="1285"/>
        <item x="210"/>
        <item x="5688"/>
        <item x="371"/>
        <item x="279"/>
        <item x="2247"/>
        <item x="3840"/>
        <item x="1452"/>
        <item x="5331"/>
        <item x="3408"/>
        <item x="5274"/>
        <item x="0"/>
        <item x="3536"/>
        <item x="179"/>
        <item x="27"/>
        <item x="5934"/>
        <item x="3348"/>
        <item x="1122"/>
        <item x="3768"/>
        <item x="1623"/>
        <item x="4966"/>
        <item x="5415"/>
        <item x="2325"/>
        <item x="132"/>
        <item x="1105"/>
        <item x="4371"/>
        <item x="2292"/>
        <item x="4577"/>
        <item x="4137"/>
        <item x="2407"/>
        <item x="1094"/>
        <item x="3103"/>
        <item x="4261"/>
        <item x="2250"/>
        <item x="876"/>
        <item x="5056"/>
        <item x="569"/>
        <item x="4749"/>
        <item x="20"/>
        <item x="646"/>
        <item x="4181"/>
        <item x="590"/>
        <item x="452"/>
        <item x="2403"/>
        <item x="250"/>
        <item x="705"/>
        <item x="1417"/>
        <item x="3182"/>
        <item x="1493"/>
        <item x="2864"/>
        <item x="2963"/>
        <item x="5338"/>
        <item x="689"/>
        <item x="3384"/>
        <item x="4123"/>
        <item x="4921"/>
        <item x="3573"/>
        <item x="1771"/>
        <item x="1565"/>
        <item x="1721"/>
        <item x="2065"/>
        <item x="384"/>
        <item x="1785"/>
        <item x="4414"/>
        <item x="3078"/>
        <item x="5132"/>
        <item x="4801"/>
        <item x="817"/>
        <item x="2022"/>
        <item x="3455"/>
        <item x="2664"/>
        <item x="5507"/>
        <item x="927"/>
        <item x="2239"/>
        <item x="318"/>
        <item x="3207"/>
        <item x="3165"/>
        <item x="1755"/>
        <item x="1205"/>
        <item x="1754"/>
        <item x="1770"/>
        <item x="2177"/>
        <item x="34"/>
        <item x="180"/>
        <item x="3630"/>
        <item x="2818"/>
        <item x="1787"/>
        <item x="583"/>
        <item x="146"/>
        <item x="634"/>
        <item x="3516"/>
        <item x="2836"/>
        <item x="1182"/>
        <item x="1778"/>
        <item x="4828"/>
        <item x="1769"/>
        <item x="3061"/>
        <item x="1753"/>
        <item x="4841"/>
        <item x="246"/>
        <item x="2848"/>
        <item x="3765"/>
        <item x="1699"/>
        <item x="3302"/>
        <item x="2296"/>
        <item x="5617"/>
        <item x="2547"/>
        <item x="70"/>
        <item x="5484"/>
        <item x="549"/>
        <item x="980"/>
        <item x="3310"/>
        <item x="4898"/>
        <item x="831"/>
        <item x="4946"/>
        <item x="1853"/>
        <item x="2157"/>
        <item x="673"/>
        <item x="1328"/>
        <item x="1389"/>
        <item x="2045"/>
        <item x="1600"/>
        <item x="5831"/>
        <item x="1372"/>
        <item x="5556"/>
        <item x="3627"/>
        <item x="3140"/>
        <item x="376"/>
        <item x="5166"/>
        <item x="3253"/>
        <item x="836"/>
        <item x="1832"/>
        <item x="2141"/>
        <item x="1429"/>
        <item x="764"/>
        <item x="2858"/>
        <item x="4890"/>
        <item x="4283"/>
        <item x="4580"/>
        <item x="2015"/>
        <item x="4778"/>
        <item x="5723"/>
        <item x="2424"/>
        <item x="3089"/>
        <item x="465"/>
        <item x="433"/>
        <item x="225"/>
        <item x="2951"/>
        <item x="2555"/>
        <item x="5280"/>
        <item x="2264"/>
        <item x="2484"/>
        <item x="4845"/>
        <item x="3419"/>
        <item x="5648"/>
        <item x="3912"/>
        <item x="2944"/>
        <item x="3454"/>
        <item x="1552"/>
        <item x="2569"/>
        <item x="4010"/>
        <item x="145"/>
        <item x="2298"/>
        <item x="3084"/>
        <item x="2823"/>
        <item x="4385"/>
        <item x="739"/>
        <item x="5417"/>
        <item x="2896"/>
        <item x="1345"/>
        <item x="1658"/>
        <item x="573"/>
        <item x="4234"/>
        <item x="1144"/>
        <item x="2270"/>
        <item x="2009"/>
        <item x="1436"/>
        <item x="2817"/>
        <item x="4193"/>
        <item x="5691"/>
        <item x="1843"/>
        <item x="3559"/>
        <item x="1210"/>
        <item x="4208"/>
        <item x="5397"/>
        <item x="1795"/>
        <item x="937"/>
        <item x="1237"/>
        <item x="5111"/>
        <item x="3804"/>
        <item x="5652"/>
        <item x="3404"/>
        <item x="3032"/>
        <item x="5720"/>
        <item x="5599"/>
        <item x="1278"/>
        <item x="4060"/>
        <item x="665"/>
        <item x="2372"/>
        <item x="440"/>
        <item x="1659"/>
        <item x="4561"/>
        <item x="5884"/>
        <item x="1985"/>
        <item x="3143"/>
        <item x="3999"/>
        <item x="946"/>
        <item x="1904"/>
        <item x="284"/>
        <item x="1796"/>
        <item x="2447"/>
        <item x="2242"/>
        <item x="1768"/>
        <item x="3058"/>
        <item x="4446"/>
        <item x="4016"/>
        <item x="4520"/>
        <item x="138"/>
        <item x="3670"/>
        <item x="2028"/>
        <item x="271"/>
        <item x="5996"/>
        <item x="4146"/>
        <item x="5239"/>
        <item x="551"/>
        <item x="3484"/>
        <item x="2154"/>
        <item x="2687"/>
        <item x="672"/>
        <item x="3357"/>
        <item x="3311"/>
        <item x="1979"/>
        <item x="2166"/>
        <item x="1707"/>
        <item x="341"/>
        <item x="5416"/>
        <item x="2705"/>
        <item x="890"/>
        <item x="295"/>
        <item x="4814"/>
        <item x="1271"/>
        <item x="3695"/>
        <item x="1240"/>
        <item x="3465"/>
        <item x="2366"/>
        <item x="1941"/>
        <item x="481"/>
        <item x="2628"/>
        <item x="4702"/>
        <item x="2160"/>
        <item x="639"/>
        <item x="91"/>
        <item x="1164"/>
        <item x="1495"/>
        <item x="4931"/>
        <item x="660"/>
        <item x="453"/>
        <item x="414"/>
        <item x="1863"/>
        <item x="1526"/>
        <item x="1864"/>
        <item x="1734"/>
        <item x="3056"/>
        <item x="4981"/>
        <item x="4348"/>
        <item x="1207"/>
        <item x="4937"/>
        <item x="1350"/>
        <item x="4938"/>
        <item x="1728"/>
        <item x="5396"/>
        <item x="5697"/>
        <item x="2324"/>
        <item x="3994"/>
        <item x="5504"/>
        <item x="3687"/>
        <item x="5438"/>
        <item x="2355"/>
        <item x="3043"/>
        <item x="5286"/>
        <item x="3570"/>
        <item x="3540"/>
        <item x="4236"/>
        <item x="3206"/>
        <item x="3424"/>
        <item x="1581"/>
        <item x="3228"/>
        <item x="847"/>
        <item x="1318"/>
        <item x="5347"/>
        <item x="80"/>
        <item x="4950"/>
        <item x="2084"/>
        <item x="2807"/>
        <item x="1815"/>
        <item x="4660"/>
        <item x="2690"/>
        <item x="2204"/>
        <item x="206"/>
        <item x="1995"/>
        <item x="668"/>
        <item x="4670"/>
        <item x="3523"/>
        <item x="2223"/>
        <item x="1167"/>
        <item x="3906"/>
        <item x="5363"/>
        <item x="1058"/>
        <item x="3568"/>
        <item x="2741"/>
        <item x="3555"/>
        <item x="1842"/>
        <item x="4861"/>
        <item x="1277"/>
        <item x="2554"/>
        <item x="3013"/>
        <item x="3121"/>
        <item x="2662"/>
        <item x="919"/>
        <item x="5603"/>
        <item x="2195"/>
        <item x="123"/>
        <item x="3309"/>
        <item x="4037"/>
        <item x="2811"/>
        <item x="230"/>
        <item x="4790"/>
        <item x="2470"/>
        <item x="5159"/>
        <item x="525"/>
        <item x="4095"/>
        <item x="1458"/>
        <item x="3079"/>
        <item x="2243"/>
        <item x="574"/>
        <item x="1580"/>
        <item x="5109"/>
        <item x="2565"/>
        <item x="953"/>
        <item x="3198"/>
        <item x="5730"/>
        <item x="3899"/>
        <item x="2269"/>
        <item x="387"/>
        <item x="133"/>
        <item x="1532"/>
        <item x="2822"/>
        <item x="2261"/>
        <item x="5685"/>
        <item x="3885"/>
        <item x="2786"/>
        <item x="256"/>
        <item x="2966"/>
        <item x="4345"/>
        <item x="4713"/>
        <item x="2968"/>
        <item x="630"/>
        <item x="5806"/>
        <item x="2967"/>
        <item x="823"/>
        <item x="1286"/>
        <item x="4677"/>
        <item x="4240"/>
        <item x="5424"/>
        <item x="940"/>
        <item x="3795"/>
        <item x="760"/>
        <item x="2486"/>
        <item x="1689"/>
        <item x="378"/>
        <item x="4982"/>
        <item x="186"/>
        <item x="2082"/>
        <item x="1490"/>
        <item x="209"/>
        <item x="5394"/>
        <item x="4545"/>
        <item x="2751"/>
        <item x="3199"/>
        <item x="5403"/>
        <item x="1886"/>
        <item x="2956"/>
        <item x="4265"/>
        <item x="5587"/>
        <item x="2427"/>
        <item x="3425"/>
        <item x="3104"/>
        <item x="5874"/>
        <item x="1971"/>
        <item x="2572"/>
        <item x="2125"/>
        <item x="4542"/>
        <item x="4019"/>
        <item x="5336"/>
        <item x="648"/>
        <item x="1227"/>
        <item x="2072"/>
        <item x="3599"/>
        <item x="1036"/>
        <item x="2954"/>
        <item x="3488"/>
        <item x="46"/>
        <item x="1957"/>
        <item x="3841"/>
        <item x="4440"/>
        <item x="1633"/>
        <item x="3749"/>
        <item x="794"/>
        <item x="3316"/>
        <item x="2075"/>
        <item x="576"/>
        <item x="1215"/>
        <item x="1909"/>
        <item x="2097"/>
        <item x="355"/>
        <item x="1758"/>
        <item x="2577"/>
        <item x="5592"/>
        <item x="715"/>
        <item x="5165"/>
        <item x="3569"/>
        <item x="2986"/>
        <item x="2132"/>
        <item x="845"/>
        <item x="1457"/>
        <item x="5081"/>
        <item x="4249"/>
        <item x="3495"/>
        <item x="852"/>
        <item x="97"/>
        <item x="4112"/>
        <item x="5887"/>
        <item x="3539"/>
        <item x="5982"/>
        <item x="426"/>
        <item x="2"/>
        <item x="5295"/>
        <item x="3628"/>
        <item x="233"/>
        <item x="3456"/>
        <item x="2934"/>
        <item x="3101"/>
        <item x="1427"/>
        <item x="5293"/>
        <item x="4410"/>
        <item x="4991"/>
        <item x="5483"/>
        <item x="5819"/>
        <item x="2900"/>
        <item x="5653"/>
        <item x="5080"/>
        <item x="5892"/>
        <item x="5662"/>
        <item x="3244"/>
        <item x="1392"/>
        <item x="2041"/>
        <item x="454"/>
        <item x="483"/>
        <item x="153"/>
        <item x="5351"/>
        <item x="3129"/>
        <item x="2332"/>
        <item x="2977"/>
        <item x="2953"/>
        <item x="5241"/>
        <item x="1651"/>
        <item x="757"/>
        <item x="1102"/>
        <item x="104"/>
        <item x="2064"/>
        <item x="1936"/>
        <item x="4742"/>
        <item x="5828"/>
        <item x="4163"/>
        <item x="258"/>
        <item x="5437"/>
        <item x="4935"/>
        <item x="2573"/>
        <item x="5696"/>
        <item x="120"/>
        <item x="2649"/>
        <item x="2020"/>
        <item x="1937"/>
        <item x="3842"/>
        <item x="3418"/>
        <item x="776"/>
        <item x="5104"/>
        <item x="3213"/>
        <item x="3667"/>
        <item x="4084"/>
        <item x="3830"/>
        <item x="1585"/>
        <item x="5065"/>
        <item x="4787"/>
        <item x="1988"/>
        <item x="936"/>
        <item x="1505"/>
        <item x="4327"/>
        <item x="4072"/>
        <item x="2567"/>
        <item x="707"/>
        <item x="1945"/>
        <item x="2410"/>
        <item x="1948"/>
        <item x="975"/>
        <item x="5859"/>
        <item x="2221"/>
        <item x="3200"/>
        <item x="4486"/>
        <item x="3618"/>
        <item x="4338"/>
        <item x="654"/>
        <item x="161"/>
        <item x="1035"/>
        <item x="3392"/>
        <item x="1270"/>
        <item x="3549"/>
        <item x="612"/>
        <item x="5536"/>
        <item x="3882"/>
        <item x="3786"/>
        <item x="3278"/>
        <item x="967"/>
        <item x="323"/>
        <item x="249"/>
        <item x="5431"/>
        <item x="4"/>
        <item x="3051"/>
        <item x="3572"/>
        <item x="4317"/>
        <item x="490"/>
        <item x="3908"/>
        <item x="3151"/>
        <item x="4499"/>
        <item x="3399"/>
        <item x="1463"/>
        <item x="4538"/>
        <item x="2970"/>
        <item x="3191"/>
        <item x="4600"/>
        <item x="5404"/>
        <item x="3222"/>
        <item x="484"/>
        <item x="1528"/>
        <item x="2780"/>
        <item x="5629"/>
        <item x="4160"/>
        <item x="5198"/>
        <item x="683"/>
        <item x="1780"/>
        <item x="1013"/>
        <item x="3100"/>
        <item x="4140"/>
        <item x="3430"/>
        <item x="2362"/>
        <item x="2037"/>
        <item x="2054"/>
        <item x="1181"/>
        <item x="5277"/>
        <item x="1607"/>
        <item x="5846"/>
        <item x="1824"/>
        <item x="2529"/>
        <item x="4224"/>
        <item x="327"/>
        <item x="2288"/>
        <item x="1393"/>
        <item x="4558"/>
        <item x="5307"/>
        <item x="2098"/>
        <item x="5847"/>
        <item x="3564"/>
        <item x="642"/>
        <item x="2229"/>
        <item x="1434"/>
        <item x="4932"/>
        <item x="2266"/>
        <item x="773"/>
        <item x="5442"/>
        <item x="4364"/>
        <item x="1384"/>
        <item x="4456"/>
        <item x="3933"/>
        <item x="4627"/>
        <item x="884"/>
        <item x="5637"/>
        <item x="523"/>
        <item x="1291"/>
        <item x="985"/>
        <item x="1216"/>
        <item x="1915"/>
        <item x="4735"/>
        <item x="724"/>
        <item x="2049"/>
        <item x="330"/>
        <item x="47"/>
        <item x="1858"/>
        <item x="3396"/>
        <item x="1046"/>
        <item x="1596"/>
        <item x="4012"/>
        <item x="3953"/>
        <item x="2304"/>
        <item x="2320"/>
        <item x="1851"/>
        <item x="758"/>
        <item x="1290"/>
        <item x="5731"/>
        <item x="5527"/>
        <item x="2990"/>
        <item x="2804"/>
        <item x="2797"/>
        <item x="3279"/>
        <item x="2145"/>
        <item x="1387"/>
        <item x="1648"/>
        <item x="2167"/>
        <item x="3074"/>
        <item x="3964"/>
        <item x="1064"/>
        <item x="4868"/>
        <item x="4406"/>
        <item x="3758"/>
        <item x="2846"/>
        <item x="1869"/>
        <item x="366"/>
        <item x="2551"/>
        <item x="3323"/>
        <item x="5620"/>
        <item x="1797"/>
        <item x="796"/>
        <item x="3275"/>
        <item x="3586"/>
        <item x="3946"/>
        <item x="5282"/>
        <item x="1668"/>
        <item x="3637"/>
        <item x="1303"/>
        <item x="1197"/>
        <item x="2231"/>
        <item x="3699"/>
        <item x="2076"/>
        <item x="3565"/>
        <item x="2792"/>
        <item x="2337"/>
        <item x="3441"/>
        <item x="636"/>
        <item x="1024"/>
        <item x="3519"/>
        <item x="1468"/>
        <item x="736"/>
        <item x="1108"/>
        <item x="342"/>
        <item x="3369"/>
        <item x="4147"/>
        <item x="3186"/>
        <item x="2852"/>
        <item x="1998"/>
        <item x="2763"/>
        <item x="3315"/>
        <item x="1703"/>
        <item x="656"/>
        <item x="1380"/>
        <item x="2374"/>
        <item x="4498"/>
        <item x="4753"/>
        <item x="2783"/>
        <item x="4274"/>
        <item x="4070"/>
        <item x="1355"/>
        <item x="5501"/>
        <item x="498"/>
        <item x="3635"/>
        <item x="5260"/>
        <item x="2898"/>
        <item x="1109"/>
        <item x="4404"/>
        <item x="31"/>
        <item x="709"/>
        <item x="5579"/>
        <item x="5463"/>
        <item x="939"/>
        <item x="2645"/>
        <item x="670"/>
        <item x="74"/>
        <item x="1827"/>
        <item x="2328"/>
        <item x="2101"/>
        <item x="2225"/>
        <item x="4143"/>
        <item x="3785"/>
        <item x="690"/>
        <item x="3401"/>
        <item x="1019"/>
        <item x="5792"/>
        <item x="3225"/>
        <item x="252"/>
        <item x="5003"/>
        <item x="1275"/>
        <item x="2431"/>
        <item x="221"/>
        <item x="4395"/>
        <item x="5182"/>
        <item x="5512"/>
        <item x="1476"/>
        <item x="4098"/>
        <item x="2510"/>
        <item x="605"/>
        <item x="5842"/>
        <item x="3126"/>
        <item x="3339"/>
        <item x="3083"/>
        <item x="621"/>
        <item x="4386"/>
        <item x="1808"/>
        <item x="1854"/>
        <item x="3374"/>
        <item x="2659"/>
        <item x="4843"/>
        <item x="3360"/>
        <item x="4571"/>
        <item x="932"/>
        <item x="638"/>
        <item x="4961"/>
        <item x="170"/>
        <item x="5809"/>
        <item x="3690"/>
        <item x="2186"/>
        <item x="1567"/>
        <item x="1165"/>
        <item x="5024"/>
        <item x="744"/>
        <item x="4308"/>
        <item x="3098"/>
        <item x="4100"/>
        <item x="4591"/>
        <item x="5837"/>
        <item x="2257"/>
        <item x="3543"/>
        <item x="473"/>
        <item x="2805"/>
        <item x="3314"/>
        <item x="2616"/>
        <item x="5354"/>
        <item x="4256"/>
        <item x="380"/>
        <item x="2789"/>
        <item x="727"/>
        <item x="396"/>
        <item x="3413"/>
        <item x="2626"/>
        <item x="4506"/>
        <item x="3468"/>
        <item x="1179"/>
        <item x="1636"/>
        <item x="4392"/>
        <item x="5767"/>
        <item x="2556"/>
        <item x="121"/>
        <item x="4102"/>
        <item x="5918"/>
        <item x="5411"/>
        <item x="5779"/>
        <item x="5218"/>
        <item x="5709"/>
        <item x="4922"/>
        <item x="762"/>
        <item x="653"/>
        <item x="3373"/>
        <item x="3204"/>
        <item x="3521"/>
        <item x="752"/>
        <item x="5768"/>
        <item x="730"/>
        <item x="679"/>
        <item x="5923"/>
        <item x="882"/>
        <item x="2004"/>
        <item x="65"/>
        <item x="5784"/>
        <item x="2993"/>
        <item x="4915"/>
        <item x="163"/>
        <item x="929"/>
        <item x="5087"/>
        <item x="3802"/>
        <item x="570"/>
        <item x="2438"/>
        <item x="5088"/>
        <item x="4659"/>
        <item x="4378"/>
        <item x="1269"/>
        <item x="4836"/>
        <item x="5998"/>
        <item x="3211"/>
        <item x="1194"/>
        <item x="4505"/>
        <item x="4984"/>
        <item x="222"/>
        <item x="2726"/>
        <item x="2405"/>
        <item x="3405"/>
        <item x="2535"/>
        <item x="4336"/>
        <item x="3985"/>
        <item x="1914"/>
        <item x="290"/>
        <item x="1845"/>
        <item x="21"/>
        <item x="5608"/>
        <item x="901"/>
        <item x="4125"/>
        <item x="5135"/>
        <item x="3987"/>
        <item x="3041"/>
        <item x="2146"/>
        <item x="510"/>
        <item x="1174"/>
        <item x="2230"/>
        <item x="1120"/>
        <item x="2453"/>
        <item x="5991"/>
        <item x="1816"/>
        <item x="5890"/>
        <item x="1496"/>
        <item x="3898"/>
        <item x="4198"/>
        <item x="2652"/>
        <item x="4388"/>
        <item x="405"/>
        <item x="5266"/>
        <item x="5031"/>
        <item x="4602"/>
        <item x="4732"/>
        <item x="896"/>
        <item x="3161"/>
        <item x="2342"/>
        <item x="3696"/>
        <item x="5940"/>
        <item x="5261"/>
        <item x="1993"/>
        <item x="3335"/>
        <item x="3524"/>
        <item x="1784"/>
        <item x="4884"/>
        <item x="3220"/>
        <item x="5193"/>
        <item x="276"/>
        <item x="1195"/>
        <item x="4025"/>
        <item x="3397"/>
        <item x="4610"/>
        <item x="1847"/>
        <item x="1673"/>
        <item x="4228"/>
        <item x="3030"/>
        <item x="2665"/>
        <item x="187"/>
        <item x="1625"/>
        <item x="3651"/>
        <item x="158"/>
        <item x="1148"/>
        <item x="4062"/>
        <item x="4739"/>
        <item x="4186"/>
        <item x="2336"/>
        <item x="1441"/>
        <item x="962"/>
        <item x="2155"/>
        <item x="961"/>
        <item x="586"/>
        <item x="4343"/>
        <item x="2058"/>
        <item x="2490"/>
        <item x="5115"/>
        <item x="995"/>
        <item x="2624"/>
        <item x="2451"/>
        <item x="5224"/>
        <item x="6006"/>
        <item x="2459"/>
        <item x="5319"/>
        <item x="4869"/>
        <item x="1248"/>
        <item x="1127"/>
        <item x="5322"/>
        <item x="114"/>
        <item x="599"/>
        <item x="1723"/>
        <item x="775"/>
        <item x="2913"/>
        <item x="2869"/>
        <item x="3027"/>
        <item x="2757"/>
        <item x="3601"/>
        <item x="3673"/>
        <item x="5738"/>
        <item x="1344"/>
        <item x="1740"/>
        <item x="1470"/>
        <item x="5226"/>
        <item x="2847"/>
        <item x="4115"/>
        <item x="1100"/>
        <item x="3852"/>
        <item x="5114"/>
        <item x="1818"/>
        <item x="5796"/>
        <item x="3417"/>
        <item x="1497"/>
        <item x="970"/>
        <item x="1062"/>
        <item x="1975"/>
        <item x="5855"/>
        <item x="2213"/>
        <item x="1892"/>
        <item x="2506"/>
        <item x="219"/>
        <item x="3873"/>
        <item x="5220"/>
        <item x="1310"/>
        <item x="1406"/>
        <item x="2117"/>
        <item x="5344"/>
        <item x="165"/>
        <item x="5194"/>
        <item x="2911"/>
        <item x="1652"/>
        <item x="841"/>
        <item x="749"/>
        <item x="4657"/>
        <item x="1464"/>
        <item x="4403"/>
        <item x="5125"/>
        <item x="5368"/>
        <item x="3389"/>
        <item x="2420"/>
        <item x="1200"/>
        <item x="1156"/>
        <item x="5211"/>
        <item x="2701"/>
        <item x="1516"/>
        <item x="1934"/>
        <item x="1507"/>
        <item x="3363"/>
        <item x="3050"/>
        <item x="4745"/>
        <item x="3486"/>
        <item x="234"/>
        <item x="2530"/>
        <item x="540"/>
        <item x="4717"/>
        <item x="4126"/>
        <item x="2940"/>
        <item x="5956"/>
        <item x="7"/>
        <item x="1637"/>
        <item x="2314"/>
        <item x="4683"/>
        <item x="913"/>
        <item x="2508"/>
        <item x="3638"/>
        <item x="4573"/>
        <item x="2477"/>
        <item x="4159"/>
        <item x="5830"/>
        <item x="3063"/>
        <item x="2590"/>
        <item x="3481"/>
        <item x="243"/>
        <item x="2136"/>
        <item x="3911"/>
        <item x="3978"/>
        <item x="2610"/>
        <item x="2102"/>
        <item x="11"/>
        <item x="3409"/>
        <item x="3509"/>
        <item x="2031"/>
        <item x="3807"/>
        <item x="5434"/>
        <item x="2839"/>
        <item x="2901"/>
        <item x="3913"/>
        <item x="3248"/>
        <item x="3608"/>
        <item x="824"/>
        <item x="1007"/>
        <item x="3223"/>
        <item x="1664"/>
        <item x="3725"/>
        <item x="2596"/>
        <item x="2849"/>
        <item x="3038"/>
        <item x="4859"/>
        <item x="4006"/>
        <item x="3701"/>
        <item x="3216"/>
        <item x="1309"/>
        <item x="5152"/>
        <item x="3221"/>
        <item x="814"/>
        <item x="5800"/>
        <item x="237"/>
        <item x="2853"/>
        <item x="3016"/>
        <item x="1616"/>
        <item x="5895"/>
        <item x="3924"/>
        <item x="4002"/>
        <item x="803"/>
        <item x="3031"/>
        <item x="1608"/>
        <item x="2606"/>
        <item x="1606"/>
        <item x="1221"/>
        <item x="2747"/>
        <item x="3416"/>
        <item x="3071"/>
        <item x="832"/>
        <item x="5921"/>
        <item x="843"/>
        <item x="1390"/>
        <item x="4230"/>
        <item x="666"/>
        <item x="4390"/>
        <item x="2417"/>
        <item x="5553"/>
        <item x="6014"/>
        <item x="168"/>
        <item x="5375"/>
        <item x="3258"/>
        <item x="2925"/>
        <item x="5618"/>
        <item x="5063"/>
        <item x="3936"/>
        <item x="5250"/>
        <item x="2809"/>
        <item x="277"/>
        <item x="1342"/>
        <item x="5627"/>
        <item x="5308"/>
        <item x="910"/>
        <item x="3457"/>
        <item x="4820"/>
        <item x="3527"/>
        <item x="5894"/>
        <item x="4349"/>
        <item x="2163"/>
        <item x="2844"/>
        <item x="1647"/>
        <item x="908"/>
        <item x="2774"/>
        <item x="3257"/>
        <item x="349"/>
        <item x="5596"/>
        <item x="2958"/>
        <item x="1963"/>
        <item x="4319"/>
        <item x="1540"/>
        <item x="2040"/>
        <item x="2866"/>
        <item x="2173"/>
        <item x="706"/>
        <item x="2066"/>
        <item x="4248"/>
        <item x="4630"/>
        <item x="609"/>
        <item x="4716"/>
        <item x="309"/>
        <item x="2712"/>
        <item x="2579"/>
        <item x="1597"/>
        <item x="2281"/>
        <item x="5585"/>
        <item x="4524"/>
        <item x="4842"/>
        <item x="1461"/>
        <item x="36"/>
        <item x="1592"/>
        <item x="1480"/>
        <item x="1322"/>
        <item x="508"/>
        <item x="1895"/>
        <item x="464"/>
        <item x="2759"/>
        <item x="5232"/>
        <item x="4407"/>
        <item x="4450"/>
        <item x="2942"/>
        <item x="42"/>
        <item x="1994"/>
        <item x="4901"/>
        <item x="122"/>
        <item x="5872"/>
        <item x="4156"/>
        <item x="3120"/>
        <item x="4227"/>
        <item x="1352"/>
        <item x="5306"/>
        <item x="571"/>
        <item x="4796"/>
        <item x="1763"/>
        <item x="2123"/>
        <item x="2285"/>
        <item x="807"/>
        <item x="2487"/>
        <item x="1524"/>
        <item x="3528"/>
        <item x="3796"/>
        <item x="2354"/>
        <item x="3231"/>
        <item x="298"/>
        <item x="2191"/>
        <item x="3724"/>
        <item x="5564"/>
        <item x="1704"/>
        <item x="4834"/>
        <item x="3487"/>
        <item x="3645"/>
        <item x="5134"/>
        <item x="3350"/>
        <item x="5632"/>
        <item x="4393"/>
        <item x="3277"/>
        <item x="3386"/>
        <item x="503"/>
        <item x="1063"/>
        <item x="4970"/>
        <item x="3092"/>
        <item x="3610"/>
        <item x="2677"/>
        <item x="4560"/>
        <item x="2052"/>
        <item x="4459"/>
        <item x="965"/>
        <item x="1073"/>
        <item x="1383"/>
        <item x="1251"/>
        <item x="388"/>
        <item x="4523"/>
        <item x="632"/>
        <item x="5734"/>
        <item x="4124"/>
        <item x="1296"/>
        <item x="1917"/>
        <item x="5230"/>
        <item x="4170"/>
        <item x="2694"/>
        <item x="4004"/>
        <item x="3558"/>
        <item x="297"/>
        <item x="5384"/>
        <item x="2086"/>
        <item x="1113"/>
        <item x="2067"/>
        <item x="4162"/>
        <item x="1881"/>
        <item x="1685"/>
        <item x="5640"/>
        <item x="950"/>
        <item x="2781"/>
        <item x="4989"/>
        <item x="915"/>
        <item x="4871"/>
        <item x="1632"/>
        <item x="2599"/>
        <item x="2516"/>
        <item x="747"/>
        <item x="399"/>
        <item x="1813"/>
        <item x="2437"/>
        <item x="2632"/>
        <item x="5735"/>
        <item x="3703"/>
        <item x="5741"/>
        <item x="826"/>
        <item x="6003"/>
        <item x="2647"/>
        <item x="2939"/>
        <item x="1346"/>
        <item x="3769"/>
        <item x="4612"/>
        <item x="1022"/>
        <item x="5689"/>
        <item x="5928"/>
        <item x="3472"/>
        <item x="4389"/>
        <item x="822"/>
        <item x="3566"/>
        <item x="310"/>
        <item x="909"/>
        <item x="3011"/>
        <item x="5372"/>
        <item x="4794"/>
        <item x="711"/>
        <item x="2909"/>
        <item x="456"/>
        <item x="1929"/>
        <item x="3337"/>
        <item x="5053"/>
        <item x="5513"/>
        <item x="418"/>
        <item x="2776"/>
        <item x="3196"/>
        <item x="1662"/>
        <item x="4957"/>
        <item x="3178"/>
        <item x="4876"/>
        <item x="1885"/>
        <item x="1618"/>
        <item x="4458"/>
        <item x="2519"/>
        <item x="1639"/>
        <item x="3442"/>
        <item x="5551"/>
        <item x="3068"/>
        <item x="4490"/>
        <item x="1511"/>
        <item x="5215"/>
        <item x="4447"/>
        <item x="3086"/>
        <item x="5018"/>
        <item x="972"/>
        <item x="641"/>
        <item x="4718"/>
        <item x="3479"/>
        <item x="3002"/>
        <item x="988"/>
        <item x="4811"/>
        <item x="2698"/>
        <item x="1403"/>
        <item x="4830"/>
        <item x="272"/>
        <item x="3934"/>
        <item x="4731"/>
        <item x="3308"/>
        <item x="3787"/>
        <item x="5382"/>
        <item x="2301"/>
        <item x="2545"/>
        <item x="1903"/>
        <item x="1010"/>
        <item x="4496"/>
        <item x="1806"/>
        <item x="3960"/>
        <item x="2905"/>
        <item x="77"/>
        <item x="319"/>
        <item x="4036"/>
        <item x="2923"/>
        <item x="1645"/>
        <item x="5158"/>
        <item x="4862"/>
        <item x="5495"/>
        <item x="680"/>
        <item x="4054"/>
        <item x="5464"/>
        <item x="156"/>
        <item x="4997"/>
        <item x="5987"/>
        <item x="559"/>
        <item x="754"/>
        <item x="2697"/>
        <item x="4872"/>
        <item x="5179"/>
        <item x="4076"/>
        <item x="3579"/>
        <item x="4226"/>
        <item x="2316"/>
        <item x="2562"/>
        <item x="286"/>
        <item x="3250"/>
        <item x="1472"/>
        <item x="1833"/>
        <item x="554"/>
        <item x="3134"/>
        <item x="1612"/>
        <item x="5692"/>
        <item x="5825"/>
        <item x="5621"/>
        <item x="2027"/>
        <item x="4927"/>
        <item x="649"/>
        <item x="5294"/>
        <item x="3107"/>
        <item x="4352"/>
        <item x="1522"/>
        <item x="4024"/>
        <item x="1766"/>
        <item x="5049"/>
        <item x="4492"/>
        <item x="3175"/>
        <item x="2297"/>
        <item x="5123"/>
        <item x="5128"/>
        <item x="2764"/>
        <item x="4741"/>
        <item x="5426"/>
        <item x="1163"/>
        <item x="3861"/>
        <item x="5419"/>
        <item x="394"/>
        <item x="4135"/>
        <item x="3776"/>
        <item x="5520"/>
        <item x="4987"/>
        <item x="5904"/>
        <item x="2033"/>
        <item x="1504"/>
        <item x="5811"/>
        <item x="4305"/>
        <item x="4229"/>
        <item x="5148"/>
        <item x="2570"/>
        <item x="5151"/>
        <item x="2978"/>
        <item x="5559"/>
        <item x="4194"/>
        <item x="2047"/>
        <item x="2549"/>
        <item x="911"/>
        <item x="2908"/>
        <item x="977"/>
        <item x="3477"/>
        <item x="3571"/>
        <item x="5853"/>
        <item x="4900"/>
        <item x="1391"/>
        <item x="2408"/>
        <item x="471"/>
        <item x="3075"/>
        <item x="2276"/>
        <item x="4910"/>
        <item x="3498"/>
        <item x="5705"/>
        <item x="360"/>
        <item x="5750"/>
        <item x="499"/>
        <item x="1933"/>
        <item x="4303"/>
        <item x="4848"/>
        <item x="1253"/>
        <item x="1485"/>
        <item x="2663"/>
        <item x="2917"/>
        <item x="3632"/>
        <item x="3504"/>
        <item x="1171"/>
        <item x="933"/>
        <item x="3152"/>
        <item x="552"/>
        <item x="415"/>
        <item x="3640"/>
        <item x="3886"/>
        <item x="2533"/>
        <item x="4908"/>
        <item x="2829"/>
        <item x="2092"/>
        <item x="2668"/>
        <item x="4300"/>
        <item x="5096"/>
        <item x="4972"/>
        <item x="5041"/>
        <item x="5681"/>
        <item x="40"/>
        <item x="2902"/>
        <item x="5205"/>
        <item x="3746"/>
        <item x="3242"/>
        <item x="1126"/>
        <item x="4839"/>
        <item x="1091"/>
        <item x="3615"/>
        <item x="5906"/>
        <item x="4413"/>
        <item x="735"/>
        <item x="3925"/>
        <item x="3951"/>
        <item x="858"/>
        <item x="4528"/>
        <item x="859"/>
        <item x="1198"/>
        <item x="5598"/>
        <item x="5253"/>
        <item x="2282"/>
        <item x="914"/>
        <item x="4823"/>
        <item x="521"/>
        <item x="4748"/>
        <item x="5391"/>
        <item x="2982"/>
        <item x="778"/>
        <item x="278"/>
        <item x="785"/>
        <item x="2904"/>
        <item x="838"/>
        <item x="4434"/>
        <item x="3691"/>
        <item x="2169"/>
        <item x="5059"/>
        <item x="4297"/>
        <item x="5124"/>
        <item x="329"/>
        <item x="956"/>
        <item x="1984"/>
        <item x="4802"/>
        <item x="5815"/>
        <item x="5340"/>
        <item x="4217"/>
        <item x="2061"/>
        <item x="1026"/>
        <item x="1088"/>
        <item x="5965"/>
        <item x="1234"/>
        <item x="1016"/>
        <item x="4929"/>
        <item x="4606"/>
        <item x="2308"/>
        <item x="955"/>
        <item x="4426"/>
        <item x="82"/>
        <item x="2263"/>
        <item x="4315"/>
        <item x="3065"/>
        <item x="3752"/>
        <item x="2291"/>
        <item x="1530"/>
        <item x="2744"/>
        <item x="4035"/>
        <item x="2931"/>
        <item x="470"/>
        <item x="1348"/>
        <item x="5916"/>
        <item x="5300"/>
        <item x="1272"/>
        <item x="5813"/>
        <item x="5262"/>
        <item x="176"/>
        <item x="3939"/>
        <item x="4652"/>
        <item x="3247"/>
        <item x="289"/>
        <item x="2578"/>
        <item x="5390"/>
        <item x="5568"/>
        <item x="5201"/>
        <item x="3194"/>
        <item x="4289"/>
        <item x="4648"/>
        <item x="2436"/>
        <item x="3333"/>
        <item x="2502"/>
        <item x="1488"/>
        <item x="2351"/>
        <item x="427"/>
        <item x="2988"/>
        <item x="190"/>
        <item x="2670"/>
        <item x="661"/>
        <item x="1317"/>
        <item x="2259"/>
        <item x="3261"/>
        <item x="3744"/>
        <item x="149"/>
        <item x="5675"/>
        <item x="5729"/>
        <item x="1822"/>
        <item x="608"/>
        <item x="4566"/>
        <item x="18"/>
        <item x="4943"/>
        <item x="3433"/>
        <item x="1692"/>
        <item x="1208"/>
        <item x="960"/>
        <item x="2222"/>
        <item x="81"/>
        <item x="2548"/>
        <item x="3836"/>
        <item x="2511"/>
        <item x="2634"/>
        <item x="4805"/>
        <item x="2402"/>
        <item x="5117"/>
        <item x="3276"/>
        <item x="4795"/>
        <item x="3739"/>
        <item x="3551"/>
        <item x="4567"/>
        <item x="4396"/>
        <item x="4415"/>
        <item x="3466"/>
        <item x="1873"/>
        <item x="3867"/>
        <item x="3055"/>
        <item x="5925"/>
        <item x="1880"/>
        <item x="1017"/>
        <item x="3983"/>
        <item x="1059"/>
        <item x="140"/>
        <item x="2633"/>
        <item x="1374"/>
        <item x="4374"/>
        <item x="4167"/>
        <item x="1293"/>
        <item x="1014"/>
        <item x="5699"/>
        <item x="1573"/>
        <item x="1604"/>
        <item x="710"/>
        <item x="195"/>
        <item x="5079"/>
        <item x="212"/>
        <item x="5213"/>
        <item x="1718"/>
        <item x="5808"/>
        <item x="1407"/>
        <item x="1582"/>
        <item x="600"/>
        <item x="5428"/>
        <item x="1966"/>
        <item x="4515"/>
        <item x="1086"/>
        <item x="544"/>
        <item x="2148"/>
        <item x="5386"/>
        <item x="2505"/>
        <item x="1408"/>
        <item x="862"/>
        <item x="2507"/>
        <item x="4650"/>
        <item x="2287"/>
        <item x="3587"/>
        <item x="535"/>
        <item x="4130"/>
        <item x="1160"/>
        <item x="2305"/>
        <item x="2158"/>
        <item x="285"/>
        <item x="4275"/>
        <item x="3172"/>
        <item x="4646"/>
        <item x="1599"/>
        <item x="2271"/>
        <item x="1199"/>
        <item x="1749"/>
        <item x="1397"/>
        <item x="4106"/>
        <item x="1245"/>
        <item x="2273"/>
        <item x="3150"/>
        <item x="3208"/>
        <item x="2479"/>
        <item x="5503"/>
        <item x="2096"/>
        <item x="923"/>
        <item x="5716"/>
        <item x="5170"/>
        <item x="3901"/>
        <item x="1841"/>
        <item x="2544"/>
        <item x="5849"/>
        <item x="5748"/>
        <item x="4090"/>
        <item x="2735"/>
        <item x="3096"/>
        <item x="3567"/>
        <item x="1217"/>
        <item x="3592"/>
        <item x="3595"/>
        <item x="1377"/>
        <item x="3330"/>
        <item x="4048"/>
        <item x="3272"/>
        <item x="2303"/>
        <item x="1029"/>
        <item x="3741"/>
        <item x="1920"/>
        <item x="5964"/>
        <item x="348"/>
        <item x="5583"/>
        <item x="1166"/>
        <item x="3412"/>
        <item x="3307"/>
        <item x="1239"/>
        <item x="5183"/>
        <item x="1347"/>
        <item x="466"/>
        <item x="3582"/>
        <item x="395"/>
        <item x="1288"/>
        <item x="2390"/>
        <item x="1151"/>
        <item x="3753"/>
        <item x="2172"/>
        <item x="4752"/>
        <item x="567"/>
        <item x="3844"/>
        <item x="5458"/>
        <item x="2010"/>
        <item x="1003"/>
        <item x="5333"/>
        <item x="218"/>
        <item x="5801"/>
        <item x="2383"/>
        <item x="1044"/>
        <item x="3707"/>
        <item x="2518"/>
        <item x="982"/>
        <item x="2750"/>
        <item x="53"/>
        <item x="4855"/>
        <item x="532"/>
        <item x="2755"/>
        <item x="5269"/>
        <item x="10"/>
        <item x="3124"/>
        <item x="4045"/>
        <item x="4133"/>
        <item x="2566"/>
        <item x="2814"/>
        <item x="1681"/>
        <item x="5078"/>
        <item x="5171"/>
        <item x="4672"/>
        <item x="1750"/>
        <item x="3267"/>
        <item x="2310"/>
        <item x="2745"/>
        <item x="4144"/>
        <item x="173"/>
        <item x="5701"/>
        <item x="3648"/>
        <item x="3819"/>
        <item x="1135"/>
        <item x="3403"/>
        <item x="3367"/>
        <item x="4940"/>
        <item x="3662"/>
        <item x="4497"/>
        <item x="1337"/>
        <item x="4559"/>
        <item x="5656"/>
        <item x="4818"/>
        <item x="150"/>
        <item x="957"/>
        <item x="2870"/>
        <item x="968"/>
        <item x="5714"/>
        <item x="1649"/>
        <item x="477"/>
        <item x="806"/>
        <item x="1545"/>
        <item x="5614"/>
        <item x="2210"/>
        <item x="3714"/>
        <item x="2608"/>
        <item x="5221"/>
        <item x="5644"/>
        <item x="5156"/>
        <item x="3692"/>
        <item x="4611"/>
        <item x="5496"/>
        <item x="2252"/>
        <item x="2971"/>
        <item x="181"/>
        <item x="1304"/>
        <item x="2492"/>
        <item x="1501"/>
        <item x="4598"/>
        <item x="1908"/>
        <item x="4824"/>
        <item x="365"/>
        <item x="2736"/>
        <item x="2003"/>
        <item x="4798"/>
        <item x="1557"/>
        <item x="4471"/>
        <item x="2918"/>
        <item x="2363"/>
        <item x="2323"/>
        <item x="519"/>
        <item x="4556"/>
        <item x="1038"/>
        <item x="3535"/>
        <item x="5623"/>
        <item x="5487"/>
        <item x="2892"/>
        <item x="1595"/>
        <item x="4725"/>
        <item x="4963"/>
        <item x="1236"/>
        <item x="1503"/>
        <item x="326"/>
        <item x="5591"/>
        <item x="2855"/>
        <item x="4243"/>
        <item x="5255"/>
        <item x="5497"/>
        <item x="5209"/>
        <item x="2589"/>
        <item x="457"/>
        <item x="5455"/>
        <item x="2119"/>
        <item x="2120"/>
        <item x="1333"/>
        <item x="5349"/>
        <item x="3669"/>
        <item x="1306"/>
        <item x="4832"/>
        <item x="1725"/>
        <item x="1861"/>
        <item x="4880"/>
        <item x="2456"/>
        <item x="640"/>
        <item x="1021"/>
        <item x="4913"/>
        <item x="4928"/>
        <item x="1153"/>
        <item x="5848"/>
        <item x="3538"/>
        <item x="2350"/>
        <item x="4416"/>
        <item x="242"/>
        <item x="5498"/>
        <item x="562"/>
        <item x="4056"/>
        <item x="2085"/>
        <item x="3676"/>
        <item x="5214"/>
        <item x="1099"/>
        <item x="3288"/>
        <item x="922"/>
        <item x="5999"/>
        <item x="1067"/>
        <item x="4780"/>
        <item x="5020"/>
        <item x="1405"/>
        <item x="5305"/>
        <item x="5380"/>
        <item x="4225"/>
        <item x="4774"/>
        <item x="2182"/>
        <item x="4291"/>
        <item x="2946"/>
        <item x="5240"/>
        <item x="1376"/>
        <item x="4564"/>
        <item x="463"/>
        <item x="3922"/>
        <item x="6010"/>
        <item x="5616"/>
        <item x="159"/>
        <item x="886"/>
        <item x="3772"/>
        <item x="232"/>
        <item x="1170"/>
        <item x="4618"/>
        <item x="5094"/>
        <item x="1836"/>
        <item x="604"/>
        <item x="1765"/>
        <item x="971"/>
        <item x="3415"/>
        <item x="5669"/>
        <item x="3445"/>
        <item x="998"/>
        <item x="5604"/>
        <item x="3179"/>
        <item x="584"/>
        <item x="3072"/>
        <item x="3285"/>
        <item x="4032"/>
        <item x="4730"/>
        <item x="2382"/>
        <item x="5582"/>
        <item x="430"/>
        <item x="5584"/>
        <item x="4301"/>
        <item x="3811"/>
        <item x="647"/>
        <item x="3169"/>
        <item x="5816"/>
        <item x="2275"/>
        <item x="2987"/>
        <item x="1974"/>
        <item x="4397"/>
        <item x="5575"/>
        <item x="1514"/>
        <item x="3684"/>
        <item x="2837"/>
        <item x="4129"/>
        <item x="442"/>
        <item x="5155"/>
        <item x="347"/>
        <item x="1133"/>
        <item x="1365"/>
        <item x="3054"/>
        <item x="5075"/>
        <item x="5383"/>
        <item x="2411"/>
        <item x="2137"/>
        <item x="5481"/>
        <item x="5827"/>
        <item x="5974"/>
        <item x="5064"/>
        <item x="1571"/>
        <item x="3887"/>
        <item x="5012"/>
        <item x="5243"/>
        <item x="2594"/>
        <item x="2353"/>
        <item x="275"/>
        <item x="2620"/>
        <item x="3531"/>
        <item x="548"/>
        <item x="2542"/>
        <item x="1321"/>
        <item x="5600"/>
        <item x="5968"/>
        <item x="1924"/>
        <item x="2135"/>
        <item x="3547"/>
        <item x="5945"/>
        <item x="5045"/>
        <item x="4339"/>
        <item x="5154"/>
        <item x="1030"/>
        <item x="3683"/>
        <item x="951"/>
        <item x="5997"/>
        <item x="2133"/>
        <item x="4302"/>
        <item x="2983"/>
        <item x="2643"/>
        <item x="3850"/>
        <item x="2543"/>
        <item x="3338"/>
        <item x="2114"/>
        <item x="4438"/>
        <item x="5"/>
        <item x="2630"/>
        <item x="2722"/>
        <item x="4399"/>
        <item x="69"/>
        <item x="1183"/>
        <item x="1297"/>
        <item x="4152"/>
        <item x="3344"/>
        <item x="4078"/>
        <item x="2164"/>
        <item x="2038"/>
        <item x="935"/>
        <item x="351"/>
        <item x="1921"/>
        <item x="992"/>
        <item x="4773"/>
        <item x="1617"/>
        <item x="1475"/>
        <item x="1491"/>
        <item x="4030"/>
        <item x="1789"/>
        <item x="3805"/>
        <item x="4616"/>
        <item x="428"/>
        <item x="5014"/>
        <item x="5889"/>
        <item x="5666"/>
        <item x="4825"/>
        <item x="2657"/>
        <item x="4075"/>
        <item x="4443"/>
        <item x="1349"/>
        <item x="1666"/>
        <item x="5076"/>
        <item x="4430"/>
        <item x="2642"/>
        <item x="2717"/>
        <item x="2587"/>
        <item x="1066"/>
        <item x="4467"/>
        <item x="2833"/>
        <item x="2153"/>
        <item x="1884"/>
        <item x="5181"/>
        <item x="5534"/>
        <item x="5856"/>
        <item x="5550"/>
        <item x="2302"/>
        <item x="1103"/>
        <item x="1978"/>
        <item x="947"/>
        <item x="4912"/>
        <item x="340"/>
        <item x="3636"/>
        <item x="4595"/>
        <item x="5715"/>
        <item x="1559"/>
        <item x="4311"/>
        <item x="4433"/>
        <item x="2272"/>
        <item x="2299"/>
        <item x="3133"/>
        <item x="4888"/>
        <item x="174"/>
        <item x="4892"/>
        <item x="3893"/>
        <item x="5818"/>
        <item x="3606"/>
        <item x="3914"/>
        <item x="5532"/>
        <item x="4548"/>
        <item x="4286"/>
        <item x="2615"/>
        <item x="2525"/>
        <item x="4952"/>
        <item x="1997"/>
        <item x="4061"/>
        <item x="117"/>
        <item x="1023"/>
        <item x="2466"/>
        <item x="3839"/>
        <item x="58"/>
        <item x="64"/>
        <item x="4692"/>
        <item x="2639"/>
        <item x="5102"/>
        <item x="4953"/>
        <item x="1084"/>
        <item x="627"/>
        <item x="1307"/>
        <item x="2538"/>
        <item x="4907"/>
        <item x="2349"/>
        <item x="3188"/>
        <item x="5119"/>
        <item x="4448"/>
        <item x="1313"/>
        <item x="5244"/>
        <item x="367"/>
        <item x="4983"/>
        <item x="421"/>
        <item x="4765"/>
        <item x="5674"/>
        <item x="5912"/>
        <item x="534"/>
        <item x="2435"/>
        <item x="979"/>
        <item x="4647"/>
        <item x="3379"/>
        <item x="4968"/>
        <item x="1923"/>
        <item x="352"/>
        <item x="2992"/>
        <item x="1628"/>
        <item x="4218"/>
        <item x="2504"/>
        <item x="3298"/>
        <item x="2752"/>
        <item x="5192"/>
        <item x="1157"/>
        <item x="3605"/>
        <item x="1433"/>
        <item x="5370"/>
        <item x="462"/>
        <item x="3394"/>
        <item x="585"/>
        <item x="3991"/>
        <item x="3764"/>
        <item x="350"/>
        <item x="4138"/>
        <item x="5399"/>
        <item x="3736"/>
        <item x="5385"/>
        <item x="1852"/>
        <item x="925"/>
        <item x="877"/>
        <item x="2980"/>
        <item x="5888"/>
        <item x="3491"/>
        <item x="283"/>
        <item x="2008"/>
        <item x="4797"/>
        <item x="5177"/>
        <item x="2704"/>
        <item x="3545"/>
        <item x="1369"/>
        <item x="5228"/>
        <item x="3332"/>
        <item x="3224"/>
        <item x="2910"/>
        <item x="1644"/>
        <item x="1980"/>
        <item x="85"/>
        <item x="5615"/>
        <item x="3141"/>
        <item x="3271"/>
        <item x="1587"/>
        <item x="3475"/>
        <item x="1362"/>
        <item x="819"/>
        <item x="3437"/>
        <item x="1889"/>
        <item x="1469"/>
        <item x="2574"/>
        <item x="1825"/>
        <item x="1727"/>
        <item x="881"/>
        <item x="2079"/>
        <item x="3059"/>
        <item x="1092"/>
        <item x="2361"/>
        <item x="3429"/>
        <item x="3814"/>
        <item x="2018"/>
        <item x="3007"/>
        <item x="322"/>
        <item x="2583"/>
        <item x="4451"/>
        <item x="3790"/>
        <item x="2118"/>
        <item x="4674"/>
        <item x="3677"/>
        <item x="1719"/>
        <item x="88"/>
        <item x="4494"/>
        <item x="5242"/>
        <item x="4715"/>
        <item x="1078"/>
        <item x="5511"/>
        <item x="5950"/>
        <item x="1032"/>
        <item x="731"/>
        <item x="1772"/>
        <item x="4693"/>
        <item x="4658"/>
        <item x="3510"/>
        <item x="783"/>
        <item x="5118"/>
        <item x="2017"/>
        <item x="5985"/>
        <item x="4011"/>
        <item x="3866"/>
        <item x="5321"/>
        <item x="5684"/>
        <item x="2862"/>
        <item x="3385"/>
        <item x="3729"/>
        <item x="2969"/>
        <item x="1712"/>
        <item x="2277"/>
        <item x="2321"/>
        <item x="4028"/>
        <item x="5562"/>
        <item x="3009"/>
        <item x="4782"/>
        <item x="3212"/>
        <item x="4101"/>
        <item x="5436"/>
        <item x="4592"/>
        <item x="2398"/>
        <item x="2899"/>
        <item x="1213"/>
        <item x="95"/>
        <item x="4547"/>
        <item x="3671"/>
        <item x="2611"/>
        <item x="2830"/>
        <item x="2884"/>
        <item x="643"/>
        <item x="2378"/>
        <item x="811"/>
        <item x="5624"/>
        <item x="1890"/>
        <item x="5799"/>
        <item x="4483"/>
        <item x="1498"/>
        <item x="6004"/>
        <item x="4555"/>
        <item x="4421"/>
        <item x="1368"/>
        <item x="3762"/>
        <item x="4051"/>
        <item x="2681"/>
        <item x="5006"/>
        <item x="1629"/>
        <item x="5202"/>
        <item x="487"/>
        <item x="2673"/>
        <item x="106"/>
        <item x="1512"/>
        <item x="358"/>
        <item x="1048"/>
        <item x="2429"/>
        <item x="1413"/>
        <item x="2920"/>
        <item x="3970"/>
        <item x="5447"/>
        <item x="1535"/>
        <item x="2872"/>
        <item x="5229"/>
        <item x="2593"/>
        <item x="1479"/>
        <item x="4565"/>
        <item x="4891"/>
        <item x="3322"/>
        <item x="5941"/>
        <item x="5476"/>
        <item x="4594"/>
        <item x="3444"/>
        <item x="4149"/>
        <item x="89"/>
        <item x="3824"/>
        <item x="63"/>
        <item x="4000"/>
        <item x="5766"/>
        <item x="1547"/>
        <item x="1008"/>
        <item x="2142"/>
        <item x="2734"/>
        <item x="1621"/>
        <item x="782"/>
        <item x="725"/>
        <item x="1049"/>
        <item x="1720"/>
        <item x="84"/>
        <item x="4750"/>
        <item x="5492"/>
        <item x="5711"/>
        <item x="3700"/>
        <item x="44"/>
        <item x="1117"/>
        <item x="87"/>
        <item x="1204"/>
        <item x="412"/>
        <item x="3274"/>
        <item x="4936"/>
        <item x="787"/>
        <item x="3654"/>
        <item x="5184"/>
        <item x="2198"/>
        <item x="4365"/>
        <item x="2369"/>
        <item x="4171"/>
        <item x="5225"/>
        <item x="4698"/>
        <item x="5929"/>
        <item x="4998"/>
        <item x="2201"/>
        <item x="116"/>
        <item x="324"/>
        <item x="2731"/>
        <item x="5107"/>
        <item x="3469"/>
        <item x="5858"/>
        <item x="68"/>
        <item x="3434"/>
        <item x="4320"/>
        <item x="3321"/>
        <item x="5538"/>
        <item x="2887"/>
        <item x="1846"/>
        <item x="4107"/>
        <item x="2782"/>
        <item x="4064"/>
        <item x="3918"/>
        <item x="2667"/>
        <item x="4708"/>
        <item x="3711"/>
        <item x="5326"/>
        <item x="202"/>
        <item x="1820"/>
        <item x="1047"/>
        <item x="3080"/>
        <item x="5704"/>
        <item x="3857"/>
        <item x="1104"/>
        <item x="5355"/>
        <item x="5085"/>
        <item x="4334"/>
        <item x="157"/>
        <item x="1548"/>
        <item x="5485"/>
        <item x="183"/>
        <item x="2646"/>
        <item x="1107"/>
        <item x="4252"/>
        <item x="793"/>
        <item x="344"/>
        <item x="4529"/>
        <item x="981"/>
        <item x="472"/>
        <item x="2537"/>
        <item x="185"/>
        <item x="3145"/>
        <item x="2648"/>
        <item x="4874"/>
        <item x="3575"/>
        <item x="3759"/>
        <item x="5279"/>
        <item x="1134"/>
        <item x="5759"/>
        <item x="5187"/>
        <item x="148"/>
        <item x="4826"/>
        <item x="4164"/>
        <item x="2165"/>
        <item x="4330"/>
        <item x="236"/>
        <item x="3193"/>
        <item x="5981"/>
        <item x="5356"/>
        <item x="4280"/>
        <item x="3422"/>
        <item x="2787"/>
        <item x="2612"/>
        <item x="4769"/>
        <item x="4173"/>
        <item x="5977"/>
        <item x="3798"/>
        <item x="658"/>
        <item x="1748"/>
        <item x="5995"/>
        <item x="2088"/>
        <item x="4906"/>
        <item x="4155"/>
        <item x="2071"/>
        <item x="1471"/>
        <item x="902"/>
        <item x="2995"/>
        <item x="3760"/>
        <item x="792"/>
        <item x="71"/>
        <item x="1446"/>
        <item x="3052"/>
        <item x="543"/>
        <item x="4533"/>
        <item x="4362"/>
        <item x="3821"/>
        <item x="5943"/>
        <item x="1764"/>
        <item x="1466"/>
        <item x="4452"/>
        <item x="2897"/>
        <item x="5036"/>
        <item x="5057"/>
        <item x="3800"/>
        <item x="3066"/>
        <item x="3461"/>
        <item x="4083"/>
        <item x="16"/>
        <item x="526"/>
        <item x="39"/>
        <item x="1124"/>
        <item x="5248"/>
        <item x="1034"/>
        <item x="3087"/>
        <item x="1674"/>
        <item x="2235"/>
        <item x="2769"/>
        <item x="3853"/>
        <item x="1467"/>
        <item x="4482"/>
        <item x="2778"/>
        <item x="98"/>
        <item x="5508"/>
        <item x="5314"/>
        <item x="2128"/>
        <item x="3077"/>
        <item x="3119"/>
        <item x="4044"/>
        <item x="2520"/>
        <item x="2571"/>
        <item x="2879"/>
        <item x="4668"/>
        <item x="5609"/>
        <item x="29"/>
        <item x="3283"/>
        <item x="1373"/>
        <item x="857"/>
        <item x="751"/>
        <item x="4262"/>
        <item x="4235"/>
        <item x="4865"/>
        <item x="134"/>
        <item x="5131"/>
        <item x="1809"/>
        <item x="2090"/>
        <item x="2798"/>
        <item x="5850"/>
        <item x="5189"/>
        <item x="5854"/>
        <item x="1671"/>
        <item x="1115"/>
        <item x="2943"/>
        <item x="652"/>
        <item x="2806"/>
        <item x="2313"/>
        <item x="3871"/>
        <item x="1947"/>
        <item x="245"/>
        <item x="5810"/>
        <item x="3064"/>
        <item x="175"/>
        <item x="137"/>
        <item x="129"/>
        <item x="1178"/>
        <item x="115"/>
        <item x="2885"/>
        <item x="200"/>
        <item x="3380"/>
        <item x="2404"/>
        <item x="5658"/>
        <item x="2801"/>
        <item x="5757"/>
        <item x="406"/>
        <item x="5886"/>
        <item x="3881"/>
        <item x="4495"/>
        <item x="2343"/>
        <item x="2906"/>
        <item x="5625"/>
        <item x="4527"/>
        <item x="1287"/>
        <item x="2973"/>
        <item x="417"/>
        <item x="3941"/>
        <item x="154"/>
        <item x="2115"/>
        <item x="3423"/>
        <item x="4629"/>
        <item x="1438"/>
        <item x="5296"/>
        <item x="2693"/>
        <item x="193"/>
        <item x="5641"/>
        <item x="266"/>
        <item x="1667"/>
        <item x="4513"/>
        <item x="1093"/>
        <item x="580"/>
        <item x="2258"/>
        <item x="5908"/>
        <item x="4710"/>
        <item x="4122"/>
        <item x="171"/>
        <item x="3865"/>
        <item x="1327"/>
        <item x="1930"/>
        <item x="4695"/>
        <item x="4831"/>
        <item x="5141"/>
        <item x="4354"/>
        <item x="3980"/>
        <item x="4895"/>
        <item x="3108"/>
        <item x="2317"/>
        <item x="560"/>
        <item x="429"/>
        <item x="1101"/>
        <item x="2240"/>
        <item x="1539"/>
        <item x="5939"/>
        <item x="1798"/>
        <item x="5000"/>
        <item x="1804"/>
        <item x="2526"/>
        <item x="79"/>
        <item x="437"/>
        <item x="1568"/>
        <item x="5252"/>
        <item x="5427"/>
        <item x="1238"/>
        <item x="5285"/>
        <item x="410"/>
        <item x="1169"/>
        <item x="2455"/>
        <item x="3514"/>
        <item x="1697"/>
        <item x="5185"/>
        <item x="2636"/>
        <item x="2937"/>
        <item x="664"/>
        <item x="1620"/>
        <item x="3584"/>
        <item x="4784"/>
        <item x="4318"/>
        <item x="3034"/>
        <item x="424"/>
        <item x="1558"/>
        <item x="5876"/>
        <item x="5098"/>
        <item x="874"/>
        <item x="1451"/>
        <item x="2592"/>
        <item x="5555"/>
        <item x="1875"/>
        <item x="2894"/>
        <item x="4550"/>
        <item x="4568"/>
        <item x="1482"/>
        <item x="4384"/>
        <item x="3910"/>
        <item x="5190"/>
        <item x="4976"/>
        <item x="589"/>
        <item x="4744"/>
        <item x="1590"/>
        <item x="2656"/>
        <item x="1052"/>
        <item x="4057"/>
        <item x="491"/>
        <item x="2214"/>
        <item x="4582"/>
        <item x="2475"/>
        <item x="5100"/>
        <item x="3781"/>
        <item x="1378"/>
        <item x="1154"/>
        <item x="5700"/>
        <item x="905"/>
        <item x="3291"/>
        <item x="3533"/>
        <item x="4537"/>
        <item x="4933"/>
        <item x="1583"/>
        <item x="4911"/>
        <item x="698"/>
        <item x="211"/>
        <item x="2672"/>
        <item x="5747"/>
        <item x="897"/>
        <item x="1363"/>
        <item x="2103"/>
        <item x="3661"/>
        <item x="3688"/>
        <item x="924"/>
        <item x="2631"/>
        <item x="2800"/>
        <item x="223"/>
        <item x="5581"/>
        <item x="3012"/>
        <item x="1523"/>
        <item x="4409"/>
        <item x="4851"/>
        <item x="1295"/>
        <item x="5682"/>
        <item x="1502"/>
        <item x="1828"/>
        <item x="5645"/>
        <item x="1453"/>
        <item x="4210"/>
        <item x="2461"/>
        <item x="5200"/>
        <item x="2974"/>
        <item x="4779"/>
        <item x="2326"/>
        <item x="4678"/>
        <item x="1308"/>
        <item x="2444"/>
        <item x="3647"/>
        <item x="2546"/>
        <item x="2196"/>
        <item x="1281"/>
        <item x="2124"/>
        <item x="2060"/>
        <item x="4722"/>
        <item x="3815"/>
        <item x="883"/>
        <item x="2237"/>
        <item x="3048"/>
        <item x="3761"/>
        <item x="2675"/>
        <item x="264"/>
        <item x="4557"/>
        <item x="2203"/>
        <item x="4541"/>
        <item x="1280"/>
        <item x="4042"/>
        <item x="1037"/>
        <item x="1394"/>
        <item x="1242"/>
        <item x="178"/>
        <item x="674"/>
        <item x="3255"/>
        <item x="3976"/>
        <item x="1110"/>
        <item x="5090"/>
        <item x="5335"/>
        <item x="3856"/>
        <item x="3470"/>
        <item x="2441"/>
        <item x="1423"/>
        <item x="1677"/>
        <item x="5725"/>
        <item x="1097"/>
        <item x="3845"/>
        <item x="5593"/>
        <item x="1140"/>
        <item x="5055"/>
        <item x="5149"/>
        <item x="1520"/>
        <item x="2432"/>
        <item x="2406"/>
        <item x="1357"/>
        <item x="2063"/>
        <item x="1006"/>
        <item x="2975"/>
        <item x="2138"/>
        <item x="4400"/>
        <item x="5420"/>
        <item x="1537"/>
        <item x="3306"/>
        <item x="3971"/>
        <item x="3982"/>
        <item x="1894"/>
        <item x="5150"/>
        <item x="2627"/>
        <item x="3938"/>
        <item x="3210"/>
        <item x="2397"/>
        <item x="4269"/>
        <item x="5506"/>
        <item x="2871"/>
        <item x="4468"/>
        <item x="4977"/>
        <item x="1444"/>
        <item x="5146"/>
        <item x="2176"/>
        <item x="3962"/>
        <item x="2742"/>
        <item x="5871"/>
        <item x="4222"/>
        <item x="1805"/>
        <item x="1258"/>
        <item x="467"/>
        <item x="5256"/>
        <item x="1189"/>
        <item x="740"/>
        <item x="4323"/>
        <item x="301"/>
        <item x="1450"/>
        <item x="2981"/>
        <item x="2113"/>
        <item x="339"/>
        <item x="5173"/>
        <item x="136"/>
        <item x="4150"/>
        <item x="746"/>
        <item x="4712"/>
        <item x="4287"/>
        <item x="4873"/>
        <item x="2691"/>
        <item x="4023"/>
        <item x="5667"/>
        <item x="3358"/>
        <item x="2112"/>
        <item x="2069"/>
        <item x="738"/>
        <item x="2928"/>
        <item x="3609"/>
        <item x="441"/>
        <item x="1448"/>
        <item x="4270"/>
        <item x="3863"/>
        <item x="3209"/>
        <item x="5479"/>
        <item x="257"/>
        <item x="703"/>
        <item x="5765"/>
        <item x="2531"/>
        <item x="4690"/>
        <item x="2077"/>
        <item x="3342"/>
        <item x="1678"/>
        <item x="1876"/>
        <item x="3018"/>
        <item x="1698"/>
        <item x="5570"/>
        <item x="4055"/>
        <item x="235"/>
        <item x="5139"/>
        <item x="1831"/>
        <item x="5180"/>
        <item x="1938"/>
        <item x="2914"/>
        <item x="1381"/>
        <item x="3029"/>
        <item x="3452"/>
        <item x="4241"/>
        <item x="588"/>
        <item x="5002"/>
        <item x="1430"/>
        <item x="5311"/>
        <item x="4469"/>
        <item x="3581"/>
        <item x="4185"/>
        <item x="5303"/>
        <item x="3588"/>
        <item x="3184"/>
        <item x="887"/>
        <item x="943"/>
        <item x="5105"/>
        <item x="4850"/>
        <item x="5875"/>
        <item x="4442"/>
        <item x="1954"/>
        <item x="2089"/>
        <item x="1128"/>
        <item x="3681"/>
        <item x="3229"/>
        <item x="1158"/>
        <item x="1301"/>
        <item x="3125"/>
        <item x="5258"/>
        <item x="5365"/>
        <item x="3812"/>
        <item x="4526"/>
        <item x="5038"/>
        <item x="5466"/>
        <item x="4273"/>
        <item x="2651"/>
        <item x="3530"/>
        <item x="4351"/>
        <item x="5273"/>
        <item x="5366"/>
        <item x="659"/>
        <item x="5422"/>
        <item x="2150"/>
        <item x="1900"/>
        <item x="2618"/>
        <item x="4091"/>
        <item x="601"/>
        <item x="2711"/>
        <item x="5106"/>
        <item x="5188"/>
        <item x="5138"/>
        <item x="3349"/>
        <item x="2803"/>
        <item x="1257"/>
        <item x="5775"/>
        <item x="5933"/>
        <item x="422"/>
        <item x="5050"/>
        <item x="343"/>
        <item x="2035"/>
        <item x="191"/>
        <item x="1684"/>
        <item x="274"/>
        <item x="2030"/>
        <item x="4455"/>
        <item x="359"/>
        <item x="3327"/>
        <item x="5381"/>
        <item x="1609"/>
        <item x="4821"/>
        <item x="3177"/>
        <item x="164"/>
        <item x="2768"/>
        <item x="5147"/>
        <item x="1987"/>
        <item x="1823"/>
        <item x="5983"/>
        <item x="4117"/>
        <item x="3693"/>
        <item x="2392"/>
        <item x="361"/>
        <item x="2322"/>
        <item x="1928"/>
        <item x="1777"/>
        <item x="1252"/>
        <item x="2927"/>
        <item x="1262"/>
        <item x="489"/>
        <item x="1421"/>
        <item x="5702"/>
        <item x="3721"/>
        <item x="3187"/>
        <item x="907"/>
        <item x="259"/>
        <item x="4649"/>
        <item x="1775"/>
        <item x="3801"/>
        <item x="5777"/>
        <item x="1172"/>
        <item x="833"/>
        <item x="5817"/>
        <item x="3732"/>
        <item x="4085"/>
        <item x="108"/>
        <item x="3929"/>
        <item x="1922"/>
        <item x="1751"/>
        <item x="1761"/>
        <item x="753"/>
        <item x="3189"/>
        <item x="2753"/>
        <item x="4309"/>
        <item x="5657"/>
        <item x="1743"/>
        <item x="522"/>
        <item x="3022"/>
        <item x="325"/>
        <item x="1098"/>
        <item x="3784"/>
        <item x="3633"/>
        <item x="3837"/>
        <item x="5077"/>
        <item x="2280"/>
        <item x="3305"/>
        <item x="4762"/>
        <item x="4626"/>
        <item x="4551"/>
        <item x="1082"/>
        <item x="959"/>
        <item x="312"/>
        <item x="3624"/>
        <item x="5169"/>
        <item x="3463"/>
        <item x="3998"/>
        <item x="1991"/>
        <item x="3903"/>
        <item x="1687"/>
        <item x="5440"/>
        <item x="1646"/>
        <item x="3381"/>
        <item x="4219"/>
        <item x="1902"/>
        <item x="1041"/>
        <item x="5807"/>
        <item x="5707"/>
        <item x="4620"/>
        <item x="5628"/>
        <item x="3388"/>
        <item x="400"/>
        <item x="5091"/>
        <item x="4994"/>
        <item x="4367"/>
        <item x="2463"/>
        <item x="1478"/>
        <item x="4134"/>
        <item x="805"/>
        <item x="4909"/>
        <item x="697"/>
        <item x="2379"/>
        <item x="4453"/>
        <item x="3709"/>
        <item x="2216"/>
        <item x="2851"/>
        <item x="4298"/>
        <item x="1821"/>
        <item x="2835"/>
        <item x="5588"/>
        <item x="4013"/>
        <item x="3085"/>
        <item x="3593"/>
        <item x="5044"/>
        <item x="1232"/>
        <item x="5019"/>
        <item x="895"/>
        <item x="2002"/>
        <item x="2345"/>
        <item x="1563"/>
        <item x="5093"/>
        <item x="3979"/>
        <item x="2960"/>
        <item x="4254"/>
        <item x="2356"/>
        <item x="5060"/>
        <item x="4726"/>
        <item x="2874"/>
        <item x="4441"/>
        <item x="1855"/>
        <item x="4803"/>
        <item x="231"/>
        <item x="5866"/>
        <item x="1744"/>
        <item x="5622"/>
        <item x="2473"/>
        <item x="4472"/>
        <item x="5021"/>
        <item x="130"/>
        <item x="2359"/>
        <item x="999"/>
        <item x="5398"/>
        <item x="2309"/>
        <item x="726"/>
        <item x="3907"/>
        <item x="1175"/>
        <item x="840"/>
        <item x="374"/>
        <item x="5259"/>
        <item x="1735"/>
        <item x="5013"/>
        <item x="763"/>
        <item x="4087"/>
        <item x="655"/>
        <item x="3880"/>
        <item x="5822"/>
        <item x="4479"/>
        <item x="3682"/>
        <item x="51"/>
        <item x="3889"/>
        <item x="1440"/>
        <item x="448"/>
        <item x="966"/>
        <item x="5334"/>
        <item x="5544"/>
        <item x="296"/>
        <item x="6009"/>
        <item x="5661"/>
        <item x="512"/>
        <item x="1654"/>
        <item x="1801"/>
        <item x="4220"/>
        <item x="5007"/>
        <item x="1162"/>
        <item x="5097"/>
        <item x="3977"/>
        <item x="3646"/>
        <item x="5576"/>
        <item x="479"/>
        <item x="73"/>
        <item x="1513"/>
        <item x="5196"/>
        <item x="1835"/>
        <item x="268"/>
        <item x="1465"/>
        <item x="4250"/>
        <item x="5787"/>
        <item x="3956"/>
        <item x="3959"/>
        <item x="1579"/>
        <item x="1367"/>
        <item x="2514"/>
        <item x="3118"/>
        <item x="2601"/>
        <item x="3756"/>
        <item x="4382"/>
        <item x="5972"/>
        <item x="1137"/>
        <item x="507"/>
        <item x="987"/>
        <item x="6011"/>
        <item x="2860"/>
        <item x="1329"/>
        <item x="1089"/>
        <item x="5717"/>
        <item x="809"/>
        <item x="2340"/>
        <item x="5882"/>
        <item x="2550"/>
        <item x="556"/>
        <item x="2947"/>
        <item x="3894"/>
        <item x="1492"/>
        <item x="4266"/>
        <item x="733"/>
        <item x="4423"/>
        <item x="1722"/>
        <item x="1263"/>
        <item x="445"/>
        <item x="4151"/>
        <item x="1701"/>
        <item x="3387"/>
        <item x="3450"/>
        <item x="1196"/>
        <item x="1212"/>
        <item x="2831"/>
        <item x="1085"/>
        <item x="5755"/>
        <item x="2371"/>
        <item x="4958"/>
        <item x="5961"/>
        <item x="261"/>
        <item x="5677"/>
        <item x="1814"/>
        <item x="3293"/>
        <item x="4663"/>
        <item x="4001"/>
        <item x="4376"/>
        <item x="4607"/>
        <item x="1225"/>
        <item x="3506"/>
        <item x="1615"/>
        <item x="5468"/>
        <item x="984"/>
        <item x="5448"/>
        <item x="675"/>
        <item x="2607"/>
        <item x="5254"/>
        <item x="4418"/>
        <item x="2586"/>
        <item x="1455"/>
        <item x="4067"/>
        <item x="4454"/>
        <item x="853"/>
        <item x="1781"/>
        <item x="4615"/>
        <item x="177"/>
        <item x="444"/>
        <item x="2368"/>
        <item x="5299"/>
        <item x="1143"/>
        <item x="3368"/>
        <item x="4493"/>
        <item x="1968"/>
        <item x="4676"/>
        <item x="1302"/>
        <item x="2471"/>
        <item x="3553"/>
        <item x="5267"/>
        <item x="5287"/>
        <item x="878"/>
        <item x="5971"/>
        <item x="3520"/>
        <item x="804"/>
        <item x="1399"/>
        <item x="3112"/>
        <item x="1653"/>
        <item x="1641"/>
        <item x="4288"/>
        <item x="3888"/>
        <item x="5745"/>
        <item x="1549"/>
        <item x="4719"/>
        <item x="2721"/>
        <item x="3205"/>
        <item x="4184"/>
        <item x="3580"/>
        <item x="1527"/>
        <item x="4165"/>
        <item x="4105"/>
        <item x="1250"/>
        <item x="719"/>
        <item x="696"/>
        <item x="974"/>
        <item x="1899"/>
        <item x="2854"/>
        <item x="5373"/>
        <item x="475"/>
        <item x="4945"/>
        <item x="2725"/>
        <item x="4721"/>
        <item x="2134"/>
        <item x="1173"/>
        <item x="3053"/>
        <item x="5955"/>
        <item x="1711"/>
        <item x="2044"/>
        <item x="1733"/>
        <item x="4822"/>
        <item x="5631"/>
        <item x="160"/>
        <item x="3301"/>
        <item x="4980"/>
        <item x="4293"/>
        <item x="3631"/>
        <item x="1283"/>
        <item x="1111"/>
        <item x="1001"/>
        <item x="5004"/>
        <item x="25"/>
        <item x="1964"/>
        <item x="2700"/>
        <item x="1669"/>
        <item x="4601"/>
        <item x="4625"/>
        <item x="455"/>
        <item x="1259"/>
        <item x="4154"/>
        <item x="5452"/>
        <item x="2622"/>
        <item x="2295"/>
        <item x="1351"/>
        <item x="282"/>
        <item x="1069"/>
        <item x="5393"/>
        <item x="1432"/>
        <item x="1510"/>
        <item x="4835"/>
        <item x="3263"/>
        <item x="3958"/>
        <item x="4699"/>
        <item x="637"/>
        <item x="2799"/>
        <item x="4604"/>
        <item x="3779"/>
        <item x="5647"/>
        <item x="4014"/>
        <item x="4344"/>
        <item x="2080"/>
        <item x="1802"/>
        <item x="5048"/>
        <item x="4857"/>
        <item x="2393"/>
        <item x="2241"/>
        <item x="2329"/>
        <item x="5342"/>
        <item x="3286"/>
        <item x="4356"/>
        <item x="1717"/>
        <item x="2023"/>
        <item x="126"/>
        <item x="4546"/>
        <item x="1409"/>
        <item x="3995"/>
        <item x="5054"/>
        <item x="1070"/>
        <item x="4870"/>
        <item x="5823"/>
        <item x="4974"/>
        <item x="3862"/>
        <item x="3923"/>
        <item x="143"/>
        <item x="1716"/>
        <item x="3102"/>
        <item x="3917"/>
        <item x="3154"/>
        <item x="3243"/>
        <item x="488"/>
        <item x="4947"/>
        <item x="1028"/>
        <item x="1051"/>
        <item x="3541"/>
        <item x="954"/>
        <item x="6002"/>
        <item x="281"/>
        <item x="2346"/>
        <item x="4015"/>
        <item x="3598"/>
        <item x="4231"/>
        <item x="1706"/>
        <item x="55"/>
        <item x="4460"/>
        <item x="2883"/>
        <item x="267"/>
        <item x="3398"/>
        <item x="4904"/>
        <item x="1907"/>
        <item x="135"/>
        <item x="3560"/>
        <item x="628"/>
        <item x="3603"/>
        <item x="4425"/>
        <item x="1191"/>
        <item x="4476"/>
        <item x="5174"/>
        <item x="2997"/>
        <item x="4136"/>
        <item x="1983"/>
        <item x="1640"/>
        <item x="2812"/>
        <item x="2949"/>
        <item x="891"/>
        <item x="1745"/>
        <item x="748"/>
        <item x="1786"/>
        <item x="2385"/>
        <item x="52"/>
        <item x="514"/>
        <item x="4673"/>
        <item x="2364"/>
        <item x="1960"/>
        <item x="2315"/>
        <item x="3501"/>
        <item x="3870"/>
        <item x="3511"/>
        <item x="1943"/>
        <item x="1799"/>
        <item x="5546"/>
        <item x="4111"/>
        <item x="336"/>
        <item x="1332"/>
        <item x="3846"/>
        <item x="1276"/>
        <item x="2683"/>
        <item x="5288"/>
        <item x="861"/>
        <item x="5676"/>
        <item x="1613"/>
        <item x="1494"/>
        <item x="220"/>
        <item x="4211"/>
        <item x="3928"/>
        <item x="5073"/>
        <item x="4654"/>
        <item x="2802"/>
        <item x="2016"/>
        <item x="3738"/>
        <item x="2043"/>
        <item x="5795"/>
        <item x="3313"/>
        <item x="1284"/>
        <item x="4553"/>
        <item x="2699"/>
        <item x="4624"/>
        <item x="3393"/>
        <item x="4720"/>
        <item x="1184"/>
        <item x="2423"/>
        <item x="3563"/>
        <item x="3500"/>
        <item x="4408"/>
        <item x="2702"/>
        <item x="1702"/>
        <item x="2889"/>
        <item x="32"/>
        <item x="3697"/>
        <item x="2421"/>
        <item x="3665"/>
        <item x="5017"/>
        <item x="3010"/>
        <item x="5486"/>
        <item x="5957"/>
        <item x="5840"/>
        <item x="899"/>
        <item x="2108"/>
        <item x="3326"/>
        <item x="1610"/>
        <item x="393"/>
        <item x="2209"/>
        <item x="856"/>
        <item x="3550"/>
        <item x="3719"/>
        <item x="1946"/>
        <item x="3185"/>
        <item x="928"/>
        <item x="3137"/>
        <item x="5885"/>
        <item x="434"/>
        <item x="2499"/>
        <item x="5948"/>
        <item x="4507"/>
        <item x="2267"/>
        <item x="3890"/>
        <item x="889"/>
        <item x="5069"/>
        <item x="4986"/>
        <item x="3940"/>
        <item x="4867"/>
        <item x="5459"/>
        <item x="2365"/>
        <item x="3875"/>
        <item x="3825"/>
        <item x="1729"/>
        <item x="5312"/>
        <item x="4837"/>
        <item x="2360"/>
        <item x="1732"/>
        <item x="287"/>
        <item x="4285"/>
        <item x="699"/>
        <item x="4332"/>
        <item x="2767"/>
        <item x="413"/>
        <item x="5001"/>
        <item x="4251"/>
        <item x="3106"/>
        <item x="3777"/>
        <item x="5785"/>
        <item x="2528"/>
        <item x="5758"/>
        <item x="3273"/>
        <item x="155"/>
        <item x="5227"/>
        <item x="5769"/>
        <item x="4066"/>
        <item x="2595"/>
        <item x="2509"/>
        <item x="5074"/>
        <item x="4954"/>
        <item x="5836"/>
        <item x="5990"/>
        <item x="5722"/>
        <item x="5820"/>
        <item x="3780"/>
        <item x="5851"/>
        <item x="2046"/>
        <item x="952"/>
        <item x="5663"/>
        <item x="4033"/>
        <item x="2676"/>
        <item x="3965"/>
        <item x="1837"/>
        <item x="2602"/>
        <item x="769"/>
        <item x="497"/>
        <item x="4444"/>
        <item x="501"/>
        <item x="3788"/>
        <item x="716"/>
        <item x="4068"/>
        <item x="633"/>
        <item x="19"/>
        <item x="5022"/>
        <item x="4192"/>
        <item x="5472"/>
        <item x="1265"/>
        <item x="5740"/>
        <item x="5010"/>
        <item x="5638"/>
        <item x="3355"/>
        <item x="3"/>
        <item x="2400"/>
        <item x="4583"/>
        <item x="1614"/>
        <item x="3948"/>
        <item x="1862"/>
        <item x="3505"/>
        <item x="1724"/>
        <item x="3663"/>
        <item x="5967"/>
        <item x="2679"/>
        <item x="916"/>
        <item x="2489"/>
        <item x="3026"/>
        <item x="2238"/>
        <item x="949"/>
        <item x="5793"/>
        <item x="468"/>
        <item x="4903"/>
        <item x="2989"/>
        <item x="528"/>
        <item x="194"/>
        <item x="2976"/>
        <item x="3730"/>
        <item x="997"/>
        <item x="4879"/>
        <item x="147"/>
        <item x="4457"/>
        <item x="1"/>
        <item x="614"/>
        <item x="2644"/>
        <item x="1139"/>
        <item x="1569"/>
        <item x="4809"/>
        <item x="3122"/>
        <item x="3921"/>
        <item x="4402"/>
        <item x="3748"/>
        <item x="3822"/>
        <item x="5713"/>
        <item x="4295"/>
        <item x="307"/>
        <item x="6"/>
        <item x="2011"/>
        <item x="3245"/>
        <item x="3973"/>
        <item x="3402"/>
        <item x="743"/>
        <item x="3975"/>
        <item x="3806"/>
        <item x="4584"/>
        <item x="1882"/>
        <item x="3131"/>
        <item x="737"/>
        <item x="3142"/>
        <item x="5413"/>
        <item x="5789"/>
        <item x="5708"/>
        <item x="5531"/>
        <item x="2217"/>
        <item x="4277"/>
        <item x="3144"/>
        <item x="2682"/>
        <item x="1990"/>
        <item x="4478"/>
        <item x="5515"/>
        <item x="986"/>
        <item x="4905"/>
        <item x="3233"/>
        <item x="265"/>
        <item x="1203"/>
        <item x="691"/>
        <item x="213"/>
        <item x="1460"/>
        <item x="3949"/>
        <item x="5690"/>
        <item x="4856"/>
        <item x="1071"/>
        <item x="1989"/>
        <item x="1316"/>
        <item x="1382"/>
        <item x="5112"/>
        <item x="3810"/>
        <item x="1810"/>
        <item x="2026"/>
        <item x="3448"/>
        <item x="1343"/>
        <item x="207"/>
        <item x="2582"/>
        <item x="509"/>
        <item x="1951"/>
        <item x="2401"/>
        <item x="5042"/>
        <item x="1447"/>
        <item x="6012"/>
        <item x="1868"/>
        <item x="2824"/>
        <item x="969"/>
        <item x="930"/>
        <item x="4925"/>
        <item x="5101"/>
        <item x="3438"/>
        <item x="5143"/>
        <item x="2226"/>
        <item x="3000"/>
        <item x="3008"/>
        <item x="5549"/>
        <item x="3715"/>
        <item x="3649"/>
        <item x="5980"/>
        <item x="4525"/>
        <item x="4642"/>
        <item x="4182"/>
        <item x="2794"/>
        <item x="2650"/>
        <item x="2765"/>
        <item x="3155"/>
        <item x="2007"/>
        <item x="5900"/>
        <item x="768"/>
        <item x="5327"/>
        <item x="4920"/>
        <item x="1031"/>
        <item x="1638"/>
        <item x="5471"/>
        <item x="5315"/>
        <item x="2708"/>
        <item x="2233"/>
        <item x="1201"/>
        <item x="2842"/>
        <item x="5052"/>
        <item x="3256"/>
        <item x="842"/>
        <item x="5223"/>
        <item x="4179"/>
        <item x="1025"/>
        <item x="2482"/>
        <item x="2476"/>
        <item x="926"/>
        <item x="3249"/>
        <item x="4047"/>
        <item x="5016"/>
        <item x="3614"/>
        <item x="893"/>
        <item x="1077"/>
        <item x="4306"/>
        <item x="125"/>
        <item x="3366"/>
        <item x="5231"/>
        <item x="1404"/>
        <item x="5325"/>
        <item x="5144"/>
        <item x="3347"/>
        <item x="795"/>
        <item x="2743"/>
        <item x="5033"/>
        <item x="3734"/>
        <item x="1426"/>
        <item x="4688"/>
        <item x="5703"/>
        <item x="1095"/>
        <item x="3517"/>
        <item x="2603"/>
        <item x="5554"/>
        <item x="5210"/>
        <item x="270"/>
        <item x="288"/>
        <item x="4335"/>
        <item x="3069"/>
        <item x="2785"/>
        <item x="1484"/>
        <item x="3950"/>
        <item x="3044"/>
        <item x="5439"/>
        <item x="4808"/>
        <item x="5953"/>
        <item x="1912"/>
        <item x="1420"/>
        <item x="2262"/>
        <item x="4103"/>
        <item x="2218"/>
        <item x="4071"/>
        <item x="2483"/>
        <item x="1773"/>
        <item x="1176"/>
        <item x="3259"/>
        <item x="407"/>
        <item x="4644"/>
        <item x="474"/>
        <item x="86"/>
        <item x="994"/>
        <item x="4377"/>
        <item x="1550"/>
        <item x="4475"/>
        <item x="3735"/>
        <item x="3091"/>
        <item x="622"/>
        <item x="5441"/>
        <item x="4965"/>
        <item x="1893"/>
        <item x="694"/>
        <item x="1054"/>
        <item x="1233"/>
        <item x="5936"/>
        <item x="1121"/>
        <item x="5639"/>
        <item x="2130"/>
        <item x="303"/>
        <item x="3968"/>
        <item x="4190"/>
        <item x="3372"/>
        <item x="1319"/>
        <item x="1631"/>
        <item x="5844"/>
        <item x="894"/>
        <item x="5718"/>
        <item x="5898"/>
        <item x="1655"/>
        <item x="1279"/>
        <item x="3694"/>
        <item x="2784"/>
        <item x="3655"/>
        <item x="4896"/>
        <item x="2439"/>
        <item x="2532"/>
        <item x="3513"/>
        <item x="4082"/>
        <item x="2749"/>
        <item x="3354"/>
        <item x="5234"/>
        <item x="3473"/>
        <item x="5868"/>
        <item x="5649"/>
        <item x="2206"/>
        <item x="5478"/>
        <item x="1897"/>
        <item x="2669"/>
        <item x="2503"/>
        <item x="5337"/>
        <item x="1009"/>
        <item x="4097"/>
        <item x="314"/>
        <item x="5954"/>
        <item x="4331"/>
        <item x="3561"/>
        <item x="3722"/>
        <item x="78"/>
        <item x="3705"/>
        <item x="2036"/>
        <item x="4233"/>
        <item x="3014"/>
        <item x="5695"/>
        <item x="4292"/>
        <item x="4041"/>
        <item x="4175"/>
        <item x="1060"/>
        <item x="5742"/>
        <item x="5736"/>
        <item x="5726"/>
        <item x="188"/>
        <item x="5137"/>
        <item x="2710"/>
        <item x="447"/>
        <item x="3915"/>
        <item x="4299"/>
        <item x="4686"/>
        <item x="5630"/>
        <item x="3328"/>
        <item x="2300"/>
        <item x="4049"/>
        <item x="5359"/>
        <item x="2861"/>
        <item x="1605"/>
        <item x="3617"/>
        <item x="386"/>
        <item x="1747"/>
        <item x="3855"/>
        <item x="3383"/>
        <item x="5175"/>
        <item x="5665"/>
        <item x="2159"/>
        <item x="1872"/>
        <item x="382"/>
        <item x="4978"/>
        <item x="774"/>
        <item x="118"/>
        <item x="5548"/>
        <item x="4461"/>
        <item x="4074"/>
        <item x="1756"/>
        <item x="3153"/>
        <item x="3168"/>
        <item x="2488"/>
        <item x="3341"/>
        <item x="4759"/>
        <item x="5429"/>
        <item x="4509"/>
        <item x="695"/>
        <item x="4751"/>
        <item x="346"/>
        <item x="4914"/>
        <item x="5015"/>
        <item x="4941"/>
        <item x="678"/>
        <item x="2286"/>
        <item x="4705"/>
        <item x="798"/>
        <item x="4638"/>
        <item x="5364"/>
        <item x="4902"/>
        <item x="3195"/>
        <item x="4667"/>
        <item x="4238"/>
        <item x="3264"/>
        <item x="4684"/>
        <item x="3526"/>
        <item x="4634"/>
        <item x="1942"/>
        <item x="5802"/>
        <item x="2674"/>
        <item x="1414"/>
        <item x="3443"/>
        <item x="4245"/>
        <item x="1072"/>
        <item x="4694"/>
        <item x="613"/>
        <item x="5751"/>
        <item x="964"/>
        <item x="2788"/>
        <item x="3081"/>
        <item x="4247"/>
        <item x="4174"/>
        <item x="2703"/>
        <item x="2945"/>
        <item x="4477"/>
        <item x="2865"/>
        <item x="2373"/>
        <item x="2126"/>
        <item x="4153"/>
        <item x="3361"/>
        <item x="3280"/>
        <item x="5763"/>
        <item x="4924"/>
        <item x="2777"/>
        <item x="4703"/>
        <item x="302"/>
        <item x="2924"/>
        <item x="2845"/>
        <item x="2236"/>
        <item x="4481"/>
        <item x="5519"/>
        <item x="5037"/>
        <item x="3269"/>
        <item x="629"/>
        <item x="5902"/>
        <item x="3792"/>
        <item x="1106"/>
        <item x="844"/>
        <item x="1150"/>
        <item x="1312"/>
        <item x="4161"/>
        <item x="3428"/>
        <item x="451"/>
        <item x="3147"/>
        <item x="4593"/>
        <item x="3876"/>
        <item x="3003"/>
        <item x="3718"/>
        <item x="2713"/>
        <item x="4141"/>
        <item x="718"/>
        <item x="5877"/>
        <item x="4815"/>
        <item x="5153"/>
        <item x="3331"/>
        <item x="596"/>
        <item x="1910"/>
        <item x="900"/>
        <item x="1867"/>
        <item x="4394"/>
        <item x="2832"/>
        <item x="3823"/>
        <item x="3679"/>
        <item x="67"/>
        <item x="5541"/>
        <item x="4849"/>
        <item x="2254"/>
        <item x="90"/>
        <item x="688"/>
        <item x="99"/>
        <item x="5563"/>
        <item x="182"/>
        <item x="5070"/>
        <item x="5456"/>
        <item x="3794"/>
        <item x="1939"/>
        <item x="5606"/>
        <item x="3838"/>
        <item x="2013"/>
        <item x="4502"/>
        <item x="4746"/>
        <item x="3070"/>
        <item x="2580"/>
        <item x="5896"/>
        <item x="5328"/>
        <item x="1336"/>
        <item x="2907"/>
        <item x="2019"/>
        <item x="3664"/>
        <item x="1459"/>
        <item x="1486"/>
        <item x="449"/>
        <item x="4899"/>
        <item x="4536"/>
        <item x="4419"/>
        <item x="4166"/>
        <item x="5860"/>
        <item x="3453"/>
        <item x="3284"/>
        <item x="392"/>
        <item x="224"/>
        <item x="3329"/>
        <item x="2111"/>
        <item x="5030"/>
        <item x="2534"/>
        <item x="2396"/>
        <item x="4736"/>
        <item x="1871"/>
        <item x="3859"/>
        <item x="582"/>
        <item x="619"/>
        <item x="1298"/>
        <item x="2344"/>
        <item x="777"/>
        <item x="5543"/>
        <item x="1395"/>
        <item x="4827"/>
        <item x="3260"/>
        <item x="5732"/>
        <item x="3130"/>
        <item x="2515"/>
        <item x="3299"/>
        <item x="2048"/>
        <item x="4008"/>
        <item x="4628"/>
        <item x="2068"/>
        <item x="4632"/>
        <item x="2147"/>
        <item x="662"/>
        <item x="3359"/>
        <item x="1752"/>
        <item x="4391"/>
        <item x="765"/>
        <item x="76"/>
        <item x="4359"/>
        <item x="4700"/>
        <item x="3813"/>
        <item x="4711"/>
        <item x="3483"/>
        <item x="5051"/>
        <item x="5841"/>
        <item x="4168"/>
        <item x="2194"/>
        <item x="545"/>
        <item x="3716"/>
        <item x="3984"/>
        <item x="3097"/>
        <item x="385"/>
        <item x="3246"/>
        <item x="2715"/>
        <item x="4671"/>
        <item x="4370"/>
        <item x="4038"/>
        <item x="904"/>
        <item x="868"/>
        <item x="3596"/>
        <item x="2253"/>
        <item x="3174"/>
        <item x="5857"/>
        <item x="450"/>
        <item x="990"/>
        <item x="3265"/>
        <item x="4806"/>
        <item x="2926"/>
        <item x="5557"/>
        <item x="4655"/>
        <item x="2367"/>
        <item x="3480"/>
        <item x="5573"/>
        <item x="4651"/>
        <item x="3897"/>
        <item x="372"/>
        <item x="2568"/>
        <item x="1779"/>
        <item x="4772"/>
        <item x="167"/>
        <item x="5539"/>
        <item x="4258"/>
        <item x="3737"/>
        <item x="4852"/>
        <item x="2352"/>
        <item x="14"/>
        <item x="204"/>
        <item x="6007"/>
        <item x="4664"/>
        <item x="2522"/>
        <item x="2762"/>
        <item x="2416"/>
        <item x="4108"/>
        <item x="1812"/>
        <item x="906"/>
        <item x="469"/>
        <item x="1190"/>
        <item x="2180"/>
        <item x="244"/>
        <item x="2979"/>
        <item x="5460"/>
        <item x="3557"/>
        <item x="3303"/>
        <item x="3594"/>
        <item x="4278"/>
        <item x="5922"/>
        <item x="251"/>
        <item x="547"/>
        <item x="1742"/>
        <item x="536"/>
        <item x="3883"/>
        <item x="2821"/>
        <item x="4264"/>
        <item x="226"/>
        <item x="5009"/>
        <item x="3884"/>
        <item x="1560"/>
        <item x="5469"/>
        <item x="2055"/>
        <item x="1713"/>
        <item x="4574"/>
        <item x="1534"/>
        <item x="3874"/>
        <item x="2540"/>
        <item x="1185"/>
        <item x="1442"/>
        <item x="2289"/>
        <item x="2284"/>
        <item x="3251"/>
        <item x="5178"/>
        <item x="5113"/>
        <item x="1261"/>
        <item x="1730"/>
        <item x="2748"/>
        <item x="2600"/>
        <item x="5863"/>
        <item x="5979"/>
        <item x="1741"/>
        <item x="3997"/>
        <item x="5949"/>
        <item x="5245"/>
        <item x="4366"/>
        <item x="702"/>
        <item x="3499"/>
        <item x="2625"/>
        <item x="1686"/>
        <item x="1412"/>
        <item x="4381"/>
        <item x="3296"/>
        <item x="1940"/>
        <item x="2882"/>
        <item x="2478"/>
        <item x="712"/>
        <item x="199"/>
        <item x="3294"/>
        <item x="4512"/>
        <item x="931"/>
        <item x="5116"/>
        <item x="5951"/>
        <item x="5425"/>
        <item x="866"/>
        <item x="4599"/>
        <item x="3916"/>
        <item x="4792"/>
        <item x="5095"/>
        <item x="3318"/>
        <item x="5168"/>
        <item x="1375"/>
        <item x="3904"/>
        <item x="3411"/>
        <item x="3650"/>
        <item x="5545"/>
        <item x="561"/>
        <item x="4462"/>
        <item x="459"/>
        <item x="1050"/>
        <item x="2922"/>
        <item x="5903"/>
        <item x="3892"/>
        <item x="1057"/>
        <item x="5754"/>
        <item x="1887"/>
        <item x="1454"/>
        <item x="5510"/>
        <item x="4917"/>
        <item x="4995"/>
        <item x="5047"/>
        <item x="4304"/>
        <item x="2384"/>
        <item x="5969"/>
        <item x="693"/>
        <item x="4313"/>
        <item x="871"/>
        <item x="4316"/>
        <item x="2637"/>
        <item x="112"/>
        <item x="4554"/>
        <item x="4669"/>
        <item x="419"/>
        <item x="1226"/>
        <item x="2034"/>
        <item x="5865"/>
        <item x="3957"/>
        <item x="5482"/>
        <item x="4679"/>
        <item x="505"/>
        <item x="818"/>
        <item x="5646"/>
        <item x="4463"/>
        <item x="4491"/>
        <item x="5086"/>
        <item x="2056"/>
        <item x="3723"/>
        <item x="2202"/>
        <item x="3767"/>
        <item x="3625"/>
        <item x="3156"/>
        <item x="3364"/>
        <item x="5289"/>
        <item x="1650"/>
        <item x="3376"/>
        <item x="2357"/>
        <item x="5905"/>
        <item x="2375"/>
        <item x="2732"/>
        <item x="3773"/>
        <item x="438"/>
        <item x="2692"/>
        <item x="2688"/>
        <item x="1967"/>
        <item x="5352"/>
        <item x="3093"/>
        <item x="5873"/>
        <item x="4073"/>
        <item x="3967"/>
        <item x="687"/>
        <item x="3848"/>
        <item x="4737"/>
        <item x="5332"/>
        <item x="1714"/>
        <item x="416"/>
        <item x="357"/>
        <item x="3952"/>
        <item x="24"/>
        <item x="1075"/>
        <item x="920"/>
        <item x="1870"/>
        <item x="1972"/>
        <item x="1396"/>
        <item x="3597"/>
        <item x="8"/>
        <item x="3289"/>
        <item x="124"/>
        <item x="4119"/>
        <item x="5540"/>
        <item x="1356"/>
        <item x="2144"/>
        <item x="784"/>
        <item x="3602"/>
        <item x="3046"/>
        <item x="5633"/>
        <item x="5121"/>
        <item x="5341"/>
        <item x="4810"/>
        <item x="2312"/>
        <item x="4357"/>
        <item x="3005"/>
        <item x="4480"/>
        <item x="294"/>
        <item x="1986"/>
        <item x="863"/>
        <item x="5518"/>
        <item x="963"/>
        <item x="4050"/>
        <item x="3989"/>
        <item x="4639"/>
        <item x="2706"/>
        <item x="1340"/>
        <item x="4191"/>
        <item x="4213"/>
        <item x="2658"/>
        <item x="5517"/>
        <item x="5678"/>
        <item x="4059"/>
        <item x="2465"/>
        <item x="3502"/>
        <item x="102"/>
        <item x="402"/>
        <item x="3485"/>
        <item x="4232"/>
        <item x="3937"/>
        <item x="110"/>
        <item x="4771"/>
        <item x="4581"/>
        <item x="1005"/>
        <item x="2623"/>
        <item x="4519"/>
        <item x="3966"/>
        <item x="5790"/>
        <item x="1553"/>
        <item x="4282"/>
        <item x="4569"/>
        <item x="203"/>
        <item x="62"/>
        <item x="5083"/>
        <item x="4429"/>
        <item x="1273"/>
        <item x="3432"/>
        <item x="2430"/>
        <item x="566"/>
        <item x="4009"/>
        <item x="750"/>
        <item x="4579"/>
        <item x="4854"/>
        <item x="3217"/>
        <item x="850"/>
        <item x="2766"/>
        <item x="3262"/>
        <item x="4738"/>
        <item x="313"/>
        <item x="2938"/>
        <item x="2850"/>
        <item x="723"/>
        <item x="4205"/>
        <item x="2024"/>
        <item x="5163"/>
        <item x="2791"/>
        <item x="5746"/>
        <item x="5072"/>
        <item x="5833"/>
        <item x="240"/>
        <item x="3171"/>
        <item x="1141"/>
        <item x="3270"/>
        <item x="2428"/>
        <item x="854"/>
        <item x="2376"/>
        <item x="3828"/>
        <item x="4781"/>
        <item x="595"/>
        <item x="3240"/>
        <item x="2006"/>
        <item x="624"/>
        <item x="1129"/>
        <item x="1542"/>
        <item x="2496"/>
        <item x="2091"/>
        <item x="4324"/>
        <item x="4511"/>
        <item x="189"/>
        <item x="5932"/>
        <item x="4485"/>
        <item x="2307"/>
        <item x="564"/>
        <item x="5161"/>
        <item x="2211"/>
        <item x="300"/>
        <item x="3900"/>
        <item x="4020"/>
        <item x="3829"/>
        <item x="708"/>
        <item x="4214"/>
        <item x="3197"/>
        <item x="1325"/>
        <item x="3320"/>
        <item x="1230"/>
        <item x="2493"/>
        <item x="1739"/>
        <item x="3742"/>
        <item x="4052"/>
        <item x="1688"/>
        <item x="3835"/>
        <item x="2916"/>
        <item x="432"/>
        <item x="4776"/>
        <item x="2819"/>
        <item x="5040"/>
        <item x="3778"/>
        <item x="1999"/>
        <item x="755"/>
        <item x="1076"/>
        <item x="3935"/>
        <item x="5084"/>
        <item x="5780"/>
        <item x="1767"/>
        <item x="4350"/>
        <item x="5023"/>
        <item x="3190"/>
        <item x="3160"/>
        <item x="5797"/>
        <item x="1487"/>
        <item x="4333"/>
        <item x="2591"/>
        <item x="5350"/>
        <item x="976"/>
        <item x="4328"/>
        <item x="1642"/>
        <item x="4960"/>
        <item x="5613"/>
        <item x="2912"/>
        <item x="2220"/>
        <item x="3324"/>
        <item x="4257"/>
        <item x="4701"/>
        <item x="2959"/>
        <item x="1709"/>
        <item x="315"/>
        <item x="4597"/>
        <item x="1334"/>
        <item x="3037"/>
        <item x="2527"/>
        <item x="2122"/>
        <item x="1132"/>
        <item x="1879"/>
        <item x="5247"/>
        <item x="1361"/>
        <item x="3019"/>
        <item x="1241"/>
        <item x="5339"/>
        <item x="5528"/>
        <item x="1018"/>
        <item x="5345"/>
        <item x="4962"/>
        <item x="2560"/>
        <item x="2452"/>
        <item x="5891"/>
        <item x="3891"/>
        <item x="3353"/>
        <item x="4500"/>
        <item x="5561"/>
        <item x="2597"/>
        <item x="1554"/>
        <item x="3266"/>
        <item x="1371"/>
        <item x="3407"/>
        <item x="215"/>
        <item x="2249"/>
        <item x="2005"/>
        <item x="4361"/>
        <item x="3105"/>
        <item x="1525"/>
        <item x="2524"/>
        <item x="2629"/>
        <item x="3090"/>
        <item x="813"/>
        <item x="575"/>
        <item x="2962"/>
        <item x="3955"/>
        <item x="1682"/>
        <item x="5430"/>
        <item x="3117"/>
        <item x="5654"/>
        <item x="5222"/>
        <item x="2228"/>
        <item x="2813"/>
        <item x="568"/>
        <item x="3860"/>
        <item x="5522"/>
        <item x="720"/>
        <item x="2689"/>
        <item x="5400"/>
        <item x="1264"/>
        <item x="2185"/>
        <item x="2707"/>
        <item x="3849"/>
        <item x="4993"/>
        <item x="2775"/>
        <item x="3717"/>
        <item x="4221"/>
        <item x="722"/>
        <item x="5572"/>
        <item x="2415"/>
        <item x="4003"/>
        <item x="5284"/>
        <item x="3025"/>
        <item x="1359"/>
        <item x="1574"/>
        <item x="1114"/>
        <item x="3728"/>
        <item x="5761"/>
        <item x="5353"/>
        <item x="214"/>
        <item x="3492"/>
        <item x="5594"/>
        <item x="5297"/>
        <item x="5788"/>
        <item x="2614"/>
        <item x="5465"/>
        <item x="537"/>
        <item x="5973"/>
        <item x="3173"/>
        <item x="2740"/>
        <item x="864"/>
        <item x="1518"/>
        <item x="1953"/>
        <item x="5310"/>
        <item x="5343"/>
        <item x="5946"/>
        <item x="4504"/>
        <item x="2955"/>
        <item x="131"/>
        <item x="5500"/>
        <item x="4675"/>
        <item x="409"/>
        <item x="3666"/>
        <item x="5642"/>
        <item x="2095"/>
        <item x="3023"/>
        <item x="4314"/>
        <item x="5589"/>
        <item x="515"/>
        <item x="611"/>
        <item x="2255"/>
        <item x="801"/>
        <item x="1266"/>
        <item x="269"/>
        <item x="5195"/>
        <item x="2387"/>
        <item x="4949"/>
        <item x="334"/>
        <item x="1546"/>
        <item x="4223"/>
        <item x="1760"/>
        <item x="5276"/>
        <item x="3668"/>
        <item x="2268"/>
        <item x="5803"/>
        <item x="5914"/>
        <item x="4321"/>
        <item x="4196"/>
        <item x="4007"/>
        <item x="2878"/>
        <item x="1961"/>
        <item x="37"/>
        <item x="3493"/>
        <item x="4145"/>
        <item x="4021"/>
        <item x="3446"/>
        <item x="4401"/>
        <item x="2278"/>
        <item x="4990"/>
        <item x="3657"/>
        <item x="921"/>
        <item x="1147"/>
        <item x="3482"/>
        <item x="23"/>
        <item x="603"/>
        <item x="2723"/>
        <item x="1517"/>
        <item x="4427"/>
        <item x="9"/>
        <item x="635"/>
        <item x="4267"/>
        <item x="996"/>
        <item x="5744"/>
        <item x="2104"/>
        <item x="1268"/>
        <item x="113"/>
        <item x="3963"/>
        <item x="1152"/>
        <item x="3740"/>
        <item x="5249"/>
        <item x="593"/>
        <item x="558"/>
        <item x="5574"/>
        <item x="1800"/>
        <item x="4959"/>
        <item x="4885"/>
        <item x="2929"/>
        <item x="5523"/>
        <item x="4951"/>
        <item x="2828"/>
        <item x="5408"/>
        <item x="4743"/>
        <item x="293"/>
        <item x="4756"/>
        <item x="4623"/>
        <item x="375"/>
        <item x="2915"/>
        <item x="4576"/>
        <item x="4942"/>
        <item x="1145"/>
        <item x="4209"/>
        <item x="3035"/>
        <item x="1901"/>
        <item x="5302"/>
        <item x="2793"/>
        <item x="645"/>
        <item x="2903"/>
        <item x="3436"/>
        <item x="4353"/>
        <item x="2808"/>
        <item x="1576"/>
        <item x="369"/>
        <item x="1424"/>
        <item x="2468"/>
        <item x="4473"/>
        <item x="2207"/>
        <item x="3869"/>
        <item x="3015"/>
        <item x="2891"/>
        <item x="2921"/>
        <item x="5318"/>
        <item x="4081"/>
        <item x="5635"/>
        <item x="5752"/>
        <item x="3110"/>
        <item x="5068"/>
        <item x="771"/>
        <item x="3996"/>
        <item x="3040"/>
        <item x="4405"/>
        <item x="5862"/>
        <item x="2941"/>
        <item x="3799"/>
        <item x="4522"/>
        <item x="101"/>
        <item x="446"/>
        <item x="5986"/>
        <item x="38"/>
        <item x="1874"/>
        <item x="3585"/>
        <item x="3672"/>
        <item x="169"/>
        <item x="391"/>
        <item x="3028"/>
        <item x="4829"/>
        <item x="2232"/>
        <item x="4691"/>
        <item x="1136"/>
        <item x="2460"/>
        <item x="1256"/>
        <item x="4369"/>
        <item x="5410"/>
        <item x="3319"/>
        <item x="3215"/>
        <item x="1515"/>
        <item x="5878"/>
        <item x="1411"/>
        <item x="5994"/>
        <item x="3281"/>
        <item x="370"/>
        <item x="2156"/>
        <item x="667"/>
        <item x="2001"/>
        <item x="4619"/>
        <item x="1656"/>
        <item x="5453"/>
        <item x="1445"/>
        <item x="5450"/>
        <item x="4793"/>
        <item x="4322"/>
        <item x="2635"/>
        <item x="2827"/>
        <item x="1694"/>
        <item x="4489"/>
        <item x="3377"/>
        <item x="3508"/>
        <item x="2834"/>
        <item x="3720"/>
        <item x="280"/>
        <item x="66"/>
        <item x="5164"/>
        <item x="4439"/>
        <item x="2212"/>
        <item x="1566"/>
        <item x="1791"/>
        <item x="2856"/>
        <item x="5035"/>
        <item x="4373"/>
        <item x="2425"/>
        <item x="1829"/>
        <item x="1575"/>
        <item x="3478"/>
        <item x="216"/>
        <item x="5993"/>
        <item x="4636"/>
        <item x="5560"/>
        <item x="4412"/>
        <item x="4347"/>
        <item x="5651"/>
        <item x="4215"/>
        <item x="3460"/>
        <item x="2996"/>
        <item x="5316"/>
        <item x="5870"/>
        <item x="2293"/>
        <item x="5724"/>
        <item x="2121"/>
        <item x="2358"/>
        <item x="4587"/>
        <item x="2032"/>
        <item x="3652"/>
        <item x="305"/>
        <item x="2283"/>
        <item x="2893"/>
        <item x="2434"/>
        <item x="3754"/>
        <item x="3406"/>
        <item x="3345"/>
        <item x="3755"/>
        <item x="4212"/>
        <item x="5970"/>
        <item x="2557"/>
        <item x="1320"/>
        <item x="2772"/>
        <item x="398"/>
        <item x="2409"/>
        <item x="5082"/>
        <item x="5203"/>
        <item x="4847"/>
        <item x="1398"/>
        <item x="1624"/>
        <item x="5671"/>
        <item x="3042"/>
        <item x="1774"/>
        <item x="2695"/>
        <item x="5901"/>
        <item x="3763"/>
        <item x="1255"/>
        <item x="5698"/>
        <item x="304"/>
        <item x="1012"/>
        <item x="5814"/>
        <item x="546"/>
        <item x="5371"/>
        <item x="5683"/>
        <item x="5832"/>
        <item x="5721"/>
        <item x="1577"/>
        <item x="5329"/>
        <item x="5733"/>
        <item x="1159"/>
        <item x="3352"/>
        <item x="4484"/>
        <item x="2395"/>
        <item x="692"/>
        <item x="1324"/>
        <item x="989"/>
        <item x="5186"/>
        <item x="4552"/>
        <item x="5092"/>
        <item x="4053"/>
        <item x="50"/>
        <item x="1020"/>
        <item x="855"/>
        <item x="5771"/>
        <item x="5027"/>
        <item x="4833"/>
        <item x="3619"/>
        <item x="4337"/>
        <item x="5672"/>
        <item x="1965"/>
        <item x="3783"/>
        <item x="4969"/>
        <item x="4368"/>
        <item x="1562"/>
        <item x="5446"/>
        <item x="2585"/>
        <item x="4992"/>
        <item x="5547"/>
        <item x="485"/>
        <item x="5378"/>
        <item x="5257"/>
        <item x="162"/>
        <item x="1956"/>
        <item x="5829"/>
        <item x="1762"/>
        <item x="1926"/>
        <item x="2348"/>
        <item x="2880"/>
        <item x="5824"/>
        <item x="2795"/>
        <item x="3157"/>
        <item x="714"/>
        <item x="5919"/>
        <item x="3556"/>
        <item x="5727"/>
        <item x="111"/>
        <item x="4723"/>
        <item x="4955"/>
        <item x="4271"/>
        <item x="2994"/>
        <item x="1274"/>
        <item x="492"/>
        <item x="5611"/>
        <item x="423"/>
        <item x="2771"/>
        <item x="5489"/>
        <item x="2274"/>
        <item x="3109"/>
        <item x="4510"/>
        <item x="1888"/>
        <item x="3793"/>
        <item x="383"/>
        <item x="1354"/>
        <item x="2950"/>
        <item x="2433"/>
        <item x="767"/>
        <item x="1149"/>
        <item x="4988"/>
        <item x="5270"/>
        <item x="5028"/>
        <item x="253"/>
        <item x="5687"/>
        <item x="389"/>
        <item x="205"/>
        <item x="684"/>
        <item x="3476"/>
        <item x="5401"/>
        <item x="5376"/>
        <item x="4207"/>
        <item x="4758"/>
        <item x="5136"/>
        <item x="5694"/>
        <item x="5931"/>
        <item x="128"/>
        <item x="227"/>
        <item x="4563"/>
        <item x="3474"/>
        <item x="5947"/>
        <item x="4516"/>
        <item x="3356"/>
        <item x="5525"/>
        <item x="3643"/>
        <item x="4290"/>
        <item x="3427"/>
        <item x="4930"/>
        <item x="2638"/>
        <item x="4799"/>
        <item x="1437"/>
        <item x="1090"/>
        <item x="657"/>
        <item x="2598"/>
        <item x="1803"/>
        <item x="4521"/>
        <item x="356"/>
        <item x="789"/>
        <item x="4346"/>
        <item x="4641"/>
        <item x="3733"/>
        <item x="1138"/>
        <item x="107"/>
        <item x="2961"/>
        <item x="4437"/>
        <item x="2541"/>
        <item x="942"/>
        <item x="3675"/>
        <item x="5601"/>
        <item x="5580"/>
        <item x="4244"/>
        <item x="354"/>
        <item x="2754"/>
        <item x="4432"/>
        <item x="3858"/>
        <item x="3139"/>
        <item x="3292"/>
        <item x="3496"/>
        <item x="5389"/>
        <item x="5505"/>
        <item x="2739"/>
        <item x="1188"/>
        <item x="299"/>
        <item x="700"/>
        <item x="934"/>
        <item x="3712"/>
        <item x="2728"/>
        <item x="2737"/>
        <item x="5781"/>
        <item x="1087"/>
        <item x="3378"/>
        <item x="5251"/>
        <item x="1509"/>
        <item x="1083"/>
        <item x="1959"/>
        <item x="3685"/>
        <item x="5920"/>
        <item x="701"/>
        <item x="3607"/>
        <item x="45"/>
        <item x="320"/>
        <item x="2386"/>
        <item x="48"/>
        <item x="5046"/>
        <item x="671"/>
        <item x="3239"/>
        <item x="5387"/>
        <item x="5103"/>
        <item x="3295"/>
        <item x="247"/>
        <item x="978"/>
        <item x="1081"/>
        <item x="4788"/>
        <item x="3375"/>
        <item x="4518"/>
        <item x="5133"/>
        <item x="2377"/>
        <item x="5176"/>
        <item x="686"/>
        <item x="5578"/>
        <item x="5988"/>
        <item x="4777"/>
        <item x="4883"/>
        <item x="506"/>
        <item x="4474"/>
        <item x="3791"/>
        <item x="4897"/>
        <item x="3426"/>
        <item x="5521"/>
        <item x="4204"/>
        <item x="2074"/>
        <item x="4206"/>
        <item x="5451"/>
        <item x="2957"/>
        <item x="3447"/>
        <item x="2087"/>
        <item x="2422"/>
        <item x="3340"/>
        <item x="5607"/>
        <item x="3992"/>
        <item x="4534"/>
        <item x="4617"/>
        <item x="5346"/>
        <item x="2521"/>
        <item x="4939"/>
        <item x="5477"/>
        <item x="3371"/>
        <item x="4114"/>
        <item x="2605"/>
        <item x="5467"/>
        <item x="4661"/>
        <item x="2948"/>
        <item x="3616"/>
        <item x="3878"/>
        <item x="3490"/>
        <item x="2338"/>
        <item x="5191"/>
        <item x="676"/>
        <item x="2840"/>
        <item x="1838"/>
        <item x="4768"/>
        <item x="5278"/>
        <item x="1011"/>
        <item x="3537"/>
        <item x="4544"/>
        <item x="3346"/>
        <item x="2012"/>
        <item x="3421"/>
        <item x="4358"/>
        <item x="4116"/>
        <item x="4578"/>
        <item x="1670"/>
        <item x="2933"/>
        <item x="1419"/>
        <item x="4120"/>
        <item x="3282"/>
        <item x="4169"/>
        <item x="5526"/>
        <item x="5433"/>
        <item x="4878"/>
        <item x="5208"/>
        <item x="2413"/>
        <item x="5917"/>
        <item x="1683"/>
        <item x="1415"/>
        <item x="317"/>
        <item x="1228"/>
        <item x="4956"/>
        <item x="5944"/>
        <item x="3095"/>
        <item x="1243"/>
        <item x="5861"/>
        <item x="3471"/>
        <item x="4514"/>
        <item x="4272"/>
        <item x="5421"/>
        <item x="1533"/>
        <item x="4127"/>
        <item x="3751"/>
        <item x="3062"/>
        <item x="6005"/>
        <item x="2863"/>
        <item x="83"/>
        <item x="5693"/>
        <item x="1311"/>
        <item x="4325"/>
        <item x="3961"/>
        <item x="328"/>
        <item x="3400"/>
        <item x="5494"/>
        <item x="4380"/>
        <item x="1177"/>
        <item x="2260"/>
        <item x="495"/>
        <item x="5499"/>
        <item x="2930"/>
        <item x="4572"/>
        <item x="1214"/>
        <item x="2399"/>
        <item x="1300"/>
        <item x="5142"/>
        <item x="4733"/>
        <item x="1299"/>
        <item x="5643"/>
        <item x="4755"/>
        <item x="5976"/>
        <item x="631"/>
        <item x="3864"/>
        <item x="3868"/>
        <item x="5423"/>
        <item x="4971"/>
        <item x="617"/>
        <item x="4203"/>
        <item x="1594"/>
        <item x="1710"/>
        <item x="5577"/>
        <item x="49"/>
        <item x="816"/>
        <item x="830"/>
        <item x="5910"/>
        <item x="2738"/>
        <item x="1180"/>
        <item x="1776"/>
        <item x="4819"/>
        <item x="3931"/>
        <item x="338"/>
        <item x="316"/>
        <item x="408"/>
        <item x="3192"/>
        <item x="3180"/>
        <item x="993"/>
        <item x="3049"/>
        <item x="1738"/>
        <item x="3006"/>
        <item x="5962"/>
        <item x="3336"/>
        <item x="5317"/>
        <item x="2895"/>
        <item x="1793"/>
        <item x="944"/>
        <item x="3254"/>
        <item x="2192"/>
        <item x="1676"/>
        <item x="1499"/>
        <item x="851"/>
        <item x="4800"/>
        <item x="54"/>
        <item x="5773"/>
        <item x="958"/>
        <item x="332"/>
        <item x="669"/>
        <item x="1850"/>
        <item x="4005"/>
        <item x="4608"/>
        <item x="3202"/>
        <item x="3927"/>
        <item x="1506"/>
        <item x="4681"/>
        <item x="651"/>
        <item x="5263"/>
        <item x="4740"/>
        <item x="4948"/>
        <item x="1004"/>
        <item x="2563"/>
        <item x="5126"/>
        <item x="1918"/>
        <item x="5989"/>
        <item x="5804"/>
        <item x="1905"/>
        <item x="1055"/>
        <item x="1045"/>
        <item x="2110"/>
        <item x="1400"/>
        <item x="4216"/>
        <item x="1388"/>
        <item x="1315"/>
        <item x="2873"/>
        <item x="494"/>
        <item x="4783"/>
        <item x="4714"/>
        <item x="2481"/>
        <item x="2161"/>
        <item x="5612"/>
        <item x="5737"/>
        <item x="2189"/>
        <item x="4682"/>
        <item x="3512"/>
        <item x="4276"/>
        <item x="2709"/>
        <item x="1187"/>
        <item x="1443"/>
        <item x="3325"/>
        <item x="941"/>
        <item x="1680"/>
        <item x="587"/>
        <item x="3658"/>
        <item x="3164"/>
        <item x="5108"/>
        <item x="5330"/>
        <item x="5418"/>
        <item x="3612"/>
        <item x="4613"/>
        <item x="3518"/>
        <item x="2868"/>
        <item x="2341"/>
        <item x="4846"/>
        <item x="3024"/>
        <item x="1726"/>
        <item x="3094"/>
        <item x="1696"/>
        <item x="1919"/>
        <item x="3020"/>
        <item x="3351"/>
        <item x="5552"/>
        <item x="1976"/>
        <item x="2042"/>
        <item x="1529"/>
        <item x="1079"/>
        <item x="4754"/>
        <item x="1603"/>
        <item x="3843"/>
        <item x="4121"/>
        <item x="4110"/>
        <item x="377"/>
        <item x="4340"/>
        <item x="26"/>
        <item x="1043"/>
        <item x="1865"/>
        <item x="229"/>
        <item x="1292"/>
        <item x="1431"/>
        <item x="3634"/>
        <item x="4996"/>
        <item x="4858"/>
        <item x="5930"/>
        <item x="5120"/>
        <item x="4532"/>
        <item x="1422"/>
        <item x="3268"/>
        <item x="425"/>
        <item x="1042"/>
        <item x="2761"/>
        <item x="381"/>
        <item x="4535"/>
        <item x="5571"/>
        <item x="513"/>
        <item x="4817"/>
        <item x="5595"/>
        <item x="5197"/>
        <item x="3827"/>
        <item x="5445"/>
        <item x="3576"/>
        <item x="917"/>
        <item x="892"/>
        <item x="875"/>
        <item x="3872"/>
        <item x="60"/>
        <item x="5407"/>
        <item x="4424"/>
        <item x="3750"/>
        <item x="1202"/>
        <item x="1970"/>
        <item x="5566"/>
        <item x="4079"/>
        <item x="5845"/>
        <item x="3158"/>
        <item x="516"/>
        <item x="96"/>
        <item x="2331"/>
        <item x="1782"/>
        <item x="3219"/>
        <item x="3708"/>
        <item x="2919"/>
        <item x="1626"/>
        <item x="618"/>
        <item x="5129"/>
        <item x="248"/>
        <item x="1690"/>
        <item x="5791"/>
        <item x="3088"/>
        <item x="1788"/>
        <item x="3235"/>
        <item x="5893"/>
        <item x="685"/>
        <item x="3919"/>
        <item x="3548"/>
        <item x="5899"/>
        <item x="2083"/>
        <item x="2327"/>
        <item x="3170"/>
        <item x="3831"/>
        <item x="4656"/>
        <item x="5157"/>
        <item x="1586"/>
        <item x="745"/>
        <item x="1589"/>
        <item x="2051"/>
        <item x="5762"/>
        <item x="625"/>
        <item x="713"/>
        <item x="1561"/>
        <item x="3944"/>
        <item x="1593"/>
        <item x="5915"/>
        <item x="4246"/>
        <item x="602"/>
        <item x="2143"/>
        <item x="2025"/>
        <item x="530"/>
        <item x="2640"/>
        <item x="2464"/>
        <item x="3226"/>
        <item x="2841"/>
        <item x="41"/>
        <item x="802"/>
        <item x="1123"/>
        <item x="4785"/>
        <item x="3644"/>
        <item x="2716"/>
        <item x="2500"/>
        <item x="1033"/>
        <item x="1578"/>
        <item x="4142"/>
        <item x="1757"/>
        <item x="4260"/>
        <item x="4886"/>
        <item x="1222"/>
        <item x="3826"/>
        <item x="5938"/>
        <item x="1958"/>
        <item x="3622"/>
        <item x="1209"/>
        <item x="4281"/>
        <item x="1839"/>
        <item x="5480"/>
        <item x="2294"/>
        <item x="591"/>
        <item x="4342"/>
        <item x="3343"/>
        <item x="5034"/>
        <item x="3365"/>
        <item x="3507"/>
        <item x="4253"/>
        <item x="2838"/>
        <item x="5879"/>
        <item x="1330"/>
        <item x="1913"/>
        <item x="4706"/>
        <item x="5167"/>
        <item x="5379"/>
        <item x="5626"/>
        <item x="2174"/>
        <item x="3972"/>
        <item x="5061"/>
        <item x="3620"/>
        <item x="2609"/>
        <item x="5264"/>
        <item x="1186"/>
        <item x="565"/>
        <item x="308"/>
        <item x="3743"/>
        <item x="1335"/>
        <item x="1142"/>
        <item x="5432"/>
        <item x="2181"/>
        <item x="4237"/>
        <item x="5805"/>
        <item x="2588"/>
        <item x="5272"/>
        <item x="5774"/>
        <item x="3370"/>
        <item x="5760"/>
        <item x="1856"/>
        <item x="5377"/>
        <item x="1634"/>
        <item x="435"/>
        <item x="3162"/>
        <item x="2168"/>
        <item x="3574"/>
        <item x="5959"/>
        <item x="1955"/>
        <item x="5897"/>
        <item x="3060"/>
        <item x="607"/>
        <item x="2617"/>
        <item x="1161"/>
        <item x="592"/>
        <item x="2333"/>
        <item x="3544"/>
        <item x="4635"/>
        <item x="4310"/>
        <item x="4177"/>
        <item x="3905"/>
        <item x="1314"/>
        <item x="770"/>
        <item x="2190"/>
        <item x="898"/>
        <item x="2062"/>
        <item x="4680"/>
        <item x="172"/>
        <item x="3920"/>
        <item x="5835"/>
        <item x="555"/>
        <item x="43"/>
        <item x="2234"/>
        <item x="5216"/>
        <item x="3932"/>
        <item x="4139"/>
        <item x="5960"/>
        <item x="4747"/>
        <item x="1840"/>
        <item x="4882"/>
        <item x="846"/>
        <item x="5749"/>
        <item x="2746"/>
        <item x="5388"/>
        <item x="1080"/>
        <item x="2021"/>
        <item x="1477"/>
        <item x="766"/>
        <item x="3947"/>
        <item x="3818"/>
        <item x="5127"/>
        <item x="4918"/>
        <item x="973"/>
        <item x="13"/>
        <item x="5217"/>
        <item x="3774"/>
        <item x="3146"/>
        <item x="1790"/>
        <item x="1564"/>
        <item x="539"/>
        <item x="2279"/>
        <item x="262"/>
        <item x="1435"/>
        <item x="5978"/>
        <item x="5668"/>
        <item x="5880"/>
        <item x="4094"/>
        <item x="870"/>
        <item x="3497"/>
        <item x="2796"/>
        <item x="260"/>
        <item x="5634"/>
        <item x="2536"/>
        <item x="527"/>
        <item x="4279"/>
        <item x="3954"/>
        <item x="1267"/>
        <item x="2718"/>
        <item x="331"/>
        <item x="5942"/>
        <item x="2188"/>
        <item x="3017"/>
        <item x="2318"/>
        <item x="5706"/>
        <item x="5794"/>
        <item x="2999"/>
        <item x="2730"/>
        <item x="5488"/>
        <item x="812"/>
        <item x="2581"/>
        <item x="379"/>
        <item x="1602"/>
        <item x="867"/>
        <item x="2867"/>
        <item x="5360"/>
        <item x="5680"/>
        <item x="2932"/>
        <item x="1598"/>
        <item x="761"/>
        <item x="5361"/>
        <item x="4263"/>
        <item x="5565"/>
        <item x="2330"/>
        <item x="1386"/>
        <item x="1168"/>
        <item x="557"/>
        <item x="4761"/>
        <item x="1643"/>
        <item x="2100"/>
        <item x="4804"/>
        <item x="2552"/>
        <item x="1473"/>
        <item x="5535"/>
        <item x="772"/>
        <item x="5172"/>
        <item x="4887"/>
        <item x="5348"/>
        <item x="1246"/>
        <item x="3431"/>
        <item x="2497"/>
        <item x="4728"/>
        <item x="1555"/>
        <item x="2319"/>
        <item x="2446"/>
        <item x="581"/>
        <item x="3847"/>
        <item x="5992"/>
        <item x="5071"/>
        <item x="2491"/>
        <item x="2334"/>
        <item x="2485"/>
        <item x="4039"/>
        <item x="4973"/>
        <item x="1819"/>
        <item x="4696"/>
        <item x="4375"/>
        <item x="3747"/>
        <item x="781"/>
        <item x="1588"/>
        <item x="1220"/>
        <item x="5843"/>
        <item x="4239"/>
        <item x="1878"/>
        <item x="4189"/>
        <item x="109"/>
        <item x="4031"/>
        <item x="1116"/>
        <item x="2760"/>
        <item x="4341"/>
        <item x="2467"/>
        <item x="2347"/>
        <item x="152"/>
        <item x="4063"/>
        <item x="1521"/>
        <item x="321"/>
        <item x="5025"/>
        <item x="5406"/>
        <item x="1305"/>
        <item x="4195"/>
        <item x="4464"/>
        <item x="5966"/>
        <item x="3808"/>
        <item x="2139"/>
        <item x="5834"/>
        <item x="5602"/>
        <item x="4724"/>
        <item x="5062"/>
        <item x="2558"/>
        <item x="4363"/>
        <item x="5409"/>
        <item x="263"/>
        <item x="5867"/>
        <item x="4838"/>
        <item x="61"/>
        <item x="142"/>
        <item x="2208"/>
        <item x="292"/>
        <item x="3128"/>
        <item x="4307"/>
        <item x="5783"/>
        <item x="4585"/>
        <item x="4436"/>
        <item x="2965"/>
        <item x="4199"/>
        <item x="2964"/>
        <item x="4764"/>
        <item x="5610"/>
        <item x="5324"/>
        <item x="1877"/>
        <item x="4197"/>
        <item x="810"/>
        <item x="1500"/>
        <item x="4069"/>
        <item x="1911"/>
        <item x="2151"/>
        <item x="5160"/>
        <item x="5838"/>
        <item x="4666"/>
        <item x="5291"/>
        <item x="4018"/>
        <item x="2050"/>
        <item x="880"/>
        <item x="808"/>
        <item x="4704"/>
        <item x="2474"/>
        <item x="3626"/>
        <item x="273"/>
        <item x="704"/>
        <item x="2179"/>
        <item x="420"/>
        <item x="373"/>
        <item x="3201"/>
        <item x="4614"/>
        <item x="217"/>
        <item x="1053"/>
        <item x="3613"/>
        <item x="496"/>
        <item x="2604"/>
        <item x="3902"/>
        <item x="4889"/>
        <item x="4734"/>
        <item x="938"/>
        <item x="518"/>
        <item x="820"/>
        <item x="1556"/>
        <item x="5212"/>
        <item x="5712"/>
        <item x="5839"/>
        <item x="5461"/>
        <item x="4665"/>
        <item x="825"/>
        <item x="3726"/>
        <item x="4786"/>
        <item x="5655"/>
        <item x="3439"/>
        <item x="4813"/>
        <item x="786"/>
        <item x="4202"/>
        <item x="2339"/>
        <item x="3590"/>
        <item x="1331"/>
        <item x="3577"/>
        <item x="92"/>
        <item x="1916"/>
        <item x="2059"/>
        <item x="4775"/>
        <item x="3123"/>
        <item x="5786"/>
        <item x="849"/>
        <item x="3803"/>
        <item x="4926"/>
        <item x="4034"/>
        <item x="5558"/>
        <item x="3181"/>
        <item x="2972"/>
        <item x="3974"/>
        <item x="368"/>
        <item x="119"/>
        <item x="4398"/>
        <item x="873"/>
        <item x="520"/>
        <item x="815"/>
        <item x="2857"/>
        <item x="734"/>
        <item x="311"/>
        <item x="4727"/>
        <item x="2462"/>
        <item x="563"/>
        <item x="5323"/>
        <item x="3629"/>
        <item x="918"/>
        <item x="1489"/>
        <item x="3113"/>
        <item x="1551"/>
        <item x="1155"/>
        <item x="1531"/>
        <item x="1456"/>
        <item x="2199"/>
        <item x="2886"/>
        <item x="4183"/>
        <item x="4329"/>
        <item x="1249"/>
        <item x="3132"/>
        <item x="4131"/>
        <item x="1119"/>
        <item x="2890"/>
        <item x="5586"/>
        <item x="4766"/>
        <item x="4187"/>
        <item x="5032"/>
        <item x="1977"/>
        <item x="1131"/>
        <item x="5110"/>
        <item x="2655"/>
        <item x="1385"/>
        <item x="732"/>
        <item x="3534"/>
        <item x="3467"/>
        <item x="3382"/>
        <item x="1065"/>
        <item x="5207"/>
        <item x="5530"/>
        <item x="1474"/>
        <item x="4588"/>
        <item x="983"/>
        <item x="5367"/>
        <item x="1541"/>
        <item x="717"/>
        <item x="5462"/>
        <item x="3252"/>
        <item x="3727"/>
        <item x="1040"/>
        <item x="3689"/>
        <item x="797"/>
        <item x="610"/>
        <item x="1449"/>
        <item x="3167"/>
        <item x="2443"/>
        <item x="2109"/>
        <item x="5490"/>
        <item x="1192"/>
        <item x="255"/>
        <item x="1410"/>
        <item x="401"/>
        <item x="3678"/>
        <item x="1657"/>
        <item x="1992"/>
        <item x="3782"/>
        <item x="493"/>
        <item x="2440"/>
        <item x="3659"/>
        <item x="2426"/>
        <item x="1570"/>
        <item x="3451"/>
        <item x="1294"/>
        <item x="4877"/>
        <item x="2419"/>
        <item x="5952"/>
        <item x="5924"/>
        <item x="2984"/>
        <item x="5619"/>
        <item x="5597"/>
        <item x="3642"/>
        <item x="3114"/>
        <item x="1675"/>
        <item x="4575"/>
        <item x="4864"/>
        <item x="4099"/>
        <item x="4570"/>
        <item x="3033"/>
        <item x="4934"/>
        <item x="1206"/>
        <item x="3004"/>
        <item x="5292"/>
        <item x="4975"/>
        <item x="2654"/>
        <item x="4104"/>
        <item x="1000"/>
        <item x="4919"/>
        <item x="1883"/>
        <item x="12"/>
        <item x="3621"/>
        <item x="2107"/>
        <item x="4916"/>
        <item x="2576"/>
        <item x="5089"/>
        <item x="228"/>
        <item x="5493"/>
        <item x="4501"/>
        <item x="2335"/>
        <item x="626"/>
        <item x="1544"/>
        <item x="5236"/>
        <item x="5542"/>
        <item x="5679"/>
        <item x="2215"/>
        <item x="4643"/>
        <item x="3710"/>
        <item x="553"/>
        <item x="1125"/>
        <item x="4530"/>
        <item x="837"/>
        <item x="3909"/>
        <item x="4027"/>
        <item x="4662"/>
        <item x="4201"/>
        <item x="1811"/>
        <item x="5710"/>
        <item x="2495"/>
        <item x="5770"/>
        <item x="5122"/>
        <item x="1746"/>
        <item x="1952"/>
        <item x="4466"/>
        <item x="5392"/>
        <item x="5728"/>
        <item x="504"/>
        <item x="3236"/>
        <item x="879"/>
        <item x="2935"/>
        <item x="4881"/>
        <item x="3135"/>
        <item x="1891"/>
        <item x="5162"/>
        <item x="5852"/>
        <item x="1844"/>
        <item x="1323"/>
        <item x="3440"/>
        <item x="3611"/>
        <item x="2106"/>
        <item x="3653"/>
        <item x="2653"/>
        <item x="2729"/>
        <item x="390"/>
        <item x="3390"/>
        <item x="2418"/>
        <item x="3414"/>
        <item x="3391"/>
        <item x="3304"/>
        <item x="2178"/>
        <item x="4640"/>
        <item x="5275"/>
        <item x="2029"/>
        <item x="1860"/>
        <item x="1665"/>
        <item x="839"/>
        <item x="2081"/>
        <item x="1402"/>
        <item x="3099"/>
        <item x="1428"/>
        <item x="3067"/>
        <item x="1364"/>
        <item x="790"/>
        <item x="4387"/>
        <item x="333"/>
        <item x="4645"/>
        <item x="1193"/>
        <item x="4420"/>
        <item x="780"/>
        <item x="5864"/>
        <item x="1061"/>
        <item x="3449"/>
        <item x="1326"/>
        <item x="550"/>
        <item x="5514"/>
        <item x="1834"/>
        <item x="5405"/>
        <item x="1627"/>
        <item x="3297"/>
        <item x="4770"/>
        <item x="2053"/>
        <item x="3317"/>
        <item x="1439"/>
        <item x="1660"/>
        <item x="644"/>
        <item x="5650"/>
        <item x="2678"/>
        <item x="3993"/>
        <item x="5913"/>
        <item x="4017"/>
        <item x="3656"/>
        <item x="1982"/>
        <item x="5881"/>
        <item x="4812"/>
        <item x="5246"/>
        <item x="2265"/>
        <item x="3981"/>
        <item x="5670"/>
        <item x="5567"/>
        <item x="1935"/>
        <item x="1118"/>
        <item x="5039"/>
        <item x="1244"/>
        <item x="5309"/>
        <item x="4853"/>
        <item x="478"/>
        <item x="337"/>
        <item x="1218"/>
        <item x="4200"/>
        <item x="5358"/>
        <item x="4470"/>
        <item x="4689"/>
        <item x="4360"/>
        <item x="4326"/>
        <item x="2727"/>
        <item x="3930"/>
        <item x="4967"/>
        <item x="2714"/>
        <item x="682"/>
        <item x="3082"/>
        <item x="3552"/>
        <item x="241"/>
        <item x="4653"/>
        <item x="1611"/>
        <item x="1068"/>
        <item x="3300"/>
        <item x="3116"/>
        <item x="1358"/>
        <item x="5313"/>
        <item x="3021"/>
        <item x="5395"/>
        <item x="2671"/>
        <item x="4844"/>
        <item x="799"/>
        <item x="141"/>
        <item x="4503"/>
        <item x="2561"/>
        <item x="3986"/>
        <item x="4422"/>
        <item x="5664"/>
        <item x="1211"/>
        <item x="75"/>
        <item x="2175"/>
        <item x="436"/>
        <item x="4840"/>
        <item x="5776"/>
        <item x="835"/>
        <item x="2660"/>
        <item x="4697"/>
        <item x="2200"/>
        <item x="2779"/>
        <item x="1826"/>
        <item x="345"/>
        <item x="834"/>
        <item x="4172"/>
        <item x="2256"/>
        <item x="4158"/>
        <item x="238"/>
        <item x="3115"/>
        <item x="4046"/>
        <item x="594"/>
        <item x="4488"/>
        <item x="4022"/>
        <item x="2523"/>
        <item x="2724"/>
        <item x="3159"/>
        <item x="3877"/>
        <item x="1705"/>
        <item x="5756"/>
        <item x="5958"/>
        <item x="1708"/>
        <item x="1572"/>
        <item x="1229"/>
        <item x="56"/>
        <item x="3713"/>
        <item x="3990"/>
        <item x="5470"/>
        <item x="3766"/>
        <item x="3057"/>
        <item x="3731"/>
        <item x="2686"/>
        <item x="4866"/>
        <item x="2820"/>
        <item x="3237"/>
        <item x="4043"/>
        <item x="1973"/>
        <item x="4092"/>
        <item x="759"/>
        <item x="1898"/>
        <item x="1857"/>
        <item x="2457"/>
        <item x="3833"/>
        <item x="3462"/>
        <item x="865"/>
        <item x="4760"/>
        <item x="4029"/>
        <item x="139"/>
        <item x="5099"/>
        <item x="3290"/>
        <item x="3554"/>
        <item x="4562"/>
        <item x="3698"/>
        <item x="3489"/>
        <item x="4807"/>
        <item x="2245"/>
        <item x="439"/>
        <item x="3136"/>
        <item x="4180"/>
        <item x="5474"/>
        <item x="4417"/>
        <item x="4086"/>
        <item x="1794"/>
        <item x="5739"/>
        <item x="480"/>
        <item x="1074"/>
        <item x="2770"/>
        <item x="3459"/>
        <item x="4093"/>
        <item x="1341"/>
        <item x="4539"/>
        <item x="2248"/>
        <item x="166"/>
        <item x="1962"/>
        <item x="1830"/>
        <item x="1691"/>
        <item x="578"/>
        <item x="1360"/>
        <item x="1944"/>
        <item x="948"/>
        <item x="5005"/>
        <item x="1896"/>
        <item x="2290"/>
        <item x="144"/>
        <item x="2454"/>
        <item x="2494"/>
        <item x="4113"/>
        <item x="2127"/>
        <item x="3771"/>
        <item x="5043"/>
        <item x="2389"/>
        <item x="4549"/>
        <item x="461"/>
        <item x="4026"/>
        <item x="3583"/>
        <item x="1715"/>
        <item x="828"/>
        <item x="1418"/>
        <item x="5883"/>
        <item x="2720"/>
        <item x="620"/>
        <item x="5659"/>
        <item x="2183"/>
        <item x="800"/>
        <item x="4109"/>
        <item x="2684"/>
        <item x="502"/>
        <item x="28"/>
        <item x="1223"/>
        <item x="4089"/>
        <item x="4863"/>
        <item x="741"/>
        <item x="2469"/>
        <item x="2227"/>
        <item x="335"/>
        <item x="6001"/>
        <item x="5764"/>
        <item x="1817"/>
        <item x="1370"/>
        <item x="460"/>
        <item x="3702"/>
        <item x="4065"/>
        <item x="1543"/>
        <item x="3183"/>
        <item x="4590"/>
        <item x="208"/>
        <item x="3834"/>
        <item x="5026"/>
        <item x="1508"/>
        <item x="1219"/>
        <item x="196"/>
        <item x="3149"/>
        <item x="4893"/>
        <item x="2613"/>
        <item x="2458"/>
        <item x="4128"/>
        <item x="3820"/>
        <item x="1481"/>
        <item x="529"/>
        <item x="991"/>
        <item x="482"/>
        <item x="3832"/>
        <item x="1536"/>
        <item x="5206"/>
        <item x="5362"/>
        <item x="1695"/>
        <item x="827"/>
        <item x="3148"/>
        <item x="2501"/>
        <item x="5719"/>
        <item x="5590"/>
        <item x="2888"/>
        <item x="5444"/>
        <item x="2129"/>
        <item x="4040"/>
        <item x="4312"/>
        <item x="2539"/>
        <item x="3111"/>
        <item x="1783"/>
        <item x="2559"/>
        <item x="2140"/>
        <item x="1969"/>
        <item x="1927"/>
        <item x="2756"/>
        <item x="2193"/>
        <item x="4487"/>
        <item x="353"/>
        <item x="1635"/>
        <item x="5984"/>
        <item x="2619"/>
        <item x="1731"/>
        <item x="5357"/>
        <item x="2184"/>
        <item x="4763"/>
        <item x="1630"/>
        <item x="2825"/>
        <item x="3674"/>
        <item x="1483"/>
        <item x="4294"/>
        <item x="4157"/>
        <item x="2073"/>
        <item x="5509"/>
        <item x="5283"/>
        <item x="606"/>
        <item x="4791"/>
        <item x="2661"/>
        <item x="2224"/>
        <item x="3706"/>
        <item x="3945"/>
        <item x="5812"/>
        <item x="1601"/>
        <item x="3686"/>
        <item x="4188"/>
        <item x="2553"/>
        <item x="4080"/>
        <item x="538"/>
        <item x="1619"/>
        <item x="5066"/>
        <item x="3166"/>
        <item x="30"/>
        <item x="598"/>
        <item x="5412"/>
        <item x="2696"/>
        <item x="3775"/>
        <item x="4816"/>
        <item x="623"/>
        <item x="397"/>
        <item x="2000"/>
        <item x="4428"/>
        <item x="2621"/>
        <item x="1339"/>
        <item x="5937"/>
        <item x="3641"/>
        <item x="4622"/>
        <item x="3203"/>
        <item x="5935"/>
        <item x="5778"/>
        <item x="5782"/>
        <item x="5237"/>
        <item x="5008"/>
        <item x="6008"/>
        <item x="4543"/>
        <item x="4757"/>
        <item x="615"/>
        <item x="4355"/>
        <item x="4259"/>
        <item x="411"/>
        <item x="4789"/>
        <item x="3546"/>
        <item x="1462"/>
        <item x="5130"/>
        <item x="5298"/>
        <item x="1289"/>
        <item x="3238"/>
        <item x="3600"/>
        <item x="3241"/>
        <item x="3435"/>
        <item x="4372"/>
        <item x="3680"/>
        <item x="1679"/>
        <item x="3494"/>
        <item x="3542"/>
        <item x="5475"/>
        <item x="2105"/>
        <item x="6015"/>
        <item x="1925"/>
        <item x="3138"/>
        <item x="4605"/>
        <item x="3227"/>
        <item x="3851"/>
        <item x="4132"/>
        <item x="2442"/>
        <item x="4465"/>
        <item x="4284"/>
        <item x="363"/>
        <item x="1859"/>
        <item x="5281"/>
        <item x="254"/>
        <item x="912"/>
        <item x="2414"/>
        <item x="3660"/>
        <item x="2380"/>
        <item x="5502"/>
        <item x="1425"/>
        <item x="5911"/>
        <item x="2733"/>
        <item x="903"/>
        <item x="1231"/>
        <item x="3854"/>
        <item x="511"/>
        <item x="1759"/>
        <item x="5271"/>
        <item x="721"/>
        <item x="848"/>
        <item x="1591"/>
        <item x="3896"/>
        <item x="2815"/>
        <item x="2057"/>
        <item x="1906"/>
        <item x="1737"/>
        <item x="5605"/>
        <item x="3047"/>
        <item x="1700"/>
        <item x="2162"/>
        <item x="2448"/>
        <item x="2758"/>
        <item x="1379"/>
        <item x="4431"/>
        <item x="3230"/>
        <item x="3287"/>
        <item x="1056"/>
        <item x="2449"/>
        <item x="2039"/>
        <item x="4586"/>
        <item x="2197"/>
        <item x="577"/>
        <item x="5975"/>
        <item x="2826"/>
        <item x="72"/>
        <item x="3704"/>
        <item x="3879"/>
        <item x="5402"/>
        <item x="5473"/>
        <item x="57"/>
        <item x="5233"/>
        <item x="1224"/>
        <item x="5772"/>
        <item x="3942"/>
        <item x="663"/>
        <item x="2099"/>
        <item x="4176"/>
        <item x="4621"/>
        <item x="35"/>
        <item x="5927"/>
        <item x="2680"/>
        <item x="2666"/>
        <item x="93"/>
        <item x="4637"/>
        <item x="4268"/>
        <item x="2877"/>
        <item x="3458"/>
        <item x="2513"/>
        <item x="5374"/>
        <item x="5449"/>
        <item x="2512"/>
        <item x="94"/>
        <item x="2131"/>
        <item x="1416"/>
        <item x="791"/>
        <item x="524"/>
        <item x="3362"/>
        <item x="1866"/>
        <item x="3073"/>
        <item x="2998"/>
        <item x="5435"/>
        <item x="2116"/>
        <item x="5235"/>
        <item x="5686"/>
        <item x="3988"/>
        <item x="3562"/>
        <item x="3163"/>
        <item x="3817"/>
        <item x="4687"/>
        <item x="5533"/>
        <item x="4296"/>
        <item x="2584"/>
        <item x="3334"/>
        <item x="2370"/>
        <item x="4944"/>
        <item x="5219"/>
        <item x="1146"/>
        <item x="5826"/>
        <item x="2070"/>
        <item x="1353"/>
        <item x="5926"/>
        <item x="2388"/>
        <item x="1519"/>
        <item x="1981"/>
        <item x="2187"/>
        <item x="6013"/>
        <item x="5516"/>
        <item x="2564"/>
        <item x="2876"/>
        <item x="1247"/>
        <item x="860"/>
        <item x="4589"/>
        <item x="2094"/>
        <item x="4979"/>
        <item x="4255"/>
        <item x="4058"/>
        <item x="4411"/>
        <item x="4729"/>
        <item x="2170"/>
        <item x="103"/>
        <item x="3943"/>
        <item x="3816"/>
        <item x="201"/>
        <item x="1538"/>
        <item x="5491"/>
        <item x="105"/>
        <item x="5909"/>
        <item x="2843"/>
        <item x="1932"/>
        <item x="3076"/>
        <item x="4609"/>
        <item x="5524"/>
        <item x="5743"/>
        <item x="2810"/>
        <item x="3926"/>
        <item x="4923"/>
        <item x="2093"/>
        <item x="2881"/>
        <item x="6000"/>
        <item x="821"/>
        <item x="151"/>
        <item x="17"/>
        <item x="5145"/>
        <item x="5673"/>
        <item x="4540"/>
        <item x="3039"/>
        <item x="5369"/>
        <item x="443"/>
        <item x="3589"/>
        <item x="5265"/>
        <item x="3234"/>
        <item x="5290"/>
        <item x="4088"/>
        <item x="1949"/>
        <item x="5414"/>
        <item x="4631"/>
        <item x="888"/>
        <item x="4435"/>
        <item x="5753"/>
        <item x="3214"/>
        <item x="945"/>
        <item x="5569"/>
        <item x="3522"/>
        <item x="4894"/>
        <item x="788"/>
        <item x="2816"/>
        <item x="4999"/>
        <item x="4178"/>
        <item x="4985"/>
        <item x="2171"/>
        <item x="5029"/>
        <item x="59"/>
        <item x="3591"/>
        <item x="5454"/>
        <item x="4445"/>
        <item x="2246"/>
        <item x="2685"/>
        <item x="3578"/>
        <item x="5821"/>
        <item x="2445"/>
        <item x="3395"/>
        <item x="5443"/>
        <item x="2251"/>
        <item x="3797"/>
        <item x="5537"/>
        <item x="1002"/>
        <item x="5058"/>
        <item x="476"/>
        <item x="2219"/>
        <item x="15"/>
        <item x="3232"/>
        <item x="2394"/>
        <item x="4148"/>
        <item x="2205"/>
        <item x="239"/>
        <item x="3525"/>
        <item x="5301"/>
        <item x="2306"/>
        <item x="4709"/>
        <item x="2773"/>
        <item x="192"/>
        <item x="885"/>
        <item x="4685"/>
        <item x="5869"/>
        <item x="2472"/>
        <item x="4449"/>
        <item x="1366"/>
        <item x="4596"/>
        <item x="3895"/>
        <item x="4531"/>
        <item x="4508"/>
        <item x="541"/>
        <item x="2311"/>
        <item x="3127"/>
        <item x="1254"/>
        <item x="756"/>
        <item x="3036"/>
        <item x="4379"/>
        <item x="728"/>
        <item x="3420"/>
        <item x="5238"/>
        <item x="4767"/>
        <item x="2719"/>
        <item x="5907"/>
        <item x="4633"/>
        <item x="4242"/>
        <item x="2991"/>
        <item x="616"/>
        <item x="2149"/>
        <item x="579"/>
        <item x="5199"/>
        <item x="5067"/>
        <item x="3529"/>
        <item x="4517"/>
        <item x="3218"/>
        <item x="197"/>
        <item x="1260"/>
        <item x="1027"/>
        <item x="5320"/>
        <item x="5636"/>
        <item x="364"/>
        <item x="5140"/>
        <item x="3464"/>
        <item x="4077"/>
        <item x="531"/>
        <item x="5660"/>
        <item x="2391"/>
        <item x="4860"/>
        <item x="1693"/>
        <item x="2152"/>
        <item x="3312"/>
        <item x="1130"/>
        <item x="431"/>
        <item x="1792"/>
        <item x="3639"/>
        <item x="3515"/>
        <item x="1622"/>
        <item x="872"/>
        <item x="5011"/>
        <item x="597"/>
        <item x="2078"/>
        <item x="1096"/>
        <item x="5457"/>
        <item x="1235"/>
        <item x="2450"/>
        <item x="729"/>
        <item x="2498"/>
        <item x="3757"/>
        <item x="3532"/>
        <item x="2412"/>
        <item x="542"/>
        <item x="517"/>
        <item x="829"/>
        <item x="458"/>
        <item x="4875"/>
        <item x="1672"/>
        <item x="5529"/>
        <item x="2517"/>
        <item x="3789"/>
        <item x="1931"/>
        <item x="4707"/>
        <item x="2014"/>
        <item x="2244"/>
        <item x="3745"/>
        <item x="5798"/>
        <item x="2952"/>
        <item x="4118"/>
        <item x="5304"/>
        <item x="4096"/>
        <item t="default"/>
      </items>
    </pivotField>
    <pivotField axis="axisCol" showAll="0">
      <items count="3">
        <item x="0"/>
        <item x="1"/>
        <item t="default"/>
      </items>
    </pivotField>
    <pivotField showAll="0">
      <items count="4">
        <item x="2"/>
        <item x="0"/>
        <item x="1"/>
        <item t="default"/>
      </items>
    </pivotField>
    <pivotField showAll="0">
      <items count="4">
        <item x="0"/>
        <item x="1"/>
        <item x="2"/>
        <item t="default"/>
      </items>
    </pivotField>
    <pivotField axis="axisRow" showAll="0" defaultSubtotal="0">
      <items count="4">
        <item x="0"/>
        <item x="2"/>
        <item x="1"/>
        <item x="3"/>
      </items>
    </pivotField>
  </pivotFields>
  <rowFields count="1">
    <field x="10"/>
  </rowFields>
  <rowItems count="5">
    <i>
      <x/>
    </i>
    <i>
      <x v="1"/>
    </i>
    <i>
      <x v="2"/>
    </i>
    <i>
      <x v="3"/>
    </i>
    <i t="grand">
      <x/>
    </i>
  </rowItems>
  <colFields count="1">
    <field x="7"/>
  </colFields>
  <colItems count="3">
    <i>
      <x/>
    </i>
    <i>
      <x v="1"/>
    </i>
    <i t="grand">
      <x/>
    </i>
  </colItems>
  <dataFields count="1">
    <dataField name="Count of customerID" fld="0" subtotal="count" baseField="0" baseItem="0"/>
  </dataFields>
  <chartFormats count="3">
    <chartFormat chart="11" format="4" series="1">
      <pivotArea type="data" outline="0" fieldPosition="0">
        <references count="2">
          <reference field="4294967294" count="1" selected="0">
            <x v="0"/>
          </reference>
          <reference field="7" count="1" selected="0">
            <x v="0"/>
          </reference>
        </references>
      </pivotArea>
    </chartFormat>
    <chartFormat chart="11" format="5" series="1">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6" name="PivotTable5"/>
    <pivotTable tabId="3" name="PivotTable2"/>
    <pivotTable tabId="5" name="PivotTable4"/>
    <pivotTable tabId="2" name="PivotTable1"/>
    <pivotTable tabId="4" name="PivotTable3"/>
    <pivotTable tabId="11" name="PivotTable10"/>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nureGroup" sourceName="TenureGroup">
  <pivotTables>
    <pivotTable tabId="6" name="PivotTable5"/>
    <pivotTable tabId="3" name="PivotTable2"/>
    <pivotTable tabId="5" name="PivotTable4"/>
    <pivotTable tabId="2" name="PivotTable1"/>
    <pivotTable tabId="4" name="PivotTable3"/>
    <pivotTable tabId="11" name="PivotTable10"/>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6" name="PivotTable5"/>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5"/>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nure" sourceName="tenure">
  <pivotTables>
    <pivotTable tabId="11" name="PivotTable10"/>
    <pivotTable tabId="3" name="PivotTable2"/>
    <pivotTable tabId="6" name="PivotTable5"/>
    <pivotTable tabId="5" name="PivotTable4"/>
    <pivotTable tabId="2" name="PivotTable1"/>
    <pivotTable tabId="4" name="PivotTable3"/>
  </pivotTables>
  <data>
    <tabular pivotCacheId="1">
      <items count="72">
        <i x="0" s="1"/>
        <i x="2" s="1"/>
        <i x="35" s="1"/>
        <i x="54" s="1"/>
        <i x="24" s="1"/>
        <i x="53" s="1"/>
        <i x="40" s="1"/>
        <i x="4" s="1"/>
        <i x="34" s="1"/>
        <i x="6" s="1"/>
        <i x="26" s="1"/>
        <i x="18" s="1"/>
        <i x="9" s="1"/>
        <i x="60" s="1"/>
        <i x="30" s="1"/>
        <i x="10" s="1"/>
        <i x="22" s="1"/>
        <i x="32" s="1"/>
        <i x="67" s="1"/>
        <i x="61" s="1"/>
        <i x="17" s="1"/>
        <i x="5" s="1"/>
        <i x="57" s="1"/>
        <i x="65" s="1"/>
        <i x="13" s="1"/>
        <i x="70" s="1"/>
        <i x="23" s="1"/>
        <i x="7" s="1"/>
        <i x="44" s="1"/>
        <i x="19" s="1"/>
        <i x="36" s="1"/>
        <i x="48" s="1"/>
        <i x="55" s="1"/>
        <i x="1" s="1"/>
        <i x="42" s="1"/>
        <i x="51" s="1"/>
        <i x="50" s="1"/>
        <i x="46" s="1"/>
        <i x="71" s="1"/>
        <i x="63" s="1"/>
        <i x="52" s="1"/>
        <i x="41" s="1"/>
        <i x="29" s="1"/>
        <i x="66" s="1"/>
        <i x="3" s="1"/>
        <i x="25" s="1"/>
        <i x="20" s="1"/>
        <i x="43" s="1"/>
        <i x="12" s="1"/>
        <i x="37" s="1"/>
        <i x="69" s="1"/>
        <i x="15" s="1"/>
        <i x="62" s="1"/>
        <i x="68" s="1"/>
        <i x="49" s="1"/>
        <i x="39" s="1"/>
        <i x="58" s="1"/>
        <i x="11" s="1"/>
        <i x="64" s="1"/>
        <i x="31" s="1"/>
        <i x="59" s="1"/>
        <i x="8" s="1"/>
        <i x="28" s="1"/>
        <i x="38" s="1"/>
        <i x="45" s="1"/>
        <i x="33" s="1"/>
        <i x="56" s="1"/>
        <i x="47" s="1"/>
        <i x="14" s="1"/>
        <i x="27" s="1"/>
        <i x="16"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style="Slicer Style 5" rowHeight="234950"/>
  <slicer name="TenureGroup" cache="Slicer_TenureGroup" caption="TenureGroup" style="Slicer Style 5" rowHeight="234950"/>
  <slicer name="Contract" cache="Slicer_Contract" caption="Contract" style="Slicer Style 5" rowHeight="234950"/>
  <slicer name="gender" cache="Slicer_gender" caption="gender" columnCount="2" style="Slicer Style 5" rowHeight="234950"/>
  <slicer name="tenure" cache="Slicer_tenure" caption="tenure" style="Slicer Style 5" rowHeight="171450"/>
</slicers>
</file>

<file path=xl/tables/table1.xml><?xml version="1.0" encoding="utf-8"?>
<table xmlns="http://schemas.openxmlformats.org/spreadsheetml/2006/main" id="1" name="Churn_Data" displayName="Churn_Data" ref="A1:L7033" totalsRowShown="0">
  <autoFilter ref="A1:L7033"/>
  <tableColumns count="12">
    <tableColumn id="1" name="customerID"/>
    <tableColumn id="2" name="gender"/>
    <tableColumn id="3" name="Contract"/>
    <tableColumn id="4" name="PaymentMethod"/>
    <tableColumn id="5" name="MonthlyCharges"/>
    <tableColumn id="6" name="tenure"/>
    <tableColumn id="7" name="CLV"/>
    <tableColumn id="8" name="Churn"/>
    <tableColumn id="9" name="customerSegment">
      <calculatedColumnFormula>IF(G2&gt;5000,"High Value",
IF(G2&gt;2000,"Medium Value","Low Value"))</calculatedColumnFormula>
    </tableColumn>
    <tableColumn id="10" name="ChurnRisk">
      <calculatedColumnFormula>IF(F2&lt;12,"High Risk",
IF(F2&lt;24,"Medium Risk","Low Risk"))</calculatedColumnFormula>
    </tableColumn>
    <tableColumn id="11" name="TenureGroup" dataDxfId="1">
      <calculatedColumnFormula>IF(F2&lt;=12,"0-1 Year",
IF(F2&lt;=24,"1-2 Years",
IF(F2&lt;=48,"2-4 Years","4+ Years")))</calculatedColumnFormula>
    </tableColumn>
    <tableColumn id="1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2" zoomScale="115" zoomScaleNormal="115" workbookViewId="0">
      <selection activeCell="A4" sqref="A4:B4"/>
      <pivotSelection pane="bottomRight" showHeader="1" extendable="1" axis="axisRow" max="3" activeRow="3" previousRow="3" click="1" r:id="rId1">
        <pivotArea dataOnly="0" fieldPosition="0">
          <references count="1">
            <reference field="7" count="1">
              <x v="0"/>
            </reference>
          </references>
        </pivotArea>
      </pivotSelection>
    </sheetView>
  </sheetViews>
  <sheetFormatPr defaultRowHeight="14.4" x14ac:dyDescent="0.3"/>
  <cols>
    <col min="1" max="1" width="12.5546875" customWidth="1"/>
    <col min="2" max="2" width="18.6640625" bestFit="1" customWidth="1"/>
  </cols>
  <sheetData>
    <row r="3" spans="1:2" x14ac:dyDescent="0.3">
      <c r="A3" s="1" t="s">
        <v>7054</v>
      </c>
      <c r="B3" t="s">
        <v>7056</v>
      </c>
    </row>
    <row r="4" spans="1:2" x14ac:dyDescent="0.3">
      <c r="A4" s="2" t="s">
        <v>12</v>
      </c>
      <c r="B4" s="3">
        <v>5163</v>
      </c>
    </row>
    <row r="5" spans="1:2" x14ac:dyDescent="0.3">
      <c r="A5" s="2" t="s">
        <v>18</v>
      </c>
      <c r="B5" s="3">
        <v>1869</v>
      </c>
    </row>
    <row r="6" spans="1:2" x14ac:dyDescent="0.3">
      <c r="A6" s="2" t="s">
        <v>7055</v>
      </c>
      <c r="B6" s="3">
        <v>7032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3" sqref="A3"/>
    </sheetView>
  </sheetViews>
  <sheetFormatPr defaultRowHeight="14.4" x14ac:dyDescent="0.3"/>
  <cols>
    <col min="1" max="1" width="18.6640625" customWidth="1"/>
    <col min="2" max="2" width="15.5546875" bestFit="1" customWidth="1"/>
    <col min="3" max="3" width="5" bestFit="1" customWidth="1"/>
    <col min="4" max="4" width="10.77734375" bestFit="1" customWidth="1"/>
  </cols>
  <sheetData>
    <row r="3" spans="1:4" x14ac:dyDescent="0.3">
      <c r="A3" s="1" t="s">
        <v>7056</v>
      </c>
      <c r="B3" s="1" t="s">
        <v>7057</v>
      </c>
    </row>
    <row r="4" spans="1:4" x14ac:dyDescent="0.3">
      <c r="A4" s="1" t="s">
        <v>7054</v>
      </c>
      <c r="B4" t="s">
        <v>12</v>
      </c>
      <c r="C4" t="s">
        <v>18</v>
      </c>
      <c r="D4" t="s">
        <v>7055</v>
      </c>
    </row>
    <row r="5" spans="1:4" x14ac:dyDescent="0.3">
      <c r="A5" s="2" t="s">
        <v>10</v>
      </c>
      <c r="B5" s="3">
        <v>2220</v>
      </c>
      <c r="C5" s="3">
        <v>1655</v>
      </c>
      <c r="D5" s="3">
        <v>3875</v>
      </c>
    </row>
    <row r="6" spans="1:4" x14ac:dyDescent="0.3">
      <c r="A6" s="2" t="s">
        <v>15</v>
      </c>
      <c r="B6" s="3">
        <v>1306</v>
      </c>
      <c r="C6" s="3">
        <v>166</v>
      </c>
      <c r="D6" s="3">
        <v>1472</v>
      </c>
    </row>
    <row r="7" spans="1:4" x14ac:dyDescent="0.3">
      <c r="A7" s="2" t="s">
        <v>30</v>
      </c>
      <c r="B7" s="3">
        <v>1637</v>
      </c>
      <c r="C7" s="3">
        <v>48</v>
      </c>
      <c r="D7" s="3">
        <v>1685</v>
      </c>
    </row>
    <row r="8" spans="1:4" x14ac:dyDescent="0.3">
      <c r="A8" s="2" t="s">
        <v>7055</v>
      </c>
      <c r="B8" s="3">
        <v>5163</v>
      </c>
      <c r="C8" s="3">
        <v>1869</v>
      </c>
      <c r="D8" s="3">
        <v>7032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
    </sheetView>
  </sheetViews>
  <sheetFormatPr defaultRowHeight="14.4" x14ac:dyDescent="0.3"/>
  <cols>
    <col min="1" max="1" width="12.6640625" customWidth="1"/>
    <col min="2" max="2" width="12" bestFit="1" customWidth="1"/>
  </cols>
  <sheetData>
    <row r="3" spans="1:2" x14ac:dyDescent="0.3">
      <c r="A3" s="1" t="s">
        <v>7054</v>
      </c>
      <c r="B3" t="s">
        <v>7061</v>
      </c>
    </row>
    <row r="4" spans="1:2" x14ac:dyDescent="0.3">
      <c r="A4" s="2" t="s">
        <v>7058</v>
      </c>
      <c r="B4" s="6">
        <v>7351569.6000000034</v>
      </c>
    </row>
    <row r="5" spans="1:2" x14ac:dyDescent="0.3">
      <c r="A5" s="2" t="s">
        <v>7059</v>
      </c>
      <c r="B5" s="6">
        <v>2884863.0500000007</v>
      </c>
    </row>
    <row r="6" spans="1:2" x14ac:dyDescent="0.3">
      <c r="A6" s="2" t="s">
        <v>7060</v>
      </c>
      <c r="B6" s="6">
        <v>5818658.8000000045</v>
      </c>
    </row>
    <row r="7" spans="1:2" x14ac:dyDescent="0.3">
      <c r="A7" s="2" t="s">
        <v>7055</v>
      </c>
      <c r="B7" s="3">
        <v>16055091.450000009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A3" sqref="A3"/>
    </sheetView>
  </sheetViews>
  <sheetFormatPr defaultRowHeight="14.4" x14ac:dyDescent="0.3"/>
  <cols>
    <col min="1" max="1" width="22.109375" bestFit="1" customWidth="1"/>
    <col min="2" max="2" width="15.5546875" bestFit="1" customWidth="1"/>
    <col min="3" max="3" width="5" customWidth="1"/>
    <col min="4" max="4" width="10.77734375" bestFit="1" customWidth="1"/>
  </cols>
  <sheetData>
    <row r="3" spans="1:4" x14ac:dyDescent="0.3">
      <c r="A3" s="1" t="s">
        <v>7056</v>
      </c>
      <c r="B3" s="1" t="s">
        <v>7057</v>
      </c>
    </row>
    <row r="4" spans="1:4" x14ac:dyDescent="0.3">
      <c r="A4" s="1" t="s">
        <v>7054</v>
      </c>
      <c r="B4" t="s">
        <v>12</v>
      </c>
      <c r="C4" t="s">
        <v>18</v>
      </c>
      <c r="D4" t="s">
        <v>7055</v>
      </c>
    </row>
    <row r="5" spans="1:4" x14ac:dyDescent="0.3">
      <c r="A5" s="2" t="s">
        <v>20</v>
      </c>
      <c r="B5" s="3">
        <v>1284</v>
      </c>
      <c r="C5" s="3">
        <v>258</v>
      </c>
      <c r="D5" s="3">
        <v>1542</v>
      </c>
    </row>
    <row r="6" spans="1:4" x14ac:dyDescent="0.3">
      <c r="A6" s="2" t="s">
        <v>24</v>
      </c>
      <c r="B6" s="3">
        <v>1289</v>
      </c>
      <c r="C6" s="3">
        <v>232</v>
      </c>
      <c r="D6" s="3">
        <v>1521</v>
      </c>
    </row>
    <row r="7" spans="1:4" x14ac:dyDescent="0.3">
      <c r="A7" s="2" t="s">
        <v>11</v>
      </c>
      <c r="B7" s="3">
        <v>1294</v>
      </c>
      <c r="C7" s="3">
        <v>1071</v>
      </c>
      <c r="D7" s="3">
        <v>2365</v>
      </c>
    </row>
    <row r="8" spans="1:4" x14ac:dyDescent="0.3">
      <c r="A8" s="2" t="s">
        <v>16</v>
      </c>
      <c r="B8" s="3">
        <v>1296</v>
      </c>
      <c r="C8" s="3">
        <v>308</v>
      </c>
      <c r="D8" s="3">
        <v>1604</v>
      </c>
    </row>
    <row r="9" spans="1:4" x14ac:dyDescent="0.3">
      <c r="A9" s="2" t="s">
        <v>7055</v>
      </c>
      <c r="B9" s="3">
        <v>5163</v>
      </c>
      <c r="C9" s="3">
        <v>1869</v>
      </c>
      <c r="D9" s="3">
        <v>7032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D5" sqref="D5"/>
    </sheetView>
  </sheetViews>
  <sheetFormatPr defaultRowHeight="14.4" x14ac:dyDescent="0.3"/>
  <cols>
    <col min="1" max="1" width="18.6640625" bestFit="1" customWidth="1"/>
    <col min="2" max="2" width="15.5546875" bestFit="1" customWidth="1"/>
    <col min="3" max="3" width="5" bestFit="1" customWidth="1"/>
    <col min="4" max="4" width="10.77734375" bestFit="1" customWidth="1"/>
  </cols>
  <sheetData>
    <row r="3" spans="1:4" x14ac:dyDescent="0.3">
      <c r="A3" s="1" t="s">
        <v>7056</v>
      </c>
      <c r="B3" s="1" t="s">
        <v>7057</v>
      </c>
    </row>
    <row r="4" spans="1:4" x14ac:dyDescent="0.3">
      <c r="A4" s="1" t="s">
        <v>7054</v>
      </c>
      <c r="B4" t="s">
        <v>12</v>
      </c>
      <c r="C4" t="s">
        <v>18</v>
      </c>
      <c r="D4" t="s">
        <v>7055</v>
      </c>
    </row>
    <row r="5" spans="1:4" x14ac:dyDescent="0.3">
      <c r="A5" s="2" t="s">
        <v>9</v>
      </c>
      <c r="B5" s="3">
        <v>2544</v>
      </c>
      <c r="C5" s="3">
        <v>939</v>
      </c>
      <c r="D5" s="3">
        <v>3483</v>
      </c>
    </row>
    <row r="6" spans="1:4" x14ac:dyDescent="0.3">
      <c r="A6" s="2" t="s">
        <v>14</v>
      </c>
      <c r="B6" s="3">
        <v>2619</v>
      </c>
      <c r="C6" s="3">
        <v>930</v>
      </c>
      <c r="D6" s="3">
        <v>3549</v>
      </c>
    </row>
    <row r="7" spans="1:4" x14ac:dyDescent="0.3">
      <c r="A7" s="2" t="s">
        <v>7055</v>
      </c>
      <c r="B7" s="3">
        <v>5163</v>
      </c>
      <c r="C7" s="3">
        <v>1869</v>
      </c>
      <c r="D7" s="3">
        <v>7032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H24" sqref="H24"/>
    </sheetView>
  </sheetViews>
  <sheetFormatPr defaultRowHeight="14.4" x14ac:dyDescent="0.3"/>
  <cols>
    <col min="1" max="1" width="18.6640625" bestFit="1" customWidth="1"/>
    <col min="2" max="2" width="15.5546875" bestFit="1" customWidth="1"/>
    <col min="3" max="3" width="5" bestFit="1" customWidth="1"/>
    <col min="4" max="4" width="10.77734375" bestFit="1" customWidth="1"/>
  </cols>
  <sheetData>
    <row r="3" spans="1:4" x14ac:dyDescent="0.3">
      <c r="A3" s="1" t="s">
        <v>7056</v>
      </c>
      <c r="B3" s="1" t="s">
        <v>7057</v>
      </c>
    </row>
    <row r="4" spans="1:4" x14ac:dyDescent="0.3">
      <c r="A4" s="1" t="s">
        <v>7054</v>
      </c>
      <c r="B4" t="s">
        <v>12</v>
      </c>
      <c r="C4" t="s">
        <v>18</v>
      </c>
      <c r="D4" t="s">
        <v>7055</v>
      </c>
    </row>
    <row r="5" spans="1:4" x14ac:dyDescent="0.3">
      <c r="A5" s="2" t="s">
        <v>7063</v>
      </c>
      <c r="B5" s="3">
        <v>1138</v>
      </c>
      <c r="C5" s="3">
        <v>1037</v>
      </c>
      <c r="D5" s="3">
        <v>2175</v>
      </c>
    </row>
    <row r="6" spans="1:4" x14ac:dyDescent="0.3">
      <c r="A6" s="2" t="s">
        <v>7064</v>
      </c>
      <c r="B6" s="3">
        <v>730</v>
      </c>
      <c r="C6" s="3">
        <v>294</v>
      </c>
      <c r="D6" s="3">
        <v>1024</v>
      </c>
    </row>
    <row r="7" spans="1:4" x14ac:dyDescent="0.3">
      <c r="A7" s="2" t="s">
        <v>7065</v>
      </c>
      <c r="B7" s="3">
        <v>1269</v>
      </c>
      <c r="C7" s="3">
        <v>325</v>
      </c>
      <c r="D7" s="3">
        <v>1594</v>
      </c>
    </row>
    <row r="8" spans="1:4" x14ac:dyDescent="0.3">
      <c r="A8" s="2" t="s">
        <v>7066</v>
      </c>
      <c r="B8" s="3">
        <v>2026</v>
      </c>
      <c r="C8" s="3">
        <v>213</v>
      </c>
      <c r="D8" s="3">
        <v>2239</v>
      </c>
    </row>
    <row r="9" spans="1:4" x14ac:dyDescent="0.3">
      <c r="A9" s="2" t="s">
        <v>7055</v>
      </c>
      <c r="B9" s="3">
        <v>5163</v>
      </c>
      <c r="C9" s="3">
        <v>1869</v>
      </c>
      <c r="D9" s="3">
        <v>7032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4" zoomScaleNormal="64" workbookViewId="0">
      <selection activeCell="G2" sqref="G2"/>
    </sheetView>
  </sheetViews>
  <sheetFormatPr defaultRowHeight="14.4" x14ac:dyDescent="0.3"/>
  <cols>
    <col min="1" max="16384" width="8.88671875" style="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33"/>
  <sheetViews>
    <sheetView tabSelected="1" workbookViewId="0">
      <selection activeCell="M8" sqref="M8"/>
    </sheetView>
  </sheetViews>
  <sheetFormatPr defaultColWidth="12.44140625" defaultRowHeight="14.4" x14ac:dyDescent="0.3"/>
  <cols>
    <col min="1" max="1" width="13.5546875" bestFit="1" customWidth="1"/>
    <col min="2" max="2" width="8.77734375" customWidth="1"/>
    <col min="3" max="3" width="15" bestFit="1" customWidth="1"/>
    <col min="4" max="4" width="22.109375" bestFit="1" customWidth="1"/>
    <col min="5" max="5" width="16.77734375" customWidth="1"/>
    <col min="6" max="6" width="8.44140625" customWidth="1"/>
    <col min="7" max="7" width="8" bestFit="1" customWidth="1"/>
    <col min="8" max="8" width="8" customWidth="1"/>
    <col min="9" max="9" width="18.6640625" bestFit="1" customWidth="1"/>
    <col min="11" max="11" width="14.33203125" bestFit="1" customWidth="1"/>
    <col min="13" max="13" width="15.33203125" bestFit="1" customWidth="1"/>
  </cols>
  <sheetData>
    <row r="1" spans="1:13" x14ac:dyDescent="0.3">
      <c r="A1" t="s">
        <v>0</v>
      </c>
      <c r="B1" t="s">
        <v>1</v>
      </c>
      <c r="C1" t="s">
        <v>2</v>
      </c>
      <c r="D1" t="s">
        <v>3</v>
      </c>
      <c r="E1" t="s">
        <v>4</v>
      </c>
      <c r="F1" t="s">
        <v>5</v>
      </c>
      <c r="G1" t="s">
        <v>6</v>
      </c>
      <c r="H1" t="s">
        <v>7</v>
      </c>
      <c r="I1" t="s">
        <v>7052</v>
      </c>
      <c r="J1" t="s">
        <v>7053</v>
      </c>
      <c r="K1" t="s">
        <v>7062</v>
      </c>
      <c r="L1" t="s">
        <v>7051</v>
      </c>
    </row>
    <row r="2" spans="1:13" x14ac:dyDescent="0.3">
      <c r="A2" t="s">
        <v>8</v>
      </c>
      <c r="B2" t="s">
        <v>9</v>
      </c>
      <c r="C2" t="s">
        <v>10</v>
      </c>
      <c r="D2" t="s">
        <v>11</v>
      </c>
      <c r="E2">
        <v>29.85</v>
      </c>
      <c r="F2">
        <v>1</v>
      </c>
      <c r="G2">
        <v>29.85</v>
      </c>
      <c r="H2" t="s">
        <v>12</v>
      </c>
      <c r="I2" t="str">
        <f>IF(G2&gt;5000,"High Value",
IF(G2&gt;2000,"Medium Value","Low Value"))</f>
        <v>Low Value</v>
      </c>
      <c r="J2" t="str">
        <f>IF(F2&lt;12,"High Risk",
IF(F2&lt;24,"Medium Risk","Low Risk"))</f>
        <v>High Risk</v>
      </c>
      <c r="K2" s="3" t="str">
        <f>IF(F2&lt;=12,"0-1 Year",
IF(F2&lt;=24,"1-2 Years",
IF(F2&lt;=48,"2-4 Years","4+ Years")))</f>
        <v>0-1 Year</v>
      </c>
      <c r="L2" s="4">
        <f>M13/M8</f>
        <v>0.26578498293515357</v>
      </c>
    </row>
    <row r="3" spans="1:13" x14ac:dyDescent="0.3">
      <c r="A3" t="s">
        <v>13</v>
      </c>
      <c r="B3" t="s">
        <v>14</v>
      </c>
      <c r="C3" t="s">
        <v>15</v>
      </c>
      <c r="D3" t="s">
        <v>16</v>
      </c>
      <c r="E3">
        <v>56.95</v>
      </c>
      <c r="F3">
        <v>34</v>
      </c>
      <c r="G3">
        <v>1936.3</v>
      </c>
      <c r="H3" t="s">
        <v>12</v>
      </c>
      <c r="I3" t="str">
        <f>IF(G3&gt;5000,"High Value",
IF(G3&gt;2000,"Medium Value","Low Value"))</f>
        <v>Low Value</v>
      </c>
      <c r="J3" t="str">
        <f>IF(F3&lt;12,"High Risk",
IF(F3&lt;24,"Medium Risk","Low Risk"))</f>
        <v>Low Risk</v>
      </c>
      <c r="K3" s="3" t="str">
        <f t="shared" ref="K3:K66" si="0">IF(F3&lt;=12,"0-1 Year",
IF(F3&lt;=24,"1-2 Years",
IF(F3&lt;=48,"2-4 Years","4+ Years")))</f>
        <v>2-4 Years</v>
      </c>
    </row>
    <row r="4" spans="1:13" x14ac:dyDescent="0.3">
      <c r="A4" t="s">
        <v>17</v>
      </c>
      <c r="B4" t="s">
        <v>14</v>
      </c>
      <c r="C4" t="s">
        <v>10</v>
      </c>
      <c r="D4" t="s">
        <v>16</v>
      </c>
      <c r="E4">
        <v>53.85</v>
      </c>
      <c r="F4">
        <v>2</v>
      </c>
      <c r="G4">
        <v>107.7</v>
      </c>
      <c r="H4" t="s">
        <v>18</v>
      </c>
      <c r="I4" t="str">
        <f t="shared" ref="I4:I67" si="1">IF(G4&gt;5000,"High Value",
IF(G4&gt;2000,"Medium Value","Low Value"))</f>
        <v>Low Value</v>
      </c>
      <c r="J4" t="str">
        <f t="shared" ref="J4:J67" si="2">IF(F4&lt;12,"High Risk",
IF(F4&lt;24,"Medium Risk","Low Risk"))</f>
        <v>High Risk</v>
      </c>
      <c r="K4" s="3" t="str">
        <f t="shared" si="0"/>
        <v>0-1 Year</v>
      </c>
    </row>
    <row r="5" spans="1:13" x14ac:dyDescent="0.3">
      <c r="A5" t="s">
        <v>19</v>
      </c>
      <c r="B5" t="s">
        <v>14</v>
      </c>
      <c r="C5" t="s">
        <v>15</v>
      </c>
      <c r="D5" t="s">
        <v>20</v>
      </c>
      <c r="E5">
        <v>42.3</v>
      </c>
      <c r="F5">
        <v>45</v>
      </c>
      <c r="G5">
        <v>1903.49999999999</v>
      </c>
      <c r="H5" t="s">
        <v>12</v>
      </c>
      <c r="I5" t="str">
        <f t="shared" si="1"/>
        <v>Low Value</v>
      </c>
      <c r="J5" t="str">
        <f t="shared" si="2"/>
        <v>Low Risk</v>
      </c>
      <c r="K5" s="3" t="str">
        <f t="shared" si="0"/>
        <v>2-4 Years</v>
      </c>
    </row>
    <row r="6" spans="1:13" x14ac:dyDescent="0.3">
      <c r="A6" t="s">
        <v>21</v>
      </c>
      <c r="B6" t="s">
        <v>9</v>
      </c>
      <c r="C6" t="s">
        <v>10</v>
      </c>
      <c r="D6" t="s">
        <v>11</v>
      </c>
      <c r="E6">
        <v>70.7</v>
      </c>
      <c r="F6">
        <v>2</v>
      </c>
      <c r="G6">
        <v>141.4</v>
      </c>
      <c r="H6" t="s">
        <v>18</v>
      </c>
      <c r="I6" t="str">
        <f t="shared" si="1"/>
        <v>Low Value</v>
      </c>
      <c r="J6" t="str">
        <f t="shared" si="2"/>
        <v>High Risk</v>
      </c>
      <c r="K6" s="3" t="str">
        <f t="shared" si="0"/>
        <v>0-1 Year</v>
      </c>
    </row>
    <row r="7" spans="1:13" x14ac:dyDescent="0.3">
      <c r="A7" t="s">
        <v>22</v>
      </c>
      <c r="B7" t="s">
        <v>9</v>
      </c>
      <c r="C7" t="s">
        <v>10</v>
      </c>
      <c r="D7" t="s">
        <v>11</v>
      </c>
      <c r="E7">
        <v>99.65</v>
      </c>
      <c r="F7">
        <v>8</v>
      </c>
      <c r="G7">
        <v>797.2</v>
      </c>
      <c r="H7" t="s">
        <v>18</v>
      </c>
      <c r="I7" t="str">
        <f t="shared" si="1"/>
        <v>Low Value</v>
      </c>
      <c r="J7" t="str">
        <f t="shared" si="2"/>
        <v>High Risk</v>
      </c>
      <c r="K7" s="3" t="str">
        <f t="shared" si="0"/>
        <v>0-1 Year</v>
      </c>
    </row>
    <row r="8" spans="1:13" x14ac:dyDescent="0.3">
      <c r="A8" t="s">
        <v>23</v>
      </c>
      <c r="B8" t="s">
        <v>14</v>
      </c>
      <c r="C8" t="s">
        <v>10</v>
      </c>
      <c r="D8" t="s">
        <v>24</v>
      </c>
      <c r="E8">
        <v>89.1</v>
      </c>
      <c r="F8">
        <v>22</v>
      </c>
      <c r="G8">
        <v>1960.19999999999</v>
      </c>
      <c r="H8" t="s">
        <v>12</v>
      </c>
      <c r="I8" t="str">
        <f t="shared" si="1"/>
        <v>Low Value</v>
      </c>
      <c r="J8" t="str">
        <f t="shared" si="2"/>
        <v>Medium Risk</v>
      </c>
      <c r="K8" s="3" t="str">
        <f t="shared" si="0"/>
        <v>1-2 Years</v>
      </c>
      <c r="M8">
        <f>COUNTA(Churn_Data[customerID])</f>
        <v>7032</v>
      </c>
    </row>
    <row r="9" spans="1:13" x14ac:dyDescent="0.3">
      <c r="A9" t="s">
        <v>25</v>
      </c>
      <c r="B9" t="s">
        <v>9</v>
      </c>
      <c r="C9" t="s">
        <v>10</v>
      </c>
      <c r="D9" t="s">
        <v>16</v>
      </c>
      <c r="E9">
        <v>29.75</v>
      </c>
      <c r="F9">
        <v>10</v>
      </c>
      <c r="G9">
        <v>297.5</v>
      </c>
      <c r="H9" t="s">
        <v>12</v>
      </c>
      <c r="I9" t="str">
        <f t="shared" si="1"/>
        <v>Low Value</v>
      </c>
      <c r="J9" t="str">
        <f t="shared" si="2"/>
        <v>High Risk</v>
      </c>
      <c r="K9" s="3" t="str">
        <f t="shared" si="0"/>
        <v>0-1 Year</v>
      </c>
    </row>
    <row r="10" spans="1:13" x14ac:dyDescent="0.3">
      <c r="A10" t="s">
        <v>26</v>
      </c>
      <c r="B10" t="s">
        <v>9</v>
      </c>
      <c r="C10" t="s">
        <v>10</v>
      </c>
      <c r="D10" t="s">
        <v>11</v>
      </c>
      <c r="E10">
        <v>104.8</v>
      </c>
      <c r="F10">
        <v>28</v>
      </c>
      <c r="G10">
        <v>2934.4</v>
      </c>
      <c r="H10" t="s">
        <v>18</v>
      </c>
      <c r="I10" t="str">
        <f t="shared" si="1"/>
        <v>Medium Value</v>
      </c>
      <c r="J10" t="str">
        <f t="shared" si="2"/>
        <v>Low Risk</v>
      </c>
      <c r="K10" s="3" t="str">
        <f t="shared" si="0"/>
        <v>2-4 Years</v>
      </c>
    </row>
    <row r="11" spans="1:13" x14ac:dyDescent="0.3">
      <c r="A11" t="s">
        <v>27</v>
      </c>
      <c r="B11" t="s">
        <v>14</v>
      </c>
      <c r="C11" t="s">
        <v>15</v>
      </c>
      <c r="D11" t="s">
        <v>20</v>
      </c>
      <c r="E11">
        <v>56.15</v>
      </c>
      <c r="F11">
        <v>62</v>
      </c>
      <c r="G11">
        <v>3481.2999999999902</v>
      </c>
      <c r="H11" t="s">
        <v>12</v>
      </c>
      <c r="I11" t="str">
        <f t="shared" si="1"/>
        <v>Medium Value</v>
      </c>
      <c r="J11" t="str">
        <f t="shared" si="2"/>
        <v>Low Risk</v>
      </c>
      <c r="K11" s="3" t="str">
        <f t="shared" si="0"/>
        <v>4+ Years</v>
      </c>
      <c r="M11" s="5"/>
    </row>
    <row r="12" spans="1:13" x14ac:dyDescent="0.3">
      <c r="A12" t="s">
        <v>28</v>
      </c>
      <c r="B12" t="s">
        <v>14</v>
      </c>
      <c r="C12" t="s">
        <v>10</v>
      </c>
      <c r="D12" t="s">
        <v>16</v>
      </c>
      <c r="E12">
        <v>49.95</v>
      </c>
      <c r="F12">
        <v>13</v>
      </c>
      <c r="G12">
        <v>649.35</v>
      </c>
      <c r="H12" t="s">
        <v>12</v>
      </c>
      <c r="I12" t="str">
        <f t="shared" si="1"/>
        <v>Low Value</v>
      </c>
      <c r="J12" t="str">
        <f t="shared" si="2"/>
        <v>Medium Risk</v>
      </c>
      <c r="K12" s="3" t="str">
        <f t="shared" si="0"/>
        <v>1-2 Years</v>
      </c>
    </row>
    <row r="13" spans="1:13" x14ac:dyDescent="0.3">
      <c r="A13" t="s">
        <v>29</v>
      </c>
      <c r="B13" t="s">
        <v>14</v>
      </c>
      <c r="C13" t="s">
        <v>30</v>
      </c>
      <c r="D13" t="s">
        <v>24</v>
      </c>
      <c r="E13">
        <v>18.95</v>
      </c>
      <c r="F13">
        <v>16</v>
      </c>
      <c r="G13">
        <v>303.2</v>
      </c>
      <c r="H13" t="s">
        <v>12</v>
      </c>
      <c r="I13" t="str">
        <f t="shared" si="1"/>
        <v>Low Value</v>
      </c>
      <c r="J13" t="str">
        <f t="shared" si="2"/>
        <v>Medium Risk</v>
      </c>
      <c r="K13" s="3" t="str">
        <f t="shared" si="0"/>
        <v>1-2 Years</v>
      </c>
      <c r="M13">
        <f>COUNTIF(Churn_Data[Churn],"Yes")</f>
        <v>1869</v>
      </c>
    </row>
    <row r="14" spans="1:13" x14ac:dyDescent="0.3">
      <c r="A14" t="s">
        <v>31</v>
      </c>
      <c r="B14" t="s">
        <v>14</v>
      </c>
      <c r="C14" t="s">
        <v>15</v>
      </c>
      <c r="D14" t="s">
        <v>24</v>
      </c>
      <c r="E14">
        <v>100.35</v>
      </c>
      <c r="F14">
        <v>58</v>
      </c>
      <c r="G14">
        <v>5820.2999999999902</v>
      </c>
      <c r="H14" t="s">
        <v>12</v>
      </c>
      <c r="I14" t="str">
        <f t="shared" si="1"/>
        <v>High Value</v>
      </c>
      <c r="J14" t="str">
        <f t="shared" si="2"/>
        <v>Low Risk</v>
      </c>
      <c r="K14" s="3" t="str">
        <f t="shared" si="0"/>
        <v>4+ Years</v>
      </c>
    </row>
    <row r="15" spans="1:13" x14ac:dyDescent="0.3">
      <c r="A15" t="s">
        <v>32</v>
      </c>
      <c r="B15" t="s">
        <v>14</v>
      </c>
      <c r="C15" t="s">
        <v>10</v>
      </c>
      <c r="D15" t="s">
        <v>20</v>
      </c>
      <c r="E15">
        <v>103.7</v>
      </c>
      <c r="F15">
        <v>49</v>
      </c>
      <c r="G15">
        <v>5081.3</v>
      </c>
      <c r="H15" t="s">
        <v>18</v>
      </c>
      <c r="I15" t="str">
        <f t="shared" si="1"/>
        <v>High Value</v>
      </c>
      <c r="J15" t="str">
        <f t="shared" si="2"/>
        <v>Low Risk</v>
      </c>
      <c r="K15" s="3" t="str">
        <f t="shared" si="0"/>
        <v>4+ Years</v>
      </c>
      <c r="M15" s="3"/>
    </row>
    <row r="16" spans="1:13" x14ac:dyDescent="0.3">
      <c r="A16" t="s">
        <v>33</v>
      </c>
      <c r="B16" t="s">
        <v>14</v>
      </c>
      <c r="C16" t="s">
        <v>10</v>
      </c>
      <c r="D16" t="s">
        <v>11</v>
      </c>
      <c r="E16">
        <v>105.5</v>
      </c>
      <c r="F16">
        <v>25</v>
      </c>
      <c r="G16">
        <v>2637.5</v>
      </c>
      <c r="H16" t="s">
        <v>12</v>
      </c>
      <c r="I16" t="str">
        <f t="shared" si="1"/>
        <v>Medium Value</v>
      </c>
      <c r="J16" t="str">
        <f t="shared" si="2"/>
        <v>Low Risk</v>
      </c>
      <c r="K16" s="3" t="str">
        <f t="shared" si="0"/>
        <v>2-4 Years</v>
      </c>
    </row>
    <row r="17" spans="1:11" x14ac:dyDescent="0.3">
      <c r="A17" t="s">
        <v>34</v>
      </c>
      <c r="B17" t="s">
        <v>9</v>
      </c>
      <c r="C17" t="s">
        <v>30</v>
      </c>
      <c r="D17" t="s">
        <v>24</v>
      </c>
      <c r="E17">
        <v>113.25</v>
      </c>
      <c r="F17">
        <v>69</v>
      </c>
      <c r="G17">
        <v>7814.25</v>
      </c>
      <c r="H17" t="s">
        <v>12</v>
      </c>
      <c r="I17" t="str">
        <f t="shared" si="1"/>
        <v>High Value</v>
      </c>
      <c r="J17" t="str">
        <f t="shared" si="2"/>
        <v>Low Risk</v>
      </c>
      <c r="K17" s="3" t="str">
        <f t="shared" si="0"/>
        <v>4+ Years</v>
      </c>
    </row>
    <row r="18" spans="1:11" x14ac:dyDescent="0.3">
      <c r="A18" t="s">
        <v>35</v>
      </c>
      <c r="B18" t="s">
        <v>9</v>
      </c>
      <c r="C18" t="s">
        <v>15</v>
      </c>
      <c r="D18" t="s">
        <v>16</v>
      </c>
      <c r="E18">
        <v>20.65</v>
      </c>
      <c r="F18">
        <v>52</v>
      </c>
      <c r="G18">
        <v>1073.8</v>
      </c>
      <c r="H18" t="s">
        <v>12</v>
      </c>
      <c r="I18" t="str">
        <f t="shared" si="1"/>
        <v>Low Value</v>
      </c>
      <c r="J18" t="str">
        <f t="shared" si="2"/>
        <v>Low Risk</v>
      </c>
      <c r="K18" s="3" t="str">
        <f t="shared" si="0"/>
        <v>4+ Years</v>
      </c>
    </row>
    <row r="19" spans="1:11" x14ac:dyDescent="0.3">
      <c r="A19" t="s">
        <v>36</v>
      </c>
      <c r="B19" t="s">
        <v>14</v>
      </c>
      <c r="C19" t="s">
        <v>30</v>
      </c>
      <c r="D19" t="s">
        <v>20</v>
      </c>
      <c r="E19">
        <v>106.7</v>
      </c>
      <c r="F19">
        <v>71</v>
      </c>
      <c r="G19">
        <v>7575.7</v>
      </c>
      <c r="H19" t="s">
        <v>12</v>
      </c>
      <c r="I19" t="str">
        <f t="shared" si="1"/>
        <v>High Value</v>
      </c>
      <c r="J19" t="str">
        <f t="shared" si="2"/>
        <v>Low Risk</v>
      </c>
      <c r="K19" s="3" t="str">
        <f t="shared" si="0"/>
        <v>4+ Years</v>
      </c>
    </row>
    <row r="20" spans="1:11" x14ac:dyDescent="0.3">
      <c r="A20" t="s">
        <v>37</v>
      </c>
      <c r="B20" t="s">
        <v>9</v>
      </c>
      <c r="C20" t="s">
        <v>10</v>
      </c>
      <c r="D20" t="s">
        <v>24</v>
      </c>
      <c r="E20">
        <v>55.2</v>
      </c>
      <c r="F20">
        <v>10</v>
      </c>
      <c r="G20">
        <v>552</v>
      </c>
      <c r="H20" t="s">
        <v>18</v>
      </c>
      <c r="I20" t="str">
        <f t="shared" si="1"/>
        <v>Low Value</v>
      </c>
      <c r="J20" t="str">
        <f t="shared" si="2"/>
        <v>High Risk</v>
      </c>
      <c r="K20" s="3" t="str">
        <f t="shared" si="0"/>
        <v>0-1 Year</v>
      </c>
    </row>
    <row r="21" spans="1:11" x14ac:dyDescent="0.3">
      <c r="A21" t="s">
        <v>38</v>
      </c>
      <c r="B21" t="s">
        <v>9</v>
      </c>
      <c r="C21" t="s">
        <v>10</v>
      </c>
      <c r="D21" t="s">
        <v>11</v>
      </c>
      <c r="E21">
        <v>90.05</v>
      </c>
      <c r="F21">
        <v>21</v>
      </c>
      <c r="G21">
        <v>1891.05</v>
      </c>
      <c r="H21" t="s">
        <v>12</v>
      </c>
      <c r="I21" t="str">
        <f t="shared" si="1"/>
        <v>Low Value</v>
      </c>
      <c r="J21" t="str">
        <f t="shared" si="2"/>
        <v>Medium Risk</v>
      </c>
      <c r="K21" s="3" t="str">
        <f t="shared" si="0"/>
        <v>1-2 Years</v>
      </c>
    </row>
    <row r="22" spans="1:11" x14ac:dyDescent="0.3">
      <c r="A22" t="s">
        <v>39</v>
      </c>
      <c r="B22" t="s">
        <v>14</v>
      </c>
      <c r="C22" t="s">
        <v>10</v>
      </c>
      <c r="D22" t="s">
        <v>11</v>
      </c>
      <c r="E22">
        <v>39.65</v>
      </c>
      <c r="F22">
        <v>1</v>
      </c>
      <c r="G22">
        <v>39.65</v>
      </c>
      <c r="H22" t="s">
        <v>18</v>
      </c>
      <c r="I22" t="str">
        <f t="shared" si="1"/>
        <v>Low Value</v>
      </c>
      <c r="J22" t="str">
        <f t="shared" si="2"/>
        <v>High Risk</v>
      </c>
      <c r="K22" s="3" t="str">
        <f t="shared" si="0"/>
        <v>0-1 Year</v>
      </c>
    </row>
    <row r="23" spans="1:11" x14ac:dyDescent="0.3">
      <c r="A23" t="s">
        <v>40</v>
      </c>
      <c r="B23" t="s">
        <v>14</v>
      </c>
      <c r="C23" t="s">
        <v>15</v>
      </c>
      <c r="D23" t="s">
        <v>20</v>
      </c>
      <c r="E23">
        <v>19.8</v>
      </c>
      <c r="F23">
        <v>12</v>
      </c>
      <c r="G23">
        <v>237.6</v>
      </c>
      <c r="H23" t="s">
        <v>12</v>
      </c>
      <c r="I23" t="str">
        <f t="shared" si="1"/>
        <v>Low Value</v>
      </c>
      <c r="J23" t="str">
        <f t="shared" si="2"/>
        <v>Medium Risk</v>
      </c>
      <c r="K23" s="3" t="str">
        <f t="shared" si="0"/>
        <v>0-1 Year</v>
      </c>
    </row>
    <row r="24" spans="1:11" x14ac:dyDescent="0.3">
      <c r="A24" t="s">
        <v>41</v>
      </c>
      <c r="B24" t="s">
        <v>14</v>
      </c>
      <c r="C24" t="s">
        <v>10</v>
      </c>
      <c r="D24" t="s">
        <v>16</v>
      </c>
      <c r="E24">
        <v>20.149999999999999</v>
      </c>
      <c r="F24">
        <v>1</v>
      </c>
      <c r="G24">
        <v>20.149999999999999</v>
      </c>
      <c r="H24" t="s">
        <v>18</v>
      </c>
      <c r="I24" t="str">
        <f t="shared" si="1"/>
        <v>Low Value</v>
      </c>
      <c r="J24" t="str">
        <f t="shared" si="2"/>
        <v>High Risk</v>
      </c>
      <c r="K24" s="3" t="str">
        <f t="shared" si="0"/>
        <v>0-1 Year</v>
      </c>
    </row>
    <row r="25" spans="1:11" x14ac:dyDescent="0.3">
      <c r="A25" t="s">
        <v>42</v>
      </c>
      <c r="B25" t="s">
        <v>9</v>
      </c>
      <c r="C25" t="s">
        <v>30</v>
      </c>
      <c r="D25" t="s">
        <v>24</v>
      </c>
      <c r="E25">
        <v>59.9</v>
      </c>
      <c r="F25">
        <v>58</v>
      </c>
      <c r="G25">
        <v>3474.2</v>
      </c>
      <c r="H25" t="s">
        <v>12</v>
      </c>
      <c r="I25" t="str">
        <f t="shared" si="1"/>
        <v>Medium Value</v>
      </c>
      <c r="J25" t="str">
        <f t="shared" si="2"/>
        <v>Low Risk</v>
      </c>
      <c r="K25" s="3" t="str">
        <f t="shared" si="0"/>
        <v>4+ Years</v>
      </c>
    </row>
    <row r="26" spans="1:11" x14ac:dyDescent="0.3">
      <c r="A26" t="s">
        <v>43</v>
      </c>
      <c r="B26" t="s">
        <v>14</v>
      </c>
      <c r="C26" t="s">
        <v>10</v>
      </c>
      <c r="D26" t="s">
        <v>24</v>
      </c>
      <c r="E26">
        <v>59.6</v>
      </c>
      <c r="F26">
        <v>49</v>
      </c>
      <c r="G26">
        <v>2920.4</v>
      </c>
      <c r="H26" t="s">
        <v>12</v>
      </c>
      <c r="I26" t="str">
        <f t="shared" si="1"/>
        <v>Medium Value</v>
      </c>
      <c r="J26" t="str">
        <f t="shared" si="2"/>
        <v>Low Risk</v>
      </c>
      <c r="K26" s="3" t="str">
        <f t="shared" si="0"/>
        <v>4+ Years</v>
      </c>
    </row>
    <row r="27" spans="1:11" x14ac:dyDescent="0.3">
      <c r="A27" t="s">
        <v>44</v>
      </c>
      <c r="B27" t="s">
        <v>9</v>
      </c>
      <c r="C27" t="s">
        <v>10</v>
      </c>
      <c r="D27" t="s">
        <v>20</v>
      </c>
      <c r="E27">
        <v>55.3</v>
      </c>
      <c r="F27">
        <v>30</v>
      </c>
      <c r="G27">
        <v>1659</v>
      </c>
      <c r="H27" t="s">
        <v>12</v>
      </c>
      <c r="I27" t="str">
        <f t="shared" si="1"/>
        <v>Low Value</v>
      </c>
      <c r="J27" t="str">
        <f t="shared" si="2"/>
        <v>Low Risk</v>
      </c>
      <c r="K27" s="3" t="str">
        <f t="shared" si="0"/>
        <v>2-4 Years</v>
      </c>
    </row>
    <row r="28" spans="1:11" x14ac:dyDescent="0.3">
      <c r="A28" t="s">
        <v>45</v>
      </c>
      <c r="B28" t="s">
        <v>14</v>
      </c>
      <c r="C28" t="s">
        <v>10</v>
      </c>
      <c r="D28" t="s">
        <v>11</v>
      </c>
      <c r="E28">
        <v>99.35</v>
      </c>
      <c r="F28">
        <v>47</v>
      </c>
      <c r="G28">
        <v>4669.45</v>
      </c>
      <c r="H28" t="s">
        <v>18</v>
      </c>
      <c r="I28" t="str">
        <f t="shared" si="1"/>
        <v>Medium Value</v>
      </c>
      <c r="J28" t="str">
        <f t="shared" si="2"/>
        <v>Low Risk</v>
      </c>
      <c r="K28" s="3" t="str">
        <f t="shared" si="0"/>
        <v>2-4 Years</v>
      </c>
    </row>
    <row r="29" spans="1:11" x14ac:dyDescent="0.3">
      <c r="A29" t="s">
        <v>46</v>
      </c>
      <c r="B29" t="s">
        <v>14</v>
      </c>
      <c r="C29" t="s">
        <v>10</v>
      </c>
      <c r="D29" t="s">
        <v>11</v>
      </c>
      <c r="E29">
        <v>30.2</v>
      </c>
      <c r="F29">
        <v>1</v>
      </c>
      <c r="G29">
        <v>30.2</v>
      </c>
      <c r="H29" t="s">
        <v>18</v>
      </c>
      <c r="I29" t="str">
        <f t="shared" si="1"/>
        <v>Low Value</v>
      </c>
      <c r="J29" t="str">
        <f t="shared" si="2"/>
        <v>High Risk</v>
      </c>
      <c r="K29" s="3" t="str">
        <f t="shared" si="0"/>
        <v>0-1 Year</v>
      </c>
    </row>
    <row r="30" spans="1:11" x14ac:dyDescent="0.3">
      <c r="A30" t="s">
        <v>47</v>
      </c>
      <c r="B30" t="s">
        <v>14</v>
      </c>
      <c r="C30" t="s">
        <v>30</v>
      </c>
      <c r="D30" t="s">
        <v>24</v>
      </c>
      <c r="E30">
        <v>90.25</v>
      </c>
      <c r="F30">
        <v>72</v>
      </c>
      <c r="G30">
        <v>6498</v>
      </c>
      <c r="H30" t="s">
        <v>12</v>
      </c>
      <c r="I30" t="str">
        <f t="shared" si="1"/>
        <v>High Value</v>
      </c>
      <c r="J30" t="str">
        <f t="shared" si="2"/>
        <v>Low Risk</v>
      </c>
      <c r="K30" s="3" t="str">
        <f t="shared" si="0"/>
        <v>4+ Years</v>
      </c>
    </row>
    <row r="31" spans="1:11" x14ac:dyDescent="0.3">
      <c r="A31" t="s">
        <v>48</v>
      </c>
      <c r="B31" t="s">
        <v>9</v>
      </c>
      <c r="C31" t="s">
        <v>10</v>
      </c>
      <c r="D31" t="s">
        <v>16</v>
      </c>
      <c r="E31">
        <v>64.7</v>
      </c>
      <c r="F31">
        <v>17</v>
      </c>
      <c r="G31">
        <v>1099.9000000000001</v>
      </c>
      <c r="H31" t="s">
        <v>18</v>
      </c>
      <c r="I31" t="str">
        <f t="shared" si="1"/>
        <v>Low Value</v>
      </c>
      <c r="J31" t="str">
        <f t="shared" si="2"/>
        <v>Medium Risk</v>
      </c>
      <c r="K31" s="3" t="str">
        <f t="shared" si="0"/>
        <v>1-2 Years</v>
      </c>
    </row>
    <row r="32" spans="1:11" x14ac:dyDescent="0.3">
      <c r="A32" t="s">
        <v>49</v>
      </c>
      <c r="B32" t="s">
        <v>9</v>
      </c>
      <c r="C32" t="s">
        <v>30</v>
      </c>
      <c r="D32" t="s">
        <v>24</v>
      </c>
      <c r="E32">
        <v>96.35</v>
      </c>
      <c r="F32">
        <v>71</v>
      </c>
      <c r="G32">
        <v>6840.8499999999904</v>
      </c>
      <c r="H32" t="s">
        <v>12</v>
      </c>
      <c r="I32" t="str">
        <f t="shared" si="1"/>
        <v>High Value</v>
      </c>
      <c r="J32" t="str">
        <f t="shared" si="2"/>
        <v>Low Risk</v>
      </c>
      <c r="K32" s="3" t="str">
        <f t="shared" si="0"/>
        <v>4+ Years</v>
      </c>
    </row>
    <row r="33" spans="1:11" x14ac:dyDescent="0.3">
      <c r="A33" t="s">
        <v>50</v>
      </c>
      <c r="B33" t="s">
        <v>14</v>
      </c>
      <c r="C33" t="s">
        <v>10</v>
      </c>
      <c r="D33" t="s">
        <v>24</v>
      </c>
      <c r="E33">
        <v>95.5</v>
      </c>
      <c r="F33">
        <v>2</v>
      </c>
      <c r="G33">
        <v>191</v>
      </c>
      <c r="H33" t="s">
        <v>12</v>
      </c>
      <c r="I33" t="str">
        <f t="shared" si="1"/>
        <v>Low Value</v>
      </c>
      <c r="J33" t="str">
        <f t="shared" si="2"/>
        <v>High Risk</v>
      </c>
      <c r="K33" s="3" t="str">
        <f t="shared" si="0"/>
        <v>0-1 Year</v>
      </c>
    </row>
    <row r="34" spans="1:11" x14ac:dyDescent="0.3">
      <c r="A34" t="s">
        <v>51</v>
      </c>
      <c r="B34" t="s">
        <v>9</v>
      </c>
      <c r="C34" t="s">
        <v>15</v>
      </c>
      <c r="D34" t="s">
        <v>16</v>
      </c>
      <c r="E34">
        <v>66.150000000000006</v>
      </c>
      <c r="F34">
        <v>27</v>
      </c>
      <c r="G34">
        <v>1786.05</v>
      </c>
      <c r="H34" t="s">
        <v>12</v>
      </c>
      <c r="I34" t="str">
        <f t="shared" si="1"/>
        <v>Low Value</v>
      </c>
      <c r="J34" t="str">
        <f t="shared" si="2"/>
        <v>Low Risk</v>
      </c>
      <c r="K34" s="3" t="str">
        <f t="shared" si="0"/>
        <v>2-4 Years</v>
      </c>
    </row>
    <row r="35" spans="1:11" x14ac:dyDescent="0.3">
      <c r="A35" t="s">
        <v>52</v>
      </c>
      <c r="B35" t="s">
        <v>14</v>
      </c>
      <c r="C35" t="s">
        <v>10</v>
      </c>
      <c r="D35" t="s">
        <v>20</v>
      </c>
      <c r="E35">
        <v>20.2</v>
      </c>
      <c r="F35">
        <v>1</v>
      </c>
      <c r="G35">
        <v>20.2</v>
      </c>
      <c r="H35" t="s">
        <v>12</v>
      </c>
      <c r="I35" t="str">
        <f t="shared" si="1"/>
        <v>Low Value</v>
      </c>
      <c r="J35" t="str">
        <f t="shared" si="2"/>
        <v>High Risk</v>
      </c>
      <c r="K35" s="3" t="str">
        <f t="shared" si="0"/>
        <v>0-1 Year</v>
      </c>
    </row>
    <row r="36" spans="1:11" x14ac:dyDescent="0.3">
      <c r="A36" t="s">
        <v>53</v>
      </c>
      <c r="B36" t="s">
        <v>14</v>
      </c>
      <c r="C36" t="s">
        <v>10</v>
      </c>
      <c r="D36" t="s">
        <v>20</v>
      </c>
      <c r="E36">
        <v>45.25</v>
      </c>
      <c r="F36">
        <v>1</v>
      </c>
      <c r="G36">
        <v>45.25</v>
      </c>
      <c r="H36" t="s">
        <v>12</v>
      </c>
      <c r="I36" t="str">
        <f t="shared" si="1"/>
        <v>Low Value</v>
      </c>
      <c r="J36" t="str">
        <f t="shared" si="2"/>
        <v>High Risk</v>
      </c>
      <c r="K36" s="3" t="str">
        <f t="shared" si="0"/>
        <v>0-1 Year</v>
      </c>
    </row>
    <row r="37" spans="1:11" x14ac:dyDescent="0.3">
      <c r="A37" t="s">
        <v>54</v>
      </c>
      <c r="B37" t="s">
        <v>9</v>
      </c>
      <c r="C37" t="s">
        <v>30</v>
      </c>
      <c r="D37" t="s">
        <v>20</v>
      </c>
      <c r="E37">
        <v>99.9</v>
      </c>
      <c r="F37">
        <v>72</v>
      </c>
      <c r="G37">
        <v>7192.8</v>
      </c>
      <c r="H37" t="s">
        <v>12</v>
      </c>
      <c r="I37" t="str">
        <f t="shared" si="1"/>
        <v>High Value</v>
      </c>
      <c r="J37" t="str">
        <f t="shared" si="2"/>
        <v>Low Risk</v>
      </c>
      <c r="K37" s="3" t="str">
        <f t="shared" si="0"/>
        <v>4+ Years</v>
      </c>
    </row>
    <row r="38" spans="1:11" x14ac:dyDescent="0.3">
      <c r="A38" t="s">
        <v>55</v>
      </c>
      <c r="B38" t="s">
        <v>14</v>
      </c>
      <c r="C38" t="s">
        <v>10</v>
      </c>
      <c r="D38" t="s">
        <v>11</v>
      </c>
      <c r="E38">
        <v>69.7</v>
      </c>
      <c r="F38">
        <v>5</v>
      </c>
      <c r="G38">
        <v>348.5</v>
      </c>
      <c r="H38" t="s">
        <v>18</v>
      </c>
      <c r="I38" t="str">
        <f t="shared" si="1"/>
        <v>Low Value</v>
      </c>
      <c r="J38" t="str">
        <f t="shared" si="2"/>
        <v>High Risk</v>
      </c>
      <c r="K38" s="3" t="str">
        <f t="shared" si="0"/>
        <v>0-1 Year</v>
      </c>
    </row>
    <row r="39" spans="1:11" x14ac:dyDescent="0.3">
      <c r="A39" t="s">
        <v>56</v>
      </c>
      <c r="B39" t="s">
        <v>9</v>
      </c>
      <c r="C39" t="s">
        <v>10</v>
      </c>
      <c r="D39" t="s">
        <v>24</v>
      </c>
      <c r="E39">
        <v>74.8</v>
      </c>
      <c r="F39">
        <v>46</v>
      </c>
      <c r="G39">
        <v>3440.7999999999902</v>
      </c>
      <c r="H39" t="s">
        <v>12</v>
      </c>
      <c r="I39" t="str">
        <f t="shared" si="1"/>
        <v>Medium Value</v>
      </c>
      <c r="J39" t="str">
        <f t="shared" si="2"/>
        <v>Low Risk</v>
      </c>
      <c r="K39" s="3" t="str">
        <f t="shared" si="0"/>
        <v>2-4 Years</v>
      </c>
    </row>
    <row r="40" spans="1:11" x14ac:dyDescent="0.3">
      <c r="A40" t="s">
        <v>57</v>
      </c>
      <c r="B40" t="s">
        <v>14</v>
      </c>
      <c r="C40" t="s">
        <v>10</v>
      </c>
      <c r="D40" t="s">
        <v>11</v>
      </c>
      <c r="E40">
        <v>106.35</v>
      </c>
      <c r="F40">
        <v>34</v>
      </c>
      <c r="G40">
        <v>3615.8999999999901</v>
      </c>
      <c r="H40" t="s">
        <v>18</v>
      </c>
      <c r="I40" t="str">
        <f t="shared" si="1"/>
        <v>Medium Value</v>
      </c>
      <c r="J40" t="str">
        <f t="shared" si="2"/>
        <v>Low Risk</v>
      </c>
      <c r="K40" s="3" t="str">
        <f t="shared" si="0"/>
        <v>2-4 Years</v>
      </c>
    </row>
    <row r="41" spans="1:11" x14ac:dyDescent="0.3">
      <c r="A41" t="s">
        <v>58</v>
      </c>
      <c r="B41" t="s">
        <v>9</v>
      </c>
      <c r="C41" t="s">
        <v>10</v>
      </c>
      <c r="D41" t="s">
        <v>20</v>
      </c>
      <c r="E41">
        <v>97.85</v>
      </c>
      <c r="F41">
        <v>11</v>
      </c>
      <c r="G41">
        <v>1076.3499999999999</v>
      </c>
      <c r="H41" t="s">
        <v>18</v>
      </c>
      <c r="I41" t="str">
        <f t="shared" si="1"/>
        <v>Low Value</v>
      </c>
      <c r="J41" t="str">
        <f t="shared" si="2"/>
        <v>High Risk</v>
      </c>
      <c r="K41" s="3" t="str">
        <f t="shared" si="0"/>
        <v>0-1 Year</v>
      </c>
    </row>
    <row r="42" spans="1:11" x14ac:dyDescent="0.3">
      <c r="A42" t="s">
        <v>59</v>
      </c>
      <c r="B42" t="s">
        <v>14</v>
      </c>
      <c r="C42" t="s">
        <v>15</v>
      </c>
      <c r="D42" t="s">
        <v>16</v>
      </c>
      <c r="E42">
        <v>49.55</v>
      </c>
      <c r="F42">
        <v>10</v>
      </c>
      <c r="G42">
        <v>495.5</v>
      </c>
      <c r="H42" t="s">
        <v>12</v>
      </c>
      <c r="I42" t="str">
        <f t="shared" si="1"/>
        <v>Low Value</v>
      </c>
      <c r="J42" t="str">
        <f t="shared" si="2"/>
        <v>High Risk</v>
      </c>
      <c r="K42" s="3" t="str">
        <f t="shared" si="0"/>
        <v>0-1 Year</v>
      </c>
    </row>
    <row r="43" spans="1:11" x14ac:dyDescent="0.3">
      <c r="A43" t="s">
        <v>60</v>
      </c>
      <c r="B43" t="s">
        <v>9</v>
      </c>
      <c r="C43" t="s">
        <v>30</v>
      </c>
      <c r="D43" t="s">
        <v>24</v>
      </c>
      <c r="E43">
        <v>69.2</v>
      </c>
      <c r="F43">
        <v>70</v>
      </c>
      <c r="G43">
        <v>4844</v>
      </c>
      <c r="H43" t="s">
        <v>12</v>
      </c>
      <c r="I43" t="str">
        <f t="shared" si="1"/>
        <v>Medium Value</v>
      </c>
      <c r="J43" t="str">
        <f t="shared" si="2"/>
        <v>Low Risk</v>
      </c>
      <c r="K43" s="3" t="str">
        <f t="shared" si="0"/>
        <v>4+ Years</v>
      </c>
    </row>
    <row r="44" spans="1:11" x14ac:dyDescent="0.3">
      <c r="A44" t="s">
        <v>61</v>
      </c>
      <c r="B44" t="s">
        <v>9</v>
      </c>
      <c r="C44" t="s">
        <v>15</v>
      </c>
      <c r="D44" t="s">
        <v>16</v>
      </c>
      <c r="E44">
        <v>20.75</v>
      </c>
      <c r="F44">
        <v>17</v>
      </c>
      <c r="G44">
        <v>352.75</v>
      </c>
      <c r="H44" t="s">
        <v>12</v>
      </c>
      <c r="I44" t="str">
        <f t="shared" si="1"/>
        <v>Low Value</v>
      </c>
      <c r="J44" t="str">
        <f t="shared" si="2"/>
        <v>Medium Risk</v>
      </c>
      <c r="K44" s="3" t="str">
        <f t="shared" si="0"/>
        <v>1-2 Years</v>
      </c>
    </row>
    <row r="45" spans="1:11" x14ac:dyDescent="0.3">
      <c r="A45" t="s">
        <v>62</v>
      </c>
      <c r="B45" t="s">
        <v>9</v>
      </c>
      <c r="C45" t="s">
        <v>30</v>
      </c>
      <c r="D45" t="s">
        <v>24</v>
      </c>
      <c r="E45">
        <v>79.849999999999994</v>
      </c>
      <c r="F45">
        <v>63</v>
      </c>
      <c r="G45">
        <v>5030.5499999999902</v>
      </c>
      <c r="H45" t="s">
        <v>12</v>
      </c>
      <c r="I45" t="str">
        <f t="shared" si="1"/>
        <v>High Value</v>
      </c>
      <c r="J45" t="str">
        <f t="shared" si="2"/>
        <v>Low Risk</v>
      </c>
      <c r="K45" s="3" t="str">
        <f t="shared" si="0"/>
        <v>4+ Years</v>
      </c>
    </row>
    <row r="46" spans="1:11" x14ac:dyDescent="0.3">
      <c r="A46" t="s">
        <v>63</v>
      </c>
      <c r="B46" t="s">
        <v>9</v>
      </c>
      <c r="C46" t="s">
        <v>10</v>
      </c>
      <c r="D46" t="s">
        <v>11</v>
      </c>
      <c r="E46">
        <v>76.2</v>
      </c>
      <c r="F46">
        <v>13</v>
      </c>
      <c r="G46">
        <v>990.6</v>
      </c>
      <c r="H46" t="s">
        <v>12</v>
      </c>
      <c r="I46" t="str">
        <f t="shared" si="1"/>
        <v>Low Value</v>
      </c>
      <c r="J46" t="str">
        <f t="shared" si="2"/>
        <v>Medium Risk</v>
      </c>
      <c r="K46" s="3" t="str">
        <f t="shared" si="0"/>
        <v>1-2 Years</v>
      </c>
    </row>
    <row r="47" spans="1:11" x14ac:dyDescent="0.3">
      <c r="A47" t="s">
        <v>64</v>
      </c>
      <c r="B47" t="s">
        <v>9</v>
      </c>
      <c r="C47" t="s">
        <v>10</v>
      </c>
      <c r="D47" t="s">
        <v>11</v>
      </c>
      <c r="E47">
        <v>84.5</v>
      </c>
      <c r="F47">
        <v>49</v>
      </c>
      <c r="G47">
        <v>4140.5</v>
      </c>
      <c r="H47" t="s">
        <v>12</v>
      </c>
      <c r="I47" t="str">
        <f t="shared" si="1"/>
        <v>Medium Value</v>
      </c>
      <c r="J47" t="str">
        <f t="shared" si="2"/>
        <v>Low Risk</v>
      </c>
      <c r="K47" s="3" t="str">
        <f t="shared" si="0"/>
        <v>4+ Years</v>
      </c>
    </row>
    <row r="48" spans="1:11" x14ac:dyDescent="0.3">
      <c r="A48" t="s">
        <v>65</v>
      </c>
      <c r="B48" t="s">
        <v>14</v>
      </c>
      <c r="C48" t="s">
        <v>10</v>
      </c>
      <c r="D48" t="s">
        <v>16</v>
      </c>
      <c r="E48">
        <v>49.25</v>
      </c>
      <c r="F48">
        <v>2</v>
      </c>
      <c r="G48">
        <v>98.5</v>
      </c>
      <c r="H48" t="s">
        <v>12</v>
      </c>
      <c r="I48" t="str">
        <f t="shared" si="1"/>
        <v>Low Value</v>
      </c>
      <c r="J48" t="str">
        <f t="shared" si="2"/>
        <v>High Risk</v>
      </c>
      <c r="K48" s="3" t="str">
        <f t="shared" si="0"/>
        <v>0-1 Year</v>
      </c>
    </row>
    <row r="49" spans="1:11" x14ac:dyDescent="0.3">
      <c r="A49" t="s">
        <v>66</v>
      </c>
      <c r="B49" t="s">
        <v>9</v>
      </c>
      <c r="C49" t="s">
        <v>10</v>
      </c>
      <c r="D49" t="s">
        <v>11</v>
      </c>
      <c r="E49">
        <v>80.650000000000006</v>
      </c>
      <c r="F49">
        <v>2</v>
      </c>
      <c r="G49">
        <v>161.30000000000001</v>
      </c>
      <c r="H49" t="s">
        <v>18</v>
      </c>
      <c r="I49" t="str">
        <f t="shared" si="1"/>
        <v>Low Value</v>
      </c>
      <c r="J49" t="str">
        <f t="shared" si="2"/>
        <v>High Risk</v>
      </c>
      <c r="K49" s="3" t="str">
        <f t="shared" si="0"/>
        <v>0-1 Year</v>
      </c>
    </row>
    <row r="50" spans="1:11" x14ac:dyDescent="0.3">
      <c r="A50" t="s">
        <v>67</v>
      </c>
      <c r="B50" t="s">
        <v>14</v>
      </c>
      <c r="C50" t="s">
        <v>30</v>
      </c>
      <c r="D50" t="s">
        <v>24</v>
      </c>
      <c r="E50">
        <v>79.75</v>
      </c>
      <c r="F50">
        <v>52</v>
      </c>
      <c r="G50">
        <v>4147</v>
      </c>
      <c r="H50" t="s">
        <v>12</v>
      </c>
      <c r="I50" t="str">
        <f t="shared" si="1"/>
        <v>Medium Value</v>
      </c>
      <c r="J50" t="str">
        <f t="shared" si="2"/>
        <v>Low Risk</v>
      </c>
      <c r="K50" s="3" t="str">
        <f t="shared" si="0"/>
        <v>4+ Years</v>
      </c>
    </row>
    <row r="51" spans="1:11" x14ac:dyDescent="0.3">
      <c r="A51" t="s">
        <v>68</v>
      </c>
      <c r="B51" t="s">
        <v>9</v>
      </c>
      <c r="C51" t="s">
        <v>30</v>
      </c>
      <c r="D51" t="s">
        <v>24</v>
      </c>
      <c r="E51">
        <v>64.150000000000006</v>
      </c>
      <c r="F51">
        <v>69</v>
      </c>
      <c r="G51">
        <v>4426.3500000000004</v>
      </c>
      <c r="H51" t="s">
        <v>12</v>
      </c>
      <c r="I51" t="str">
        <f t="shared" si="1"/>
        <v>Medium Value</v>
      </c>
      <c r="J51" t="str">
        <f t="shared" si="2"/>
        <v>Low Risk</v>
      </c>
      <c r="K51" s="3" t="str">
        <f t="shared" si="0"/>
        <v>4+ Years</v>
      </c>
    </row>
    <row r="52" spans="1:11" x14ac:dyDescent="0.3">
      <c r="A52" t="s">
        <v>69</v>
      </c>
      <c r="B52" t="s">
        <v>9</v>
      </c>
      <c r="C52" t="s">
        <v>10</v>
      </c>
      <c r="D52" t="s">
        <v>11</v>
      </c>
      <c r="E52">
        <v>90.25</v>
      </c>
      <c r="F52">
        <v>43</v>
      </c>
      <c r="G52">
        <v>3880.75</v>
      </c>
      <c r="H52" t="s">
        <v>12</v>
      </c>
      <c r="I52" t="str">
        <f t="shared" si="1"/>
        <v>Medium Value</v>
      </c>
      <c r="J52" t="str">
        <f t="shared" si="2"/>
        <v>Low Risk</v>
      </c>
      <c r="K52" s="3" t="str">
        <f t="shared" si="0"/>
        <v>2-4 Years</v>
      </c>
    </row>
    <row r="53" spans="1:11" x14ac:dyDescent="0.3">
      <c r="A53" t="s">
        <v>70</v>
      </c>
      <c r="B53" t="s">
        <v>9</v>
      </c>
      <c r="C53" t="s">
        <v>10</v>
      </c>
      <c r="D53" t="s">
        <v>24</v>
      </c>
      <c r="E53">
        <v>99.1</v>
      </c>
      <c r="F53">
        <v>15</v>
      </c>
      <c r="G53">
        <v>1486.5</v>
      </c>
      <c r="H53" t="s">
        <v>18</v>
      </c>
      <c r="I53" t="str">
        <f t="shared" si="1"/>
        <v>Low Value</v>
      </c>
      <c r="J53" t="str">
        <f t="shared" si="2"/>
        <v>Medium Risk</v>
      </c>
      <c r="K53" s="3" t="str">
        <f t="shared" si="0"/>
        <v>1-2 Years</v>
      </c>
    </row>
    <row r="54" spans="1:11" x14ac:dyDescent="0.3">
      <c r="A54" t="s">
        <v>71</v>
      </c>
      <c r="B54" t="s">
        <v>9</v>
      </c>
      <c r="C54" t="s">
        <v>10</v>
      </c>
      <c r="D54" t="s">
        <v>24</v>
      </c>
      <c r="E54">
        <v>69.5</v>
      </c>
      <c r="F54">
        <v>25</v>
      </c>
      <c r="G54">
        <v>1737.5</v>
      </c>
      <c r="H54" t="s">
        <v>12</v>
      </c>
      <c r="I54" t="str">
        <f t="shared" si="1"/>
        <v>Low Value</v>
      </c>
      <c r="J54" t="str">
        <f t="shared" si="2"/>
        <v>Low Risk</v>
      </c>
      <c r="K54" s="3" t="str">
        <f t="shared" si="0"/>
        <v>2-4 Years</v>
      </c>
    </row>
    <row r="55" spans="1:11" x14ac:dyDescent="0.3">
      <c r="A55" t="s">
        <v>72</v>
      </c>
      <c r="B55" t="s">
        <v>9</v>
      </c>
      <c r="C55" t="s">
        <v>10</v>
      </c>
      <c r="D55" t="s">
        <v>24</v>
      </c>
      <c r="E55">
        <v>80.650000000000006</v>
      </c>
      <c r="F55">
        <v>8</v>
      </c>
      <c r="G55">
        <v>645.20000000000005</v>
      </c>
      <c r="H55" t="s">
        <v>18</v>
      </c>
      <c r="I55" t="str">
        <f t="shared" si="1"/>
        <v>Low Value</v>
      </c>
      <c r="J55" t="str">
        <f t="shared" si="2"/>
        <v>High Risk</v>
      </c>
      <c r="K55" s="3" t="str">
        <f t="shared" si="0"/>
        <v>0-1 Year</v>
      </c>
    </row>
    <row r="56" spans="1:11" x14ac:dyDescent="0.3">
      <c r="A56" t="s">
        <v>73</v>
      </c>
      <c r="B56" t="s">
        <v>9</v>
      </c>
      <c r="C56" t="s">
        <v>15</v>
      </c>
      <c r="D56" t="s">
        <v>24</v>
      </c>
      <c r="E56">
        <v>74.849999999999994</v>
      </c>
      <c r="F56">
        <v>60</v>
      </c>
      <c r="G56">
        <v>4491</v>
      </c>
      <c r="H56" t="s">
        <v>12</v>
      </c>
      <c r="I56" t="str">
        <f t="shared" si="1"/>
        <v>Medium Value</v>
      </c>
      <c r="J56" t="str">
        <f t="shared" si="2"/>
        <v>Low Risk</v>
      </c>
      <c r="K56" s="3" t="str">
        <f t="shared" si="0"/>
        <v>4+ Years</v>
      </c>
    </row>
    <row r="57" spans="1:11" x14ac:dyDescent="0.3">
      <c r="A57" t="s">
        <v>74</v>
      </c>
      <c r="B57" t="s">
        <v>14</v>
      </c>
      <c r="C57" t="s">
        <v>10</v>
      </c>
      <c r="D57" t="s">
        <v>11</v>
      </c>
      <c r="E57">
        <v>95.45</v>
      </c>
      <c r="F57">
        <v>18</v>
      </c>
      <c r="G57">
        <v>1718.1</v>
      </c>
      <c r="H57" t="s">
        <v>18</v>
      </c>
      <c r="I57" t="str">
        <f t="shared" si="1"/>
        <v>Low Value</v>
      </c>
      <c r="J57" t="str">
        <f t="shared" si="2"/>
        <v>Medium Risk</v>
      </c>
      <c r="K57" s="3" t="str">
        <f t="shared" si="0"/>
        <v>1-2 Years</v>
      </c>
    </row>
    <row r="58" spans="1:11" x14ac:dyDescent="0.3">
      <c r="A58" t="s">
        <v>75</v>
      </c>
      <c r="B58" t="s">
        <v>9</v>
      </c>
      <c r="C58" t="s">
        <v>15</v>
      </c>
      <c r="D58" t="s">
        <v>24</v>
      </c>
      <c r="E58">
        <v>99.65</v>
      </c>
      <c r="F58">
        <v>63</v>
      </c>
      <c r="G58">
        <v>6277.95</v>
      </c>
      <c r="H58" t="s">
        <v>12</v>
      </c>
      <c r="I58" t="str">
        <f t="shared" si="1"/>
        <v>High Value</v>
      </c>
      <c r="J58" t="str">
        <f t="shared" si="2"/>
        <v>Low Risk</v>
      </c>
      <c r="K58" s="3" t="str">
        <f t="shared" si="0"/>
        <v>4+ Years</v>
      </c>
    </row>
    <row r="59" spans="1:11" x14ac:dyDescent="0.3">
      <c r="A59" t="s">
        <v>76</v>
      </c>
      <c r="B59" t="s">
        <v>14</v>
      </c>
      <c r="C59" t="s">
        <v>15</v>
      </c>
      <c r="D59" t="s">
        <v>11</v>
      </c>
      <c r="E59">
        <v>108.45</v>
      </c>
      <c r="F59">
        <v>66</v>
      </c>
      <c r="G59">
        <v>7157.7</v>
      </c>
      <c r="H59" t="s">
        <v>12</v>
      </c>
      <c r="I59" t="str">
        <f t="shared" si="1"/>
        <v>High Value</v>
      </c>
      <c r="J59" t="str">
        <f t="shared" si="2"/>
        <v>Low Risk</v>
      </c>
      <c r="K59" s="3" t="str">
        <f t="shared" si="0"/>
        <v>4+ Years</v>
      </c>
    </row>
    <row r="60" spans="1:11" x14ac:dyDescent="0.3">
      <c r="A60" t="s">
        <v>77</v>
      </c>
      <c r="B60" t="s">
        <v>9</v>
      </c>
      <c r="C60" t="s">
        <v>30</v>
      </c>
      <c r="D60" t="s">
        <v>24</v>
      </c>
      <c r="E60">
        <v>24.95</v>
      </c>
      <c r="F60">
        <v>34</v>
      </c>
      <c r="G60">
        <v>848.3</v>
      </c>
      <c r="H60" t="s">
        <v>12</v>
      </c>
      <c r="I60" t="str">
        <f t="shared" si="1"/>
        <v>Low Value</v>
      </c>
      <c r="J60" t="str">
        <f t="shared" si="2"/>
        <v>Low Risk</v>
      </c>
      <c r="K60" s="3" t="str">
        <f t="shared" si="0"/>
        <v>2-4 Years</v>
      </c>
    </row>
    <row r="61" spans="1:11" x14ac:dyDescent="0.3">
      <c r="A61" t="s">
        <v>78</v>
      </c>
      <c r="B61" t="s">
        <v>9</v>
      </c>
      <c r="C61" t="s">
        <v>30</v>
      </c>
      <c r="D61" t="s">
        <v>24</v>
      </c>
      <c r="E61">
        <v>107.5</v>
      </c>
      <c r="F61">
        <v>72</v>
      </c>
      <c r="G61">
        <v>7740</v>
      </c>
      <c r="H61" t="s">
        <v>12</v>
      </c>
      <c r="I61" t="str">
        <f t="shared" si="1"/>
        <v>High Value</v>
      </c>
      <c r="J61" t="str">
        <f t="shared" si="2"/>
        <v>Low Risk</v>
      </c>
      <c r="K61" s="3" t="str">
        <f t="shared" si="0"/>
        <v>4+ Years</v>
      </c>
    </row>
    <row r="62" spans="1:11" x14ac:dyDescent="0.3">
      <c r="A62" t="s">
        <v>79</v>
      </c>
      <c r="B62" t="s">
        <v>9</v>
      </c>
      <c r="C62" t="s">
        <v>10</v>
      </c>
      <c r="D62" t="s">
        <v>11</v>
      </c>
      <c r="E62">
        <v>100.5</v>
      </c>
      <c r="F62">
        <v>47</v>
      </c>
      <c r="G62">
        <v>4723.5</v>
      </c>
      <c r="H62" t="s">
        <v>12</v>
      </c>
      <c r="I62" t="str">
        <f t="shared" si="1"/>
        <v>Medium Value</v>
      </c>
      <c r="J62" t="str">
        <f t="shared" si="2"/>
        <v>Low Risk</v>
      </c>
      <c r="K62" s="3" t="str">
        <f t="shared" si="0"/>
        <v>2-4 Years</v>
      </c>
    </row>
    <row r="63" spans="1:11" x14ac:dyDescent="0.3">
      <c r="A63" t="s">
        <v>80</v>
      </c>
      <c r="B63" t="s">
        <v>14</v>
      </c>
      <c r="C63" t="s">
        <v>10</v>
      </c>
      <c r="D63" t="s">
        <v>20</v>
      </c>
      <c r="E63">
        <v>89.9</v>
      </c>
      <c r="F63">
        <v>60</v>
      </c>
      <c r="G63">
        <v>5394</v>
      </c>
      <c r="H63" t="s">
        <v>12</v>
      </c>
      <c r="I63" t="str">
        <f t="shared" si="1"/>
        <v>High Value</v>
      </c>
      <c r="J63" t="str">
        <f t="shared" si="2"/>
        <v>Low Risk</v>
      </c>
      <c r="K63" s="3" t="str">
        <f t="shared" si="0"/>
        <v>4+ Years</v>
      </c>
    </row>
    <row r="64" spans="1:11" x14ac:dyDescent="0.3">
      <c r="A64" t="s">
        <v>81</v>
      </c>
      <c r="B64" t="s">
        <v>14</v>
      </c>
      <c r="C64" t="s">
        <v>30</v>
      </c>
      <c r="D64" t="s">
        <v>20</v>
      </c>
      <c r="E64">
        <v>42.1</v>
      </c>
      <c r="F64">
        <v>72</v>
      </c>
      <c r="G64">
        <v>3031.2</v>
      </c>
      <c r="H64" t="s">
        <v>12</v>
      </c>
      <c r="I64" t="str">
        <f t="shared" si="1"/>
        <v>Medium Value</v>
      </c>
      <c r="J64" t="str">
        <f t="shared" si="2"/>
        <v>Low Risk</v>
      </c>
      <c r="K64" s="3" t="str">
        <f t="shared" si="0"/>
        <v>4+ Years</v>
      </c>
    </row>
    <row r="65" spans="1:11" x14ac:dyDescent="0.3">
      <c r="A65" t="s">
        <v>82</v>
      </c>
      <c r="B65" t="s">
        <v>9</v>
      </c>
      <c r="C65" t="s">
        <v>15</v>
      </c>
      <c r="D65" t="s">
        <v>24</v>
      </c>
      <c r="E65">
        <v>54.4</v>
      </c>
      <c r="F65">
        <v>18</v>
      </c>
      <c r="G65">
        <v>979.19999999999902</v>
      </c>
      <c r="H65" t="s">
        <v>12</v>
      </c>
      <c r="I65" t="str">
        <f t="shared" si="1"/>
        <v>Low Value</v>
      </c>
      <c r="J65" t="str">
        <f t="shared" si="2"/>
        <v>Medium Risk</v>
      </c>
      <c r="K65" s="3" t="str">
        <f t="shared" si="0"/>
        <v>1-2 Years</v>
      </c>
    </row>
    <row r="66" spans="1:11" x14ac:dyDescent="0.3">
      <c r="A66" t="s">
        <v>83</v>
      </c>
      <c r="B66" t="s">
        <v>9</v>
      </c>
      <c r="C66" t="s">
        <v>10</v>
      </c>
      <c r="D66" t="s">
        <v>11</v>
      </c>
      <c r="E66">
        <v>94.4</v>
      </c>
      <c r="F66">
        <v>9</v>
      </c>
      <c r="G66">
        <v>849.6</v>
      </c>
      <c r="H66" t="s">
        <v>18</v>
      </c>
      <c r="I66" t="str">
        <f t="shared" si="1"/>
        <v>Low Value</v>
      </c>
      <c r="J66" t="str">
        <f t="shared" si="2"/>
        <v>High Risk</v>
      </c>
      <c r="K66" s="3" t="str">
        <f t="shared" si="0"/>
        <v>0-1 Year</v>
      </c>
    </row>
    <row r="67" spans="1:11" x14ac:dyDescent="0.3">
      <c r="A67" t="s">
        <v>84</v>
      </c>
      <c r="B67" t="s">
        <v>9</v>
      </c>
      <c r="C67" t="s">
        <v>10</v>
      </c>
      <c r="D67" t="s">
        <v>11</v>
      </c>
      <c r="E67">
        <v>75.3</v>
      </c>
      <c r="F67">
        <v>3</v>
      </c>
      <c r="G67">
        <v>225.89999999999901</v>
      </c>
      <c r="H67" t="s">
        <v>12</v>
      </c>
      <c r="I67" t="str">
        <f t="shared" si="1"/>
        <v>Low Value</v>
      </c>
      <c r="J67" t="str">
        <f t="shared" si="2"/>
        <v>High Risk</v>
      </c>
      <c r="K67" s="3" t="str">
        <f t="shared" ref="K67:K130" si="3">IF(F67&lt;=12,"0-1 Year",
IF(F67&lt;=24,"1-2 Years",
IF(F67&lt;=48,"2-4 Years","4+ Years")))</f>
        <v>0-1 Year</v>
      </c>
    </row>
    <row r="68" spans="1:11" x14ac:dyDescent="0.3">
      <c r="A68" t="s">
        <v>85</v>
      </c>
      <c r="B68" t="s">
        <v>14</v>
      </c>
      <c r="C68" t="s">
        <v>15</v>
      </c>
      <c r="D68" t="s">
        <v>11</v>
      </c>
      <c r="E68">
        <v>78.900000000000006</v>
      </c>
      <c r="F68">
        <v>47</v>
      </c>
      <c r="G68">
        <v>3708.3</v>
      </c>
      <c r="H68" t="s">
        <v>12</v>
      </c>
      <c r="I68" t="str">
        <f t="shared" ref="I68:I131" si="4">IF(G68&gt;5000,"High Value",
IF(G68&gt;2000,"Medium Value","Low Value"))</f>
        <v>Medium Value</v>
      </c>
      <c r="J68" t="str">
        <f t="shared" ref="J68:J131" si="5">IF(F68&lt;12,"High Risk",
IF(F68&lt;24,"Medium Risk","Low Risk"))</f>
        <v>Low Risk</v>
      </c>
      <c r="K68" s="3" t="str">
        <f t="shared" si="3"/>
        <v>2-4 Years</v>
      </c>
    </row>
    <row r="69" spans="1:11" x14ac:dyDescent="0.3">
      <c r="A69" t="s">
        <v>86</v>
      </c>
      <c r="B69" t="s">
        <v>9</v>
      </c>
      <c r="C69" t="s">
        <v>30</v>
      </c>
      <c r="D69" t="s">
        <v>16</v>
      </c>
      <c r="E69">
        <v>79.2</v>
      </c>
      <c r="F69">
        <v>31</v>
      </c>
      <c r="G69">
        <v>2455.1999999999998</v>
      </c>
      <c r="H69" t="s">
        <v>12</v>
      </c>
      <c r="I69" t="str">
        <f t="shared" si="4"/>
        <v>Medium Value</v>
      </c>
      <c r="J69" t="str">
        <f t="shared" si="5"/>
        <v>Low Risk</v>
      </c>
      <c r="K69" s="3" t="str">
        <f t="shared" si="3"/>
        <v>2-4 Years</v>
      </c>
    </row>
    <row r="70" spans="1:11" x14ac:dyDescent="0.3">
      <c r="A70" t="s">
        <v>87</v>
      </c>
      <c r="B70" t="s">
        <v>9</v>
      </c>
      <c r="C70" t="s">
        <v>30</v>
      </c>
      <c r="D70" t="s">
        <v>20</v>
      </c>
      <c r="E70">
        <v>20.149999999999999</v>
      </c>
      <c r="F70">
        <v>50</v>
      </c>
      <c r="G70">
        <v>1007.49999999999</v>
      </c>
      <c r="H70" t="s">
        <v>12</v>
      </c>
      <c r="I70" t="str">
        <f t="shared" si="4"/>
        <v>Low Value</v>
      </c>
      <c r="J70" t="str">
        <f t="shared" si="5"/>
        <v>Low Risk</v>
      </c>
      <c r="K70" s="3" t="str">
        <f t="shared" si="3"/>
        <v>4+ Years</v>
      </c>
    </row>
    <row r="71" spans="1:11" x14ac:dyDescent="0.3">
      <c r="A71" t="s">
        <v>88</v>
      </c>
      <c r="B71" t="s">
        <v>14</v>
      </c>
      <c r="C71" t="s">
        <v>10</v>
      </c>
      <c r="D71" t="s">
        <v>16</v>
      </c>
      <c r="E71">
        <v>79.849999999999994</v>
      </c>
      <c r="F71">
        <v>10</v>
      </c>
      <c r="G71">
        <v>798.5</v>
      </c>
      <c r="H71" t="s">
        <v>12</v>
      </c>
      <c r="I71" t="str">
        <f t="shared" si="4"/>
        <v>Low Value</v>
      </c>
      <c r="J71" t="str">
        <f t="shared" si="5"/>
        <v>High Risk</v>
      </c>
      <c r="K71" s="3" t="str">
        <f t="shared" si="3"/>
        <v>0-1 Year</v>
      </c>
    </row>
    <row r="72" spans="1:11" x14ac:dyDescent="0.3">
      <c r="A72" t="s">
        <v>89</v>
      </c>
      <c r="B72" t="s">
        <v>14</v>
      </c>
      <c r="C72" t="s">
        <v>10</v>
      </c>
      <c r="D72" t="s">
        <v>16</v>
      </c>
      <c r="E72">
        <v>49.05</v>
      </c>
      <c r="F72">
        <v>1</v>
      </c>
      <c r="G72">
        <v>49.05</v>
      </c>
      <c r="H72" t="s">
        <v>12</v>
      </c>
      <c r="I72" t="str">
        <f t="shared" si="4"/>
        <v>Low Value</v>
      </c>
      <c r="J72" t="str">
        <f t="shared" si="5"/>
        <v>High Risk</v>
      </c>
      <c r="K72" s="3" t="str">
        <f t="shared" si="3"/>
        <v>0-1 Year</v>
      </c>
    </row>
    <row r="73" spans="1:11" x14ac:dyDescent="0.3">
      <c r="A73" t="s">
        <v>90</v>
      </c>
      <c r="B73" t="s">
        <v>9</v>
      </c>
      <c r="C73" t="s">
        <v>15</v>
      </c>
      <c r="D73" t="s">
        <v>11</v>
      </c>
      <c r="E73">
        <v>20.399999999999999</v>
      </c>
      <c r="F73">
        <v>52</v>
      </c>
      <c r="G73">
        <v>1060.8</v>
      </c>
      <c r="H73" t="s">
        <v>12</v>
      </c>
      <c r="I73" t="str">
        <f t="shared" si="4"/>
        <v>Low Value</v>
      </c>
      <c r="J73" t="str">
        <f t="shared" si="5"/>
        <v>Low Risk</v>
      </c>
      <c r="K73" s="3" t="str">
        <f t="shared" si="3"/>
        <v>4+ Years</v>
      </c>
    </row>
    <row r="74" spans="1:11" x14ac:dyDescent="0.3">
      <c r="A74" t="s">
        <v>91</v>
      </c>
      <c r="B74" t="s">
        <v>14</v>
      </c>
      <c r="C74" t="s">
        <v>30</v>
      </c>
      <c r="D74" t="s">
        <v>20</v>
      </c>
      <c r="E74">
        <v>111.6</v>
      </c>
      <c r="F74">
        <v>64</v>
      </c>
      <c r="G74">
        <v>7142.4</v>
      </c>
      <c r="H74" t="s">
        <v>12</v>
      </c>
      <c r="I74" t="str">
        <f t="shared" si="4"/>
        <v>High Value</v>
      </c>
      <c r="J74" t="str">
        <f t="shared" si="5"/>
        <v>Low Risk</v>
      </c>
      <c r="K74" s="3" t="str">
        <f t="shared" si="3"/>
        <v>4+ Years</v>
      </c>
    </row>
    <row r="75" spans="1:11" x14ac:dyDescent="0.3">
      <c r="A75" t="s">
        <v>92</v>
      </c>
      <c r="B75" t="s">
        <v>14</v>
      </c>
      <c r="C75" t="s">
        <v>30</v>
      </c>
      <c r="D75" t="s">
        <v>20</v>
      </c>
      <c r="E75">
        <v>24.25</v>
      </c>
      <c r="F75">
        <v>62</v>
      </c>
      <c r="G75">
        <v>1503.5</v>
      </c>
      <c r="H75" t="s">
        <v>12</v>
      </c>
      <c r="I75" t="str">
        <f t="shared" si="4"/>
        <v>Low Value</v>
      </c>
      <c r="J75" t="str">
        <f t="shared" si="5"/>
        <v>Low Risk</v>
      </c>
      <c r="K75" s="3" t="str">
        <f t="shared" si="3"/>
        <v>4+ Years</v>
      </c>
    </row>
    <row r="76" spans="1:11" x14ac:dyDescent="0.3">
      <c r="A76" t="s">
        <v>93</v>
      </c>
      <c r="B76" t="s">
        <v>9</v>
      </c>
      <c r="C76" t="s">
        <v>10</v>
      </c>
      <c r="D76" t="s">
        <v>20</v>
      </c>
      <c r="E76">
        <v>64.5</v>
      </c>
      <c r="F76">
        <v>3</v>
      </c>
      <c r="G76">
        <v>193.5</v>
      </c>
      <c r="H76" t="s">
        <v>12</v>
      </c>
      <c r="I76" t="str">
        <f t="shared" si="4"/>
        <v>Low Value</v>
      </c>
      <c r="J76" t="str">
        <f t="shared" si="5"/>
        <v>High Risk</v>
      </c>
      <c r="K76" s="3" t="str">
        <f t="shared" si="3"/>
        <v>0-1 Year</v>
      </c>
    </row>
    <row r="77" spans="1:11" x14ac:dyDescent="0.3">
      <c r="A77" t="s">
        <v>94</v>
      </c>
      <c r="B77" t="s">
        <v>9</v>
      </c>
      <c r="C77" t="s">
        <v>15</v>
      </c>
      <c r="D77" t="s">
        <v>11</v>
      </c>
      <c r="E77">
        <v>110.5</v>
      </c>
      <c r="F77">
        <v>56</v>
      </c>
      <c r="G77">
        <v>6188</v>
      </c>
      <c r="H77" t="s">
        <v>12</v>
      </c>
      <c r="I77" t="str">
        <f t="shared" si="4"/>
        <v>High Value</v>
      </c>
      <c r="J77" t="str">
        <f t="shared" si="5"/>
        <v>Low Risk</v>
      </c>
      <c r="K77" s="3" t="str">
        <f t="shared" si="3"/>
        <v>4+ Years</v>
      </c>
    </row>
    <row r="78" spans="1:11" x14ac:dyDescent="0.3">
      <c r="A78" t="s">
        <v>95</v>
      </c>
      <c r="B78" t="s">
        <v>9</v>
      </c>
      <c r="C78" t="s">
        <v>15</v>
      </c>
      <c r="D78" t="s">
        <v>24</v>
      </c>
      <c r="E78">
        <v>55.65</v>
      </c>
      <c r="F78">
        <v>46</v>
      </c>
      <c r="G78">
        <v>2559.9</v>
      </c>
      <c r="H78" t="s">
        <v>12</v>
      </c>
      <c r="I78" t="str">
        <f t="shared" si="4"/>
        <v>Medium Value</v>
      </c>
      <c r="J78" t="str">
        <f t="shared" si="5"/>
        <v>Low Risk</v>
      </c>
      <c r="K78" s="3" t="str">
        <f t="shared" si="3"/>
        <v>2-4 Years</v>
      </c>
    </row>
    <row r="79" spans="1:11" x14ac:dyDescent="0.3">
      <c r="A79" t="s">
        <v>96</v>
      </c>
      <c r="B79" t="s">
        <v>9</v>
      </c>
      <c r="C79" t="s">
        <v>10</v>
      </c>
      <c r="D79" t="s">
        <v>16</v>
      </c>
      <c r="E79">
        <v>54.65</v>
      </c>
      <c r="F79">
        <v>8</v>
      </c>
      <c r="G79">
        <v>437.2</v>
      </c>
      <c r="H79" t="s">
        <v>12</v>
      </c>
      <c r="I79" t="str">
        <f t="shared" si="4"/>
        <v>Low Value</v>
      </c>
      <c r="J79" t="str">
        <f t="shared" si="5"/>
        <v>High Risk</v>
      </c>
      <c r="K79" s="3" t="str">
        <f t="shared" si="3"/>
        <v>0-1 Year</v>
      </c>
    </row>
    <row r="80" spans="1:11" x14ac:dyDescent="0.3">
      <c r="A80" t="s">
        <v>97</v>
      </c>
      <c r="B80" t="s">
        <v>14</v>
      </c>
      <c r="C80" t="s">
        <v>10</v>
      </c>
      <c r="D80" t="s">
        <v>11</v>
      </c>
      <c r="E80">
        <v>74.75</v>
      </c>
      <c r="F80">
        <v>30</v>
      </c>
      <c r="G80">
        <v>2242.5</v>
      </c>
      <c r="H80" t="s">
        <v>12</v>
      </c>
      <c r="I80" t="str">
        <f t="shared" si="4"/>
        <v>Medium Value</v>
      </c>
      <c r="J80" t="str">
        <f t="shared" si="5"/>
        <v>Low Risk</v>
      </c>
      <c r="K80" s="3" t="str">
        <f t="shared" si="3"/>
        <v>2-4 Years</v>
      </c>
    </row>
    <row r="81" spans="1:11" x14ac:dyDescent="0.3">
      <c r="A81" t="s">
        <v>98</v>
      </c>
      <c r="B81" t="s">
        <v>9</v>
      </c>
      <c r="C81" t="s">
        <v>15</v>
      </c>
      <c r="D81" t="s">
        <v>24</v>
      </c>
      <c r="E81">
        <v>25.9</v>
      </c>
      <c r="F81">
        <v>45</v>
      </c>
      <c r="G81">
        <v>1165.5</v>
      </c>
      <c r="H81" t="s">
        <v>12</v>
      </c>
      <c r="I81" t="str">
        <f t="shared" si="4"/>
        <v>Low Value</v>
      </c>
      <c r="J81" t="str">
        <f t="shared" si="5"/>
        <v>Low Risk</v>
      </c>
      <c r="K81" s="3" t="str">
        <f t="shared" si="3"/>
        <v>2-4 Years</v>
      </c>
    </row>
    <row r="82" spans="1:11" x14ac:dyDescent="0.3">
      <c r="A82" t="s">
        <v>99</v>
      </c>
      <c r="B82" t="s">
        <v>9</v>
      </c>
      <c r="C82" t="s">
        <v>10</v>
      </c>
      <c r="D82" t="s">
        <v>11</v>
      </c>
      <c r="E82">
        <v>79.349999999999994</v>
      </c>
      <c r="F82">
        <v>1</v>
      </c>
      <c r="G82">
        <v>79.349999999999994</v>
      </c>
      <c r="H82" t="s">
        <v>18</v>
      </c>
      <c r="I82" t="str">
        <f t="shared" si="4"/>
        <v>Low Value</v>
      </c>
      <c r="J82" t="str">
        <f t="shared" si="5"/>
        <v>High Risk</v>
      </c>
      <c r="K82" s="3" t="str">
        <f t="shared" si="3"/>
        <v>0-1 Year</v>
      </c>
    </row>
    <row r="83" spans="1:11" x14ac:dyDescent="0.3">
      <c r="A83" t="s">
        <v>100</v>
      </c>
      <c r="B83" t="s">
        <v>9</v>
      </c>
      <c r="C83" t="s">
        <v>10</v>
      </c>
      <c r="D83" t="s">
        <v>11</v>
      </c>
      <c r="E83">
        <v>50.55</v>
      </c>
      <c r="F83">
        <v>11</v>
      </c>
      <c r="G83">
        <v>556.04999999999995</v>
      </c>
      <c r="H83" t="s">
        <v>12</v>
      </c>
      <c r="I83" t="str">
        <f t="shared" si="4"/>
        <v>Low Value</v>
      </c>
      <c r="J83" t="str">
        <f t="shared" si="5"/>
        <v>High Risk</v>
      </c>
      <c r="K83" s="3" t="str">
        <f t="shared" si="3"/>
        <v>0-1 Year</v>
      </c>
    </row>
    <row r="84" spans="1:11" x14ac:dyDescent="0.3">
      <c r="A84" t="s">
        <v>101</v>
      </c>
      <c r="B84" t="s">
        <v>9</v>
      </c>
      <c r="C84" t="s">
        <v>10</v>
      </c>
      <c r="D84" t="s">
        <v>20</v>
      </c>
      <c r="E84">
        <v>75.150000000000006</v>
      </c>
      <c r="F84">
        <v>7</v>
      </c>
      <c r="G84">
        <v>526.04999999999995</v>
      </c>
      <c r="H84" t="s">
        <v>18</v>
      </c>
      <c r="I84" t="str">
        <f t="shared" si="4"/>
        <v>Low Value</v>
      </c>
      <c r="J84" t="str">
        <f t="shared" si="5"/>
        <v>High Risk</v>
      </c>
      <c r="K84" s="3" t="str">
        <f t="shared" si="3"/>
        <v>0-1 Year</v>
      </c>
    </row>
    <row r="85" spans="1:11" x14ac:dyDescent="0.3">
      <c r="A85" t="s">
        <v>102</v>
      </c>
      <c r="B85" t="s">
        <v>9</v>
      </c>
      <c r="C85" t="s">
        <v>10</v>
      </c>
      <c r="D85" t="s">
        <v>20</v>
      </c>
      <c r="E85">
        <v>103.8</v>
      </c>
      <c r="F85">
        <v>42</v>
      </c>
      <c r="G85">
        <v>4359.5999999999904</v>
      </c>
      <c r="H85" t="s">
        <v>12</v>
      </c>
      <c r="I85" t="str">
        <f t="shared" si="4"/>
        <v>Medium Value</v>
      </c>
      <c r="J85" t="str">
        <f t="shared" si="5"/>
        <v>Low Risk</v>
      </c>
      <c r="K85" s="3" t="str">
        <f t="shared" si="3"/>
        <v>2-4 Years</v>
      </c>
    </row>
    <row r="86" spans="1:11" x14ac:dyDescent="0.3">
      <c r="A86" t="s">
        <v>103</v>
      </c>
      <c r="B86" t="s">
        <v>9</v>
      </c>
      <c r="C86" t="s">
        <v>30</v>
      </c>
      <c r="D86" t="s">
        <v>20</v>
      </c>
      <c r="E86">
        <v>20.149999999999999</v>
      </c>
      <c r="F86">
        <v>49</v>
      </c>
      <c r="G86">
        <v>987.349999999999</v>
      </c>
      <c r="H86" t="s">
        <v>12</v>
      </c>
      <c r="I86" t="str">
        <f t="shared" si="4"/>
        <v>Low Value</v>
      </c>
      <c r="J86" t="str">
        <f t="shared" si="5"/>
        <v>Low Risk</v>
      </c>
      <c r="K86" s="3" t="str">
        <f t="shared" si="3"/>
        <v>4+ Years</v>
      </c>
    </row>
    <row r="87" spans="1:11" x14ac:dyDescent="0.3">
      <c r="A87" t="s">
        <v>104</v>
      </c>
      <c r="B87" t="s">
        <v>14</v>
      </c>
      <c r="C87" t="s">
        <v>10</v>
      </c>
      <c r="D87" t="s">
        <v>24</v>
      </c>
      <c r="E87">
        <v>99.3</v>
      </c>
      <c r="F87">
        <v>9</v>
      </c>
      <c r="G87">
        <v>893.69999999999902</v>
      </c>
      <c r="H87" t="s">
        <v>12</v>
      </c>
      <c r="I87" t="str">
        <f t="shared" si="4"/>
        <v>Low Value</v>
      </c>
      <c r="J87" t="str">
        <f t="shared" si="5"/>
        <v>High Risk</v>
      </c>
      <c r="K87" s="3" t="str">
        <f t="shared" si="3"/>
        <v>0-1 Year</v>
      </c>
    </row>
    <row r="88" spans="1:11" x14ac:dyDescent="0.3">
      <c r="A88" t="s">
        <v>105</v>
      </c>
      <c r="B88" t="s">
        <v>9</v>
      </c>
      <c r="C88" t="s">
        <v>15</v>
      </c>
      <c r="D88" t="s">
        <v>20</v>
      </c>
      <c r="E88">
        <v>62.15</v>
      </c>
      <c r="F88">
        <v>35</v>
      </c>
      <c r="G88">
        <v>2175.25</v>
      </c>
      <c r="H88" t="s">
        <v>12</v>
      </c>
      <c r="I88" t="str">
        <f t="shared" si="4"/>
        <v>Medium Value</v>
      </c>
      <c r="J88" t="str">
        <f t="shared" si="5"/>
        <v>Low Risk</v>
      </c>
      <c r="K88" s="3" t="str">
        <f t="shared" si="3"/>
        <v>2-4 Years</v>
      </c>
    </row>
    <row r="89" spans="1:11" x14ac:dyDescent="0.3">
      <c r="A89" t="s">
        <v>106</v>
      </c>
      <c r="B89" t="s">
        <v>9</v>
      </c>
      <c r="C89" t="s">
        <v>30</v>
      </c>
      <c r="D89" t="s">
        <v>20</v>
      </c>
      <c r="E89">
        <v>20.65</v>
      </c>
      <c r="F89">
        <v>48</v>
      </c>
      <c r="G89">
        <v>991.19999999999902</v>
      </c>
      <c r="H89" t="s">
        <v>12</v>
      </c>
      <c r="I89" t="str">
        <f t="shared" si="4"/>
        <v>Low Value</v>
      </c>
      <c r="J89" t="str">
        <f t="shared" si="5"/>
        <v>Low Risk</v>
      </c>
      <c r="K89" s="3" t="str">
        <f t="shared" si="3"/>
        <v>2-4 Years</v>
      </c>
    </row>
    <row r="90" spans="1:11" x14ac:dyDescent="0.3">
      <c r="A90" t="s">
        <v>107</v>
      </c>
      <c r="B90" t="s">
        <v>9</v>
      </c>
      <c r="C90" t="s">
        <v>30</v>
      </c>
      <c r="D90" t="s">
        <v>16</v>
      </c>
      <c r="E90">
        <v>19.95</v>
      </c>
      <c r="F90">
        <v>46</v>
      </c>
      <c r="G90">
        <v>917.69999999999902</v>
      </c>
      <c r="H90" t="s">
        <v>12</v>
      </c>
      <c r="I90" t="str">
        <f t="shared" si="4"/>
        <v>Low Value</v>
      </c>
      <c r="J90" t="str">
        <f t="shared" si="5"/>
        <v>Low Risk</v>
      </c>
      <c r="K90" s="3" t="str">
        <f t="shared" si="3"/>
        <v>2-4 Years</v>
      </c>
    </row>
    <row r="91" spans="1:11" x14ac:dyDescent="0.3">
      <c r="A91" t="s">
        <v>108</v>
      </c>
      <c r="B91" t="s">
        <v>14</v>
      </c>
      <c r="C91" t="s">
        <v>10</v>
      </c>
      <c r="D91" t="s">
        <v>16</v>
      </c>
      <c r="E91">
        <v>33.75</v>
      </c>
      <c r="F91">
        <v>29</v>
      </c>
      <c r="G91">
        <v>978.75</v>
      </c>
      <c r="H91" t="s">
        <v>12</v>
      </c>
      <c r="I91" t="str">
        <f t="shared" si="4"/>
        <v>Low Value</v>
      </c>
      <c r="J91" t="str">
        <f t="shared" si="5"/>
        <v>Low Risk</v>
      </c>
      <c r="K91" s="3" t="str">
        <f t="shared" si="3"/>
        <v>2-4 Years</v>
      </c>
    </row>
    <row r="92" spans="1:11" x14ac:dyDescent="0.3">
      <c r="A92" t="s">
        <v>109</v>
      </c>
      <c r="B92" t="s">
        <v>14</v>
      </c>
      <c r="C92" t="s">
        <v>10</v>
      </c>
      <c r="D92" t="s">
        <v>20</v>
      </c>
      <c r="E92">
        <v>82.05</v>
      </c>
      <c r="F92">
        <v>30</v>
      </c>
      <c r="G92">
        <v>2461.5</v>
      </c>
      <c r="H92" t="s">
        <v>12</v>
      </c>
      <c r="I92" t="str">
        <f t="shared" si="4"/>
        <v>Medium Value</v>
      </c>
      <c r="J92" t="str">
        <f t="shared" si="5"/>
        <v>Low Risk</v>
      </c>
      <c r="K92" s="3" t="str">
        <f t="shared" si="3"/>
        <v>2-4 Years</v>
      </c>
    </row>
    <row r="93" spans="1:11" x14ac:dyDescent="0.3">
      <c r="A93" t="s">
        <v>110</v>
      </c>
      <c r="B93" t="s">
        <v>14</v>
      </c>
      <c r="C93" t="s">
        <v>10</v>
      </c>
      <c r="D93" t="s">
        <v>11</v>
      </c>
      <c r="E93">
        <v>74.7</v>
      </c>
      <c r="F93">
        <v>1</v>
      </c>
      <c r="G93">
        <v>74.7</v>
      </c>
      <c r="H93" t="s">
        <v>12</v>
      </c>
      <c r="I93" t="str">
        <f t="shared" si="4"/>
        <v>Low Value</v>
      </c>
      <c r="J93" t="str">
        <f t="shared" si="5"/>
        <v>High Risk</v>
      </c>
      <c r="K93" s="3" t="str">
        <f t="shared" si="3"/>
        <v>0-1 Year</v>
      </c>
    </row>
    <row r="94" spans="1:11" x14ac:dyDescent="0.3">
      <c r="A94" t="s">
        <v>111</v>
      </c>
      <c r="B94" t="s">
        <v>14</v>
      </c>
      <c r="C94" t="s">
        <v>30</v>
      </c>
      <c r="D94" t="s">
        <v>16</v>
      </c>
      <c r="E94">
        <v>84</v>
      </c>
      <c r="F94">
        <v>66</v>
      </c>
      <c r="G94">
        <v>5544</v>
      </c>
      <c r="H94" t="s">
        <v>12</v>
      </c>
      <c r="I94" t="str">
        <f t="shared" si="4"/>
        <v>High Value</v>
      </c>
      <c r="J94" t="str">
        <f t="shared" si="5"/>
        <v>Low Risk</v>
      </c>
      <c r="K94" s="3" t="str">
        <f t="shared" si="3"/>
        <v>4+ Years</v>
      </c>
    </row>
    <row r="95" spans="1:11" x14ac:dyDescent="0.3">
      <c r="A95" t="s">
        <v>112</v>
      </c>
      <c r="B95" t="s">
        <v>9</v>
      </c>
      <c r="C95" t="s">
        <v>10</v>
      </c>
      <c r="D95" t="s">
        <v>24</v>
      </c>
      <c r="E95">
        <v>111.05</v>
      </c>
      <c r="F95">
        <v>65</v>
      </c>
      <c r="G95">
        <v>7218.25</v>
      </c>
      <c r="H95" t="s">
        <v>12</v>
      </c>
      <c r="I95" t="str">
        <f t="shared" si="4"/>
        <v>High Value</v>
      </c>
      <c r="J95" t="str">
        <f t="shared" si="5"/>
        <v>Low Risk</v>
      </c>
      <c r="K95" s="3" t="str">
        <f t="shared" si="3"/>
        <v>4+ Years</v>
      </c>
    </row>
    <row r="96" spans="1:11" x14ac:dyDescent="0.3">
      <c r="A96" t="s">
        <v>113</v>
      </c>
      <c r="B96" t="s">
        <v>14</v>
      </c>
      <c r="C96" t="s">
        <v>30</v>
      </c>
      <c r="D96" t="s">
        <v>20</v>
      </c>
      <c r="E96">
        <v>100.9</v>
      </c>
      <c r="F96">
        <v>72</v>
      </c>
      <c r="G96">
        <v>7264.8</v>
      </c>
      <c r="H96" t="s">
        <v>12</v>
      </c>
      <c r="I96" t="str">
        <f t="shared" si="4"/>
        <v>High Value</v>
      </c>
      <c r="J96" t="str">
        <f t="shared" si="5"/>
        <v>Low Risk</v>
      </c>
      <c r="K96" s="3" t="str">
        <f t="shared" si="3"/>
        <v>4+ Years</v>
      </c>
    </row>
    <row r="97" spans="1:11" x14ac:dyDescent="0.3">
      <c r="A97" t="s">
        <v>114</v>
      </c>
      <c r="B97" t="s">
        <v>9</v>
      </c>
      <c r="C97" t="s">
        <v>10</v>
      </c>
      <c r="D97" t="s">
        <v>11</v>
      </c>
      <c r="E97">
        <v>78.95</v>
      </c>
      <c r="F97">
        <v>12</v>
      </c>
      <c r="G97">
        <v>947.4</v>
      </c>
      <c r="H97" t="s">
        <v>18</v>
      </c>
      <c r="I97" t="str">
        <f t="shared" si="4"/>
        <v>Low Value</v>
      </c>
      <c r="J97" t="str">
        <f t="shared" si="5"/>
        <v>Medium Risk</v>
      </c>
      <c r="K97" s="3" t="str">
        <f t="shared" si="3"/>
        <v>0-1 Year</v>
      </c>
    </row>
    <row r="98" spans="1:11" x14ac:dyDescent="0.3">
      <c r="A98" t="s">
        <v>115</v>
      </c>
      <c r="B98" t="s">
        <v>14</v>
      </c>
      <c r="C98" t="s">
        <v>15</v>
      </c>
      <c r="D98" t="s">
        <v>24</v>
      </c>
      <c r="E98">
        <v>66.849999999999994</v>
      </c>
      <c r="F98">
        <v>71</v>
      </c>
      <c r="G98">
        <v>4746.3499999999904</v>
      </c>
      <c r="H98" t="s">
        <v>12</v>
      </c>
      <c r="I98" t="str">
        <f t="shared" si="4"/>
        <v>Medium Value</v>
      </c>
      <c r="J98" t="str">
        <f t="shared" si="5"/>
        <v>Low Risk</v>
      </c>
      <c r="K98" s="3" t="str">
        <f t="shared" si="3"/>
        <v>4+ Years</v>
      </c>
    </row>
    <row r="99" spans="1:11" x14ac:dyDescent="0.3">
      <c r="A99" t="s">
        <v>116</v>
      </c>
      <c r="B99" t="s">
        <v>14</v>
      </c>
      <c r="C99" t="s">
        <v>10</v>
      </c>
      <c r="D99" t="s">
        <v>16</v>
      </c>
      <c r="E99">
        <v>21.05</v>
      </c>
      <c r="F99">
        <v>5</v>
      </c>
      <c r="G99">
        <v>105.25</v>
      </c>
      <c r="H99" t="s">
        <v>18</v>
      </c>
      <c r="I99" t="str">
        <f t="shared" si="4"/>
        <v>Low Value</v>
      </c>
      <c r="J99" t="str">
        <f t="shared" si="5"/>
        <v>High Risk</v>
      </c>
      <c r="K99" s="3" t="str">
        <f t="shared" si="3"/>
        <v>0-1 Year</v>
      </c>
    </row>
    <row r="100" spans="1:11" x14ac:dyDescent="0.3">
      <c r="A100" t="s">
        <v>117</v>
      </c>
      <c r="B100" t="s">
        <v>14</v>
      </c>
      <c r="C100" t="s">
        <v>30</v>
      </c>
      <c r="D100" t="s">
        <v>20</v>
      </c>
      <c r="E100">
        <v>21</v>
      </c>
      <c r="F100">
        <v>52</v>
      </c>
      <c r="G100">
        <v>1092</v>
      </c>
      <c r="H100" t="s">
        <v>12</v>
      </c>
      <c r="I100" t="str">
        <f t="shared" si="4"/>
        <v>Low Value</v>
      </c>
      <c r="J100" t="str">
        <f t="shared" si="5"/>
        <v>Low Risk</v>
      </c>
      <c r="K100" s="3" t="str">
        <f t="shared" si="3"/>
        <v>4+ Years</v>
      </c>
    </row>
    <row r="101" spans="1:11" x14ac:dyDescent="0.3">
      <c r="A101" t="s">
        <v>118</v>
      </c>
      <c r="B101" t="s">
        <v>9</v>
      </c>
      <c r="C101" t="s">
        <v>10</v>
      </c>
      <c r="D101" t="s">
        <v>11</v>
      </c>
      <c r="E101">
        <v>98.5</v>
      </c>
      <c r="F101">
        <v>25</v>
      </c>
      <c r="G101">
        <v>2462.5</v>
      </c>
      <c r="H101" t="s">
        <v>18</v>
      </c>
      <c r="I101" t="str">
        <f t="shared" si="4"/>
        <v>Medium Value</v>
      </c>
      <c r="J101" t="str">
        <f t="shared" si="5"/>
        <v>Low Risk</v>
      </c>
      <c r="K101" s="3" t="str">
        <f t="shared" si="3"/>
        <v>2-4 Years</v>
      </c>
    </row>
    <row r="102" spans="1:11" x14ac:dyDescent="0.3">
      <c r="A102" t="s">
        <v>119</v>
      </c>
      <c r="B102" t="s">
        <v>14</v>
      </c>
      <c r="C102" t="s">
        <v>10</v>
      </c>
      <c r="D102" t="s">
        <v>16</v>
      </c>
      <c r="E102">
        <v>20.2</v>
      </c>
      <c r="F102">
        <v>1</v>
      </c>
      <c r="G102">
        <v>20.2</v>
      </c>
      <c r="H102" t="s">
        <v>12</v>
      </c>
      <c r="I102" t="str">
        <f t="shared" si="4"/>
        <v>Low Value</v>
      </c>
      <c r="J102" t="str">
        <f t="shared" si="5"/>
        <v>High Risk</v>
      </c>
      <c r="K102" s="3" t="str">
        <f t="shared" si="3"/>
        <v>0-1 Year</v>
      </c>
    </row>
    <row r="103" spans="1:11" x14ac:dyDescent="0.3">
      <c r="A103" t="s">
        <v>120</v>
      </c>
      <c r="B103" t="s">
        <v>9</v>
      </c>
      <c r="C103" t="s">
        <v>10</v>
      </c>
      <c r="D103" t="s">
        <v>11</v>
      </c>
      <c r="E103">
        <v>19.45</v>
      </c>
      <c r="F103">
        <v>1</v>
      </c>
      <c r="G103">
        <v>19.45</v>
      </c>
      <c r="H103" t="s">
        <v>12</v>
      </c>
      <c r="I103" t="str">
        <f t="shared" si="4"/>
        <v>Low Value</v>
      </c>
      <c r="J103" t="str">
        <f t="shared" si="5"/>
        <v>High Risk</v>
      </c>
      <c r="K103" s="3" t="str">
        <f t="shared" si="3"/>
        <v>0-1 Year</v>
      </c>
    </row>
    <row r="104" spans="1:11" x14ac:dyDescent="0.3">
      <c r="A104" t="s">
        <v>121</v>
      </c>
      <c r="B104" t="s">
        <v>14</v>
      </c>
      <c r="C104" t="s">
        <v>15</v>
      </c>
      <c r="D104" t="s">
        <v>20</v>
      </c>
      <c r="E104">
        <v>95</v>
      </c>
      <c r="F104">
        <v>38</v>
      </c>
      <c r="G104">
        <v>3610</v>
      </c>
      <c r="H104" t="s">
        <v>12</v>
      </c>
      <c r="I104" t="str">
        <f t="shared" si="4"/>
        <v>Medium Value</v>
      </c>
      <c r="J104" t="str">
        <f t="shared" si="5"/>
        <v>Low Risk</v>
      </c>
      <c r="K104" s="3" t="str">
        <f t="shared" si="3"/>
        <v>2-4 Years</v>
      </c>
    </row>
    <row r="105" spans="1:11" x14ac:dyDescent="0.3">
      <c r="A105" t="s">
        <v>122</v>
      </c>
      <c r="B105" t="s">
        <v>9</v>
      </c>
      <c r="C105" t="s">
        <v>15</v>
      </c>
      <c r="D105" t="s">
        <v>20</v>
      </c>
      <c r="E105">
        <v>45.55</v>
      </c>
      <c r="F105">
        <v>66</v>
      </c>
      <c r="G105">
        <v>3006.2999999999902</v>
      </c>
      <c r="H105" t="s">
        <v>12</v>
      </c>
      <c r="I105" t="str">
        <f t="shared" si="4"/>
        <v>Medium Value</v>
      </c>
      <c r="J105" t="str">
        <f t="shared" si="5"/>
        <v>Low Risk</v>
      </c>
      <c r="K105" s="3" t="str">
        <f t="shared" si="3"/>
        <v>4+ Years</v>
      </c>
    </row>
    <row r="106" spans="1:11" x14ac:dyDescent="0.3">
      <c r="A106" t="s">
        <v>123</v>
      </c>
      <c r="B106" t="s">
        <v>14</v>
      </c>
      <c r="C106" t="s">
        <v>30</v>
      </c>
      <c r="D106" t="s">
        <v>20</v>
      </c>
      <c r="E106">
        <v>110</v>
      </c>
      <c r="F106">
        <v>68</v>
      </c>
      <c r="G106">
        <v>7480</v>
      </c>
      <c r="H106" t="s">
        <v>18</v>
      </c>
      <c r="I106" t="str">
        <f t="shared" si="4"/>
        <v>High Value</v>
      </c>
      <c r="J106" t="str">
        <f t="shared" si="5"/>
        <v>Low Risk</v>
      </c>
      <c r="K106" s="3" t="str">
        <f t="shared" si="3"/>
        <v>4+ Years</v>
      </c>
    </row>
    <row r="107" spans="1:11" x14ac:dyDescent="0.3">
      <c r="A107" t="s">
        <v>124</v>
      </c>
      <c r="B107" t="s">
        <v>14</v>
      </c>
      <c r="C107" t="s">
        <v>10</v>
      </c>
      <c r="D107" t="s">
        <v>16</v>
      </c>
      <c r="E107">
        <v>24.3</v>
      </c>
      <c r="F107">
        <v>5</v>
      </c>
      <c r="G107">
        <v>121.5</v>
      </c>
      <c r="H107" t="s">
        <v>12</v>
      </c>
      <c r="I107" t="str">
        <f t="shared" si="4"/>
        <v>Low Value</v>
      </c>
      <c r="J107" t="str">
        <f t="shared" si="5"/>
        <v>High Risk</v>
      </c>
      <c r="K107" s="3" t="str">
        <f t="shared" si="3"/>
        <v>0-1 Year</v>
      </c>
    </row>
    <row r="108" spans="1:11" x14ac:dyDescent="0.3">
      <c r="A108" t="s">
        <v>125</v>
      </c>
      <c r="B108" t="s">
        <v>9</v>
      </c>
      <c r="C108" t="s">
        <v>15</v>
      </c>
      <c r="D108" t="s">
        <v>11</v>
      </c>
      <c r="E108">
        <v>104.15</v>
      </c>
      <c r="F108">
        <v>72</v>
      </c>
      <c r="G108">
        <v>7498.8</v>
      </c>
      <c r="H108" t="s">
        <v>12</v>
      </c>
      <c r="I108" t="str">
        <f t="shared" si="4"/>
        <v>High Value</v>
      </c>
      <c r="J108" t="str">
        <f t="shared" si="5"/>
        <v>Low Risk</v>
      </c>
      <c r="K108" s="3" t="str">
        <f t="shared" si="3"/>
        <v>4+ Years</v>
      </c>
    </row>
    <row r="109" spans="1:11" x14ac:dyDescent="0.3">
      <c r="A109" t="s">
        <v>126</v>
      </c>
      <c r="B109" t="s">
        <v>9</v>
      </c>
      <c r="C109" t="s">
        <v>15</v>
      </c>
      <c r="D109" t="s">
        <v>16</v>
      </c>
      <c r="E109">
        <v>30.15</v>
      </c>
      <c r="F109">
        <v>32</v>
      </c>
      <c r="G109">
        <v>964.8</v>
      </c>
      <c r="H109" t="s">
        <v>12</v>
      </c>
      <c r="I109" t="str">
        <f t="shared" si="4"/>
        <v>Low Value</v>
      </c>
      <c r="J109" t="str">
        <f t="shared" si="5"/>
        <v>Low Risk</v>
      </c>
      <c r="K109" s="3" t="str">
        <f t="shared" si="3"/>
        <v>2-4 Years</v>
      </c>
    </row>
    <row r="110" spans="1:11" x14ac:dyDescent="0.3">
      <c r="A110" t="s">
        <v>127</v>
      </c>
      <c r="B110" t="s">
        <v>14</v>
      </c>
      <c r="C110" t="s">
        <v>15</v>
      </c>
      <c r="D110" t="s">
        <v>16</v>
      </c>
      <c r="E110">
        <v>94.35</v>
      </c>
      <c r="F110">
        <v>43</v>
      </c>
      <c r="G110">
        <v>4057.0499999999902</v>
      </c>
      <c r="H110" t="s">
        <v>12</v>
      </c>
      <c r="I110" t="str">
        <f t="shared" si="4"/>
        <v>Medium Value</v>
      </c>
      <c r="J110" t="str">
        <f t="shared" si="5"/>
        <v>Low Risk</v>
      </c>
      <c r="K110" s="3" t="str">
        <f t="shared" si="3"/>
        <v>2-4 Years</v>
      </c>
    </row>
    <row r="111" spans="1:11" x14ac:dyDescent="0.3">
      <c r="A111" t="s">
        <v>128</v>
      </c>
      <c r="B111" t="s">
        <v>14</v>
      </c>
      <c r="C111" t="s">
        <v>30</v>
      </c>
      <c r="D111" t="s">
        <v>24</v>
      </c>
      <c r="E111">
        <v>19.399999999999999</v>
      </c>
      <c r="F111">
        <v>72</v>
      </c>
      <c r="G111">
        <v>1396.8</v>
      </c>
      <c r="H111" t="s">
        <v>12</v>
      </c>
      <c r="I111" t="str">
        <f t="shared" si="4"/>
        <v>Low Value</v>
      </c>
      <c r="J111" t="str">
        <f t="shared" si="5"/>
        <v>Low Risk</v>
      </c>
      <c r="K111" s="3" t="str">
        <f t="shared" si="3"/>
        <v>4+ Years</v>
      </c>
    </row>
    <row r="112" spans="1:11" x14ac:dyDescent="0.3">
      <c r="A112" t="s">
        <v>129</v>
      </c>
      <c r="B112" t="s">
        <v>14</v>
      </c>
      <c r="C112" t="s">
        <v>10</v>
      </c>
      <c r="D112" t="s">
        <v>11</v>
      </c>
      <c r="E112">
        <v>96.75</v>
      </c>
      <c r="F112">
        <v>55</v>
      </c>
      <c r="G112">
        <v>5321.25</v>
      </c>
      <c r="H112" t="s">
        <v>18</v>
      </c>
      <c r="I112" t="str">
        <f t="shared" si="4"/>
        <v>High Value</v>
      </c>
      <c r="J112" t="str">
        <f t="shared" si="5"/>
        <v>Low Risk</v>
      </c>
      <c r="K112" s="3" t="str">
        <f t="shared" si="3"/>
        <v>4+ Years</v>
      </c>
    </row>
    <row r="113" spans="1:11" x14ac:dyDescent="0.3">
      <c r="A113" t="s">
        <v>130</v>
      </c>
      <c r="B113" t="s">
        <v>9</v>
      </c>
      <c r="C113" t="s">
        <v>15</v>
      </c>
      <c r="D113" t="s">
        <v>24</v>
      </c>
      <c r="E113">
        <v>57.95</v>
      </c>
      <c r="F113">
        <v>52</v>
      </c>
      <c r="G113">
        <v>3013.4</v>
      </c>
      <c r="H113" t="s">
        <v>12</v>
      </c>
      <c r="I113" t="str">
        <f t="shared" si="4"/>
        <v>Medium Value</v>
      </c>
      <c r="J113" t="str">
        <f t="shared" si="5"/>
        <v>Low Risk</v>
      </c>
      <c r="K113" s="3" t="str">
        <f t="shared" si="3"/>
        <v>4+ Years</v>
      </c>
    </row>
    <row r="114" spans="1:11" x14ac:dyDescent="0.3">
      <c r="A114" t="s">
        <v>131</v>
      </c>
      <c r="B114" t="s">
        <v>9</v>
      </c>
      <c r="C114" t="s">
        <v>10</v>
      </c>
      <c r="D114" t="s">
        <v>11</v>
      </c>
      <c r="E114">
        <v>91.65</v>
      </c>
      <c r="F114">
        <v>43</v>
      </c>
      <c r="G114">
        <v>3940.95</v>
      </c>
      <c r="H114" t="s">
        <v>12</v>
      </c>
      <c r="I114" t="str">
        <f t="shared" si="4"/>
        <v>Medium Value</v>
      </c>
      <c r="J114" t="str">
        <f t="shared" si="5"/>
        <v>Low Risk</v>
      </c>
      <c r="K114" s="3" t="str">
        <f t="shared" si="3"/>
        <v>2-4 Years</v>
      </c>
    </row>
    <row r="115" spans="1:11" x14ac:dyDescent="0.3">
      <c r="A115" t="s">
        <v>132</v>
      </c>
      <c r="B115" t="s">
        <v>9</v>
      </c>
      <c r="C115" t="s">
        <v>10</v>
      </c>
      <c r="D115" t="s">
        <v>11</v>
      </c>
      <c r="E115">
        <v>76.5</v>
      </c>
      <c r="F115">
        <v>37</v>
      </c>
      <c r="G115">
        <v>2830.5</v>
      </c>
      <c r="H115" t="s">
        <v>18</v>
      </c>
      <c r="I115" t="str">
        <f t="shared" si="4"/>
        <v>Medium Value</v>
      </c>
      <c r="J115" t="str">
        <f t="shared" si="5"/>
        <v>Low Risk</v>
      </c>
      <c r="K115" s="3" t="str">
        <f t="shared" si="3"/>
        <v>2-4 Years</v>
      </c>
    </row>
    <row r="116" spans="1:11" x14ac:dyDescent="0.3">
      <c r="A116" t="s">
        <v>133</v>
      </c>
      <c r="B116" t="s">
        <v>9</v>
      </c>
      <c r="C116" t="s">
        <v>30</v>
      </c>
      <c r="D116" t="s">
        <v>11</v>
      </c>
      <c r="E116">
        <v>54.6</v>
      </c>
      <c r="F116">
        <v>64</v>
      </c>
      <c r="G116">
        <v>3494.4</v>
      </c>
      <c r="H116" t="s">
        <v>12</v>
      </c>
      <c r="I116" t="str">
        <f t="shared" si="4"/>
        <v>Medium Value</v>
      </c>
      <c r="J116" t="str">
        <f t="shared" si="5"/>
        <v>Low Risk</v>
      </c>
      <c r="K116" s="3" t="str">
        <f t="shared" si="3"/>
        <v>4+ Years</v>
      </c>
    </row>
    <row r="117" spans="1:11" x14ac:dyDescent="0.3">
      <c r="A117" t="s">
        <v>134</v>
      </c>
      <c r="B117" t="s">
        <v>14</v>
      </c>
      <c r="C117" t="s">
        <v>10</v>
      </c>
      <c r="D117" t="s">
        <v>11</v>
      </c>
      <c r="E117">
        <v>89.85</v>
      </c>
      <c r="F117">
        <v>3</v>
      </c>
      <c r="G117">
        <v>269.54999999999899</v>
      </c>
      <c r="H117" t="s">
        <v>12</v>
      </c>
      <c r="I117" t="str">
        <f t="shared" si="4"/>
        <v>Low Value</v>
      </c>
      <c r="J117" t="str">
        <f t="shared" si="5"/>
        <v>High Risk</v>
      </c>
      <c r="K117" s="3" t="str">
        <f t="shared" si="3"/>
        <v>0-1 Year</v>
      </c>
    </row>
    <row r="118" spans="1:11" x14ac:dyDescent="0.3">
      <c r="A118" t="s">
        <v>135</v>
      </c>
      <c r="B118" t="s">
        <v>9</v>
      </c>
      <c r="C118" t="s">
        <v>30</v>
      </c>
      <c r="D118" t="s">
        <v>20</v>
      </c>
      <c r="E118">
        <v>31.05</v>
      </c>
      <c r="F118">
        <v>36</v>
      </c>
      <c r="G118">
        <v>1117.8</v>
      </c>
      <c r="H118" t="s">
        <v>12</v>
      </c>
      <c r="I118" t="str">
        <f t="shared" si="4"/>
        <v>Low Value</v>
      </c>
      <c r="J118" t="str">
        <f t="shared" si="5"/>
        <v>Low Risk</v>
      </c>
      <c r="K118" s="3" t="str">
        <f t="shared" si="3"/>
        <v>2-4 Years</v>
      </c>
    </row>
    <row r="119" spans="1:11" x14ac:dyDescent="0.3">
      <c r="A119" t="s">
        <v>136</v>
      </c>
      <c r="B119" t="s">
        <v>9</v>
      </c>
      <c r="C119" t="s">
        <v>10</v>
      </c>
      <c r="D119" t="s">
        <v>11</v>
      </c>
      <c r="E119">
        <v>100.25</v>
      </c>
      <c r="F119">
        <v>10</v>
      </c>
      <c r="G119">
        <v>1002.5</v>
      </c>
      <c r="H119" t="s">
        <v>18</v>
      </c>
      <c r="I119" t="str">
        <f t="shared" si="4"/>
        <v>Low Value</v>
      </c>
      <c r="J119" t="str">
        <f t="shared" si="5"/>
        <v>High Risk</v>
      </c>
      <c r="K119" s="3" t="str">
        <f t="shared" si="3"/>
        <v>0-1 Year</v>
      </c>
    </row>
    <row r="120" spans="1:11" x14ac:dyDescent="0.3">
      <c r="A120" t="s">
        <v>137</v>
      </c>
      <c r="B120" t="s">
        <v>9</v>
      </c>
      <c r="C120" t="s">
        <v>30</v>
      </c>
      <c r="D120" t="s">
        <v>16</v>
      </c>
      <c r="E120">
        <v>20.65</v>
      </c>
      <c r="F120">
        <v>41</v>
      </c>
      <c r="G120">
        <v>846.65</v>
      </c>
      <c r="H120" t="s">
        <v>12</v>
      </c>
      <c r="I120" t="str">
        <f t="shared" si="4"/>
        <v>Low Value</v>
      </c>
      <c r="J120" t="str">
        <f t="shared" si="5"/>
        <v>Low Risk</v>
      </c>
      <c r="K120" s="3" t="str">
        <f t="shared" si="3"/>
        <v>2-4 Years</v>
      </c>
    </row>
    <row r="121" spans="1:11" x14ac:dyDescent="0.3">
      <c r="A121" t="s">
        <v>138</v>
      </c>
      <c r="B121" t="s">
        <v>14</v>
      </c>
      <c r="C121" t="s">
        <v>10</v>
      </c>
      <c r="D121" t="s">
        <v>24</v>
      </c>
      <c r="E121">
        <v>85.2</v>
      </c>
      <c r="F121">
        <v>27</v>
      </c>
      <c r="G121">
        <v>2300.4</v>
      </c>
      <c r="H121" t="s">
        <v>12</v>
      </c>
      <c r="I121" t="str">
        <f t="shared" si="4"/>
        <v>Medium Value</v>
      </c>
      <c r="J121" t="str">
        <f t="shared" si="5"/>
        <v>Low Risk</v>
      </c>
      <c r="K121" s="3" t="str">
        <f t="shared" si="3"/>
        <v>2-4 Years</v>
      </c>
    </row>
    <row r="122" spans="1:11" x14ac:dyDescent="0.3">
      <c r="A122" t="s">
        <v>139</v>
      </c>
      <c r="B122" t="s">
        <v>9</v>
      </c>
      <c r="C122" t="s">
        <v>15</v>
      </c>
      <c r="D122" t="s">
        <v>24</v>
      </c>
      <c r="E122">
        <v>99.8</v>
      </c>
      <c r="F122">
        <v>56</v>
      </c>
      <c r="G122">
        <v>5588.8</v>
      </c>
      <c r="H122" t="s">
        <v>12</v>
      </c>
      <c r="I122" t="str">
        <f t="shared" si="4"/>
        <v>High Value</v>
      </c>
      <c r="J122" t="str">
        <f t="shared" si="5"/>
        <v>Low Risk</v>
      </c>
      <c r="K122" s="3" t="str">
        <f t="shared" si="3"/>
        <v>4+ Years</v>
      </c>
    </row>
    <row r="123" spans="1:11" x14ac:dyDescent="0.3">
      <c r="A123" t="s">
        <v>140</v>
      </c>
      <c r="B123" t="s">
        <v>9</v>
      </c>
      <c r="C123" t="s">
        <v>10</v>
      </c>
      <c r="D123" t="s">
        <v>16</v>
      </c>
      <c r="E123">
        <v>20.7</v>
      </c>
      <c r="F123">
        <v>6</v>
      </c>
      <c r="G123">
        <v>124.19999999999899</v>
      </c>
      <c r="H123" t="s">
        <v>12</v>
      </c>
      <c r="I123" t="str">
        <f t="shared" si="4"/>
        <v>Low Value</v>
      </c>
      <c r="J123" t="str">
        <f t="shared" si="5"/>
        <v>High Risk</v>
      </c>
      <c r="K123" s="3" t="str">
        <f t="shared" si="3"/>
        <v>0-1 Year</v>
      </c>
    </row>
    <row r="124" spans="1:11" x14ac:dyDescent="0.3">
      <c r="A124" t="s">
        <v>141</v>
      </c>
      <c r="B124" t="s">
        <v>14</v>
      </c>
      <c r="C124" t="s">
        <v>10</v>
      </c>
      <c r="D124" t="s">
        <v>11</v>
      </c>
      <c r="E124">
        <v>74.400000000000006</v>
      </c>
      <c r="F124">
        <v>3</v>
      </c>
      <c r="G124">
        <v>223.2</v>
      </c>
      <c r="H124" t="s">
        <v>18</v>
      </c>
      <c r="I124" t="str">
        <f t="shared" si="4"/>
        <v>Low Value</v>
      </c>
      <c r="J124" t="str">
        <f t="shared" si="5"/>
        <v>High Risk</v>
      </c>
      <c r="K124" s="3" t="str">
        <f t="shared" si="3"/>
        <v>0-1 Year</v>
      </c>
    </row>
    <row r="125" spans="1:11" x14ac:dyDescent="0.3">
      <c r="A125" t="s">
        <v>142</v>
      </c>
      <c r="B125" t="s">
        <v>9</v>
      </c>
      <c r="C125" t="s">
        <v>10</v>
      </c>
      <c r="D125" t="s">
        <v>16</v>
      </c>
      <c r="E125">
        <v>50.7</v>
      </c>
      <c r="F125">
        <v>7</v>
      </c>
      <c r="G125">
        <v>354.9</v>
      </c>
      <c r="H125" t="s">
        <v>12</v>
      </c>
      <c r="I125" t="str">
        <f t="shared" si="4"/>
        <v>Low Value</v>
      </c>
      <c r="J125" t="str">
        <f t="shared" si="5"/>
        <v>High Risk</v>
      </c>
      <c r="K125" s="3" t="str">
        <f t="shared" si="3"/>
        <v>0-1 Year</v>
      </c>
    </row>
    <row r="126" spans="1:11" x14ac:dyDescent="0.3">
      <c r="A126" t="s">
        <v>143</v>
      </c>
      <c r="B126" t="s">
        <v>9</v>
      </c>
      <c r="C126" t="s">
        <v>10</v>
      </c>
      <c r="D126" t="s">
        <v>16</v>
      </c>
      <c r="E126">
        <v>20.85</v>
      </c>
      <c r="F126">
        <v>4</v>
      </c>
      <c r="G126">
        <v>83.4</v>
      </c>
      <c r="H126" t="s">
        <v>12</v>
      </c>
      <c r="I126" t="str">
        <f t="shared" si="4"/>
        <v>Low Value</v>
      </c>
      <c r="J126" t="str">
        <f t="shared" si="5"/>
        <v>High Risk</v>
      </c>
      <c r="K126" s="3" t="str">
        <f t="shared" si="3"/>
        <v>0-1 Year</v>
      </c>
    </row>
    <row r="127" spans="1:11" x14ac:dyDescent="0.3">
      <c r="A127" t="s">
        <v>144</v>
      </c>
      <c r="B127" t="s">
        <v>14</v>
      </c>
      <c r="C127" t="s">
        <v>30</v>
      </c>
      <c r="D127" t="s">
        <v>11</v>
      </c>
      <c r="E127">
        <v>88.95</v>
      </c>
      <c r="F127">
        <v>33</v>
      </c>
      <c r="G127">
        <v>2935.35</v>
      </c>
      <c r="H127" t="s">
        <v>12</v>
      </c>
      <c r="I127" t="str">
        <f t="shared" si="4"/>
        <v>Medium Value</v>
      </c>
      <c r="J127" t="str">
        <f t="shared" si="5"/>
        <v>Low Risk</v>
      </c>
      <c r="K127" s="3" t="str">
        <f t="shared" si="3"/>
        <v>2-4 Years</v>
      </c>
    </row>
    <row r="128" spans="1:11" x14ac:dyDescent="0.3">
      <c r="A128" t="s">
        <v>145</v>
      </c>
      <c r="B128" t="s">
        <v>9</v>
      </c>
      <c r="C128" t="s">
        <v>10</v>
      </c>
      <c r="D128" t="s">
        <v>11</v>
      </c>
      <c r="E128">
        <v>78.05</v>
      </c>
      <c r="F128">
        <v>27</v>
      </c>
      <c r="G128">
        <v>2107.35</v>
      </c>
      <c r="H128" t="s">
        <v>18</v>
      </c>
      <c r="I128" t="str">
        <f t="shared" si="4"/>
        <v>Medium Value</v>
      </c>
      <c r="J128" t="str">
        <f t="shared" si="5"/>
        <v>Low Risk</v>
      </c>
      <c r="K128" s="3" t="str">
        <f t="shared" si="3"/>
        <v>2-4 Years</v>
      </c>
    </row>
    <row r="129" spans="1:11" x14ac:dyDescent="0.3">
      <c r="A129" t="s">
        <v>146</v>
      </c>
      <c r="B129" t="s">
        <v>14</v>
      </c>
      <c r="C129" t="s">
        <v>30</v>
      </c>
      <c r="D129" t="s">
        <v>20</v>
      </c>
      <c r="E129">
        <v>23.55</v>
      </c>
      <c r="F129">
        <v>72</v>
      </c>
      <c r="G129">
        <v>1695.6</v>
      </c>
      <c r="H129" t="s">
        <v>12</v>
      </c>
      <c r="I129" t="str">
        <f t="shared" si="4"/>
        <v>Low Value</v>
      </c>
      <c r="J129" t="str">
        <f t="shared" si="5"/>
        <v>Low Risk</v>
      </c>
      <c r="K129" s="3" t="str">
        <f t="shared" si="3"/>
        <v>4+ Years</v>
      </c>
    </row>
    <row r="130" spans="1:11" x14ac:dyDescent="0.3">
      <c r="A130" t="s">
        <v>147</v>
      </c>
      <c r="B130" t="s">
        <v>14</v>
      </c>
      <c r="C130" t="s">
        <v>10</v>
      </c>
      <c r="D130" t="s">
        <v>16</v>
      </c>
      <c r="E130">
        <v>19.75</v>
      </c>
      <c r="F130">
        <v>1</v>
      </c>
      <c r="G130">
        <v>19.75</v>
      </c>
      <c r="H130" t="s">
        <v>12</v>
      </c>
      <c r="I130" t="str">
        <f t="shared" si="4"/>
        <v>Low Value</v>
      </c>
      <c r="J130" t="str">
        <f t="shared" si="5"/>
        <v>High Risk</v>
      </c>
      <c r="K130" s="3" t="str">
        <f t="shared" si="3"/>
        <v>0-1 Year</v>
      </c>
    </row>
    <row r="131" spans="1:11" x14ac:dyDescent="0.3">
      <c r="A131" t="s">
        <v>148</v>
      </c>
      <c r="B131" t="s">
        <v>14</v>
      </c>
      <c r="C131" t="s">
        <v>15</v>
      </c>
      <c r="D131" t="s">
        <v>11</v>
      </c>
      <c r="E131">
        <v>56.45</v>
      </c>
      <c r="F131">
        <v>71</v>
      </c>
      <c r="G131">
        <v>4007.95</v>
      </c>
      <c r="H131" t="s">
        <v>12</v>
      </c>
      <c r="I131" t="str">
        <f t="shared" si="4"/>
        <v>Medium Value</v>
      </c>
      <c r="J131" t="str">
        <f t="shared" si="5"/>
        <v>Low Risk</v>
      </c>
      <c r="K131" s="3" t="str">
        <f t="shared" ref="K131:K194" si="6">IF(F131&lt;=12,"0-1 Year",
IF(F131&lt;=24,"1-2 Years",
IF(F131&lt;=48,"2-4 Years","4+ Years")))</f>
        <v>4+ Years</v>
      </c>
    </row>
    <row r="132" spans="1:11" x14ac:dyDescent="0.3">
      <c r="A132" t="s">
        <v>149</v>
      </c>
      <c r="B132" t="s">
        <v>9</v>
      </c>
      <c r="C132" t="s">
        <v>10</v>
      </c>
      <c r="D132" t="s">
        <v>11</v>
      </c>
      <c r="E132">
        <v>85.95</v>
      </c>
      <c r="F132">
        <v>13</v>
      </c>
      <c r="G132">
        <v>1117.3499999999999</v>
      </c>
      <c r="H132" t="s">
        <v>12</v>
      </c>
      <c r="I132" t="str">
        <f t="shared" ref="I132:I195" si="7">IF(G132&gt;5000,"High Value",
IF(G132&gt;2000,"Medium Value","Low Value"))</f>
        <v>Low Value</v>
      </c>
      <c r="J132" t="str">
        <f t="shared" ref="J132:J195" si="8">IF(F132&lt;12,"High Risk",
IF(F132&lt;24,"Medium Risk","Low Risk"))</f>
        <v>Medium Risk</v>
      </c>
      <c r="K132" s="3" t="str">
        <f t="shared" si="6"/>
        <v>1-2 Years</v>
      </c>
    </row>
    <row r="133" spans="1:11" x14ac:dyDescent="0.3">
      <c r="A133" t="s">
        <v>150</v>
      </c>
      <c r="B133" t="s">
        <v>9</v>
      </c>
      <c r="C133" t="s">
        <v>10</v>
      </c>
      <c r="D133" t="s">
        <v>24</v>
      </c>
      <c r="E133">
        <v>58.6</v>
      </c>
      <c r="F133">
        <v>25</v>
      </c>
      <c r="G133">
        <v>1465</v>
      </c>
      <c r="H133" t="s">
        <v>18</v>
      </c>
      <c r="I133" t="str">
        <f t="shared" si="7"/>
        <v>Low Value</v>
      </c>
      <c r="J133" t="str">
        <f t="shared" si="8"/>
        <v>Low Risk</v>
      </c>
      <c r="K133" s="3" t="str">
        <f t="shared" si="6"/>
        <v>2-4 Years</v>
      </c>
    </row>
    <row r="134" spans="1:11" x14ac:dyDescent="0.3">
      <c r="A134" t="s">
        <v>151</v>
      </c>
      <c r="B134" t="s">
        <v>14</v>
      </c>
      <c r="C134" t="s">
        <v>30</v>
      </c>
      <c r="D134" t="s">
        <v>20</v>
      </c>
      <c r="E134">
        <v>50.55</v>
      </c>
      <c r="F134">
        <v>67</v>
      </c>
      <c r="G134">
        <v>3386.85</v>
      </c>
      <c r="H134" t="s">
        <v>12</v>
      </c>
      <c r="I134" t="str">
        <f t="shared" si="7"/>
        <v>Medium Value</v>
      </c>
      <c r="J134" t="str">
        <f t="shared" si="8"/>
        <v>Low Risk</v>
      </c>
      <c r="K134" s="3" t="str">
        <f t="shared" si="6"/>
        <v>4+ Years</v>
      </c>
    </row>
    <row r="135" spans="1:11" x14ac:dyDescent="0.3">
      <c r="A135" t="s">
        <v>152</v>
      </c>
      <c r="B135" t="s">
        <v>14</v>
      </c>
      <c r="C135" t="s">
        <v>10</v>
      </c>
      <c r="D135" t="s">
        <v>11</v>
      </c>
      <c r="E135">
        <v>35.450000000000003</v>
      </c>
      <c r="F135">
        <v>1</v>
      </c>
      <c r="G135">
        <v>35.450000000000003</v>
      </c>
      <c r="H135" t="s">
        <v>18</v>
      </c>
      <c r="I135" t="str">
        <f t="shared" si="7"/>
        <v>Low Value</v>
      </c>
      <c r="J135" t="str">
        <f t="shared" si="8"/>
        <v>High Risk</v>
      </c>
      <c r="K135" s="3" t="str">
        <f t="shared" si="6"/>
        <v>0-1 Year</v>
      </c>
    </row>
    <row r="136" spans="1:11" x14ac:dyDescent="0.3">
      <c r="A136" t="s">
        <v>153</v>
      </c>
      <c r="B136" t="s">
        <v>14</v>
      </c>
      <c r="C136" t="s">
        <v>10</v>
      </c>
      <c r="D136" t="s">
        <v>11</v>
      </c>
      <c r="E136">
        <v>44.35</v>
      </c>
      <c r="F136">
        <v>2</v>
      </c>
      <c r="G136">
        <v>88.7</v>
      </c>
      <c r="H136" t="s">
        <v>18</v>
      </c>
      <c r="I136" t="str">
        <f t="shared" si="7"/>
        <v>Low Value</v>
      </c>
      <c r="J136" t="str">
        <f t="shared" si="8"/>
        <v>High Risk</v>
      </c>
      <c r="K136" s="3" t="str">
        <f t="shared" si="6"/>
        <v>0-1 Year</v>
      </c>
    </row>
    <row r="137" spans="1:11" x14ac:dyDescent="0.3">
      <c r="A137" t="s">
        <v>154</v>
      </c>
      <c r="B137" t="s">
        <v>9</v>
      </c>
      <c r="C137" t="s">
        <v>30</v>
      </c>
      <c r="D137" t="s">
        <v>24</v>
      </c>
      <c r="E137">
        <v>25.7</v>
      </c>
      <c r="F137">
        <v>43</v>
      </c>
      <c r="G137">
        <v>1105.0999999999999</v>
      </c>
      <c r="H137" t="s">
        <v>12</v>
      </c>
      <c r="I137" t="str">
        <f t="shared" si="7"/>
        <v>Low Value</v>
      </c>
      <c r="J137" t="str">
        <f t="shared" si="8"/>
        <v>Low Risk</v>
      </c>
      <c r="K137" s="3" t="str">
        <f t="shared" si="6"/>
        <v>2-4 Years</v>
      </c>
    </row>
    <row r="138" spans="1:11" x14ac:dyDescent="0.3">
      <c r="A138" t="s">
        <v>155</v>
      </c>
      <c r="B138" t="s">
        <v>9</v>
      </c>
      <c r="C138" t="s">
        <v>10</v>
      </c>
      <c r="D138" t="s">
        <v>20</v>
      </c>
      <c r="E138">
        <v>75</v>
      </c>
      <c r="F138">
        <v>23</v>
      </c>
      <c r="G138">
        <v>1725</v>
      </c>
      <c r="H138" t="s">
        <v>12</v>
      </c>
      <c r="I138" t="str">
        <f t="shared" si="7"/>
        <v>Low Value</v>
      </c>
      <c r="J138" t="str">
        <f t="shared" si="8"/>
        <v>Medium Risk</v>
      </c>
      <c r="K138" s="3" t="str">
        <f t="shared" si="6"/>
        <v>1-2 Years</v>
      </c>
    </row>
    <row r="139" spans="1:11" x14ac:dyDescent="0.3">
      <c r="A139" t="s">
        <v>156</v>
      </c>
      <c r="B139" t="s">
        <v>9</v>
      </c>
      <c r="C139" t="s">
        <v>30</v>
      </c>
      <c r="D139" t="s">
        <v>16</v>
      </c>
      <c r="E139">
        <v>20.2</v>
      </c>
      <c r="F139">
        <v>64</v>
      </c>
      <c r="G139">
        <v>1292.8</v>
      </c>
      <c r="H139" t="s">
        <v>12</v>
      </c>
      <c r="I139" t="str">
        <f t="shared" si="7"/>
        <v>Low Value</v>
      </c>
      <c r="J139" t="str">
        <f t="shared" si="8"/>
        <v>Low Risk</v>
      </c>
      <c r="K139" s="3" t="str">
        <f t="shared" si="6"/>
        <v>4+ Years</v>
      </c>
    </row>
    <row r="140" spans="1:11" x14ac:dyDescent="0.3">
      <c r="A140" t="s">
        <v>157</v>
      </c>
      <c r="B140" t="s">
        <v>14</v>
      </c>
      <c r="C140" t="s">
        <v>30</v>
      </c>
      <c r="D140" t="s">
        <v>16</v>
      </c>
      <c r="E140">
        <v>19.600000000000001</v>
      </c>
      <c r="F140">
        <v>57</v>
      </c>
      <c r="G140">
        <v>1117.2</v>
      </c>
      <c r="H140" t="s">
        <v>12</v>
      </c>
      <c r="I140" t="str">
        <f t="shared" si="7"/>
        <v>Low Value</v>
      </c>
      <c r="J140" t="str">
        <f t="shared" si="8"/>
        <v>Low Risk</v>
      </c>
      <c r="K140" s="3" t="str">
        <f t="shared" si="6"/>
        <v>4+ Years</v>
      </c>
    </row>
    <row r="141" spans="1:11" x14ac:dyDescent="0.3">
      <c r="A141" t="s">
        <v>158</v>
      </c>
      <c r="B141" t="s">
        <v>9</v>
      </c>
      <c r="C141" t="s">
        <v>10</v>
      </c>
      <c r="D141" t="s">
        <v>16</v>
      </c>
      <c r="E141">
        <v>70.45</v>
      </c>
      <c r="F141">
        <v>1</v>
      </c>
      <c r="G141">
        <v>70.45</v>
      </c>
      <c r="H141" t="s">
        <v>18</v>
      </c>
      <c r="I141" t="str">
        <f t="shared" si="7"/>
        <v>Low Value</v>
      </c>
      <c r="J141" t="str">
        <f t="shared" si="8"/>
        <v>High Risk</v>
      </c>
      <c r="K141" s="3" t="str">
        <f t="shared" si="6"/>
        <v>0-1 Year</v>
      </c>
    </row>
    <row r="142" spans="1:11" x14ac:dyDescent="0.3">
      <c r="A142" t="s">
        <v>159</v>
      </c>
      <c r="B142" t="s">
        <v>9</v>
      </c>
      <c r="C142" t="s">
        <v>30</v>
      </c>
      <c r="D142" t="s">
        <v>24</v>
      </c>
      <c r="E142">
        <v>88.05</v>
      </c>
      <c r="F142">
        <v>72</v>
      </c>
      <c r="G142">
        <v>6339.5999999999904</v>
      </c>
      <c r="H142" t="s">
        <v>12</v>
      </c>
      <c r="I142" t="str">
        <f t="shared" si="7"/>
        <v>High Value</v>
      </c>
      <c r="J142" t="str">
        <f t="shared" si="8"/>
        <v>Low Risk</v>
      </c>
      <c r="K142" s="3" t="str">
        <f t="shared" si="6"/>
        <v>4+ Years</v>
      </c>
    </row>
    <row r="143" spans="1:11" x14ac:dyDescent="0.3">
      <c r="A143" t="s">
        <v>160</v>
      </c>
      <c r="B143" t="s">
        <v>9</v>
      </c>
      <c r="C143" t="s">
        <v>10</v>
      </c>
      <c r="D143" t="s">
        <v>11</v>
      </c>
      <c r="E143">
        <v>71.150000000000006</v>
      </c>
      <c r="F143">
        <v>8</v>
      </c>
      <c r="G143">
        <v>569.20000000000005</v>
      </c>
      <c r="H143" t="s">
        <v>18</v>
      </c>
      <c r="I143" t="str">
        <f t="shared" si="7"/>
        <v>Low Value</v>
      </c>
      <c r="J143" t="str">
        <f t="shared" si="8"/>
        <v>High Risk</v>
      </c>
      <c r="K143" s="3" t="str">
        <f t="shared" si="6"/>
        <v>0-1 Year</v>
      </c>
    </row>
    <row r="144" spans="1:11" x14ac:dyDescent="0.3">
      <c r="A144" t="s">
        <v>161</v>
      </c>
      <c r="B144" t="s">
        <v>9</v>
      </c>
      <c r="C144" t="s">
        <v>30</v>
      </c>
      <c r="D144" t="s">
        <v>20</v>
      </c>
      <c r="E144">
        <v>101.05</v>
      </c>
      <c r="F144">
        <v>61</v>
      </c>
      <c r="G144">
        <v>6164.05</v>
      </c>
      <c r="H144" t="s">
        <v>12</v>
      </c>
      <c r="I144" t="str">
        <f t="shared" si="7"/>
        <v>High Value</v>
      </c>
      <c r="J144" t="str">
        <f t="shared" si="8"/>
        <v>Low Risk</v>
      </c>
      <c r="K144" s="3" t="str">
        <f t="shared" si="6"/>
        <v>4+ Years</v>
      </c>
    </row>
    <row r="145" spans="1:11" x14ac:dyDescent="0.3">
      <c r="A145" t="s">
        <v>162</v>
      </c>
      <c r="B145" t="s">
        <v>14</v>
      </c>
      <c r="C145" t="s">
        <v>15</v>
      </c>
      <c r="D145" t="s">
        <v>24</v>
      </c>
      <c r="E145">
        <v>84.3</v>
      </c>
      <c r="F145">
        <v>64</v>
      </c>
      <c r="G145">
        <v>5395.2</v>
      </c>
      <c r="H145" t="s">
        <v>12</v>
      </c>
      <c r="I145" t="str">
        <f t="shared" si="7"/>
        <v>High Value</v>
      </c>
      <c r="J145" t="str">
        <f t="shared" si="8"/>
        <v>Low Risk</v>
      </c>
      <c r="K145" s="3" t="str">
        <f t="shared" si="6"/>
        <v>4+ Years</v>
      </c>
    </row>
    <row r="146" spans="1:11" x14ac:dyDescent="0.3">
      <c r="A146" t="s">
        <v>163</v>
      </c>
      <c r="B146" t="s">
        <v>14</v>
      </c>
      <c r="C146" t="s">
        <v>30</v>
      </c>
      <c r="D146" t="s">
        <v>20</v>
      </c>
      <c r="E146">
        <v>23.95</v>
      </c>
      <c r="F146">
        <v>71</v>
      </c>
      <c r="G146">
        <v>1700.45</v>
      </c>
      <c r="H146" t="s">
        <v>12</v>
      </c>
      <c r="I146" t="str">
        <f t="shared" si="7"/>
        <v>Low Value</v>
      </c>
      <c r="J146" t="str">
        <f t="shared" si="8"/>
        <v>Low Risk</v>
      </c>
      <c r="K146" s="3" t="str">
        <f t="shared" si="6"/>
        <v>4+ Years</v>
      </c>
    </row>
    <row r="147" spans="1:11" x14ac:dyDescent="0.3">
      <c r="A147" t="s">
        <v>164</v>
      </c>
      <c r="B147" t="s">
        <v>9</v>
      </c>
      <c r="C147" t="s">
        <v>30</v>
      </c>
      <c r="D147" t="s">
        <v>24</v>
      </c>
      <c r="E147">
        <v>99.05</v>
      </c>
      <c r="F147">
        <v>65</v>
      </c>
      <c r="G147">
        <v>6438.25</v>
      </c>
      <c r="H147" t="s">
        <v>12</v>
      </c>
      <c r="I147" t="str">
        <f t="shared" si="7"/>
        <v>High Value</v>
      </c>
      <c r="J147" t="str">
        <f t="shared" si="8"/>
        <v>Low Risk</v>
      </c>
      <c r="K147" s="3" t="str">
        <f t="shared" si="6"/>
        <v>4+ Years</v>
      </c>
    </row>
    <row r="148" spans="1:11" x14ac:dyDescent="0.3">
      <c r="A148" t="s">
        <v>165</v>
      </c>
      <c r="B148" t="s">
        <v>14</v>
      </c>
      <c r="C148" t="s">
        <v>15</v>
      </c>
      <c r="D148" t="s">
        <v>16</v>
      </c>
      <c r="E148">
        <v>19.600000000000001</v>
      </c>
      <c r="F148">
        <v>3</v>
      </c>
      <c r="G148">
        <v>58.8</v>
      </c>
      <c r="H148" t="s">
        <v>12</v>
      </c>
      <c r="I148" t="str">
        <f t="shared" si="7"/>
        <v>Low Value</v>
      </c>
      <c r="J148" t="str">
        <f t="shared" si="8"/>
        <v>High Risk</v>
      </c>
      <c r="K148" s="3" t="str">
        <f t="shared" si="6"/>
        <v>0-1 Year</v>
      </c>
    </row>
    <row r="149" spans="1:11" x14ac:dyDescent="0.3">
      <c r="A149" t="s">
        <v>166</v>
      </c>
      <c r="B149" t="s">
        <v>14</v>
      </c>
      <c r="C149" t="s">
        <v>10</v>
      </c>
      <c r="D149" t="s">
        <v>11</v>
      </c>
      <c r="E149">
        <v>45.65</v>
      </c>
      <c r="F149">
        <v>1</v>
      </c>
      <c r="G149">
        <v>45.65</v>
      </c>
      <c r="H149" t="s">
        <v>18</v>
      </c>
      <c r="I149" t="str">
        <f t="shared" si="7"/>
        <v>Low Value</v>
      </c>
      <c r="J149" t="str">
        <f t="shared" si="8"/>
        <v>High Risk</v>
      </c>
      <c r="K149" s="3" t="str">
        <f t="shared" si="6"/>
        <v>0-1 Year</v>
      </c>
    </row>
    <row r="150" spans="1:11" x14ac:dyDescent="0.3">
      <c r="A150" t="s">
        <v>167</v>
      </c>
      <c r="B150" t="s">
        <v>14</v>
      </c>
      <c r="C150" t="s">
        <v>15</v>
      </c>
      <c r="D150" t="s">
        <v>24</v>
      </c>
      <c r="E150">
        <v>64.5</v>
      </c>
      <c r="F150">
        <v>30</v>
      </c>
      <c r="G150">
        <v>1935</v>
      </c>
      <c r="H150" t="s">
        <v>12</v>
      </c>
      <c r="I150" t="str">
        <f t="shared" si="7"/>
        <v>Low Value</v>
      </c>
      <c r="J150" t="str">
        <f t="shared" si="8"/>
        <v>Low Risk</v>
      </c>
      <c r="K150" s="3" t="str">
        <f t="shared" si="6"/>
        <v>2-4 Years</v>
      </c>
    </row>
    <row r="151" spans="1:11" x14ac:dyDescent="0.3">
      <c r="A151" t="s">
        <v>168</v>
      </c>
      <c r="B151" t="s">
        <v>14</v>
      </c>
      <c r="C151" t="s">
        <v>10</v>
      </c>
      <c r="D151" t="s">
        <v>16</v>
      </c>
      <c r="E151">
        <v>69.5</v>
      </c>
      <c r="F151">
        <v>15</v>
      </c>
      <c r="G151">
        <v>1042.5</v>
      </c>
      <c r="H151" t="s">
        <v>12</v>
      </c>
      <c r="I151" t="str">
        <f t="shared" si="7"/>
        <v>Low Value</v>
      </c>
      <c r="J151" t="str">
        <f t="shared" si="8"/>
        <v>Medium Risk</v>
      </c>
      <c r="K151" s="3" t="str">
        <f t="shared" si="6"/>
        <v>1-2 Years</v>
      </c>
    </row>
    <row r="152" spans="1:11" x14ac:dyDescent="0.3">
      <c r="A152" t="s">
        <v>169</v>
      </c>
      <c r="B152" t="s">
        <v>9</v>
      </c>
      <c r="C152" t="s">
        <v>10</v>
      </c>
      <c r="D152" t="s">
        <v>11</v>
      </c>
      <c r="E152">
        <v>68.55</v>
      </c>
      <c r="F152">
        <v>8</v>
      </c>
      <c r="G152">
        <v>548.4</v>
      </c>
      <c r="H152" t="s">
        <v>12</v>
      </c>
      <c r="I152" t="str">
        <f t="shared" si="7"/>
        <v>Low Value</v>
      </c>
      <c r="J152" t="str">
        <f t="shared" si="8"/>
        <v>High Risk</v>
      </c>
      <c r="K152" s="3" t="str">
        <f t="shared" si="6"/>
        <v>0-1 Year</v>
      </c>
    </row>
    <row r="153" spans="1:11" x14ac:dyDescent="0.3">
      <c r="A153" t="s">
        <v>170</v>
      </c>
      <c r="B153" t="s">
        <v>14</v>
      </c>
      <c r="C153" t="s">
        <v>10</v>
      </c>
      <c r="D153" t="s">
        <v>16</v>
      </c>
      <c r="E153">
        <v>95</v>
      </c>
      <c r="F153">
        <v>7</v>
      </c>
      <c r="G153">
        <v>665</v>
      </c>
      <c r="H153" t="s">
        <v>18</v>
      </c>
      <c r="I153" t="str">
        <f t="shared" si="7"/>
        <v>Low Value</v>
      </c>
      <c r="J153" t="str">
        <f t="shared" si="8"/>
        <v>High Risk</v>
      </c>
      <c r="K153" s="3" t="str">
        <f t="shared" si="6"/>
        <v>0-1 Year</v>
      </c>
    </row>
    <row r="154" spans="1:11" x14ac:dyDescent="0.3">
      <c r="A154" t="s">
        <v>171</v>
      </c>
      <c r="B154" t="s">
        <v>9</v>
      </c>
      <c r="C154" t="s">
        <v>15</v>
      </c>
      <c r="D154" t="s">
        <v>24</v>
      </c>
      <c r="E154">
        <v>108.15</v>
      </c>
      <c r="F154">
        <v>70</v>
      </c>
      <c r="G154">
        <v>7570.5</v>
      </c>
      <c r="H154" t="s">
        <v>12</v>
      </c>
      <c r="I154" t="str">
        <f t="shared" si="7"/>
        <v>High Value</v>
      </c>
      <c r="J154" t="str">
        <f t="shared" si="8"/>
        <v>Low Risk</v>
      </c>
      <c r="K154" s="3" t="str">
        <f t="shared" si="6"/>
        <v>4+ Years</v>
      </c>
    </row>
    <row r="155" spans="1:11" x14ac:dyDescent="0.3">
      <c r="A155" t="s">
        <v>172</v>
      </c>
      <c r="B155" t="s">
        <v>14</v>
      </c>
      <c r="C155" t="s">
        <v>30</v>
      </c>
      <c r="D155" t="s">
        <v>11</v>
      </c>
      <c r="E155">
        <v>86.1</v>
      </c>
      <c r="F155">
        <v>62</v>
      </c>
      <c r="G155">
        <v>5338.2</v>
      </c>
      <c r="H155" t="s">
        <v>12</v>
      </c>
      <c r="I155" t="str">
        <f t="shared" si="7"/>
        <v>High Value</v>
      </c>
      <c r="J155" t="str">
        <f t="shared" si="8"/>
        <v>Low Risk</v>
      </c>
      <c r="K155" s="3" t="str">
        <f t="shared" si="6"/>
        <v>4+ Years</v>
      </c>
    </row>
    <row r="156" spans="1:11" x14ac:dyDescent="0.3">
      <c r="A156" t="s">
        <v>173</v>
      </c>
      <c r="B156" t="s">
        <v>9</v>
      </c>
      <c r="C156" t="s">
        <v>10</v>
      </c>
      <c r="D156" t="s">
        <v>16</v>
      </c>
      <c r="E156">
        <v>19.7</v>
      </c>
      <c r="F156">
        <v>6</v>
      </c>
      <c r="G156">
        <v>118.19999999999899</v>
      </c>
      <c r="H156" t="s">
        <v>12</v>
      </c>
      <c r="I156" t="str">
        <f t="shared" si="7"/>
        <v>Low Value</v>
      </c>
      <c r="J156" t="str">
        <f t="shared" si="8"/>
        <v>High Risk</v>
      </c>
      <c r="K156" s="3" t="str">
        <f t="shared" si="6"/>
        <v>0-1 Year</v>
      </c>
    </row>
    <row r="157" spans="1:11" x14ac:dyDescent="0.3">
      <c r="A157" t="s">
        <v>174</v>
      </c>
      <c r="B157" t="s">
        <v>9</v>
      </c>
      <c r="C157" t="s">
        <v>10</v>
      </c>
      <c r="D157" t="s">
        <v>20</v>
      </c>
      <c r="E157">
        <v>80.900000000000006</v>
      </c>
      <c r="F157">
        <v>14</v>
      </c>
      <c r="G157">
        <v>1132.5999999999999</v>
      </c>
      <c r="H157" t="s">
        <v>12</v>
      </c>
      <c r="I157" t="str">
        <f t="shared" si="7"/>
        <v>Low Value</v>
      </c>
      <c r="J157" t="str">
        <f t="shared" si="8"/>
        <v>Medium Risk</v>
      </c>
      <c r="K157" s="3" t="str">
        <f t="shared" si="6"/>
        <v>1-2 Years</v>
      </c>
    </row>
    <row r="158" spans="1:11" x14ac:dyDescent="0.3">
      <c r="A158" t="s">
        <v>175</v>
      </c>
      <c r="B158" t="s">
        <v>9</v>
      </c>
      <c r="C158" t="s">
        <v>10</v>
      </c>
      <c r="D158" t="s">
        <v>20</v>
      </c>
      <c r="E158">
        <v>84.15</v>
      </c>
      <c r="F158">
        <v>22</v>
      </c>
      <c r="G158">
        <v>1851.3</v>
      </c>
      <c r="H158" t="s">
        <v>12</v>
      </c>
      <c r="I158" t="str">
        <f t="shared" si="7"/>
        <v>Low Value</v>
      </c>
      <c r="J158" t="str">
        <f t="shared" si="8"/>
        <v>Medium Risk</v>
      </c>
      <c r="K158" s="3" t="str">
        <f t="shared" si="6"/>
        <v>1-2 Years</v>
      </c>
    </row>
    <row r="159" spans="1:11" x14ac:dyDescent="0.3">
      <c r="A159" t="s">
        <v>176</v>
      </c>
      <c r="B159" t="s">
        <v>14</v>
      </c>
      <c r="C159" t="s">
        <v>15</v>
      </c>
      <c r="D159" t="s">
        <v>16</v>
      </c>
      <c r="E159">
        <v>20.149999999999999</v>
      </c>
      <c r="F159">
        <v>22</v>
      </c>
      <c r="G159">
        <v>443.29999999999899</v>
      </c>
      <c r="H159" t="s">
        <v>12</v>
      </c>
      <c r="I159" t="str">
        <f t="shared" si="7"/>
        <v>Low Value</v>
      </c>
      <c r="J159" t="str">
        <f t="shared" si="8"/>
        <v>Medium Risk</v>
      </c>
      <c r="K159" s="3" t="str">
        <f t="shared" si="6"/>
        <v>1-2 Years</v>
      </c>
    </row>
    <row r="160" spans="1:11" x14ac:dyDescent="0.3">
      <c r="A160" t="s">
        <v>177</v>
      </c>
      <c r="B160" t="s">
        <v>14</v>
      </c>
      <c r="C160" t="s">
        <v>30</v>
      </c>
      <c r="D160" t="s">
        <v>16</v>
      </c>
      <c r="E160">
        <v>64.25</v>
      </c>
      <c r="F160">
        <v>16</v>
      </c>
      <c r="G160">
        <v>1028</v>
      </c>
      <c r="H160" t="s">
        <v>12</v>
      </c>
      <c r="I160" t="str">
        <f t="shared" si="7"/>
        <v>Low Value</v>
      </c>
      <c r="J160" t="str">
        <f t="shared" si="8"/>
        <v>Medium Risk</v>
      </c>
      <c r="K160" s="3" t="str">
        <f t="shared" si="6"/>
        <v>1-2 Years</v>
      </c>
    </row>
    <row r="161" spans="1:11" x14ac:dyDescent="0.3">
      <c r="A161" t="s">
        <v>178</v>
      </c>
      <c r="B161" t="s">
        <v>14</v>
      </c>
      <c r="C161" t="s">
        <v>30</v>
      </c>
      <c r="D161" t="s">
        <v>20</v>
      </c>
      <c r="E161">
        <v>25.7</v>
      </c>
      <c r="F161">
        <v>10</v>
      </c>
      <c r="G161">
        <v>257</v>
      </c>
      <c r="H161" t="s">
        <v>12</v>
      </c>
      <c r="I161" t="str">
        <f t="shared" si="7"/>
        <v>Low Value</v>
      </c>
      <c r="J161" t="str">
        <f t="shared" si="8"/>
        <v>High Risk</v>
      </c>
      <c r="K161" s="3" t="str">
        <f t="shared" si="6"/>
        <v>0-1 Year</v>
      </c>
    </row>
    <row r="162" spans="1:11" x14ac:dyDescent="0.3">
      <c r="A162" t="s">
        <v>179</v>
      </c>
      <c r="B162" t="s">
        <v>9</v>
      </c>
      <c r="C162" t="s">
        <v>10</v>
      </c>
      <c r="D162" t="s">
        <v>11</v>
      </c>
      <c r="E162">
        <v>56</v>
      </c>
      <c r="F162">
        <v>13</v>
      </c>
      <c r="G162">
        <v>728</v>
      </c>
      <c r="H162" t="s">
        <v>12</v>
      </c>
      <c r="I162" t="str">
        <f t="shared" si="7"/>
        <v>Low Value</v>
      </c>
      <c r="J162" t="str">
        <f t="shared" si="8"/>
        <v>Medium Risk</v>
      </c>
      <c r="K162" s="3" t="str">
        <f t="shared" si="6"/>
        <v>1-2 Years</v>
      </c>
    </row>
    <row r="163" spans="1:11" x14ac:dyDescent="0.3">
      <c r="A163" t="s">
        <v>180</v>
      </c>
      <c r="B163" t="s">
        <v>9</v>
      </c>
      <c r="C163" t="s">
        <v>10</v>
      </c>
      <c r="D163" t="s">
        <v>11</v>
      </c>
      <c r="E163">
        <v>82.4</v>
      </c>
      <c r="F163">
        <v>20</v>
      </c>
      <c r="G163">
        <v>1648</v>
      </c>
      <c r="H163" t="s">
        <v>18</v>
      </c>
      <c r="I163" t="str">
        <f t="shared" si="7"/>
        <v>Low Value</v>
      </c>
      <c r="J163" t="str">
        <f t="shared" si="8"/>
        <v>Medium Risk</v>
      </c>
      <c r="K163" s="3" t="str">
        <f t="shared" si="6"/>
        <v>1-2 Years</v>
      </c>
    </row>
    <row r="164" spans="1:11" x14ac:dyDescent="0.3">
      <c r="A164" t="s">
        <v>181</v>
      </c>
      <c r="B164" t="s">
        <v>9</v>
      </c>
      <c r="C164" t="s">
        <v>10</v>
      </c>
      <c r="D164" t="s">
        <v>11</v>
      </c>
      <c r="E164">
        <v>69.7</v>
      </c>
      <c r="F164">
        <v>2</v>
      </c>
      <c r="G164">
        <v>139.4</v>
      </c>
      <c r="H164" t="s">
        <v>12</v>
      </c>
      <c r="I164" t="str">
        <f t="shared" si="7"/>
        <v>Low Value</v>
      </c>
      <c r="J164" t="str">
        <f t="shared" si="8"/>
        <v>High Risk</v>
      </c>
      <c r="K164" s="3" t="str">
        <f t="shared" si="6"/>
        <v>0-1 Year</v>
      </c>
    </row>
    <row r="165" spans="1:11" x14ac:dyDescent="0.3">
      <c r="A165" t="s">
        <v>182</v>
      </c>
      <c r="B165" t="s">
        <v>14</v>
      </c>
      <c r="C165" t="s">
        <v>30</v>
      </c>
      <c r="D165" t="s">
        <v>20</v>
      </c>
      <c r="E165">
        <v>73.900000000000006</v>
      </c>
      <c r="F165">
        <v>53</v>
      </c>
      <c r="G165">
        <v>3916.7</v>
      </c>
      <c r="H165" t="s">
        <v>12</v>
      </c>
      <c r="I165" t="str">
        <f t="shared" si="7"/>
        <v>Medium Value</v>
      </c>
      <c r="J165" t="str">
        <f t="shared" si="8"/>
        <v>Low Risk</v>
      </c>
      <c r="K165" s="3" t="str">
        <f t="shared" si="6"/>
        <v>4+ Years</v>
      </c>
    </row>
    <row r="166" spans="1:11" x14ac:dyDescent="0.3">
      <c r="A166" t="s">
        <v>183</v>
      </c>
      <c r="B166" t="s">
        <v>9</v>
      </c>
      <c r="C166" t="s">
        <v>15</v>
      </c>
      <c r="D166" t="s">
        <v>16</v>
      </c>
      <c r="E166">
        <v>20.6</v>
      </c>
      <c r="F166">
        <v>11</v>
      </c>
      <c r="G166">
        <v>226.6</v>
      </c>
      <c r="H166" t="s">
        <v>12</v>
      </c>
      <c r="I166" t="str">
        <f t="shared" si="7"/>
        <v>Low Value</v>
      </c>
      <c r="J166" t="str">
        <f t="shared" si="8"/>
        <v>High Risk</v>
      </c>
      <c r="K166" s="3" t="str">
        <f t="shared" si="6"/>
        <v>0-1 Year</v>
      </c>
    </row>
    <row r="167" spans="1:11" x14ac:dyDescent="0.3">
      <c r="A167" t="s">
        <v>184</v>
      </c>
      <c r="B167" t="s">
        <v>14</v>
      </c>
      <c r="C167" t="s">
        <v>30</v>
      </c>
      <c r="D167" t="s">
        <v>16</v>
      </c>
      <c r="E167">
        <v>19.899999999999999</v>
      </c>
      <c r="F167">
        <v>69</v>
      </c>
      <c r="G167">
        <v>1373.1</v>
      </c>
      <c r="H167" t="s">
        <v>12</v>
      </c>
      <c r="I167" t="str">
        <f t="shared" si="7"/>
        <v>Low Value</v>
      </c>
      <c r="J167" t="str">
        <f t="shared" si="8"/>
        <v>Low Risk</v>
      </c>
      <c r="K167" s="3" t="str">
        <f t="shared" si="6"/>
        <v>4+ Years</v>
      </c>
    </row>
    <row r="168" spans="1:11" x14ac:dyDescent="0.3">
      <c r="A168" t="s">
        <v>185</v>
      </c>
      <c r="B168" t="s">
        <v>9</v>
      </c>
      <c r="C168" t="s">
        <v>10</v>
      </c>
      <c r="D168" t="s">
        <v>20</v>
      </c>
      <c r="E168">
        <v>70.900000000000006</v>
      </c>
      <c r="F168">
        <v>4</v>
      </c>
      <c r="G168">
        <v>283.60000000000002</v>
      </c>
      <c r="H168" t="s">
        <v>18</v>
      </c>
      <c r="I168" t="str">
        <f t="shared" si="7"/>
        <v>Low Value</v>
      </c>
      <c r="J168" t="str">
        <f t="shared" si="8"/>
        <v>High Risk</v>
      </c>
      <c r="K168" s="3" t="str">
        <f t="shared" si="6"/>
        <v>0-1 Year</v>
      </c>
    </row>
    <row r="169" spans="1:11" x14ac:dyDescent="0.3">
      <c r="A169" t="s">
        <v>186</v>
      </c>
      <c r="B169" t="s">
        <v>14</v>
      </c>
      <c r="C169" t="s">
        <v>30</v>
      </c>
      <c r="D169" t="s">
        <v>20</v>
      </c>
      <c r="E169">
        <v>89.05</v>
      </c>
      <c r="F169">
        <v>72</v>
      </c>
      <c r="G169">
        <v>6411.5999999999904</v>
      </c>
      <c r="H169" t="s">
        <v>12</v>
      </c>
      <c r="I169" t="str">
        <f t="shared" si="7"/>
        <v>High Value</v>
      </c>
      <c r="J169" t="str">
        <f t="shared" si="8"/>
        <v>Low Risk</v>
      </c>
      <c r="K169" s="3" t="str">
        <f t="shared" si="6"/>
        <v>4+ Years</v>
      </c>
    </row>
    <row r="170" spans="1:11" x14ac:dyDescent="0.3">
      <c r="A170" t="s">
        <v>187</v>
      </c>
      <c r="B170" t="s">
        <v>14</v>
      </c>
      <c r="C170" t="s">
        <v>10</v>
      </c>
      <c r="D170" t="s">
        <v>11</v>
      </c>
      <c r="E170">
        <v>45.3</v>
      </c>
      <c r="F170">
        <v>58</v>
      </c>
      <c r="G170">
        <v>2627.3999999999901</v>
      </c>
      <c r="H170" t="s">
        <v>18</v>
      </c>
      <c r="I170" t="str">
        <f t="shared" si="7"/>
        <v>Medium Value</v>
      </c>
      <c r="J170" t="str">
        <f t="shared" si="8"/>
        <v>Low Risk</v>
      </c>
      <c r="K170" s="3" t="str">
        <f t="shared" si="6"/>
        <v>4+ Years</v>
      </c>
    </row>
    <row r="171" spans="1:11" x14ac:dyDescent="0.3">
      <c r="A171" t="s">
        <v>188</v>
      </c>
      <c r="B171" t="s">
        <v>9</v>
      </c>
      <c r="C171" t="s">
        <v>10</v>
      </c>
      <c r="D171" t="s">
        <v>11</v>
      </c>
      <c r="E171">
        <v>20.399999999999999</v>
      </c>
      <c r="F171">
        <v>16</v>
      </c>
      <c r="G171">
        <v>326.39999999999998</v>
      </c>
      <c r="H171" t="s">
        <v>12</v>
      </c>
      <c r="I171" t="str">
        <f t="shared" si="7"/>
        <v>Low Value</v>
      </c>
      <c r="J171" t="str">
        <f t="shared" si="8"/>
        <v>Medium Risk</v>
      </c>
      <c r="K171" s="3" t="str">
        <f t="shared" si="6"/>
        <v>1-2 Years</v>
      </c>
    </row>
    <row r="172" spans="1:11" x14ac:dyDescent="0.3">
      <c r="A172" t="s">
        <v>189</v>
      </c>
      <c r="B172" t="s">
        <v>14</v>
      </c>
      <c r="C172" t="s">
        <v>15</v>
      </c>
      <c r="D172" t="s">
        <v>20</v>
      </c>
      <c r="E172">
        <v>84.25</v>
      </c>
      <c r="F172">
        <v>43</v>
      </c>
      <c r="G172">
        <v>3622.75</v>
      </c>
      <c r="H172" t="s">
        <v>12</v>
      </c>
      <c r="I172" t="str">
        <f t="shared" si="7"/>
        <v>Medium Value</v>
      </c>
      <c r="J172" t="str">
        <f t="shared" si="8"/>
        <v>Low Risk</v>
      </c>
      <c r="K172" s="3" t="str">
        <f t="shared" si="6"/>
        <v>2-4 Years</v>
      </c>
    </row>
    <row r="173" spans="1:11" x14ac:dyDescent="0.3">
      <c r="A173" t="s">
        <v>190</v>
      </c>
      <c r="B173" t="s">
        <v>9</v>
      </c>
      <c r="C173" t="s">
        <v>10</v>
      </c>
      <c r="D173" t="s">
        <v>11</v>
      </c>
      <c r="E173">
        <v>104.4</v>
      </c>
      <c r="F173">
        <v>2</v>
      </c>
      <c r="G173">
        <v>208.8</v>
      </c>
      <c r="H173" t="s">
        <v>18</v>
      </c>
      <c r="I173" t="str">
        <f t="shared" si="7"/>
        <v>Low Value</v>
      </c>
      <c r="J173" t="str">
        <f t="shared" si="8"/>
        <v>High Risk</v>
      </c>
      <c r="K173" s="3" t="str">
        <f t="shared" si="6"/>
        <v>0-1 Year</v>
      </c>
    </row>
    <row r="174" spans="1:11" x14ac:dyDescent="0.3">
      <c r="A174" t="s">
        <v>191</v>
      </c>
      <c r="B174" t="s">
        <v>14</v>
      </c>
      <c r="C174" t="s">
        <v>30</v>
      </c>
      <c r="D174" t="s">
        <v>16</v>
      </c>
      <c r="E174">
        <v>81.95</v>
      </c>
      <c r="F174">
        <v>14</v>
      </c>
      <c r="G174">
        <v>1147.3</v>
      </c>
      <c r="H174" t="s">
        <v>12</v>
      </c>
      <c r="I174" t="str">
        <f t="shared" si="7"/>
        <v>Low Value</v>
      </c>
      <c r="J174" t="str">
        <f t="shared" si="8"/>
        <v>Medium Risk</v>
      </c>
      <c r="K174" s="3" t="str">
        <f t="shared" si="6"/>
        <v>1-2 Years</v>
      </c>
    </row>
    <row r="175" spans="1:11" x14ac:dyDescent="0.3">
      <c r="A175" t="s">
        <v>192</v>
      </c>
      <c r="B175" t="s">
        <v>9</v>
      </c>
      <c r="C175" t="s">
        <v>15</v>
      </c>
      <c r="D175" t="s">
        <v>20</v>
      </c>
      <c r="E175">
        <v>94.85</v>
      </c>
      <c r="F175">
        <v>53</v>
      </c>
      <c r="G175">
        <v>5027.0499999999902</v>
      </c>
      <c r="H175" t="s">
        <v>18</v>
      </c>
      <c r="I175" t="str">
        <f t="shared" si="7"/>
        <v>High Value</v>
      </c>
      <c r="J175" t="str">
        <f t="shared" si="8"/>
        <v>Low Risk</v>
      </c>
      <c r="K175" s="3" t="str">
        <f t="shared" si="6"/>
        <v>4+ Years</v>
      </c>
    </row>
    <row r="176" spans="1:11" x14ac:dyDescent="0.3">
      <c r="A176" t="s">
        <v>193</v>
      </c>
      <c r="B176" t="s">
        <v>9</v>
      </c>
      <c r="C176" t="s">
        <v>15</v>
      </c>
      <c r="D176" t="s">
        <v>20</v>
      </c>
      <c r="E176">
        <v>20.55</v>
      </c>
      <c r="F176">
        <v>32</v>
      </c>
      <c r="G176">
        <v>657.6</v>
      </c>
      <c r="H176" t="s">
        <v>12</v>
      </c>
      <c r="I176" t="str">
        <f t="shared" si="7"/>
        <v>Low Value</v>
      </c>
      <c r="J176" t="str">
        <f t="shared" si="8"/>
        <v>Low Risk</v>
      </c>
      <c r="K176" s="3" t="str">
        <f t="shared" si="6"/>
        <v>2-4 Years</v>
      </c>
    </row>
    <row r="177" spans="1:11" x14ac:dyDescent="0.3">
      <c r="A177" t="s">
        <v>194</v>
      </c>
      <c r="B177" t="s">
        <v>9</v>
      </c>
      <c r="C177" t="s">
        <v>10</v>
      </c>
      <c r="D177" t="s">
        <v>11</v>
      </c>
      <c r="E177">
        <v>24.7</v>
      </c>
      <c r="F177">
        <v>34</v>
      </c>
      <c r="G177">
        <v>839.8</v>
      </c>
      <c r="H177" t="s">
        <v>12</v>
      </c>
      <c r="I177" t="str">
        <f t="shared" si="7"/>
        <v>Low Value</v>
      </c>
      <c r="J177" t="str">
        <f t="shared" si="8"/>
        <v>Low Risk</v>
      </c>
      <c r="K177" s="3" t="str">
        <f t="shared" si="6"/>
        <v>2-4 Years</v>
      </c>
    </row>
    <row r="178" spans="1:11" x14ac:dyDescent="0.3">
      <c r="A178" t="s">
        <v>195</v>
      </c>
      <c r="B178" t="s">
        <v>9</v>
      </c>
      <c r="C178" t="s">
        <v>10</v>
      </c>
      <c r="D178" t="s">
        <v>16</v>
      </c>
      <c r="E178">
        <v>74.45</v>
      </c>
      <c r="F178">
        <v>15</v>
      </c>
      <c r="G178">
        <v>1116.75</v>
      </c>
      <c r="H178" t="s">
        <v>18</v>
      </c>
      <c r="I178" t="str">
        <f t="shared" si="7"/>
        <v>Low Value</v>
      </c>
      <c r="J178" t="str">
        <f t="shared" si="8"/>
        <v>Medium Risk</v>
      </c>
      <c r="K178" s="3" t="str">
        <f t="shared" si="6"/>
        <v>1-2 Years</v>
      </c>
    </row>
    <row r="179" spans="1:11" x14ac:dyDescent="0.3">
      <c r="A179" t="s">
        <v>196</v>
      </c>
      <c r="B179" t="s">
        <v>9</v>
      </c>
      <c r="C179" t="s">
        <v>10</v>
      </c>
      <c r="D179" t="s">
        <v>20</v>
      </c>
      <c r="E179">
        <v>76.45</v>
      </c>
      <c r="F179">
        <v>7</v>
      </c>
      <c r="G179">
        <v>535.15</v>
      </c>
      <c r="H179" t="s">
        <v>18</v>
      </c>
      <c r="I179" t="str">
        <f t="shared" si="7"/>
        <v>Low Value</v>
      </c>
      <c r="J179" t="str">
        <f t="shared" si="8"/>
        <v>High Risk</v>
      </c>
      <c r="K179" s="3" t="str">
        <f t="shared" si="6"/>
        <v>0-1 Year</v>
      </c>
    </row>
    <row r="180" spans="1:11" x14ac:dyDescent="0.3">
      <c r="A180" t="s">
        <v>197</v>
      </c>
      <c r="B180" t="s">
        <v>9</v>
      </c>
      <c r="C180" t="s">
        <v>10</v>
      </c>
      <c r="D180" t="s">
        <v>20</v>
      </c>
      <c r="E180">
        <v>105.35</v>
      </c>
      <c r="F180">
        <v>15</v>
      </c>
      <c r="G180">
        <v>1580.25</v>
      </c>
      <c r="H180" t="s">
        <v>12</v>
      </c>
      <c r="I180" t="str">
        <f t="shared" si="7"/>
        <v>Low Value</v>
      </c>
      <c r="J180" t="str">
        <f t="shared" si="8"/>
        <v>Medium Risk</v>
      </c>
      <c r="K180" s="3" t="str">
        <f t="shared" si="6"/>
        <v>1-2 Years</v>
      </c>
    </row>
    <row r="181" spans="1:11" x14ac:dyDescent="0.3">
      <c r="A181" t="s">
        <v>198</v>
      </c>
      <c r="B181" t="s">
        <v>14</v>
      </c>
      <c r="C181" t="s">
        <v>15</v>
      </c>
      <c r="D181" t="s">
        <v>24</v>
      </c>
      <c r="E181">
        <v>20.55</v>
      </c>
      <c r="F181">
        <v>61</v>
      </c>
      <c r="G181">
        <v>1253.55</v>
      </c>
      <c r="H181" t="s">
        <v>12</v>
      </c>
      <c r="I181" t="str">
        <f t="shared" si="7"/>
        <v>Low Value</v>
      </c>
      <c r="J181" t="str">
        <f t="shared" si="8"/>
        <v>Low Risk</v>
      </c>
      <c r="K181" s="3" t="str">
        <f t="shared" si="6"/>
        <v>4+ Years</v>
      </c>
    </row>
    <row r="182" spans="1:11" x14ac:dyDescent="0.3">
      <c r="A182" t="s">
        <v>199</v>
      </c>
      <c r="B182" t="s">
        <v>9</v>
      </c>
      <c r="C182" t="s">
        <v>10</v>
      </c>
      <c r="D182" t="s">
        <v>20</v>
      </c>
      <c r="E182">
        <v>29.95</v>
      </c>
      <c r="F182">
        <v>1</v>
      </c>
      <c r="G182">
        <v>29.95</v>
      </c>
      <c r="H182" t="s">
        <v>18</v>
      </c>
      <c r="I182" t="str">
        <f t="shared" si="7"/>
        <v>Low Value</v>
      </c>
      <c r="J182" t="str">
        <f t="shared" si="8"/>
        <v>High Risk</v>
      </c>
      <c r="K182" s="3" t="str">
        <f t="shared" si="6"/>
        <v>0-1 Year</v>
      </c>
    </row>
    <row r="183" spans="1:11" x14ac:dyDescent="0.3">
      <c r="A183" t="s">
        <v>200</v>
      </c>
      <c r="B183" t="s">
        <v>9</v>
      </c>
      <c r="C183" t="s">
        <v>10</v>
      </c>
      <c r="D183" t="s">
        <v>16</v>
      </c>
      <c r="E183">
        <v>45.3</v>
      </c>
      <c r="F183">
        <v>1</v>
      </c>
      <c r="G183">
        <v>45.3</v>
      </c>
      <c r="H183" t="s">
        <v>12</v>
      </c>
      <c r="I183" t="str">
        <f t="shared" si="7"/>
        <v>Low Value</v>
      </c>
      <c r="J183" t="str">
        <f t="shared" si="8"/>
        <v>High Risk</v>
      </c>
      <c r="K183" s="3" t="str">
        <f t="shared" si="6"/>
        <v>0-1 Year</v>
      </c>
    </row>
    <row r="184" spans="1:11" x14ac:dyDescent="0.3">
      <c r="A184" t="s">
        <v>201</v>
      </c>
      <c r="B184" t="s">
        <v>14</v>
      </c>
      <c r="C184" t="s">
        <v>10</v>
      </c>
      <c r="D184" t="s">
        <v>20</v>
      </c>
      <c r="E184">
        <v>84.5</v>
      </c>
      <c r="F184">
        <v>8</v>
      </c>
      <c r="G184">
        <v>676</v>
      </c>
      <c r="H184" t="s">
        <v>18</v>
      </c>
      <c r="I184" t="str">
        <f t="shared" si="7"/>
        <v>Low Value</v>
      </c>
      <c r="J184" t="str">
        <f t="shared" si="8"/>
        <v>High Risk</v>
      </c>
      <c r="K184" s="3" t="str">
        <f t="shared" si="6"/>
        <v>0-1 Year</v>
      </c>
    </row>
    <row r="185" spans="1:11" x14ac:dyDescent="0.3">
      <c r="A185" t="s">
        <v>202</v>
      </c>
      <c r="B185" t="s">
        <v>14</v>
      </c>
      <c r="C185" t="s">
        <v>15</v>
      </c>
      <c r="D185" t="s">
        <v>24</v>
      </c>
      <c r="E185">
        <v>74.75</v>
      </c>
      <c r="F185">
        <v>33</v>
      </c>
      <c r="G185">
        <v>2466.75</v>
      </c>
      <c r="H185" t="s">
        <v>12</v>
      </c>
      <c r="I185" t="str">
        <f t="shared" si="7"/>
        <v>Medium Value</v>
      </c>
      <c r="J185" t="str">
        <f t="shared" si="8"/>
        <v>Low Risk</v>
      </c>
      <c r="K185" s="3" t="str">
        <f t="shared" si="6"/>
        <v>2-4 Years</v>
      </c>
    </row>
    <row r="186" spans="1:11" x14ac:dyDescent="0.3">
      <c r="A186" t="s">
        <v>203</v>
      </c>
      <c r="B186" t="s">
        <v>9</v>
      </c>
      <c r="C186" t="s">
        <v>10</v>
      </c>
      <c r="D186" t="s">
        <v>11</v>
      </c>
      <c r="E186">
        <v>79.25</v>
      </c>
      <c r="F186">
        <v>13</v>
      </c>
      <c r="G186">
        <v>1030.25</v>
      </c>
      <c r="H186" t="s">
        <v>18</v>
      </c>
      <c r="I186" t="str">
        <f t="shared" si="7"/>
        <v>Low Value</v>
      </c>
      <c r="J186" t="str">
        <f t="shared" si="8"/>
        <v>Medium Risk</v>
      </c>
      <c r="K186" s="3" t="str">
        <f t="shared" si="6"/>
        <v>1-2 Years</v>
      </c>
    </row>
    <row r="187" spans="1:11" x14ac:dyDescent="0.3">
      <c r="A187" t="s">
        <v>204</v>
      </c>
      <c r="B187" t="s">
        <v>9</v>
      </c>
      <c r="C187" t="s">
        <v>10</v>
      </c>
      <c r="D187" t="s">
        <v>11</v>
      </c>
      <c r="E187">
        <v>24.8</v>
      </c>
      <c r="F187">
        <v>1</v>
      </c>
      <c r="G187">
        <v>24.8</v>
      </c>
      <c r="H187" t="s">
        <v>18</v>
      </c>
      <c r="I187" t="str">
        <f t="shared" si="7"/>
        <v>Low Value</v>
      </c>
      <c r="J187" t="str">
        <f t="shared" si="8"/>
        <v>High Risk</v>
      </c>
      <c r="K187" s="3" t="str">
        <f t="shared" si="6"/>
        <v>0-1 Year</v>
      </c>
    </row>
    <row r="188" spans="1:11" x14ac:dyDescent="0.3">
      <c r="A188" t="s">
        <v>205</v>
      </c>
      <c r="B188" t="s">
        <v>14</v>
      </c>
      <c r="C188" t="s">
        <v>10</v>
      </c>
      <c r="D188" t="s">
        <v>16</v>
      </c>
      <c r="E188">
        <v>51.8</v>
      </c>
      <c r="F188">
        <v>20</v>
      </c>
      <c r="G188">
        <v>1036</v>
      </c>
      <c r="H188" t="s">
        <v>12</v>
      </c>
      <c r="I188" t="str">
        <f t="shared" si="7"/>
        <v>Low Value</v>
      </c>
      <c r="J188" t="str">
        <f t="shared" si="8"/>
        <v>Medium Risk</v>
      </c>
      <c r="K188" s="3" t="str">
        <f t="shared" si="6"/>
        <v>1-2 Years</v>
      </c>
    </row>
    <row r="189" spans="1:11" x14ac:dyDescent="0.3">
      <c r="A189" t="s">
        <v>206</v>
      </c>
      <c r="B189" t="s">
        <v>14</v>
      </c>
      <c r="C189" t="s">
        <v>10</v>
      </c>
      <c r="D189" t="s">
        <v>11</v>
      </c>
      <c r="E189">
        <v>30.4</v>
      </c>
      <c r="F189">
        <v>3</v>
      </c>
      <c r="G189">
        <v>91.199999999999903</v>
      </c>
      <c r="H189" t="s">
        <v>12</v>
      </c>
      <c r="I189" t="str">
        <f t="shared" si="7"/>
        <v>Low Value</v>
      </c>
      <c r="J189" t="str">
        <f t="shared" si="8"/>
        <v>High Risk</v>
      </c>
      <c r="K189" s="3" t="str">
        <f t="shared" si="6"/>
        <v>0-1 Year</v>
      </c>
    </row>
    <row r="190" spans="1:11" x14ac:dyDescent="0.3">
      <c r="A190" t="s">
        <v>207</v>
      </c>
      <c r="B190" t="s">
        <v>9</v>
      </c>
      <c r="C190" t="s">
        <v>15</v>
      </c>
      <c r="D190" t="s">
        <v>11</v>
      </c>
      <c r="E190">
        <v>19.649999999999999</v>
      </c>
      <c r="F190">
        <v>13</v>
      </c>
      <c r="G190">
        <v>255.45</v>
      </c>
      <c r="H190" t="s">
        <v>12</v>
      </c>
      <c r="I190" t="str">
        <f t="shared" si="7"/>
        <v>Low Value</v>
      </c>
      <c r="J190" t="str">
        <f t="shared" si="8"/>
        <v>Medium Risk</v>
      </c>
      <c r="K190" s="3" t="str">
        <f t="shared" si="6"/>
        <v>1-2 Years</v>
      </c>
    </row>
    <row r="191" spans="1:11" x14ac:dyDescent="0.3">
      <c r="A191" t="s">
        <v>208</v>
      </c>
      <c r="B191" t="s">
        <v>9</v>
      </c>
      <c r="C191" t="s">
        <v>10</v>
      </c>
      <c r="D191" t="s">
        <v>24</v>
      </c>
      <c r="E191">
        <v>56.6</v>
      </c>
      <c r="F191">
        <v>40</v>
      </c>
      <c r="G191">
        <v>2264</v>
      </c>
      <c r="H191" t="s">
        <v>12</v>
      </c>
      <c r="I191" t="str">
        <f t="shared" si="7"/>
        <v>Medium Value</v>
      </c>
      <c r="J191" t="str">
        <f t="shared" si="8"/>
        <v>Low Risk</v>
      </c>
      <c r="K191" s="3" t="str">
        <f t="shared" si="6"/>
        <v>2-4 Years</v>
      </c>
    </row>
    <row r="192" spans="1:11" x14ac:dyDescent="0.3">
      <c r="A192" t="s">
        <v>209</v>
      </c>
      <c r="B192" t="s">
        <v>14</v>
      </c>
      <c r="C192" t="s">
        <v>15</v>
      </c>
      <c r="D192" t="s">
        <v>24</v>
      </c>
      <c r="E192">
        <v>71.900000000000006</v>
      </c>
      <c r="F192">
        <v>43</v>
      </c>
      <c r="G192">
        <v>3091.7</v>
      </c>
      <c r="H192" t="s">
        <v>12</v>
      </c>
      <c r="I192" t="str">
        <f t="shared" si="7"/>
        <v>Medium Value</v>
      </c>
      <c r="J192" t="str">
        <f t="shared" si="8"/>
        <v>Low Risk</v>
      </c>
      <c r="K192" s="3" t="str">
        <f t="shared" si="6"/>
        <v>2-4 Years</v>
      </c>
    </row>
    <row r="193" spans="1:11" x14ac:dyDescent="0.3">
      <c r="A193" t="s">
        <v>210</v>
      </c>
      <c r="B193" t="s">
        <v>14</v>
      </c>
      <c r="C193" t="s">
        <v>10</v>
      </c>
      <c r="D193" t="s">
        <v>11</v>
      </c>
      <c r="E193">
        <v>91</v>
      </c>
      <c r="F193">
        <v>6</v>
      </c>
      <c r="G193">
        <v>546</v>
      </c>
      <c r="H193" t="s">
        <v>18</v>
      </c>
      <c r="I193" t="str">
        <f t="shared" si="7"/>
        <v>Low Value</v>
      </c>
      <c r="J193" t="str">
        <f t="shared" si="8"/>
        <v>High Risk</v>
      </c>
      <c r="K193" s="3" t="str">
        <f t="shared" si="6"/>
        <v>0-1 Year</v>
      </c>
    </row>
    <row r="194" spans="1:11" x14ac:dyDescent="0.3">
      <c r="A194" t="s">
        <v>211</v>
      </c>
      <c r="B194" t="s">
        <v>9</v>
      </c>
      <c r="C194" t="s">
        <v>30</v>
      </c>
      <c r="D194" t="s">
        <v>20</v>
      </c>
      <c r="E194">
        <v>19.75</v>
      </c>
      <c r="F194">
        <v>69</v>
      </c>
      <c r="G194">
        <v>1362.75</v>
      </c>
      <c r="H194" t="s">
        <v>12</v>
      </c>
      <c r="I194" t="str">
        <f t="shared" si="7"/>
        <v>Low Value</v>
      </c>
      <c r="J194" t="str">
        <f t="shared" si="8"/>
        <v>Low Risk</v>
      </c>
      <c r="K194" s="3" t="str">
        <f t="shared" si="6"/>
        <v>4+ Years</v>
      </c>
    </row>
    <row r="195" spans="1:11" x14ac:dyDescent="0.3">
      <c r="A195" t="s">
        <v>212</v>
      </c>
      <c r="B195" t="s">
        <v>9</v>
      </c>
      <c r="C195" t="s">
        <v>30</v>
      </c>
      <c r="D195" t="s">
        <v>24</v>
      </c>
      <c r="E195">
        <v>109.7</v>
      </c>
      <c r="F195">
        <v>72</v>
      </c>
      <c r="G195">
        <v>7898.4</v>
      </c>
      <c r="H195" t="s">
        <v>12</v>
      </c>
      <c r="I195" t="str">
        <f t="shared" si="7"/>
        <v>High Value</v>
      </c>
      <c r="J195" t="str">
        <f t="shared" si="8"/>
        <v>Low Risk</v>
      </c>
      <c r="K195" s="3" t="str">
        <f t="shared" ref="K195:K258" si="9">IF(F195&lt;=12,"0-1 Year",
IF(F195&lt;=24,"1-2 Years",
IF(F195&lt;=48,"2-4 Years","4+ Years")))</f>
        <v>4+ Years</v>
      </c>
    </row>
    <row r="196" spans="1:11" x14ac:dyDescent="0.3">
      <c r="A196" t="s">
        <v>213</v>
      </c>
      <c r="B196" t="s">
        <v>14</v>
      </c>
      <c r="C196" t="s">
        <v>30</v>
      </c>
      <c r="D196" t="s">
        <v>24</v>
      </c>
      <c r="E196">
        <v>19.3</v>
      </c>
      <c r="F196">
        <v>59</v>
      </c>
      <c r="G196">
        <v>1138.7</v>
      </c>
      <c r="H196" t="s">
        <v>12</v>
      </c>
      <c r="I196" t="str">
        <f t="shared" ref="I196:I259" si="10">IF(G196&gt;5000,"High Value",
IF(G196&gt;2000,"Medium Value","Low Value"))</f>
        <v>Low Value</v>
      </c>
      <c r="J196" t="str">
        <f t="shared" ref="J196:J259" si="11">IF(F196&lt;12,"High Risk",
IF(F196&lt;24,"Medium Risk","Low Risk"))</f>
        <v>Low Risk</v>
      </c>
      <c r="K196" s="3" t="str">
        <f t="shared" si="9"/>
        <v>4+ Years</v>
      </c>
    </row>
    <row r="197" spans="1:11" x14ac:dyDescent="0.3">
      <c r="A197" t="s">
        <v>214</v>
      </c>
      <c r="B197" t="s">
        <v>9</v>
      </c>
      <c r="C197" t="s">
        <v>10</v>
      </c>
      <c r="D197" t="s">
        <v>11</v>
      </c>
      <c r="E197">
        <v>96.55</v>
      </c>
      <c r="F197">
        <v>20</v>
      </c>
      <c r="G197">
        <v>1931</v>
      </c>
      <c r="H197" t="s">
        <v>12</v>
      </c>
      <c r="I197" t="str">
        <f t="shared" si="10"/>
        <v>Low Value</v>
      </c>
      <c r="J197" t="str">
        <f t="shared" si="11"/>
        <v>Medium Risk</v>
      </c>
      <c r="K197" s="3" t="str">
        <f t="shared" si="9"/>
        <v>1-2 Years</v>
      </c>
    </row>
    <row r="198" spans="1:11" x14ac:dyDescent="0.3">
      <c r="A198" t="s">
        <v>215</v>
      </c>
      <c r="B198" t="s">
        <v>14</v>
      </c>
      <c r="C198" t="s">
        <v>30</v>
      </c>
      <c r="D198" t="s">
        <v>20</v>
      </c>
      <c r="E198">
        <v>24.1</v>
      </c>
      <c r="F198">
        <v>24</v>
      </c>
      <c r="G198">
        <v>578.4</v>
      </c>
      <c r="H198" t="s">
        <v>12</v>
      </c>
      <c r="I198" t="str">
        <f t="shared" si="10"/>
        <v>Low Value</v>
      </c>
      <c r="J198" t="str">
        <f t="shared" si="11"/>
        <v>Low Risk</v>
      </c>
      <c r="K198" s="3" t="str">
        <f t="shared" si="9"/>
        <v>1-2 Years</v>
      </c>
    </row>
    <row r="199" spans="1:11" x14ac:dyDescent="0.3">
      <c r="A199" t="s">
        <v>216</v>
      </c>
      <c r="B199" t="s">
        <v>14</v>
      </c>
      <c r="C199" t="s">
        <v>10</v>
      </c>
      <c r="D199" t="s">
        <v>11</v>
      </c>
      <c r="E199">
        <v>111.35</v>
      </c>
      <c r="F199">
        <v>59</v>
      </c>
      <c r="G199">
        <v>6569.65</v>
      </c>
      <c r="H199" t="s">
        <v>12</v>
      </c>
      <c r="I199" t="str">
        <f t="shared" si="10"/>
        <v>High Value</v>
      </c>
      <c r="J199" t="str">
        <f t="shared" si="11"/>
        <v>Low Risk</v>
      </c>
      <c r="K199" s="3" t="str">
        <f t="shared" si="9"/>
        <v>4+ Years</v>
      </c>
    </row>
    <row r="200" spans="1:11" x14ac:dyDescent="0.3">
      <c r="A200" t="s">
        <v>217</v>
      </c>
      <c r="B200" t="s">
        <v>14</v>
      </c>
      <c r="C200" t="s">
        <v>30</v>
      </c>
      <c r="D200" t="s">
        <v>20</v>
      </c>
      <c r="E200">
        <v>112.25</v>
      </c>
      <c r="F200">
        <v>72</v>
      </c>
      <c r="G200">
        <v>8082</v>
      </c>
      <c r="H200" t="s">
        <v>12</v>
      </c>
      <c r="I200" t="str">
        <f t="shared" si="10"/>
        <v>High Value</v>
      </c>
      <c r="J200" t="str">
        <f t="shared" si="11"/>
        <v>Low Risk</v>
      </c>
      <c r="K200" s="3" t="str">
        <f t="shared" si="9"/>
        <v>4+ Years</v>
      </c>
    </row>
    <row r="201" spans="1:11" x14ac:dyDescent="0.3">
      <c r="A201" t="s">
        <v>218</v>
      </c>
      <c r="B201" t="s">
        <v>14</v>
      </c>
      <c r="C201" t="s">
        <v>10</v>
      </c>
      <c r="D201" t="s">
        <v>16</v>
      </c>
      <c r="E201">
        <v>20.75</v>
      </c>
      <c r="F201">
        <v>1</v>
      </c>
      <c r="G201">
        <v>20.75</v>
      </c>
      <c r="H201" t="s">
        <v>12</v>
      </c>
      <c r="I201" t="str">
        <f t="shared" si="10"/>
        <v>Low Value</v>
      </c>
      <c r="J201" t="str">
        <f t="shared" si="11"/>
        <v>High Risk</v>
      </c>
      <c r="K201" s="3" t="str">
        <f t="shared" si="9"/>
        <v>0-1 Year</v>
      </c>
    </row>
    <row r="202" spans="1:11" x14ac:dyDescent="0.3">
      <c r="A202" t="s">
        <v>219</v>
      </c>
      <c r="B202" t="s">
        <v>9</v>
      </c>
      <c r="C202" t="s">
        <v>15</v>
      </c>
      <c r="D202" t="s">
        <v>24</v>
      </c>
      <c r="E202">
        <v>101.9</v>
      </c>
      <c r="F202">
        <v>27</v>
      </c>
      <c r="G202">
        <v>2751.3</v>
      </c>
      <c r="H202" t="s">
        <v>12</v>
      </c>
      <c r="I202" t="str">
        <f t="shared" si="10"/>
        <v>Medium Value</v>
      </c>
      <c r="J202" t="str">
        <f t="shared" si="11"/>
        <v>Low Risk</v>
      </c>
      <c r="K202" s="3" t="str">
        <f t="shared" si="9"/>
        <v>2-4 Years</v>
      </c>
    </row>
    <row r="203" spans="1:11" x14ac:dyDescent="0.3">
      <c r="A203" t="s">
        <v>220</v>
      </c>
      <c r="B203" t="s">
        <v>9</v>
      </c>
      <c r="C203" t="s">
        <v>10</v>
      </c>
      <c r="D203" t="s">
        <v>24</v>
      </c>
      <c r="E203">
        <v>80.05</v>
      </c>
      <c r="F203">
        <v>14</v>
      </c>
      <c r="G203">
        <v>1120.7</v>
      </c>
      <c r="H203" t="s">
        <v>12</v>
      </c>
      <c r="I203" t="str">
        <f t="shared" si="10"/>
        <v>Low Value</v>
      </c>
      <c r="J203" t="str">
        <f t="shared" si="11"/>
        <v>Medium Risk</v>
      </c>
      <c r="K203" s="3" t="str">
        <f t="shared" si="9"/>
        <v>1-2 Years</v>
      </c>
    </row>
    <row r="204" spans="1:11" x14ac:dyDescent="0.3">
      <c r="A204" t="s">
        <v>221</v>
      </c>
      <c r="B204" t="s">
        <v>14</v>
      </c>
      <c r="C204" t="s">
        <v>30</v>
      </c>
      <c r="D204" t="s">
        <v>11</v>
      </c>
      <c r="E204">
        <v>105.55</v>
      </c>
      <c r="F204">
        <v>71</v>
      </c>
      <c r="G204">
        <v>7494.05</v>
      </c>
      <c r="H204" t="s">
        <v>12</v>
      </c>
      <c r="I204" t="str">
        <f t="shared" si="10"/>
        <v>High Value</v>
      </c>
      <c r="J204" t="str">
        <f t="shared" si="11"/>
        <v>Low Risk</v>
      </c>
      <c r="K204" s="3" t="str">
        <f t="shared" si="9"/>
        <v>4+ Years</v>
      </c>
    </row>
    <row r="205" spans="1:11" x14ac:dyDescent="0.3">
      <c r="A205" t="s">
        <v>222</v>
      </c>
      <c r="B205" t="s">
        <v>14</v>
      </c>
      <c r="C205" t="s">
        <v>10</v>
      </c>
      <c r="D205" t="s">
        <v>24</v>
      </c>
      <c r="E205">
        <v>78.3</v>
      </c>
      <c r="F205">
        <v>13</v>
      </c>
      <c r="G205">
        <v>1017.9</v>
      </c>
      <c r="H205" t="s">
        <v>12</v>
      </c>
      <c r="I205" t="str">
        <f t="shared" si="10"/>
        <v>Low Value</v>
      </c>
      <c r="J205" t="str">
        <f t="shared" si="11"/>
        <v>Medium Risk</v>
      </c>
      <c r="K205" s="3" t="str">
        <f t="shared" si="9"/>
        <v>1-2 Years</v>
      </c>
    </row>
    <row r="206" spans="1:11" x14ac:dyDescent="0.3">
      <c r="A206" t="s">
        <v>223</v>
      </c>
      <c r="B206" t="s">
        <v>14</v>
      </c>
      <c r="C206" t="s">
        <v>10</v>
      </c>
      <c r="D206" t="s">
        <v>24</v>
      </c>
      <c r="E206">
        <v>68.849999999999994</v>
      </c>
      <c r="F206">
        <v>44</v>
      </c>
      <c r="G206">
        <v>3029.3999999999901</v>
      </c>
      <c r="H206" t="s">
        <v>12</v>
      </c>
      <c r="I206" t="str">
        <f t="shared" si="10"/>
        <v>Medium Value</v>
      </c>
      <c r="J206" t="str">
        <f t="shared" si="11"/>
        <v>Low Risk</v>
      </c>
      <c r="K206" s="3" t="str">
        <f t="shared" si="9"/>
        <v>2-4 Years</v>
      </c>
    </row>
    <row r="207" spans="1:11" x14ac:dyDescent="0.3">
      <c r="A207" t="s">
        <v>224</v>
      </c>
      <c r="B207" t="s">
        <v>9</v>
      </c>
      <c r="C207" t="s">
        <v>15</v>
      </c>
      <c r="D207" t="s">
        <v>20</v>
      </c>
      <c r="E207">
        <v>79.95</v>
      </c>
      <c r="F207">
        <v>33</v>
      </c>
      <c r="G207">
        <v>2638.35</v>
      </c>
      <c r="H207" t="s">
        <v>12</v>
      </c>
      <c r="I207" t="str">
        <f t="shared" si="10"/>
        <v>Medium Value</v>
      </c>
      <c r="J207" t="str">
        <f t="shared" si="11"/>
        <v>Low Risk</v>
      </c>
      <c r="K207" s="3" t="str">
        <f t="shared" si="9"/>
        <v>2-4 Years</v>
      </c>
    </row>
    <row r="208" spans="1:11" x14ac:dyDescent="0.3">
      <c r="A208" t="s">
        <v>225</v>
      </c>
      <c r="B208" t="s">
        <v>14</v>
      </c>
      <c r="C208" t="s">
        <v>30</v>
      </c>
      <c r="D208" t="s">
        <v>24</v>
      </c>
      <c r="E208">
        <v>55.45</v>
      </c>
      <c r="F208">
        <v>72</v>
      </c>
      <c r="G208">
        <v>3992.4</v>
      </c>
      <c r="H208" t="s">
        <v>12</v>
      </c>
      <c r="I208" t="str">
        <f t="shared" si="10"/>
        <v>Medium Value</v>
      </c>
      <c r="J208" t="str">
        <f t="shared" si="11"/>
        <v>Low Risk</v>
      </c>
      <c r="K208" s="3" t="str">
        <f t="shared" si="9"/>
        <v>4+ Years</v>
      </c>
    </row>
    <row r="209" spans="1:11" x14ac:dyDescent="0.3">
      <c r="A209" t="s">
        <v>226</v>
      </c>
      <c r="B209" t="s">
        <v>14</v>
      </c>
      <c r="C209" t="s">
        <v>10</v>
      </c>
      <c r="D209" t="s">
        <v>11</v>
      </c>
      <c r="E209">
        <v>79.900000000000006</v>
      </c>
      <c r="F209">
        <v>1</v>
      </c>
      <c r="G209">
        <v>79.900000000000006</v>
      </c>
      <c r="H209" t="s">
        <v>18</v>
      </c>
      <c r="I209" t="str">
        <f t="shared" si="10"/>
        <v>Low Value</v>
      </c>
      <c r="J209" t="str">
        <f t="shared" si="11"/>
        <v>High Risk</v>
      </c>
      <c r="K209" s="3" t="str">
        <f t="shared" si="9"/>
        <v>0-1 Year</v>
      </c>
    </row>
    <row r="210" spans="1:11" x14ac:dyDescent="0.3">
      <c r="A210" t="s">
        <v>227</v>
      </c>
      <c r="B210" t="s">
        <v>9</v>
      </c>
      <c r="C210" t="s">
        <v>10</v>
      </c>
      <c r="D210" t="s">
        <v>11</v>
      </c>
      <c r="E210">
        <v>106.6</v>
      </c>
      <c r="F210">
        <v>19</v>
      </c>
      <c r="G210">
        <v>2025.3999999999901</v>
      </c>
      <c r="H210" t="s">
        <v>18</v>
      </c>
      <c r="I210" t="str">
        <f t="shared" si="10"/>
        <v>Medium Value</v>
      </c>
      <c r="J210" t="str">
        <f t="shared" si="11"/>
        <v>Medium Risk</v>
      </c>
      <c r="K210" s="3" t="str">
        <f t="shared" si="9"/>
        <v>1-2 Years</v>
      </c>
    </row>
    <row r="211" spans="1:11" x14ac:dyDescent="0.3">
      <c r="A211" t="s">
        <v>228</v>
      </c>
      <c r="B211" t="s">
        <v>14</v>
      </c>
      <c r="C211" t="s">
        <v>15</v>
      </c>
      <c r="D211" t="s">
        <v>24</v>
      </c>
      <c r="E211">
        <v>102.45</v>
      </c>
      <c r="F211">
        <v>64</v>
      </c>
      <c r="G211">
        <v>6556.8</v>
      </c>
      <c r="H211" t="s">
        <v>12</v>
      </c>
      <c r="I211" t="str">
        <f t="shared" si="10"/>
        <v>High Value</v>
      </c>
      <c r="J211" t="str">
        <f t="shared" si="11"/>
        <v>Low Risk</v>
      </c>
      <c r="K211" s="3" t="str">
        <f t="shared" si="9"/>
        <v>4+ Years</v>
      </c>
    </row>
    <row r="212" spans="1:11" x14ac:dyDescent="0.3">
      <c r="A212" t="s">
        <v>229</v>
      </c>
      <c r="B212" t="s">
        <v>14</v>
      </c>
      <c r="C212" t="s">
        <v>10</v>
      </c>
      <c r="D212" t="s">
        <v>24</v>
      </c>
      <c r="E212">
        <v>46</v>
      </c>
      <c r="F212">
        <v>2</v>
      </c>
      <c r="G212">
        <v>92</v>
      </c>
      <c r="H212" t="s">
        <v>18</v>
      </c>
      <c r="I212" t="str">
        <f t="shared" si="10"/>
        <v>Low Value</v>
      </c>
      <c r="J212" t="str">
        <f t="shared" si="11"/>
        <v>High Risk</v>
      </c>
      <c r="K212" s="3" t="str">
        <f t="shared" si="9"/>
        <v>0-1 Year</v>
      </c>
    </row>
    <row r="213" spans="1:11" x14ac:dyDescent="0.3">
      <c r="A213" t="s">
        <v>230</v>
      </c>
      <c r="B213" t="s">
        <v>9</v>
      </c>
      <c r="C213" t="s">
        <v>10</v>
      </c>
      <c r="D213" t="s">
        <v>11</v>
      </c>
      <c r="E213">
        <v>25.25</v>
      </c>
      <c r="F213">
        <v>1</v>
      </c>
      <c r="G213">
        <v>25.25</v>
      </c>
      <c r="H213" t="s">
        <v>12</v>
      </c>
      <c r="I213" t="str">
        <f t="shared" si="10"/>
        <v>Low Value</v>
      </c>
      <c r="J213" t="str">
        <f t="shared" si="11"/>
        <v>High Risk</v>
      </c>
      <c r="K213" s="3" t="str">
        <f t="shared" si="9"/>
        <v>0-1 Year</v>
      </c>
    </row>
    <row r="214" spans="1:11" x14ac:dyDescent="0.3">
      <c r="A214" t="s">
        <v>231</v>
      </c>
      <c r="B214" t="s">
        <v>14</v>
      </c>
      <c r="C214" t="s">
        <v>30</v>
      </c>
      <c r="D214" t="s">
        <v>16</v>
      </c>
      <c r="E214">
        <v>19.75</v>
      </c>
      <c r="F214">
        <v>61</v>
      </c>
      <c r="G214">
        <v>1204.75</v>
      </c>
      <c r="H214" t="s">
        <v>12</v>
      </c>
      <c r="I214" t="str">
        <f t="shared" si="10"/>
        <v>Low Value</v>
      </c>
      <c r="J214" t="str">
        <f t="shared" si="11"/>
        <v>Low Risk</v>
      </c>
      <c r="K214" s="3" t="str">
        <f t="shared" si="9"/>
        <v>4+ Years</v>
      </c>
    </row>
    <row r="215" spans="1:11" x14ac:dyDescent="0.3">
      <c r="A215" t="s">
        <v>232</v>
      </c>
      <c r="B215" t="s">
        <v>9</v>
      </c>
      <c r="C215" t="s">
        <v>15</v>
      </c>
      <c r="D215" t="s">
        <v>11</v>
      </c>
      <c r="E215">
        <v>20</v>
      </c>
      <c r="F215">
        <v>29</v>
      </c>
      <c r="G215">
        <v>580</v>
      </c>
      <c r="H215" t="s">
        <v>12</v>
      </c>
      <c r="I215" t="str">
        <f t="shared" si="10"/>
        <v>Low Value</v>
      </c>
      <c r="J215" t="str">
        <f t="shared" si="11"/>
        <v>Low Risk</v>
      </c>
      <c r="K215" s="3" t="str">
        <f t="shared" si="9"/>
        <v>2-4 Years</v>
      </c>
    </row>
    <row r="216" spans="1:11" x14ac:dyDescent="0.3">
      <c r="A216" t="s">
        <v>233</v>
      </c>
      <c r="B216" t="s">
        <v>14</v>
      </c>
      <c r="C216" t="s">
        <v>10</v>
      </c>
      <c r="D216" t="s">
        <v>11</v>
      </c>
      <c r="E216">
        <v>86.8</v>
      </c>
      <c r="F216">
        <v>23</v>
      </c>
      <c r="G216">
        <v>1996.3999999999901</v>
      </c>
      <c r="H216" t="s">
        <v>12</v>
      </c>
      <c r="I216" t="str">
        <f t="shared" si="10"/>
        <v>Low Value</v>
      </c>
      <c r="J216" t="str">
        <f t="shared" si="11"/>
        <v>Medium Risk</v>
      </c>
      <c r="K216" s="3" t="str">
        <f t="shared" si="9"/>
        <v>1-2 Years</v>
      </c>
    </row>
    <row r="217" spans="1:11" x14ac:dyDescent="0.3">
      <c r="A217" t="s">
        <v>234</v>
      </c>
      <c r="B217" t="s">
        <v>9</v>
      </c>
      <c r="C217" t="s">
        <v>10</v>
      </c>
      <c r="D217" t="s">
        <v>20</v>
      </c>
      <c r="E217">
        <v>58.75</v>
      </c>
      <c r="F217">
        <v>57</v>
      </c>
      <c r="G217">
        <v>3348.75</v>
      </c>
      <c r="H217" t="s">
        <v>12</v>
      </c>
      <c r="I217" t="str">
        <f t="shared" si="10"/>
        <v>Medium Value</v>
      </c>
      <c r="J217" t="str">
        <f t="shared" si="11"/>
        <v>Low Risk</v>
      </c>
      <c r="K217" s="3" t="str">
        <f t="shared" si="9"/>
        <v>4+ Years</v>
      </c>
    </row>
    <row r="218" spans="1:11" x14ac:dyDescent="0.3">
      <c r="A218" t="s">
        <v>235</v>
      </c>
      <c r="B218" t="s">
        <v>14</v>
      </c>
      <c r="C218" t="s">
        <v>30</v>
      </c>
      <c r="D218" t="s">
        <v>24</v>
      </c>
      <c r="E218">
        <v>45.25</v>
      </c>
      <c r="F218">
        <v>72</v>
      </c>
      <c r="G218">
        <v>3258</v>
      </c>
      <c r="H218" t="s">
        <v>12</v>
      </c>
      <c r="I218" t="str">
        <f t="shared" si="10"/>
        <v>Medium Value</v>
      </c>
      <c r="J218" t="str">
        <f t="shared" si="11"/>
        <v>Low Risk</v>
      </c>
      <c r="K218" s="3" t="str">
        <f t="shared" si="9"/>
        <v>4+ Years</v>
      </c>
    </row>
    <row r="219" spans="1:11" x14ac:dyDescent="0.3">
      <c r="A219" t="s">
        <v>236</v>
      </c>
      <c r="B219" t="s">
        <v>14</v>
      </c>
      <c r="C219" t="s">
        <v>30</v>
      </c>
      <c r="D219" t="s">
        <v>20</v>
      </c>
      <c r="E219">
        <v>56.6</v>
      </c>
      <c r="F219">
        <v>66</v>
      </c>
      <c r="G219">
        <v>3735.6</v>
      </c>
      <c r="H219" t="s">
        <v>12</v>
      </c>
      <c r="I219" t="str">
        <f t="shared" si="10"/>
        <v>Medium Value</v>
      </c>
      <c r="J219" t="str">
        <f t="shared" si="11"/>
        <v>Low Risk</v>
      </c>
      <c r="K219" s="3" t="str">
        <f t="shared" si="9"/>
        <v>4+ Years</v>
      </c>
    </row>
    <row r="220" spans="1:11" x14ac:dyDescent="0.3">
      <c r="A220" t="s">
        <v>237</v>
      </c>
      <c r="B220" t="s">
        <v>14</v>
      </c>
      <c r="C220" t="s">
        <v>30</v>
      </c>
      <c r="D220" t="s">
        <v>20</v>
      </c>
      <c r="E220">
        <v>84.2</v>
      </c>
      <c r="F220">
        <v>65</v>
      </c>
      <c r="G220">
        <v>5473</v>
      </c>
      <c r="H220" t="s">
        <v>12</v>
      </c>
      <c r="I220" t="str">
        <f t="shared" si="10"/>
        <v>High Value</v>
      </c>
      <c r="J220" t="str">
        <f t="shared" si="11"/>
        <v>Low Risk</v>
      </c>
      <c r="K220" s="3" t="str">
        <f t="shared" si="9"/>
        <v>4+ Years</v>
      </c>
    </row>
    <row r="221" spans="1:11" x14ac:dyDescent="0.3">
      <c r="A221" t="s">
        <v>238</v>
      </c>
      <c r="B221" t="s">
        <v>9</v>
      </c>
      <c r="C221" t="s">
        <v>10</v>
      </c>
      <c r="D221" t="s">
        <v>20</v>
      </c>
      <c r="E221">
        <v>80</v>
      </c>
      <c r="F221">
        <v>8</v>
      </c>
      <c r="G221">
        <v>640</v>
      </c>
      <c r="H221" t="s">
        <v>12</v>
      </c>
      <c r="I221" t="str">
        <f t="shared" si="10"/>
        <v>Low Value</v>
      </c>
      <c r="J221" t="str">
        <f t="shared" si="11"/>
        <v>High Risk</v>
      </c>
      <c r="K221" s="3" t="str">
        <f t="shared" si="9"/>
        <v>0-1 Year</v>
      </c>
    </row>
    <row r="222" spans="1:11" x14ac:dyDescent="0.3">
      <c r="A222" t="s">
        <v>239</v>
      </c>
      <c r="B222" t="s">
        <v>9</v>
      </c>
      <c r="C222" t="s">
        <v>10</v>
      </c>
      <c r="D222" t="s">
        <v>11</v>
      </c>
      <c r="E222">
        <v>70.150000000000006</v>
      </c>
      <c r="F222">
        <v>4</v>
      </c>
      <c r="G222">
        <v>280.60000000000002</v>
      </c>
      <c r="H222" t="s">
        <v>18</v>
      </c>
      <c r="I222" t="str">
        <f t="shared" si="10"/>
        <v>Low Value</v>
      </c>
      <c r="J222" t="str">
        <f t="shared" si="11"/>
        <v>High Risk</v>
      </c>
      <c r="K222" s="3" t="str">
        <f t="shared" si="9"/>
        <v>0-1 Year</v>
      </c>
    </row>
    <row r="223" spans="1:11" x14ac:dyDescent="0.3">
      <c r="A223" t="s">
        <v>240</v>
      </c>
      <c r="B223" t="s">
        <v>9</v>
      </c>
      <c r="C223" t="s">
        <v>30</v>
      </c>
      <c r="D223" t="s">
        <v>20</v>
      </c>
      <c r="E223">
        <v>24.75</v>
      </c>
      <c r="F223">
        <v>71</v>
      </c>
      <c r="G223">
        <v>1757.25</v>
      </c>
      <c r="H223" t="s">
        <v>12</v>
      </c>
      <c r="I223" t="str">
        <f t="shared" si="10"/>
        <v>Low Value</v>
      </c>
      <c r="J223" t="str">
        <f t="shared" si="11"/>
        <v>Low Risk</v>
      </c>
      <c r="K223" s="3" t="str">
        <f t="shared" si="9"/>
        <v>4+ Years</v>
      </c>
    </row>
    <row r="224" spans="1:11" x14ac:dyDescent="0.3">
      <c r="A224" t="s">
        <v>241</v>
      </c>
      <c r="B224" t="s">
        <v>14</v>
      </c>
      <c r="C224" t="s">
        <v>15</v>
      </c>
      <c r="D224" t="s">
        <v>11</v>
      </c>
      <c r="E224">
        <v>20.2</v>
      </c>
      <c r="F224">
        <v>1</v>
      </c>
      <c r="G224">
        <v>20.2</v>
      </c>
      <c r="H224" t="s">
        <v>12</v>
      </c>
      <c r="I224" t="str">
        <f t="shared" si="10"/>
        <v>Low Value</v>
      </c>
      <c r="J224" t="str">
        <f t="shared" si="11"/>
        <v>High Risk</v>
      </c>
      <c r="K224" s="3" t="str">
        <f t="shared" si="9"/>
        <v>0-1 Year</v>
      </c>
    </row>
    <row r="225" spans="1:11" x14ac:dyDescent="0.3">
      <c r="A225" t="s">
        <v>242</v>
      </c>
      <c r="B225" t="s">
        <v>14</v>
      </c>
      <c r="C225" t="s">
        <v>10</v>
      </c>
      <c r="D225" t="s">
        <v>16</v>
      </c>
      <c r="E225">
        <v>50.05</v>
      </c>
      <c r="F225">
        <v>4</v>
      </c>
      <c r="G225">
        <v>200.2</v>
      </c>
      <c r="H225" t="s">
        <v>18</v>
      </c>
      <c r="I225" t="str">
        <f t="shared" si="10"/>
        <v>Low Value</v>
      </c>
      <c r="J225" t="str">
        <f t="shared" si="11"/>
        <v>High Risk</v>
      </c>
      <c r="K225" s="3" t="str">
        <f t="shared" si="9"/>
        <v>0-1 Year</v>
      </c>
    </row>
    <row r="226" spans="1:11" x14ac:dyDescent="0.3">
      <c r="A226" t="s">
        <v>243</v>
      </c>
      <c r="B226" t="s">
        <v>9</v>
      </c>
      <c r="C226" t="s">
        <v>15</v>
      </c>
      <c r="D226" t="s">
        <v>20</v>
      </c>
      <c r="E226">
        <v>19.350000000000001</v>
      </c>
      <c r="F226">
        <v>12</v>
      </c>
      <c r="G226">
        <v>232.2</v>
      </c>
      <c r="H226" t="s">
        <v>12</v>
      </c>
      <c r="I226" t="str">
        <f t="shared" si="10"/>
        <v>Low Value</v>
      </c>
      <c r="J226" t="str">
        <f t="shared" si="11"/>
        <v>Medium Risk</v>
      </c>
      <c r="K226" s="3" t="str">
        <f t="shared" si="9"/>
        <v>0-1 Year</v>
      </c>
    </row>
    <row r="227" spans="1:11" x14ac:dyDescent="0.3">
      <c r="A227" t="s">
        <v>244</v>
      </c>
      <c r="B227" t="s">
        <v>14</v>
      </c>
      <c r="C227" t="s">
        <v>15</v>
      </c>
      <c r="D227" t="s">
        <v>16</v>
      </c>
      <c r="E227">
        <v>50.6</v>
      </c>
      <c r="F227">
        <v>24</v>
      </c>
      <c r="G227">
        <v>1214.4000000000001</v>
      </c>
      <c r="H227" t="s">
        <v>12</v>
      </c>
      <c r="I227" t="str">
        <f t="shared" si="10"/>
        <v>Low Value</v>
      </c>
      <c r="J227" t="str">
        <f t="shared" si="11"/>
        <v>Low Risk</v>
      </c>
      <c r="K227" s="3" t="str">
        <f t="shared" si="9"/>
        <v>1-2 Years</v>
      </c>
    </row>
    <row r="228" spans="1:11" x14ac:dyDescent="0.3">
      <c r="A228" t="s">
        <v>245</v>
      </c>
      <c r="B228" t="s">
        <v>9</v>
      </c>
      <c r="C228" t="s">
        <v>15</v>
      </c>
      <c r="D228" t="s">
        <v>16</v>
      </c>
      <c r="E228">
        <v>81.150000000000006</v>
      </c>
      <c r="F228">
        <v>31</v>
      </c>
      <c r="G228">
        <v>2515.65</v>
      </c>
      <c r="H228" t="s">
        <v>12</v>
      </c>
      <c r="I228" t="str">
        <f t="shared" si="10"/>
        <v>Medium Value</v>
      </c>
      <c r="J228" t="str">
        <f t="shared" si="11"/>
        <v>Low Risk</v>
      </c>
      <c r="K228" s="3" t="str">
        <f t="shared" si="9"/>
        <v>2-4 Years</v>
      </c>
    </row>
    <row r="229" spans="1:11" x14ac:dyDescent="0.3">
      <c r="A229" t="s">
        <v>246</v>
      </c>
      <c r="B229" t="s">
        <v>9</v>
      </c>
      <c r="C229" t="s">
        <v>10</v>
      </c>
      <c r="D229" t="s">
        <v>16</v>
      </c>
      <c r="E229">
        <v>55.2</v>
      </c>
      <c r="F229">
        <v>1</v>
      </c>
      <c r="G229">
        <v>55.2</v>
      </c>
      <c r="H229" t="s">
        <v>18</v>
      </c>
      <c r="I229" t="str">
        <f t="shared" si="10"/>
        <v>Low Value</v>
      </c>
      <c r="J229" t="str">
        <f t="shared" si="11"/>
        <v>High Risk</v>
      </c>
      <c r="K229" s="3" t="str">
        <f t="shared" si="9"/>
        <v>0-1 Year</v>
      </c>
    </row>
    <row r="230" spans="1:11" x14ac:dyDescent="0.3">
      <c r="A230" t="s">
        <v>247</v>
      </c>
      <c r="B230" t="s">
        <v>14</v>
      </c>
      <c r="C230" t="s">
        <v>10</v>
      </c>
      <c r="D230" t="s">
        <v>24</v>
      </c>
      <c r="E230">
        <v>89.9</v>
      </c>
      <c r="F230">
        <v>30</v>
      </c>
      <c r="G230">
        <v>2697</v>
      </c>
      <c r="H230" t="s">
        <v>12</v>
      </c>
      <c r="I230" t="str">
        <f t="shared" si="10"/>
        <v>Medium Value</v>
      </c>
      <c r="J230" t="str">
        <f t="shared" si="11"/>
        <v>Low Risk</v>
      </c>
      <c r="K230" s="3" t="str">
        <f t="shared" si="9"/>
        <v>2-4 Years</v>
      </c>
    </row>
    <row r="231" spans="1:11" x14ac:dyDescent="0.3">
      <c r="A231" t="s">
        <v>248</v>
      </c>
      <c r="B231" t="s">
        <v>9</v>
      </c>
      <c r="C231" t="s">
        <v>30</v>
      </c>
      <c r="D231" t="s">
        <v>24</v>
      </c>
      <c r="E231">
        <v>85.3</v>
      </c>
      <c r="F231">
        <v>47</v>
      </c>
      <c r="G231">
        <v>4009.1</v>
      </c>
      <c r="H231" t="s">
        <v>12</v>
      </c>
      <c r="I231" t="str">
        <f t="shared" si="10"/>
        <v>Medium Value</v>
      </c>
      <c r="J231" t="str">
        <f t="shared" si="11"/>
        <v>Low Risk</v>
      </c>
      <c r="K231" s="3" t="str">
        <f t="shared" si="9"/>
        <v>2-4 Years</v>
      </c>
    </row>
    <row r="232" spans="1:11" x14ac:dyDescent="0.3">
      <c r="A232" t="s">
        <v>249</v>
      </c>
      <c r="B232" t="s">
        <v>14</v>
      </c>
      <c r="C232" t="s">
        <v>30</v>
      </c>
      <c r="D232" t="s">
        <v>24</v>
      </c>
      <c r="E232">
        <v>108</v>
      </c>
      <c r="F232">
        <v>54</v>
      </c>
      <c r="G232">
        <v>5832</v>
      </c>
      <c r="H232" t="s">
        <v>12</v>
      </c>
      <c r="I232" t="str">
        <f t="shared" si="10"/>
        <v>High Value</v>
      </c>
      <c r="J232" t="str">
        <f t="shared" si="11"/>
        <v>Low Risk</v>
      </c>
      <c r="K232" s="3" t="str">
        <f t="shared" si="9"/>
        <v>4+ Years</v>
      </c>
    </row>
    <row r="233" spans="1:11" x14ac:dyDescent="0.3">
      <c r="A233" t="s">
        <v>250</v>
      </c>
      <c r="B233" t="s">
        <v>14</v>
      </c>
      <c r="C233" t="s">
        <v>10</v>
      </c>
      <c r="D233" t="s">
        <v>24</v>
      </c>
      <c r="E233">
        <v>93.5</v>
      </c>
      <c r="F233">
        <v>50</v>
      </c>
      <c r="G233">
        <v>4675</v>
      </c>
      <c r="H233" t="s">
        <v>12</v>
      </c>
      <c r="I233" t="str">
        <f t="shared" si="10"/>
        <v>Medium Value</v>
      </c>
      <c r="J233" t="str">
        <f t="shared" si="11"/>
        <v>Low Risk</v>
      </c>
      <c r="K233" s="3" t="str">
        <f t="shared" si="9"/>
        <v>4+ Years</v>
      </c>
    </row>
    <row r="234" spans="1:11" x14ac:dyDescent="0.3">
      <c r="A234" t="s">
        <v>251</v>
      </c>
      <c r="B234" t="s">
        <v>14</v>
      </c>
      <c r="C234" t="s">
        <v>10</v>
      </c>
      <c r="D234" t="s">
        <v>16</v>
      </c>
      <c r="E234">
        <v>84.6</v>
      </c>
      <c r="F234">
        <v>1</v>
      </c>
      <c r="G234">
        <v>84.6</v>
      </c>
      <c r="H234" t="s">
        <v>18</v>
      </c>
      <c r="I234" t="str">
        <f t="shared" si="10"/>
        <v>Low Value</v>
      </c>
      <c r="J234" t="str">
        <f t="shared" si="11"/>
        <v>High Risk</v>
      </c>
      <c r="K234" s="3" t="str">
        <f t="shared" si="9"/>
        <v>0-1 Year</v>
      </c>
    </row>
    <row r="235" spans="1:11" x14ac:dyDescent="0.3">
      <c r="A235" t="s">
        <v>252</v>
      </c>
      <c r="B235" t="s">
        <v>9</v>
      </c>
      <c r="C235" t="s">
        <v>30</v>
      </c>
      <c r="D235" t="s">
        <v>24</v>
      </c>
      <c r="E235">
        <v>20.25</v>
      </c>
      <c r="F235">
        <v>72</v>
      </c>
      <c r="G235">
        <v>1458</v>
      </c>
      <c r="H235" t="s">
        <v>12</v>
      </c>
      <c r="I235" t="str">
        <f t="shared" si="10"/>
        <v>Low Value</v>
      </c>
      <c r="J235" t="str">
        <f t="shared" si="11"/>
        <v>Low Risk</v>
      </c>
      <c r="K235" s="3" t="str">
        <f t="shared" si="9"/>
        <v>4+ Years</v>
      </c>
    </row>
    <row r="236" spans="1:11" x14ac:dyDescent="0.3">
      <c r="A236" t="s">
        <v>253</v>
      </c>
      <c r="B236" t="s">
        <v>9</v>
      </c>
      <c r="C236" t="s">
        <v>10</v>
      </c>
      <c r="D236" t="s">
        <v>11</v>
      </c>
      <c r="E236">
        <v>25.15</v>
      </c>
      <c r="F236">
        <v>29</v>
      </c>
      <c r="G236">
        <v>729.349999999999</v>
      </c>
      <c r="H236" t="s">
        <v>12</v>
      </c>
      <c r="I236" t="str">
        <f t="shared" si="10"/>
        <v>Low Value</v>
      </c>
      <c r="J236" t="str">
        <f t="shared" si="11"/>
        <v>Low Risk</v>
      </c>
      <c r="K236" s="3" t="str">
        <f t="shared" si="9"/>
        <v>2-4 Years</v>
      </c>
    </row>
    <row r="237" spans="1:11" x14ac:dyDescent="0.3">
      <c r="A237" t="s">
        <v>254</v>
      </c>
      <c r="B237" t="s">
        <v>14</v>
      </c>
      <c r="C237" t="s">
        <v>10</v>
      </c>
      <c r="D237" t="s">
        <v>16</v>
      </c>
      <c r="E237">
        <v>54.4</v>
      </c>
      <c r="F237">
        <v>2</v>
      </c>
      <c r="G237">
        <v>108.8</v>
      </c>
      <c r="H237" t="s">
        <v>18</v>
      </c>
      <c r="I237" t="str">
        <f t="shared" si="10"/>
        <v>Low Value</v>
      </c>
      <c r="J237" t="str">
        <f t="shared" si="11"/>
        <v>High Risk</v>
      </c>
      <c r="K237" s="3" t="str">
        <f t="shared" si="9"/>
        <v>0-1 Year</v>
      </c>
    </row>
    <row r="238" spans="1:11" x14ac:dyDescent="0.3">
      <c r="A238" t="s">
        <v>255</v>
      </c>
      <c r="B238" t="s">
        <v>9</v>
      </c>
      <c r="C238" t="s">
        <v>30</v>
      </c>
      <c r="D238" t="s">
        <v>16</v>
      </c>
      <c r="E238">
        <v>29.6</v>
      </c>
      <c r="F238">
        <v>10</v>
      </c>
      <c r="G238">
        <v>296</v>
      </c>
      <c r="H238" t="s">
        <v>12</v>
      </c>
      <c r="I238" t="str">
        <f t="shared" si="10"/>
        <v>Low Value</v>
      </c>
      <c r="J238" t="str">
        <f t="shared" si="11"/>
        <v>High Risk</v>
      </c>
      <c r="K238" s="3" t="str">
        <f t="shared" si="9"/>
        <v>0-1 Year</v>
      </c>
    </row>
    <row r="239" spans="1:11" x14ac:dyDescent="0.3">
      <c r="A239" t="s">
        <v>256</v>
      </c>
      <c r="B239" t="s">
        <v>14</v>
      </c>
      <c r="C239" t="s">
        <v>10</v>
      </c>
      <c r="D239" t="s">
        <v>11</v>
      </c>
      <c r="E239">
        <v>73.150000000000006</v>
      </c>
      <c r="F239">
        <v>18</v>
      </c>
      <c r="G239">
        <v>1316.7</v>
      </c>
      <c r="H239" t="s">
        <v>12</v>
      </c>
      <c r="I239" t="str">
        <f t="shared" si="10"/>
        <v>Low Value</v>
      </c>
      <c r="J239" t="str">
        <f t="shared" si="11"/>
        <v>Medium Risk</v>
      </c>
      <c r="K239" s="3" t="str">
        <f t="shared" si="9"/>
        <v>1-2 Years</v>
      </c>
    </row>
    <row r="240" spans="1:11" x14ac:dyDescent="0.3">
      <c r="A240" t="s">
        <v>257</v>
      </c>
      <c r="B240" t="s">
        <v>9</v>
      </c>
      <c r="C240" t="s">
        <v>10</v>
      </c>
      <c r="D240" t="s">
        <v>11</v>
      </c>
      <c r="E240">
        <v>95</v>
      </c>
      <c r="F240">
        <v>11</v>
      </c>
      <c r="G240">
        <v>1045</v>
      </c>
      <c r="H240" t="s">
        <v>18</v>
      </c>
      <c r="I240" t="str">
        <f t="shared" si="10"/>
        <v>Low Value</v>
      </c>
      <c r="J240" t="str">
        <f t="shared" si="11"/>
        <v>High Risk</v>
      </c>
      <c r="K240" s="3" t="str">
        <f t="shared" si="9"/>
        <v>0-1 Year</v>
      </c>
    </row>
    <row r="241" spans="1:11" x14ac:dyDescent="0.3">
      <c r="A241" t="s">
        <v>258</v>
      </c>
      <c r="B241" t="s">
        <v>14</v>
      </c>
      <c r="C241" t="s">
        <v>30</v>
      </c>
      <c r="D241" t="s">
        <v>16</v>
      </c>
      <c r="E241">
        <v>19.75</v>
      </c>
      <c r="F241">
        <v>16</v>
      </c>
      <c r="G241">
        <v>316</v>
      </c>
      <c r="H241" t="s">
        <v>12</v>
      </c>
      <c r="I241" t="str">
        <f t="shared" si="10"/>
        <v>Low Value</v>
      </c>
      <c r="J241" t="str">
        <f t="shared" si="11"/>
        <v>Medium Risk</v>
      </c>
      <c r="K241" s="3" t="str">
        <f t="shared" si="9"/>
        <v>1-2 Years</v>
      </c>
    </row>
    <row r="242" spans="1:11" x14ac:dyDescent="0.3">
      <c r="A242" t="s">
        <v>259</v>
      </c>
      <c r="B242" t="s">
        <v>9</v>
      </c>
      <c r="C242" t="s">
        <v>30</v>
      </c>
      <c r="D242" t="s">
        <v>20</v>
      </c>
      <c r="E242">
        <v>86.6</v>
      </c>
      <c r="F242">
        <v>72</v>
      </c>
      <c r="G242">
        <v>6235.2</v>
      </c>
      <c r="H242" t="s">
        <v>12</v>
      </c>
      <c r="I242" t="str">
        <f t="shared" si="10"/>
        <v>High Value</v>
      </c>
      <c r="J242" t="str">
        <f t="shared" si="11"/>
        <v>Low Risk</v>
      </c>
      <c r="K242" s="3" t="str">
        <f t="shared" si="9"/>
        <v>4+ Years</v>
      </c>
    </row>
    <row r="243" spans="1:11" x14ac:dyDescent="0.3">
      <c r="A243" t="s">
        <v>260</v>
      </c>
      <c r="B243" t="s">
        <v>14</v>
      </c>
      <c r="C243" t="s">
        <v>30</v>
      </c>
      <c r="D243" t="s">
        <v>20</v>
      </c>
      <c r="E243">
        <v>109.2</v>
      </c>
      <c r="F243">
        <v>72</v>
      </c>
      <c r="G243">
        <v>7862.4</v>
      </c>
      <c r="H243" t="s">
        <v>12</v>
      </c>
      <c r="I243" t="str">
        <f t="shared" si="10"/>
        <v>High Value</v>
      </c>
      <c r="J243" t="str">
        <f t="shared" si="11"/>
        <v>Low Risk</v>
      </c>
      <c r="K243" s="3" t="str">
        <f t="shared" si="9"/>
        <v>4+ Years</v>
      </c>
    </row>
    <row r="244" spans="1:11" x14ac:dyDescent="0.3">
      <c r="A244" t="s">
        <v>261</v>
      </c>
      <c r="B244" t="s">
        <v>9</v>
      </c>
      <c r="C244" t="s">
        <v>15</v>
      </c>
      <c r="D244" t="s">
        <v>24</v>
      </c>
      <c r="E244">
        <v>74.7</v>
      </c>
      <c r="F244">
        <v>41</v>
      </c>
      <c r="G244">
        <v>3062.7</v>
      </c>
      <c r="H244" t="s">
        <v>12</v>
      </c>
      <c r="I244" t="str">
        <f t="shared" si="10"/>
        <v>Medium Value</v>
      </c>
      <c r="J244" t="str">
        <f t="shared" si="11"/>
        <v>Low Risk</v>
      </c>
      <c r="K244" s="3" t="str">
        <f t="shared" si="9"/>
        <v>2-4 Years</v>
      </c>
    </row>
    <row r="245" spans="1:11" x14ac:dyDescent="0.3">
      <c r="A245" t="s">
        <v>262</v>
      </c>
      <c r="B245" t="s">
        <v>9</v>
      </c>
      <c r="C245" t="s">
        <v>10</v>
      </c>
      <c r="D245" t="s">
        <v>11</v>
      </c>
      <c r="E245">
        <v>94.4</v>
      </c>
      <c r="F245">
        <v>65</v>
      </c>
      <c r="G245">
        <v>6136</v>
      </c>
      <c r="H245" t="s">
        <v>12</v>
      </c>
      <c r="I245" t="str">
        <f t="shared" si="10"/>
        <v>High Value</v>
      </c>
      <c r="J245" t="str">
        <f t="shared" si="11"/>
        <v>Low Risk</v>
      </c>
      <c r="K245" s="3" t="str">
        <f t="shared" si="9"/>
        <v>4+ Years</v>
      </c>
    </row>
    <row r="246" spans="1:11" x14ac:dyDescent="0.3">
      <c r="A246" t="s">
        <v>263</v>
      </c>
      <c r="B246" t="s">
        <v>9</v>
      </c>
      <c r="C246" t="s">
        <v>10</v>
      </c>
      <c r="D246" t="s">
        <v>11</v>
      </c>
      <c r="E246">
        <v>54.8</v>
      </c>
      <c r="F246">
        <v>13</v>
      </c>
      <c r="G246">
        <v>712.4</v>
      </c>
      <c r="H246" t="s">
        <v>12</v>
      </c>
      <c r="I246" t="str">
        <f t="shared" si="10"/>
        <v>Low Value</v>
      </c>
      <c r="J246" t="str">
        <f t="shared" si="11"/>
        <v>Medium Risk</v>
      </c>
      <c r="K246" s="3" t="str">
        <f t="shared" si="9"/>
        <v>1-2 Years</v>
      </c>
    </row>
    <row r="247" spans="1:11" x14ac:dyDescent="0.3">
      <c r="A247" t="s">
        <v>264</v>
      </c>
      <c r="B247" t="s">
        <v>14</v>
      </c>
      <c r="C247" t="s">
        <v>10</v>
      </c>
      <c r="D247" t="s">
        <v>11</v>
      </c>
      <c r="E247">
        <v>75.349999999999994</v>
      </c>
      <c r="F247">
        <v>4</v>
      </c>
      <c r="G247">
        <v>301.39999999999998</v>
      </c>
      <c r="H247" t="s">
        <v>12</v>
      </c>
      <c r="I247" t="str">
        <f t="shared" si="10"/>
        <v>Low Value</v>
      </c>
      <c r="J247" t="str">
        <f t="shared" si="11"/>
        <v>High Risk</v>
      </c>
      <c r="K247" s="3" t="str">
        <f t="shared" si="9"/>
        <v>0-1 Year</v>
      </c>
    </row>
    <row r="248" spans="1:11" x14ac:dyDescent="0.3">
      <c r="A248" t="s">
        <v>265</v>
      </c>
      <c r="B248" t="s">
        <v>14</v>
      </c>
      <c r="C248" t="s">
        <v>15</v>
      </c>
      <c r="D248" t="s">
        <v>16</v>
      </c>
      <c r="E248">
        <v>65</v>
      </c>
      <c r="F248">
        <v>41</v>
      </c>
      <c r="G248">
        <v>2665</v>
      </c>
      <c r="H248" t="s">
        <v>12</v>
      </c>
      <c r="I248" t="str">
        <f t="shared" si="10"/>
        <v>Medium Value</v>
      </c>
      <c r="J248" t="str">
        <f t="shared" si="11"/>
        <v>Low Risk</v>
      </c>
      <c r="K248" s="3" t="str">
        <f t="shared" si="9"/>
        <v>2-4 Years</v>
      </c>
    </row>
    <row r="249" spans="1:11" x14ac:dyDescent="0.3">
      <c r="A249" t="s">
        <v>266</v>
      </c>
      <c r="B249" t="s">
        <v>14</v>
      </c>
      <c r="C249" t="s">
        <v>10</v>
      </c>
      <c r="D249" t="s">
        <v>11</v>
      </c>
      <c r="E249">
        <v>74.400000000000006</v>
      </c>
      <c r="F249">
        <v>15</v>
      </c>
      <c r="G249">
        <v>1116</v>
      </c>
      <c r="H249" t="s">
        <v>18</v>
      </c>
      <c r="I249" t="str">
        <f t="shared" si="10"/>
        <v>Low Value</v>
      </c>
      <c r="J249" t="str">
        <f t="shared" si="11"/>
        <v>Medium Risk</v>
      </c>
      <c r="K249" s="3" t="str">
        <f t="shared" si="9"/>
        <v>1-2 Years</v>
      </c>
    </row>
    <row r="250" spans="1:11" x14ac:dyDescent="0.3">
      <c r="A250" t="s">
        <v>267</v>
      </c>
      <c r="B250" t="s">
        <v>14</v>
      </c>
      <c r="C250" t="s">
        <v>10</v>
      </c>
      <c r="D250" t="s">
        <v>16</v>
      </c>
      <c r="E250">
        <v>48.55</v>
      </c>
      <c r="F250">
        <v>1</v>
      </c>
      <c r="G250">
        <v>48.55</v>
      </c>
      <c r="H250" t="s">
        <v>18</v>
      </c>
      <c r="I250" t="str">
        <f t="shared" si="10"/>
        <v>Low Value</v>
      </c>
      <c r="J250" t="str">
        <f t="shared" si="11"/>
        <v>High Risk</v>
      </c>
      <c r="K250" s="3" t="str">
        <f t="shared" si="9"/>
        <v>0-1 Year</v>
      </c>
    </row>
    <row r="251" spans="1:11" x14ac:dyDescent="0.3">
      <c r="A251" t="s">
        <v>268</v>
      </c>
      <c r="B251" t="s">
        <v>14</v>
      </c>
      <c r="C251" t="s">
        <v>15</v>
      </c>
      <c r="D251" t="s">
        <v>11</v>
      </c>
      <c r="E251">
        <v>99</v>
      </c>
      <c r="F251">
        <v>42</v>
      </c>
      <c r="G251">
        <v>4158</v>
      </c>
      <c r="H251" t="s">
        <v>12</v>
      </c>
      <c r="I251" t="str">
        <f t="shared" si="10"/>
        <v>Medium Value</v>
      </c>
      <c r="J251" t="str">
        <f t="shared" si="11"/>
        <v>Low Risk</v>
      </c>
      <c r="K251" s="3" t="str">
        <f t="shared" si="9"/>
        <v>2-4 Years</v>
      </c>
    </row>
    <row r="252" spans="1:11" x14ac:dyDescent="0.3">
      <c r="A252" t="s">
        <v>269</v>
      </c>
      <c r="B252" t="s">
        <v>9</v>
      </c>
      <c r="C252" t="s">
        <v>15</v>
      </c>
      <c r="D252" t="s">
        <v>11</v>
      </c>
      <c r="E252">
        <v>93.5</v>
      </c>
      <c r="F252">
        <v>51</v>
      </c>
      <c r="G252">
        <v>4768.5</v>
      </c>
      <c r="H252" t="s">
        <v>12</v>
      </c>
      <c r="I252" t="str">
        <f t="shared" si="10"/>
        <v>Medium Value</v>
      </c>
      <c r="J252" t="str">
        <f t="shared" si="11"/>
        <v>Low Risk</v>
      </c>
      <c r="K252" s="3" t="str">
        <f t="shared" si="9"/>
        <v>4+ Years</v>
      </c>
    </row>
    <row r="253" spans="1:11" x14ac:dyDescent="0.3">
      <c r="A253" t="s">
        <v>270</v>
      </c>
      <c r="B253" t="s">
        <v>9</v>
      </c>
      <c r="C253" t="s">
        <v>10</v>
      </c>
      <c r="D253" t="s">
        <v>11</v>
      </c>
      <c r="E253">
        <v>70.400000000000006</v>
      </c>
      <c r="F253">
        <v>2</v>
      </c>
      <c r="G253">
        <v>140.80000000000001</v>
      </c>
      <c r="H253" t="s">
        <v>18</v>
      </c>
      <c r="I253" t="str">
        <f t="shared" si="10"/>
        <v>Low Value</v>
      </c>
      <c r="J253" t="str">
        <f t="shared" si="11"/>
        <v>High Risk</v>
      </c>
      <c r="K253" s="3" t="str">
        <f t="shared" si="9"/>
        <v>0-1 Year</v>
      </c>
    </row>
    <row r="254" spans="1:11" x14ac:dyDescent="0.3">
      <c r="A254" t="s">
        <v>271</v>
      </c>
      <c r="B254" t="s">
        <v>14</v>
      </c>
      <c r="C254" t="s">
        <v>10</v>
      </c>
      <c r="D254" t="s">
        <v>11</v>
      </c>
      <c r="E254">
        <v>40.200000000000003</v>
      </c>
      <c r="F254">
        <v>1</v>
      </c>
      <c r="G254">
        <v>40.200000000000003</v>
      </c>
      <c r="H254" t="s">
        <v>18</v>
      </c>
      <c r="I254" t="str">
        <f t="shared" si="10"/>
        <v>Low Value</v>
      </c>
      <c r="J254" t="str">
        <f t="shared" si="11"/>
        <v>High Risk</v>
      </c>
      <c r="K254" s="3" t="str">
        <f t="shared" si="9"/>
        <v>0-1 Year</v>
      </c>
    </row>
    <row r="255" spans="1:11" x14ac:dyDescent="0.3">
      <c r="A255" t="s">
        <v>272</v>
      </c>
      <c r="B255" t="s">
        <v>14</v>
      </c>
      <c r="C255" t="s">
        <v>15</v>
      </c>
      <c r="D255" t="s">
        <v>24</v>
      </c>
      <c r="E255">
        <v>83.7</v>
      </c>
      <c r="F255">
        <v>32</v>
      </c>
      <c r="G255">
        <v>2678.4</v>
      </c>
      <c r="H255" t="s">
        <v>12</v>
      </c>
      <c r="I255" t="str">
        <f t="shared" si="10"/>
        <v>Medium Value</v>
      </c>
      <c r="J255" t="str">
        <f t="shared" si="11"/>
        <v>Low Risk</v>
      </c>
      <c r="K255" s="3" t="str">
        <f t="shared" si="9"/>
        <v>2-4 Years</v>
      </c>
    </row>
    <row r="256" spans="1:11" x14ac:dyDescent="0.3">
      <c r="A256" t="s">
        <v>273</v>
      </c>
      <c r="B256" t="s">
        <v>14</v>
      </c>
      <c r="C256" t="s">
        <v>10</v>
      </c>
      <c r="D256" t="s">
        <v>16</v>
      </c>
      <c r="E256">
        <v>19.850000000000001</v>
      </c>
      <c r="F256">
        <v>10</v>
      </c>
      <c r="G256">
        <v>198.5</v>
      </c>
      <c r="H256" t="s">
        <v>12</v>
      </c>
      <c r="I256" t="str">
        <f t="shared" si="10"/>
        <v>Low Value</v>
      </c>
      <c r="J256" t="str">
        <f t="shared" si="11"/>
        <v>High Risk</v>
      </c>
      <c r="K256" s="3" t="str">
        <f t="shared" si="9"/>
        <v>0-1 Year</v>
      </c>
    </row>
    <row r="257" spans="1:11" x14ac:dyDescent="0.3">
      <c r="A257" t="s">
        <v>274</v>
      </c>
      <c r="B257" t="s">
        <v>9</v>
      </c>
      <c r="C257" t="s">
        <v>30</v>
      </c>
      <c r="D257" t="s">
        <v>11</v>
      </c>
      <c r="E257">
        <v>59.55</v>
      </c>
      <c r="F257">
        <v>67</v>
      </c>
      <c r="G257">
        <v>3989.85</v>
      </c>
      <c r="H257" t="s">
        <v>12</v>
      </c>
      <c r="I257" t="str">
        <f t="shared" si="10"/>
        <v>Medium Value</v>
      </c>
      <c r="J257" t="str">
        <f t="shared" si="11"/>
        <v>Low Risk</v>
      </c>
      <c r="K257" s="3" t="str">
        <f t="shared" si="9"/>
        <v>4+ Years</v>
      </c>
    </row>
    <row r="258" spans="1:11" x14ac:dyDescent="0.3">
      <c r="A258" t="s">
        <v>275</v>
      </c>
      <c r="B258" t="s">
        <v>9</v>
      </c>
      <c r="C258" t="s">
        <v>30</v>
      </c>
      <c r="D258" t="s">
        <v>24</v>
      </c>
      <c r="E258">
        <v>115.1</v>
      </c>
      <c r="F258">
        <v>61</v>
      </c>
      <c r="G258">
        <v>7021.0999999999904</v>
      </c>
      <c r="H258" t="s">
        <v>12</v>
      </c>
      <c r="I258" t="str">
        <f t="shared" si="10"/>
        <v>High Value</v>
      </c>
      <c r="J258" t="str">
        <f t="shared" si="11"/>
        <v>Low Risk</v>
      </c>
      <c r="K258" s="3" t="str">
        <f t="shared" si="9"/>
        <v>4+ Years</v>
      </c>
    </row>
    <row r="259" spans="1:11" x14ac:dyDescent="0.3">
      <c r="A259" t="s">
        <v>276</v>
      </c>
      <c r="B259" t="s">
        <v>14</v>
      </c>
      <c r="C259" t="s">
        <v>15</v>
      </c>
      <c r="D259" t="s">
        <v>24</v>
      </c>
      <c r="E259">
        <v>114.35</v>
      </c>
      <c r="F259">
        <v>50</v>
      </c>
      <c r="G259">
        <v>5717.5</v>
      </c>
      <c r="H259" t="s">
        <v>12</v>
      </c>
      <c r="I259" t="str">
        <f t="shared" si="10"/>
        <v>High Value</v>
      </c>
      <c r="J259" t="str">
        <f t="shared" si="11"/>
        <v>Low Risk</v>
      </c>
      <c r="K259" s="3" t="str">
        <f t="shared" ref="K259:K322" si="12">IF(F259&lt;=12,"0-1 Year",
IF(F259&lt;=24,"1-2 Years",
IF(F259&lt;=48,"2-4 Years","4+ Years")))</f>
        <v>4+ Years</v>
      </c>
    </row>
    <row r="260" spans="1:11" x14ac:dyDescent="0.3">
      <c r="A260" t="s">
        <v>277</v>
      </c>
      <c r="B260" t="s">
        <v>9</v>
      </c>
      <c r="C260" t="s">
        <v>10</v>
      </c>
      <c r="D260" t="s">
        <v>24</v>
      </c>
      <c r="E260">
        <v>44.6</v>
      </c>
      <c r="F260">
        <v>2</v>
      </c>
      <c r="G260">
        <v>89.2</v>
      </c>
      <c r="H260" t="s">
        <v>18</v>
      </c>
      <c r="I260" t="str">
        <f t="shared" ref="I260:I323" si="13">IF(G260&gt;5000,"High Value",
IF(G260&gt;2000,"Medium Value","Low Value"))</f>
        <v>Low Value</v>
      </c>
      <c r="J260" t="str">
        <f t="shared" ref="J260:J323" si="14">IF(F260&lt;12,"High Risk",
IF(F260&lt;24,"Medium Risk","Low Risk"))</f>
        <v>High Risk</v>
      </c>
      <c r="K260" s="3" t="str">
        <f t="shared" si="12"/>
        <v>0-1 Year</v>
      </c>
    </row>
    <row r="261" spans="1:11" x14ac:dyDescent="0.3">
      <c r="A261" t="s">
        <v>278</v>
      </c>
      <c r="B261" t="s">
        <v>9</v>
      </c>
      <c r="C261" t="s">
        <v>10</v>
      </c>
      <c r="D261" t="s">
        <v>11</v>
      </c>
      <c r="E261">
        <v>45</v>
      </c>
      <c r="F261">
        <v>29</v>
      </c>
      <c r="G261">
        <v>1305</v>
      </c>
      <c r="H261" t="s">
        <v>12</v>
      </c>
      <c r="I261" t="str">
        <f t="shared" si="13"/>
        <v>Low Value</v>
      </c>
      <c r="J261" t="str">
        <f t="shared" si="14"/>
        <v>Low Risk</v>
      </c>
      <c r="K261" s="3" t="str">
        <f t="shared" si="12"/>
        <v>2-4 Years</v>
      </c>
    </row>
    <row r="262" spans="1:11" x14ac:dyDescent="0.3">
      <c r="A262" t="s">
        <v>279</v>
      </c>
      <c r="B262" t="s">
        <v>14</v>
      </c>
      <c r="C262" t="s">
        <v>10</v>
      </c>
      <c r="D262" t="s">
        <v>11</v>
      </c>
      <c r="E262">
        <v>41.15</v>
      </c>
      <c r="F262">
        <v>3</v>
      </c>
      <c r="G262">
        <v>123.44999999999899</v>
      </c>
      <c r="H262" t="s">
        <v>18</v>
      </c>
      <c r="I262" t="str">
        <f t="shared" si="13"/>
        <v>Low Value</v>
      </c>
      <c r="J262" t="str">
        <f t="shared" si="14"/>
        <v>High Risk</v>
      </c>
      <c r="K262" s="3" t="str">
        <f t="shared" si="12"/>
        <v>0-1 Year</v>
      </c>
    </row>
    <row r="263" spans="1:11" x14ac:dyDescent="0.3">
      <c r="A263" t="s">
        <v>280</v>
      </c>
      <c r="B263" t="s">
        <v>14</v>
      </c>
      <c r="C263" t="s">
        <v>10</v>
      </c>
      <c r="D263" t="s">
        <v>11</v>
      </c>
      <c r="E263">
        <v>106.9</v>
      </c>
      <c r="F263">
        <v>13</v>
      </c>
      <c r="G263">
        <v>1389.7</v>
      </c>
      <c r="H263" t="s">
        <v>18</v>
      </c>
      <c r="I263" t="str">
        <f t="shared" si="13"/>
        <v>Low Value</v>
      </c>
      <c r="J263" t="str">
        <f t="shared" si="14"/>
        <v>Medium Risk</v>
      </c>
      <c r="K263" s="3" t="str">
        <f t="shared" si="12"/>
        <v>1-2 Years</v>
      </c>
    </row>
    <row r="264" spans="1:11" x14ac:dyDescent="0.3">
      <c r="A264" t="s">
        <v>281</v>
      </c>
      <c r="B264" t="s">
        <v>14</v>
      </c>
      <c r="C264" t="s">
        <v>10</v>
      </c>
      <c r="D264" t="s">
        <v>11</v>
      </c>
      <c r="E264">
        <v>89.85</v>
      </c>
      <c r="F264">
        <v>57</v>
      </c>
      <c r="G264">
        <v>5121.45</v>
      </c>
      <c r="H264" t="s">
        <v>12</v>
      </c>
      <c r="I264" t="str">
        <f t="shared" si="13"/>
        <v>High Value</v>
      </c>
      <c r="J264" t="str">
        <f t="shared" si="14"/>
        <v>Low Risk</v>
      </c>
      <c r="K264" s="3" t="str">
        <f t="shared" si="12"/>
        <v>4+ Years</v>
      </c>
    </row>
    <row r="265" spans="1:11" x14ac:dyDescent="0.3">
      <c r="A265" t="s">
        <v>282</v>
      </c>
      <c r="B265" t="s">
        <v>9</v>
      </c>
      <c r="C265" t="s">
        <v>30</v>
      </c>
      <c r="D265" t="s">
        <v>20</v>
      </c>
      <c r="E265">
        <v>49.85</v>
      </c>
      <c r="F265">
        <v>31</v>
      </c>
      <c r="G265">
        <v>1545.35</v>
      </c>
      <c r="H265" t="s">
        <v>12</v>
      </c>
      <c r="I265" t="str">
        <f t="shared" si="13"/>
        <v>Low Value</v>
      </c>
      <c r="J265" t="str">
        <f t="shared" si="14"/>
        <v>Low Risk</v>
      </c>
      <c r="K265" s="3" t="str">
        <f t="shared" si="12"/>
        <v>2-4 Years</v>
      </c>
    </row>
    <row r="266" spans="1:11" x14ac:dyDescent="0.3">
      <c r="A266" t="s">
        <v>283</v>
      </c>
      <c r="B266" t="s">
        <v>9</v>
      </c>
      <c r="C266" t="s">
        <v>15</v>
      </c>
      <c r="D266" t="s">
        <v>16</v>
      </c>
      <c r="E266">
        <v>113.3</v>
      </c>
      <c r="F266">
        <v>45</v>
      </c>
      <c r="G266">
        <v>5098.5</v>
      </c>
      <c r="H266" t="s">
        <v>12</v>
      </c>
      <c r="I266" t="str">
        <f t="shared" si="13"/>
        <v>High Value</v>
      </c>
      <c r="J266" t="str">
        <f t="shared" si="14"/>
        <v>Low Risk</v>
      </c>
      <c r="K266" s="3" t="str">
        <f t="shared" si="12"/>
        <v>2-4 Years</v>
      </c>
    </row>
    <row r="267" spans="1:11" x14ac:dyDescent="0.3">
      <c r="A267" t="s">
        <v>284</v>
      </c>
      <c r="B267" t="s">
        <v>9</v>
      </c>
      <c r="C267" t="s">
        <v>30</v>
      </c>
      <c r="D267" t="s">
        <v>16</v>
      </c>
      <c r="E267">
        <v>88.1</v>
      </c>
      <c r="F267">
        <v>61</v>
      </c>
      <c r="G267">
        <v>5374.0999999999904</v>
      </c>
      <c r="H267" t="s">
        <v>12</v>
      </c>
      <c r="I267" t="str">
        <f t="shared" si="13"/>
        <v>High Value</v>
      </c>
      <c r="J267" t="str">
        <f t="shared" si="14"/>
        <v>Low Risk</v>
      </c>
      <c r="K267" s="3" t="str">
        <f t="shared" si="12"/>
        <v>4+ Years</v>
      </c>
    </row>
    <row r="268" spans="1:11" x14ac:dyDescent="0.3">
      <c r="A268" t="s">
        <v>285</v>
      </c>
      <c r="B268" t="s">
        <v>14</v>
      </c>
      <c r="C268" t="s">
        <v>30</v>
      </c>
      <c r="D268" t="s">
        <v>20</v>
      </c>
      <c r="E268">
        <v>24.9</v>
      </c>
      <c r="F268">
        <v>50</v>
      </c>
      <c r="G268">
        <v>1245</v>
      </c>
      <c r="H268" t="s">
        <v>12</v>
      </c>
      <c r="I268" t="str">
        <f t="shared" si="13"/>
        <v>Low Value</v>
      </c>
      <c r="J268" t="str">
        <f t="shared" si="14"/>
        <v>Low Risk</v>
      </c>
      <c r="K268" s="3" t="str">
        <f t="shared" si="12"/>
        <v>4+ Years</v>
      </c>
    </row>
    <row r="269" spans="1:11" x14ac:dyDescent="0.3">
      <c r="A269" t="s">
        <v>286</v>
      </c>
      <c r="B269" t="s">
        <v>9</v>
      </c>
      <c r="C269" t="s">
        <v>10</v>
      </c>
      <c r="D269" t="s">
        <v>16</v>
      </c>
      <c r="E269">
        <v>105</v>
      </c>
      <c r="F269">
        <v>19</v>
      </c>
      <c r="G269">
        <v>1995</v>
      </c>
      <c r="H269" t="s">
        <v>12</v>
      </c>
      <c r="I269" t="str">
        <f t="shared" si="13"/>
        <v>Low Value</v>
      </c>
      <c r="J269" t="str">
        <f t="shared" si="14"/>
        <v>Medium Risk</v>
      </c>
      <c r="K269" s="3" t="str">
        <f t="shared" si="12"/>
        <v>1-2 Years</v>
      </c>
    </row>
    <row r="270" spans="1:11" x14ac:dyDescent="0.3">
      <c r="A270" t="s">
        <v>287</v>
      </c>
      <c r="B270" t="s">
        <v>14</v>
      </c>
      <c r="C270" t="s">
        <v>30</v>
      </c>
      <c r="D270" t="s">
        <v>16</v>
      </c>
      <c r="E270">
        <v>19.350000000000001</v>
      </c>
      <c r="F270">
        <v>59</v>
      </c>
      <c r="G270">
        <v>1141.6500000000001</v>
      </c>
      <c r="H270" t="s">
        <v>18</v>
      </c>
      <c r="I270" t="str">
        <f t="shared" si="13"/>
        <v>Low Value</v>
      </c>
      <c r="J270" t="str">
        <f t="shared" si="14"/>
        <v>Low Risk</v>
      </c>
      <c r="K270" s="3" t="str">
        <f t="shared" si="12"/>
        <v>4+ Years</v>
      </c>
    </row>
    <row r="271" spans="1:11" x14ac:dyDescent="0.3">
      <c r="A271" t="s">
        <v>288</v>
      </c>
      <c r="B271" t="s">
        <v>9</v>
      </c>
      <c r="C271" t="s">
        <v>30</v>
      </c>
      <c r="D271" t="s">
        <v>24</v>
      </c>
      <c r="E271">
        <v>24.25</v>
      </c>
      <c r="F271">
        <v>71</v>
      </c>
      <c r="G271">
        <v>1721.75</v>
      </c>
      <c r="H271" t="s">
        <v>12</v>
      </c>
      <c r="I271" t="str">
        <f t="shared" si="13"/>
        <v>Low Value</v>
      </c>
      <c r="J271" t="str">
        <f t="shared" si="14"/>
        <v>Low Risk</v>
      </c>
      <c r="K271" s="3" t="str">
        <f t="shared" si="12"/>
        <v>4+ Years</v>
      </c>
    </row>
    <row r="272" spans="1:11" x14ac:dyDescent="0.3">
      <c r="A272" t="s">
        <v>289</v>
      </c>
      <c r="B272" t="s">
        <v>9</v>
      </c>
      <c r="C272" t="s">
        <v>10</v>
      </c>
      <c r="D272" t="s">
        <v>11</v>
      </c>
      <c r="E272">
        <v>94.45</v>
      </c>
      <c r="F272">
        <v>16</v>
      </c>
      <c r="G272">
        <v>1511.2</v>
      </c>
      <c r="H272" t="s">
        <v>18</v>
      </c>
      <c r="I272" t="str">
        <f t="shared" si="13"/>
        <v>Low Value</v>
      </c>
      <c r="J272" t="str">
        <f t="shared" si="14"/>
        <v>Medium Risk</v>
      </c>
      <c r="K272" s="3" t="str">
        <f t="shared" si="12"/>
        <v>1-2 Years</v>
      </c>
    </row>
    <row r="273" spans="1:11" x14ac:dyDescent="0.3">
      <c r="A273" t="s">
        <v>290</v>
      </c>
      <c r="B273" t="s">
        <v>14</v>
      </c>
      <c r="C273" t="s">
        <v>30</v>
      </c>
      <c r="D273" t="s">
        <v>11</v>
      </c>
      <c r="E273">
        <v>59.75</v>
      </c>
      <c r="F273">
        <v>57</v>
      </c>
      <c r="G273">
        <v>3405.75</v>
      </c>
      <c r="H273" t="s">
        <v>12</v>
      </c>
      <c r="I273" t="str">
        <f t="shared" si="13"/>
        <v>Medium Value</v>
      </c>
      <c r="J273" t="str">
        <f t="shared" si="14"/>
        <v>Low Risk</v>
      </c>
      <c r="K273" s="3" t="str">
        <f t="shared" si="12"/>
        <v>4+ Years</v>
      </c>
    </row>
    <row r="274" spans="1:11" x14ac:dyDescent="0.3">
      <c r="A274" t="s">
        <v>291</v>
      </c>
      <c r="B274" t="s">
        <v>14</v>
      </c>
      <c r="C274" t="s">
        <v>10</v>
      </c>
      <c r="D274" t="s">
        <v>20</v>
      </c>
      <c r="E274">
        <v>24.8</v>
      </c>
      <c r="F274">
        <v>1</v>
      </c>
      <c r="G274">
        <v>24.8</v>
      </c>
      <c r="H274" t="s">
        <v>18</v>
      </c>
      <c r="I274" t="str">
        <f t="shared" si="13"/>
        <v>Low Value</v>
      </c>
      <c r="J274" t="str">
        <f t="shared" si="14"/>
        <v>High Risk</v>
      </c>
      <c r="K274" s="3" t="str">
        <f t="shared" si="12"/>
        <v>0-1 Year</v>
      </c>
    </row>
    <row r="275" spans="1:11" x14ac:dyDescent="0.3">
      <c r="A275" t="s">
        <v>292</v>
      </c>
      <c r="B275" t="s">
        <v>14</v>
      </c>
      <c r="C275" t="s">
        <v>10</v>
      </c>
      <c r="D275" t="s">
        <v>11</v>
      </c>
      <c r="E275">
        <v>107.05</v>
      </c>
      <c r="F275">
        <v>20</v>
      </c>
      <c r="G275">
        <v>2141</v>
      </c>
      <c r="H275" t="s">
        <v>12</v>
      </c>
      <c r="I275" t="str">
        <f t="shared" si="13"/>
        <v>Medium Value</v>
      </c>
      <c r="J275" t="str">
        <f t="shared" si="14"/>
        <v>Medium Risk</v>
      </c>
      <c r="K275" s="3" t="str">
        <f t="shared" si="12"/>
        <v>1-2 Years</v>
      </c>
    </row>
    <row r="276" spans="1:11" x14ac:dyDescent="0.3">
      <c r="A276" t="s">
        <v>293</v>
      </c>
      <c r="B276" t="s">
        <v>14</v>
      </c>
      <c r="C276" t="s">
        <v>10</v>
      </c>
      <c r="D276" t="s">
        <v>16</v>
      </c>
      <c r="E276">
        <v>70.599999999999994</v>
      </c>
      <c r="F276">
        <v>1</v>
      </c>
      <c r="G276">
        <v>70.599999999999994</v>
      </c>
      <c r="H276" t="s">
        <v>18</v>
      </c>
      <c r="I276" t="str">
        <f t="shared" si="13"/>
        <v>Low Value</v>
      </c>
      <c r="J276" t="str">
        <f t="shared" si="14"/>
        <v>High Risk</v>
      </c>
      <c r="K276" s="3" t="str">
        <f t="shared" si="12"/>
        <v>0-1 Year</v>
      </c>
    </row>
    <row r="277" spans="1:11" x14ac:dyDescent="0.3">
      <c r="A277" t="s">
        <v>294</v>
      </c>
      <c r="B277" t="s">
        <v>14</v>
      </c>
      <c r="C277" t="s">
        <v>10</v>
      </c>
      <c r="D277" t="s">
        <v>11</v>
      </c>
      <c r="E277">
        <v>85.4</v>
      </c>
      <c r="F277">
        <v>5</v>
      </c>
      <c r="G277">
        <v>427</v>
      </c>
      <c r="H277" t="s">
        <v>18</v>
      </c>
      <c r="I277" t="str">
        <f t="shared" si="13"/>
        <v>Low Value</v>
      </c>
      <c r="J277" t="str">
        <f t="shared" si="14"/>
        <v>High Risk</v>
      </c>
      <c r="K277" s="3" t="str">
        <f t="shared" si="12"/>
        <v>0-1 Year</v>
      </c>
    </row>
    <row r="278" spans="1:11" x14ac:dyDescent="0.3">
      <c r="A278" t="s">
        <v>295</v>
      </c>
      <c r="B278" t="s">
        <v>9</v>
      </c>
      <c r="C278" t="s">
        <v>10</v>
      </c>
      <c r="D278" t="s">
        <v>11</v>
      </c>
      <c r="E278">
        <v>105.05</v>
      </c>
      <c r="F278">
        <v>52</v>
      </c>
      <c r="G278">
        <v>5462.5999999999904</v>
      </c>
      <c r="H278" t="s">
        <v>18</v>
      </c>
      <c r="I278" t="str">
        <f t="shared" si="13"/>
        <v>High Value</v>
      </c>
      <c r="J278" t="str">
        <f t="shared" si="14"/>
        <v>Low Risk</v>
      </c>
      <c r="K278" s="3" t="str">
        <f t="shared" si="12"/>
        <v>4+ Years</v>
      </c>
    </row>
    <row r="279" spans="1:11" x14ac:dyDescent="0.3">
      <c r="A279" t="s">
        <v>296</v>
      </c>
      <c r="B279" t="s">
        <v>14</v>
      </c>
      <c r="C279" t="s">
        <v>10</v>
      </c>
      <c r="D279" t="s">
        <v>20</v>
      </c>
      <c r="E279">
        <v>64.95</v>
      </c>
      <c r="F279">
        <v>21</v>
      </c>
      <c r="G279">
        <v>1363.95</v>
      </c>
      <c r="H279" t="s">
        <v>12</v>
      </c>
      <c r="I279" t="str">
        <f t="shared" si="13"/>
        <v>Low Value</v>
      </c>
      <c r="J279" t="str">
        <f t="shared" si="14"/>
        <v>Medium Risk</v>
      </c>
      <c r="K279" s="3" t="str">
        <f t="shared" si="12"/>
        <v>1-2 Years</v>
      </c>
    </row>
    <row r="280" spans="1:11" x14ac:dyDescent="0.3">
      <c r="A280" t="s">
        <v>297</v>
      </c>
      <c r="B280" t="s">
        <v>14</v>
      </c>
      <c r="C280" t="s">
        <v>10</v>
      </c>
      <c r="D280" t="s">
        <v>11</v>
      </c>
      <c r="E280">
        <v>55</v>
      </c>
      <c r="F280">
        <v>14</v>
      </c>
      <c r="G280">
        <v>770</v>
      </c>
      <c r="H280" t="s">
        <v>12</v>
      </c>
      <c r="I280" t="str">
        <f t="shared" si="13"/>
        <v>Low Value</v>
      </c>
      <c r="J280" t="str">
        <f t="shared" si="14"/>
        <v>Medium Risk</v>
      </c>
      <c r="K280" s="3" t="str">
        <f t="shared" si="12"/>
        <v>1-2 Years</v>
      </c>
    </row>
    <row r="281" spans="1:11" x14ac:dyDescent="0.3">
      <c r="A281" t="s">
        <v>298</v>
      </c>
      <c r="B281" t="s">
        <v>9</v>
      </c>
      <c r="C281" t="s">
        <v>10</v>
      </c>
      <c r="D281" t="s">
        <v>20</v>
      </c>
      <c r="E281">
        <v>50.55</v>
      </c>
      <c r="F281">
        <v>5</v>
      </c>
      <c r="G281">
        <v>252.75</v>
      </c>
      <c r="H281" t="s">
        <v>12</v>
      </c>
      <c r="I281" t="str">
        <f t="shared" si="13"/>
        <v>Low Value</v>
      </c>
      <c r="J281" t="str">
        <f t="shared" si="14"/>
        <v>High Risk</v>
      </c>
      <c r="K281" s="3" t="str">
        <f t="shared" si="12"/>
        <v>0-1 Year</v>
      </c>
    </row>
    <row r="282" spans="1:11" x14ac:dyDescent="0.3">
      <c r="A282" t="s">
        <v>299</v>
      </c>
      <c r="B282" t="s">
        <v>9</v>
      </c>
      <c r="C282" t="s">
        <v>10</v>
      </c>
      <c r="D282" t="s">
        <v>16</v>
      </c>
      <c r="E282">
        <v>55.15</v>
      </c>
      <c r="F282">
        <v>6</v>
      </c>
      <c r="G282">
        <v>330.9</v>
      </c>
      <c r="H282" t="s">
        <v>12</v>
      </c>
      <c r="I282" t="str">
        <f t="shared" si="13"/>
        <v>Low Value</v>
      </c>
      <c r="J282" t="str">
        <f t="shared" si="14"/>
        <v>High Risk</v>
      </c>
      <c r="K282" s="3" t="str">
        <f t="shared" si="12"/>
        <v>0-1 Year</v>
      </c>
    </row>
    <row r="283" spans="1:11" x14ac:dyDescent="0.3">
      <c r="A283" t="s">
        <v>300</v>
      </c>
      <c r="B283" t="s">
        <v>9</v>
      </c>
      <c r="C283" t="s">
        <v>10</v>
      </c>
      <c r="D283" t="s">
        <v>11</v>
      </c>
      <c r="E283">
        <v>51.2</v>
      </c>
      <c r="F283">
        <v>10</v>
      </c>
      <c r="G283">
        <v>512</v>
      </c>
      <c r="H283" t="s">
        <v>12</v>
      </c>
      <c r="I283" t="str">
        <f t="shared" si="13"/>
        <v>Low Value</v>
      </c>
      <c r="J283" t="str">
        <f t="shared" si="14"/>
        <v>High Risk</v>
      </c>
      <c r="K283" s="3" t="str">
        <f t="shared" si="12"/>
        <v>0-1 Year</v>
      </c>
    </row>
    <row r="284" spans="1:11" x14ac:dyDescent="0.3">
      <c r="A284" t="s">
        <v>301</v>
      </c>
      <c r="B284" t="s">
        <v>9</v>
      </c>
      <c r="C284" t="s">
        <v>10</v>
      </c>
      <c r="D284" t="s">
        <v>16</v>
      </c>
      <c r="E284">
        <v>25.4</v>
      </c>
      <c r="F284">
        <v>1</v>
      </c>
      <c r="G284">
        <v>25.4</v>
      </c>
      <c r="H284" t="s">
        <v>12</v>
      </c>
      <c r="I284" t="str">
        <f t="shared" si="13"/>
        <v>Low Value</v>
      </c>
      <c r="J284" t="str">
        <f t="shared" si="14"/>
        <v>High Risk</v>
      </c>
      <c r="K284" s="3" t="str">
        <f t="shared" si="12"/>
        <v>0-1 Year</v>
      </c>
    </row>
    <row r="285" spans="1:11" x14ac:dyDescent="0.3">
      <c r="A285" t="s">
        <v>302</v>
      </c>
      <c r="B285" t="s">
        <v>9</v>
      </c>
      <c r="C285" t="s">
        <v>10</v>
      </c>
      <c r="D285" t="s">
        <v>16</v>
      </c>
      <c r="E285">
        <v>54.45</v>
      </c>
      <c r="F285">
        <v>68</v>
      </c>
      <c r="G285">
        <v>3702.6</v>
      </c>
      <c r="H285" t="s">
        <v>12</v>
      </c>
      <c r="I285" t="str">
        <f t="shared" si="13"/>
        <v>Medium Value</v>
      </c>
      <c r="J285" t="str">
        <f t="shared" si="14"/>
        <v>Low Risk</v>
      </c>
      <c r="K285" s="3" t="str">
        <f t="shared" si="12"/>
        <v>4+ Years</v>
      </c>
    </row>
    <row r="286" spans="1:11" x14ac:dyDescent="0.3">
      <c r="A286" t="s">
        <v>303</v>
      </c>
      <c r="B286" t="s">
        <v>14</v>
      </c>
      <c r="C286" t="s">
        <v>10</v>
      </c>
      <c r="D286" t="s">
        <v>16</v>
      </c>
      <c r="E286">
        <v>95.15</v>
      </c>
      <c r="F286">
        <v>18</v>
      </c>
      <c r="G286">
        <v>1712.7</v>
      </c>
      <c r="H286" t="s">
        <v>18</v>
      </c>
      <c r="I286" t="str">
        <f t="shared" si="13"/>
        <v>Low Value</v>
      </c>
      <c r="J286" t="str">
        <f t="shared" si="14"/>
        <v>Medium Risk</v>
      </c>
      <c r="K286" s="3" t="str">
        <f t="shared" si="12"/>
        <v>1-2 Years</v>
      </c>
    </row>
    <row r="287" spans="1:11" x14ac:dyDescent="0.3">
      <c r="A287" t="s">
        <v>304</v>
      </c>
      <c r="B287" t="s">
        <v>9</v>
      </c>
      <c r="C287" t="s">
        <v>15</v>
      </c>
      <c r="D287" t="s">
        <v>24</v>
      </c>
      <c r="E287">
        <v>76</v>
      </c>
      <c r="F287">
        <v>22</v>
      </c>
      <c r="G287">
        <v>1672</v>
      </c>
      <c r="H287" t="s">
        <v>12</v>
      </c>
      <c r="I287" t="str">
        <f t="shared" si="13"/>
        <v>Low Value</v>
      </c>
      <c r="J287" t="str">
        <f t="shared" si="14"/>
        <v>Medium Risk</v>
      </c>
      <c r="K287" s="3" t="str">
        <f t="shared" si="12"/>
        <v>1-2 Years</v>
      </c>
    </row>
    <row r="288" spans="1:11" x14ac:dyDescent="0.3">
      <c r="A288" t="s">
        <v>305</v>
      </c>
      <c r="B288" t="s">
        <v>9</v>
      </c>
      <c r="C288" t="s">
        <v>10</v>
      </c>
      <c r="D288" t="s">
        <v>11</v>
      </c>
      <c r="E288">
        <v>44.35</v>
      </c>
      <c r="F288">
        <v>20</v>
      </c>
      <c r="G288">
        <v>887</v>
      </c>
      <c r="H288" t="s">
        <v>12</v>
      </c>
      <c r="I288" t="str">
        <f t="shared" si="13"/>
        <v>Low Value</v>
      </c>
      <c r="J288" t="str">
        <f t="shared" si="14"/>
        <v>Medium Risk</v>
      </c>
      <c r="K288" s="3" t="str">
        <f t="shared" si="12"/>
        <v>1-2 Years</v>
      </c>
    </row>
    <row r="289" spans="1:11" x14ac:dyDescent="0.3">
      <c r="A289" t="s">
        <v>306</v>
      </c>
      <c r="B289" t="s">
        <v>14</v>
      </c>
      <c r="C289" t="s">
        <v>10</v>
      </c>
      <c r="D289" t="s">
        <v>11</v>
      </c>
      <c r="E289">
        <v>70</v>
      </c>
      <c r="F289">
        <v>1</v>
      </c>
      <c r="G289">
        <v>70</v>
      </c>
      <c r="H289" t="s">
        <v>18</v>
      </c>
      <c r="I289" t="str">
        <f t="shared" si="13"/>
        <v>Low Value</v>
      </c>
      <c r="J289" t="str">
        <f t="shared" si="14"/>
        <v>High Risk</v>
      </c>
      <c r="K289" s="3" t="str">
        <f t="shared" si="12"/>
        <v>0-1 Year</v>
      </c>
    </row>
    <row r="290" spans="1:11" x14ac:dyDescent="0.3">
      <c r="A290" t="s">
        <v>307</v>
      </c>
      <c r="B290" t="s">
        <v>14</v>
      </c>
      <c r="C290" t="s">
        <v>10</v>
      </c>
      <c r="D290" t="s">
        <v>11</v>
      </c>
      <c r="E290">
        <v>74.5</v>
      </c>
      <c r="F290">
        <v>8</v>
      </c>
      <c r="G290">
        <v>596</v>
      </c>
      <c r="H290" t="s">
        <v>18</v>
      </c>
      <c r="I290" t="str">
        <f t="shared" si="13"/>
        <v>Low Value</v>
      </c>
      <c r="J290" t="str">
        <f t="shared" si="14"/>
        <v>High Risk</v>
      </c>
      <c r="K290" s="3" t="str">
        <f t="shared" si="12"/>
        <v>0-1 Year</v>
      </c>
    </row>
    <row r="291" spans="1:11" x14ac:dyDescent="0.3">
      <c r="A291" t="s">
        <v>308</v>
      </c>
      <c r="B291" t="s">
        <v>14</v>
      </c>
      <c r="C291" t="s">
        <v>10</v>
      </c>
      <c r="D291" t="s">
        <v>24</v>
      </c>
      <c r="E291">
        <v>44.85</v>
      </c>
      <c r="F291">
        <v>10</v>
      </c>
      <c r="G291">
        <v>448.5</v>
      </c>
      <c r="H291" t="s">
        <v>18</v>
      </c>
      <c r="I291" t="str">
        <f t="shared" si="13"/>
        <v>Low Value</v>
      </c>
      <c r="J291" t="str">
        <f t="shared" si="14"/>
        <v>High Risk</v>
      </c>
      <c r="K291" s="3" t="str">
        <f t="shared" si="12"/>
        <v>0-1 Year</v>
      </c>
    </row>
    <row r="292" spans="1:11" x14ac:dyDescent="0.3">
      <c r="A292" t="s">
        <v>309</v>
      </c>
      <c r="B292" t="s">
        <v>14</v>
      </c>
      <c r="C292" t="s">
        <v>10</v>
      </c>
      <c r="D292" t="s">
        <v>11</v>
      </c>
      <c r="E292">
        <v>76.099999999999994</v>
      </c>
      <c r="F292">
        <v>24</v>
      </c>
      <c r="G292">
        <v>1826.3999999999901</v>
      </c>
      <c r="H292" t="s">
        <v>18</v>
      </c>
      <c r="I292" t="str">
        <f t="shared" si="13"/>
        <v>Low Value</v>
      </c>
      <c r="J292" t="str">
        <f t="shared" si="14"/>
        <v>Low Risk</v>
      </c>
      <c r="K292" s="3" t="str">
        <f t="shared" si="12"/>
        <v>1-2 Years</v>
      </c>
    </row>
    <row r="293" spans="1:11" x14ac:dyDescent="0.3">
      <c r="A293" t="s">
        <v>310</v>
      </c>
      <c r="B293" t="s">
        <v>14</v>
      </c>
      <c r="C293" t="s">
        <v>15</v>
      </c>
      <c r="D293" t="s">
        <v>16</v>
      </c>
      <c r="E293">
        <v>61.2</v>
      </c>
      <c r="F293">
        <v>35</v>
      </c>
      <c r="G293">
        <v>2142</v>
      </c>
      <c r="H293" t="s">
        <v>12</v>
      </c>
      <c r="I293" t="str">
        <f t="shared" si="13"/>
        <v>Medium Value</v>
      </c>
      <c r="J293" t="str">
        <f t="shared" si="14"/>
        <v>Low Risk</v>
      </c>
      <c r="K293" s="3" t="str">
        <f t="shared" si="12"/>
        <v>2-4 Years</v>
      </c>
    </row>
    <row r="294" spans="1:11" x14ac:dyDescent="0.3">
      <c r="A294" t="s">
        <v>311</v>
      </c>
      <c r="B294" t="s">
        <v>14</v>
      </c>
      <c r="C294" t="s">
        <v>15</v>
      </c>
      <c r="D294" t="s">
        <v>16</v>
      </c>
      <c r="E294">
        <v>86.8</v>
      </c>
      <c r="F294">
        <v>23</v>
      </c>
      <c r="G294">
        <v>1996.3999999999901</v>
      </c>
      <c r="H294" t="s">
        <v>12</v>
      </c>
      <c r="I294" t="str">
        <f t="shared" si="13"/>
        <v>Low Value</v>
      </c>
      <c r="J294" t="str">
        <f t="shared" si="14"/>
        <v>Medium Risk</v>
      </c>
      <c r="K294" s="3" t="str">
        <f t="shared" si="12"/>
        <v>1-2 Years</v>
      </c>
    </row>
    <row r="295" spans="1:11" x14ac:dyDescent="0.3">
      <c r="A295" t="s">
        <v>312</v>
      </c>
      <c r="B295" t="s">
        <v>9</v>
      </c>
      <c r="C295" t="s">
        <v>10</v>
      </c>
      <c r="D295" t="s">
        <v>11</v>
      </c>
      <c r="E295">
        <v>89.35</v>
      </c>
      <c r="F295">
        <v>6</v>
      </c>
      <c r="G295">
        <v>536.099999999999</v>
      </c>
      <c r="H295" t="s">
        <v>12</v>
      </c>
      <c r="I295" t="str">
        <f t="shared" si="13"/>
        <v>Low Value</v>
      </c>
      <c r="J295" t="str">
        <f t="shared" si="14"/>
        <v>High Risk</v>
      </c>
      <c r="K295" s="3" t="str">
        <f t="shared" si="12"/>
        <v>0-1 Year</v>
      </c>
    </row>
    <row r="296" spans="1:11" x14ac:dyDescent="0.3">
      <c r="A296" t="s">
        <v>313</v>
      </c>
      <c r="B296" t="s">
        <v>9</v>
      </c>
      <c r="C296" t="s">
        <v>10</v>
      </c>
      <c r="D296" t="s">
        <v>16</v>
      </c>
      <c r="E296">
        <v>19.7</v>
      </c>
      <c r="F296">
        <v>12</v>
      </c>
      <c r="G296">
        <v>236.39999999999901</v>
      </c>
      <c r="H296" t="s">
        <v>12</v>
      </c>
      <c r="I296" t="str">
        <f t="shared" si="13"/>
        <v>Low Value</v>
      </c>
      <c r="J296" t="str">
        <f t="shared" si="14"/>
        <v>Medium Risk</v>
      </c>
      <c r="K296" s="3" t="str">
        <f t="shared" si="12"/>
        <v>0-1 Year</v>
      </c>
    </row>
    <row r="297" spans="1:11" x14ac:dyDescent="0.3">
      <c r="A297" t="s">
        <v>314</v>
      </c>
      <c r="B297" t="s">
        <v>14</v>
      </c>
      <c r="C297" t="s">
        <v>10</v>
      </c>
      <c r="D297" t="s">
        <v>16</v>
      </c>
      <c r="E297">
        <v>20.25</v>
      </c>
      <c r="F297">
        <v>1</v>
      </c>
      <c r="G297">
        <v>20.25</v>
      </c>
      <c r="H297" t="s">
        <v>12</v>
      </c>
      <c r="I297" t="str">
        <f t="shared" si="13"/>
        <v>Low Value</v>
      </c>
      <c r="J297" t="str">
        <f t="shared" si="14"/>
        <v>High Risk</v>
      </c>
      <c r="K297" s="3" t="str">
        <f t="shared" si="12"/>
        <v>0-1 Year</v>
      </c>
    </row>
    <row r="298" spans="1:11" x14ac:dyDescent="0.3">
      <c r="A298" t="s">
        <v>315</v>
      </c>
      <c r="B298" t="s">
        <v>9</v>
      </c>
      <c r="C298" t="s">
        <v>30</v>
      </c>
      <c r="D298" t="s">
        <v>11</v>
      </c>
      <c r="E298">
        <v>76.05</v>
      </c>
      <c r="F298">
        <v>71</v>
      </c>
      <c r="G298">
        <v>5399.55</v>
      </c>
      <c r="H298" t="s">
        <v>12</v>
      </c>
      <c r="I298" t="str">
        <f t="shared" si="13"/>
        <v>High Value</v>
      </c>
      <c r="J298" t="str">
        <f t="shared" si="14"/>
        <v>Low Risk</v>
      </c>
      <c r="K298" s="3" t="str">
        <f t="shared" si="12"/>
        <v>4+ Years</v>
      </c>
    </row>
    <row r="299" spans="1:11" x14ac:dyDescent="0.3">
      <c r="A299" t="s">
        <v>316</v>
      </c>
      <c r="B299" t="s">
        <v>14</v>
      </c>
      <c r="C299" t="s">
        <v>10</v>
      </c>
      <c r="D299" t="s">
        <v>11</v>
      </c>
      <c r="E299">
        <v>100.8</v>
      </c>
      <c r="F299">
        <v>35</v>
      </c>
      <c r="G299">
        <v>3528</v>
      </c>
      <c r="H299" t="s">
        <v>12</v>
      </c>
      <c r="I299" t="str">
        <f t="shared" si="13"/>
        <v>Medium Value</v>
      </c>
      <c r="J299" t="str">
        <f t="shared" si="14"/>
        <v>Low Risk</v>
      </c>
      <c r="K299" s="3" t="str">
        <f t="shared" si="12"/>
        <v>2-4 Years</v>
      </c>
    </row>
    <row r="300" spans="1:11" x14ac:dyDescent="0.3">
      <c r="A300" t="s">
        <v>317</v>
      </c>
      <c r="B300" t="s">
        <v>14</v>
      </c>
      <c r="C300" t="s">
        <v>10</v>
      </c>
      <c r="D300" t="s">
        <v>11</v>
      </c>
      <c r="E300">
        <v>74.55</v>
      </c>
      <c r="F300">
        <v>40</v>
      </c>
      <c r="G300">
        <v>2982</v>
      </c>
      <c r="H300" t="s">
        <v>12</v>
      </c>
      <c r="I300" t="str">
        <f t="shared" si="13"/>
        <v>Medium Value</v>
      </c>
      <c r="J300" t="str">
        <f t="shared" si="14"/>
        <v>Low Risk</v>
      </c>
      <c r="K300" s="3" t="str">
        <f t="shared" si="12"/>
        <v>2-4 Years</v>
      </c>
    </row>
    <row r="301" spans="1:11" x14ac:dyDescent="0.3">
      <c r="A301" t="s">
        <v>318</v>
      </c>
      <c r="B301" t="s">
        <v>9</v>
      </c>
      <c r="C301" t="s">
        <v>10</v>
      </c>
      <c r="D301" t="s">
        <v>16</v>
      </c>
      <c r="E301">
        <v>73.599999999999994</v>
      </c>
      <c r="F301">
        <v>1</v>
      </c>
      <c r="G301">
        <v>73.599999999999994</v>
      </c>
      <c r="H301" t="s">
        <v>18</v>
      </c>
      <c r="I301" t="str">
        <f t="shared" si="13"/>
        <v>Low Value</v>
      </c>
      <c r="J301" t="str">
        <f t="shared" si="14"/>
        <v>High Risk</v>
      </c>
      <c r="K301" s="3" t="str">
        <f t="shared" si="12"/>
        <v>0-1 Year</v>
      </c>
    </row>
    <row r="302" spans="1:11" x14ac:dyDescent="0.3">
      <c r="A302" t="s">
        <v>319</v>
      </c>
      <c r="B302" t="s">
        <v>14</v>
      </c>
      <c r="C302" t="s">
        <v>15</v>
      </c>
      <c r="D302" t="s">
        <v>20</v>
      </c>
      <c r="E302">
        <v>64.900000000000006</v>
      </c>
      <c r="F302">
        <v>23</v>
      </c>
      <c r="G302">
        <v>1492.7</v>
      </c>
      <c r="H302" t="s">
        <v>12</v>
      </c>
      <c r="I302" t="str">
        <f t="shared" si="13"/>
        <v>Low Value</v>
      </c>
      <c r="J302" t="str">
        <f t="shared" si="14"/>
        <v>Medium Risk</v>
      </c>
      <c r="K302" s="3" t="str">
        <f t="shared" si="12"/>
        <v>1-2 Years</v>
      </c>
    </row>
    <row r="303" spans="1:11" x14ac:dyDescent="0.3">
      <c r="A303" t="s">
        <v>320</v>
      </c>
      <c r="B303" t="s">
        <v>9</v>
      </c>
      <c r="C303" t="s">
        <v>10</v>
      </c>
      <c r="D303" t="s">
        <v>11</v>
      </c>
      <c r="E303">
        <v>95.45</v>
      </c>
      <c r="F303">
        <v>4</v>
      </c>
      <c r="G303">
        <v>381.8</v>
      </c>
      <c r="H303" t="s">
        <v>18</v>
      </c>
      <c r="I303" t="str">
        <f t="shared" si="13"/>
        <v>Low Value</v>
      </c>
      <c r="J303" t="str">
        <f t="shared" si="14"/>
        <v>High Risk</v>
      </c>
      <c r="K303" s="3" t="str">
        <f t="shared" si="12"/>
        <v>0-1 Year</v>
      </c>
    </row>
    <row r="304" spans="1:11" x14ac:dyDescent="0.3">
      <c r="A304" t="s">
        <v>321</v>
      </c>
      <c r="B304" t="s">
        <v>14</v>
      </c>
      <c r="C304" t="s">
        <v>10</v>
      </c>
      <c r="D304" t="s">
        <v>11</v>
      </c>
      <c r="E304">
        <v>90.4</v>
      </c>
      <c r="F304">
        <v>4</v>
      </c>
      <c r="G304">
        <v>361.6</v>
      </c>
      <c r="H304" t="s">
        <v>12</v>
      </c>
      <c r="I304" t="str">
        <f t="shared" si="13"/>
        <v>Low Value</v>
      </c>
      <c r="J304" t="str">
        <f t="shared" si="14"/>
        <v>High Risk</v>
      </c>
      <c r="K304" s="3" t="str">
        <f t="shared" si="12"/>
        <v>0-1 Year</v>
      </c>
    </row>
    <row r="305" spans="1:11" x14ac:dyDescent="0.3">
      <c r="A305" t="s">
        <v>322</v>
      </c>
      <c r="B305" t="s">
        <v>9</v>
      </c>
      <c r="C305" t="s">
        <v>30</v>
      </c>
      <c r="D305" t="s">
        <v>24</v>
      </c>
      <c r="E305">
        <v>60.3</v>
      </c>
      <c r="F305">
        <v>68</v>
      </c>
      <c r="G305">
        <v>4100.3999999999996</v>
      </c>
      <c r="H305" t="s">
        <v>12</v>
      </c>
      <c r="I305" t="str">
        <f t="shared" si="13"/>
        <v>Medium Value</v>
      </c>
      <c r="J305" t="str">
        <f t="shared" si="14"/>
        <v>Low Risk</v>
      </c>
      <c r="K305" s="3" t="str">
        <f t="shared" si="12"/>
        <v>4+ Years</v>
      </c>
    </row>
    <row r="306" spans="1:11" x14ac:dyDescent="0.3">
      <c r="A306" t="s">
        <v>323</v>
      </c>
      <c r="B306" t="s">
        <v>14</v>
      </c>
      <c r="C306" t="s">
        <v>10</v>
      </c>
      <c r="D306" t="s">
        <v>16</v>
      </c>
      <c r="E306">
        <v>81.849999999999994</v>
      </c>
      <c r="F306">
        <v>38</v>
      </c>
      <c r="G306">
        <v>3110.2999999999902</v>
      </c>
      <c r="H306" t="s">
        <v>12</v>
      </c>
      <c r="I306" t="str">
        <f t="shared" si="13"/>
        <v>Medium Value</v>
      </c>
      <c r="J306" t="str">
        <f t="shared" si="14"/>
        <v>Low Risk</v>
      </c>
      <c r="K306" s="3" t="str">
        <f t="shared" si="12"/>
        <v>2-4 Years</v>
      </c>
    </row>
    <row r="307" spans="1:11" x14ac:dyDescent="0.3">
      <c r="A307" t="s">
        <v>324</v>
      </c>
      <c r="B307" t="s">
        <v>14</v>
      </c>
      <c r="C307" t="s">
        <v>30</v>
      </c>
      <c r="D307" t="s">
        <v>16</v>
      </c>
      <c r="E307">
        <v>24.8</v>
      </c>
      <c r="F307">
        <v>52</v>
      </c>
      <c r="G307">
        <v>1289.5999999999999</v>
      </c>
      <c r="H307" t="s">
        <v>12</v>
      </c>
      <c r="I307" t="str">
        <f t="shared" si="13"/>
        <v>Low Value</v>
      </c>
      <c r="J307" t="str">
        <f t="shared" si="14"/>
        <v>Low Risk</v>
      </c>
      <c r="K307" s="3" t="str">
        <f t="shared" si="12"/>
        <v>4+ Years</v>
      </c>
    </row>
    <row r="308" spans="1:11" x14ac:dyDescent="0.3">
      <c r="A308" t="s">
        <v>325</v>
      </c>
      <c r="B308" t="s">
        <v>14</v>
      </c>
      <c r="C308" t="s">
        <v>10</v>
      </c>
      <c r="D308" t="s">
        <v>11</v>
      </c>
      <c r="E308">
        <v>74.900000000000006</v>
      </c>
      <c r="F308">
        <v>32</v>
      </c>
      <c r="G308">
        <v>2396.8000000000002</v>
      </c>
      <c r="H308" t="s">
        <v>18</v>
      </c>
      <c r="I308" t="str">
        <f t="shared" si="13"/>
        <v>Medium Value</v>
      </c>
      <c r="J308" t="str">
        <f t="shared" si="14"/>
        <v>Low Risk</v>
      </c>
      <c r="K308" s="3" t="str">
        <f t="shared" si="12"/>
        <v>2-4 Years</v>
      </c>
    </row>
    <row r="309" spans="1:11" x14ac:dyDescent="0.3">
      <c r="A309" t="s">
        <v>326</v>
      </c>
      <c r="B309" t="s">
        <v>14</v>
      </c>
      <c r="C309" t="s">
        <v>30</v>
      </c>
      <c r="D309" t="s">
        <v>16</v>
      </c>
      <c r="E309">
        <v>75.55</v>
      </c>
      <c r="F309">
        <v>29</v>
      </c>
      <c r="G309">
        <v>2190.9499999999998</v>
      </c>
      <c r="H309" t="s">
        <v>12</v>
      </c>
      <c r="I309" t="str">
        <f t="shared" si="13"/>
        <v>Medium Value</v>
      </c>
      <c r="J309" t="str">
        <f t="shared" si="14"/>
        <v>Low Risk</v>
      </c>
      <c r="K309" s="3" t="str">
        <f t="shared" si="12"/>
        <v>2-4 Years</v>
      </c>
    </row>
    <row r="310" spans="1:11" x14ac:dyDescent="0.3">
      <c r="A310" t="s">
        <v>327</v>
      </c>
      <c r="B310" t="s">
        <v>14</v>
      </c>
      <c r="C310" t="s">
        <v>10</v>
      </c>
      <c r="D310" t="s">
        <v>11</v>
      </c>
      <c r="E310">
        <v>101.15</v>
      </c>
      <c r="F310">
        <v>38</v>
      </c>
      <c r="G310">
        <v>3843.7</v>
      </c>
      <c r="H310" t="s">
        <v>12</v>
      </c>
      <c r="I310" t="str">
        <f t="shared" si="13"/>
        <v>Medium Value</v>
      </c>
      <c r="J310" t="str">
        <f t="shared" si="14"/>
        <v>Low Risk</v>
      </c>
      <c r="K310" s="3" t="str">
        <f t="shared" si="12"/>
        <v>2-4 Years</v>
      </c>
    </row>
    <row r="311" spans="1:11" x14ac:dyDescent="0.3">
      <c r="A311" t="s">
        <v>328</v>
      </c>
      <c r="B311" t="s">
        <v>14</v>
      </c>
      <c r="C311" t="s">
        <v>15</v>
      </c>
      <c r="D311" t="s">
        <v>24</v>
      </c>
      <c r="E311">
        <v>78.75</v>
      </c>
      <c r="F311">
        <v>48</v>
      </c>
      <c r="G311">
        <v>3780</v>
      </c>
      <c r="H311" t="s">
        <v>12</v>
      </c>
      <c r="I311" t="str">
        <f t="shared" si="13"/>
        <v>Medium Value</v>
      </c>
      <c r="J311" t="str">
        <f t="shared" si="14"/>
        <v>Low Risk</v>
      </c>
      <c r="K311" s="3" t="str">
        <f t="shared" si="12"/>
        <v>2-4 Years</v>
      </c>
    </row>
    <row r="312" spans="1:11" x14ac:dyDescent="0.3">
      <c r="A312" t="s">
        <v>329</v>
      </c>
      <c r="B312" t="s">
        <v>9</v>
      </c>
      <c r="C312" t="s">
        <v>10</v>
      </c>
      <c r="D312" t="s">
        <v>20</v>
      </c>
      <c r="E312">
        <v>19.25</v>
      </c>
      <c r="F312">
        <v>1</v>
      </c>
      <c r="G312">
        <v>19.25</v>
      </c>
      <c r="H312" t="s">
        <v>12</v>
      </c>
      <c r="I312" t="str">
        <f t="shared" si="13"/>
        <v>Low Value</v>
      </c>
      <c r="J312" t="str">
        <f t="shared" si="14"/>
        <v>High Risk</v>
      </c>
      <c r="K312" s="3" t="str">
        <f t="shared" si="12"/>
        <v>0-1 Year</v>
      </c>
    </row>
    <row r="313" spans="1:11" x14ac:dyDescent="0.3">
      <c r="A313" t="s">
        <v>330</v>
      </c>
      <c r="B313" t="s">
        <v>9</v>
      </c>
      <c r="C313" t="s">
        <v>10</v>
      </c>
      <c r="D313" t="s">
        <v>11</v>
      </c>
      <c r="E313">
        <v>89.05</v>
      </c>
      <c r="F313">
        <v>22</v>
      </c>
      <c r="G313">
        <v>1959.1</v>
      </c>
      <c r="H313" t="s">
        <v>12</v>
      </c>
      <c r="I313" t="str">
        <f t="shared" si="13"/>
        <v>Low Value</v>
      </c>
      <c r="J313" t="str">
        <f t="shared" si="14"/>
        <v>Medium Risk</v>
      </c>
      <c r="K313" s="3" t="str">
        <f t="shared" si="12"/>
        <v>1-2 Years</v>
      </c>
    </row>
    <row r="314" spans="1:11" x14ac:dyDescent="0.3">
      <c r="A314" t="s">
        <v>331</v>
      </c>
      <c r="B314" t="s">
        <v>9</v>
      </c>
      <c r="C314" t="s">
        <v>30</v>
      </c>
      <c r="D314" t="s">
        <v>24</v>
      </c>
      <c r="E314">
        <v>115.05</v>
      </c>
      <c r="F314">
        <v>43</v>
      </c>
      <c r="G314">
        <v>4947.1499999999996</v>
      </c>
      <c r="H314" t="s">
        <v>12</v>
      </c>
      <c r="I314" t="str">
        <f t="shared" si="13"/>
        <v>Medium Value</v>
      </c>
      <c r="J314" t="str">
        <f t="shared" si="14"/>
        <v>Low Risk</v>
      </c>
      <c r="K314" s="3" t="str">
        <f t="shared" si="12"/>
        <v>2-4 Years</v>
      </c>
    </row>
    <row r="315" spans="1:11" x14ac:dyDescent="0.3">
      <c r="A315" t="s">
        <v>332</v>
      </c>
      <c r="B315" t="s">
        <v>9</v>
      </c>
      <c r="C315" t="s">
        <v>10</v>
      </c>
      <c r="D315" t="s">
        <v>11</v>
      </c>
      <c r="E315">
        <v>69.349999999999994</v>
      </c>
      <c r="F315">
        <v>5</v>
      </c>
      <c r="G315">
        <v>346.75</v>
      </c>
      <c r="H315" t="s">
        <v>12</v>
      </c>
      <c r="I315" t="str">
        <f t="shared" si="13"/>
        <v>Low Value</v>
      </c>
      <c r="J315" t="str">
        <f t="shared" si="14"/>
        <v>High Risk</v>
      </c>
      <c r="K315" s="3" t="str">
        <f t="shared" si="12"/>
        <v>0-1 Year</v>
      </c>
    </row>
    <row r="316" spans="1:11" x14ac:dyDescent="0.3">
      <c r="A316" t="s">
        <v>333</v>
      </c>
      <c r="B316" t="s">
        <v>14</v>
      </c>
      <c r="C316" t="s">
        <v>10</v>
      </c>
      <c r="D316" t="s">
        <v>11</v>
      </c>
      <c r="E316">
        <v>80.599999999999994</v>
      </c>
      <c r="F316">
        <v>5</v>
      </c>
      <c r="G316">
        <v>403</v>
      </c>
      <c r="H316" t="s">
        <v>18</v>
      </c>
      <c r="I316" t="str">
        <f t="shared" si="13"/>
        <v>Low Value</v>
      </c>
      <c r="J316" t="str">
        <f t="shared" si="14"/>
        <v>High Risk</v>
      </c>
      <c r="K316" s="3" t="str">
        <f t="shared" si="12"/>
        <v>0-1 Year</v>
      </c>
    </row>
    <row r="317" spans="1:11" x14ac:dyDescent="0.3">
      <c r="A317" t="s">
        <v>334</v>
      </c>
      <c r="B317" t="s">
        <v>14</v>
      </c>
      <c r="C317" t="s">
        <v>15</v>
      </c>
      <c r="D317" t="s">
        <v>24</v>
      </c>
      <c r="E317">
        <v>110.05</v>
      </c>
      <c r="F317">
        <v>51</v>
      </c>
      <c r="G317">
        <v>5612.55</v>
      </c>
      <c r="H317" t="s">
        <v>12</v>
      </c>
      <c r="I317" t="str">
        <f t="shared" si="13"/>
        <v>High Value</v>
      </c>
      <c r="J317" t="str">
        <f t="shared" si="14"/>
        <v>Low Risk</v>
      </c>
      <c r="K317" s="3" t="str">
        <f t="shared" si="12"/>
        <v>4+ Years</v>
      </c>
    </row>
    <row r="318" spans="1:11" x14ac:dyDescent="0.3">
      <c r="A318" t="s">
        <v>335</v>
      </c>
      <c r="B318" t="s">
        <v>14</v>
      </c>
      <c r="C318" t="s">
        <v>30</v>
      </c>
      <c r="D318" t="s">
        <v>24</v>
      </c>
      <c r="E318">
        <v>19.899999999999999</v>
      </c>
      <c r="F318">
        <v>71</v>
      </c>
      <c r="G318">
        <v>1412.8999999999901</v>
      </c>
      <c r="H318" t="s">
        <v>12</v>
      </c>
      <c r="I318" t="str">
        <f t="shared" si="13"/>
        <v>Low Value</v>
      </c>
      <c r="J318" t="str">
        <f t="shared" si="14"/>
        <v>Low Risk</v>
      </c>
      <c r="K318" s="3" t="str">
        <f t="shared" si="12"/>
        <v>4+ Years</v>
      </c>
    </row>
    <row r="319" spans="1:11" x14ac:dyDescent="0.3">
      <c r="A319" t="s">
        <v>336</v>
      </c>
      <c r="B319" t="s">
        <v>9</v>
      </c>
      <c r="C319" t="s">
        <v>15</v>
      </c>
      <c r="D319" t="s">
        <v>24</v>
      </c>
      <c r="E319">
        <v>80.3</v>
      </c>
      <c r="F319">
        <v>38</v>
      </c>
      <c r="G319">
        <v>3051.4</v>
      </c>
      <c r="H319" t="s">
        <v>18</v>
      </c>
      <c r="I319" t="str">
        <f t="shared" si="13"/>
        <v>Medium Value</v>
      </c>
      <c r="J319" t="str">
        <f t="shared" si="14"/>
        <v>Low Risk</v>
      </c>
      <c r="K319" s="3" t="str">
        <f t="shared" si="12"/>
        <v>2-4 Years</v>
      </c>
    </row>
    <row r="320" spans="1:11" x14ac:dyDescent="0.3">
      <c r="A320" t="s">
        <v>337</v>
      </c>
      <c r="B320" t="s">
        <v>14</v>
      </c>
      <c r="C320" t="s">
        <v>10</v>
      </c>
      <c r="D320" t="s">
        <v>11</v>
      </c>
      <c r="E320">
        <v>93.15</v>
      </c>
      <c r="F320">
        <v>24</v>
      </c>
      <c r="G320">
        <v>2235.6</v>
      </c>
      <c r="H320" t="s">
        <v>18</v>
      </c>
      <c r="I320" t="str">
        <f t="shared" si="13"/>
        <v>Medium Value</v>
      </c>
      <c r="J320" t="str">
        <f t="shared" si="14"/>
        <v>Low Risk</v>
      </c>
      <c r="K320" s="3" t="str">
        <f t="shared" si="12"/>
        <v>1-2 Years</v>
      </c>
    </row>
    <row r="321" spans="1:11" x14ac:dyDescent="0.3">
      <c r="A321" t="s">
        <v>338</v>
      </c>
      <c r="B321" t="s">
        <v>14</v>
      </c>
      <c r="C321" t="s">
        <v>10</v>
      </c>
      <c r="D321" t="s">
        <v>24</v>
      </c>
      <c r="E321">
        <v>91.5</v>
      </c>
      <c r="F321">
        <v>35</v>
      </c>
      <c r="G321">
        <v>3202.5</v>
      </c>
      <c r="H321" t="s">
        <v>12</v>
      </c>
      <c r="I321" t="str">
        <f t="shared" si="13"/>
        <v>Medium Value</v>
      </c>
      <c r="J321" t="str">
        <f t="shared" si="14"/>
        <v>Low Risk</v>
      </c>
      <c r="K321" s="3" t="str">
        <f t="shared" si="12"/>
        <v>2-4 Years</v>
      </c>
    </row>
    <row r="322" spans="1:11" x14ac:dyDescent="0.3">
      <c r="A322" t="s">
        <v>339</v>
      </c>
      <c r="B322" t="s">
        <v>9</v>
      </c>
      <c r="C322" t="s">
        <v>15</v>
      </c>
      <c r="D322" t="s">
        <v>20</v>
      </c>
      <c r="E322">
        <v>82.45</v>
      </c>
      <c r="F322">
        <v>54</v>
      </c>
      <c r="G322">
        <v>4452.3</v>
      </c>
      <c r="H322" t="s">
        <v>18</v>
      </c>
      <c r="I322" t="str">
        <f t="shared" si="13"/>
        <v>Medium Value</v>
      </c>
      <c r="J322" t="str">
        <f t="shared" si="14"/>
        <v>Low Risk</v>
      </c>
      <c r="K322" s="3" t="str">
        <f t="shared" si="12"/>
        <v>4+ Years</v>
      </c>
    </row>
    <row r="323" spans="1:11" x14ac:dyDescent="0.3">
      <c r="A323" t="s">
        <v>340</v>
      </c>
      <c r="B323" t="s">
        <v>9</v>
      </c>
      <c r="C323" t="s">
        <v>30</v>
      </c>
      <c r="D323" t="s">
        <v>11</v>
      </c>
      <c r="E323">
        <v>60</v>
      </c>
      <c r="F323">
        <v>72</v>
      </c>
      <c r="G323">
        <v>4320</v>
      </c>
      <c r="H323" t="s">
        <v>12</v>
      </c>
      <c r="I323" t="str">
        <f t="shared" si="13"/>
        <v>Medium Value</v>
      </c>
      <c r="J323" t="str">
        <f t="shared" si="14"/>
        <v>Low Risk</v>
      </c>
      <c r="K323" s="3" t="str">
        <f t="shared" ref="K323:K386" si="15">IF(F323&lt;=12,"0-1 Year",
IF(F323&lt;=24,"1-2 Years",
IF(F323&lt;=48,"2-4 Years","4+ Years")))</f>
        <v>4+ Years</v>
      </c>
    </row>
    <row r="324" spans="1:11" x14ac:dyDescent="0.3">
      <c r="A324" t="s">
        <v>341</v>
      </c>
      <c r="B324" t="s">
        <v>14</v>
      </c>
      <c r="C324" t="s">
        <v>10</v>
      </c>
      <c r="D324" t="s">
        <v>11</v>
      </c>
      <c r="E324">
        <v>44.8</v>
      </c>
      <c r="F324">
        <v>1</v>
      </c>
      <c r="G324">
        <v>44.8</v>
      </c>
      <c r="H324" t="s">
        <v>12</v>
      </c>
      <c r="I324" t="str">
        <f t="shared" ref="I324:I387" si="16">IF(G324&gt;5000,"High Value",
IF(G324&gt;2000,"Medium Value","Low Value"))</f>
        <v>Low Value</v>
      </c>
      <c r="J324" t="str">
        <f t="shared" ref="J324:J387" si="17">IF(F324&lt;12,"High Risk",
IF(F324&lt;24,"Medium Risk","Low Risk"))</f>
        <v>High Risk</v>
      </c>
      <c r="K324" s="3" t="str">
        <f t="shared" si="15"/>
        <v>0-1 Year</v>
      </c>
    </row>
    <row r="325" spans="1:11" x14ac:dyDescent="0.3">
      <c r="A325" t="s">
        <v>342</v>
      </c>
      <c r="B325" t="s">
        <v>9</v>
      </c>
      <c r="C325" t="s">
        <v>15</v>
      </c>
      <c r="D325" t="s">
        <v>16</v>
      </c>
      <c r="E325">
        <v>48.6</v>
      </c>
      <c r="F325">
        <v>9</v>
      </c>
      <c r="G325">
        <v>437.4</v>
      </c>
      <c r="H325" t="s">
        <v>12</v>
      </c>
      <c r="I325" t="str">
        <f t="shared" si="16"/>
        <v>Low Value</v>
      </c>
      <c r="J325" t="str">
        <f t="shared" si="17"/>
        <v>High Risk</v>
      </c>
      <c r="K325" s="3" t="str">
        <f t="shared" si="15"/>
        <v>0-1 Year</v>
      </c>
    </row>
    <row r="326" spans="1:11" x14ac:dyDescent="0.3">
      <c r="A326" t="s">
        <v>343</v>
      </c>
      <c r="B326" t="s">
        <v>14</v>
      </c>
      <c r="C326" t="s">
        <v>30</v>
      </c>
      <c r="D326" t="s">
        <v>20</v>
      </c>
      <c r="E326">
        <v>60.05</v>
      </c>
      <c r="F326">
        <v>69</v>
      </c>
      <c r="G326">
        <v>4143.45</v>
      </c>
      <c r="H326" t="s">
        <v>12</v>
      </c>
      <c r="I326" t="str">
        <f t="shared" si="16"/>
        <v>Medium Value</v>
      </c>
      <c r="J326" t="str">
        <f t="shared" si="17"/>
        <v>Low Risk</v>
      </c>
      <c r="K326" s="3" t="str">
        <f t="shared" si="15"/>
        <v>4+ Years</v>
      </c>
    </row>
    <row r="327" spans="1:11" x14ac:dyDescent="0.3">
      <c r="A327" t="s">
        <v>344</v>
      </c>
      <c r="B327" t="s">
        <v>9</v>
      </c>
      <c r="C327" t="s">
        <v>10</v>
      </c>
      <c r="D327" t="s">
        <v>24</v>
      </c>
      <c r="E327">
        <v>102.7</v>
      </c>
      <c r="F327">
        <v>52</v>
      </c>
      <c r="G327">
        <v>5340.4</v>
      </c>
      <c r="H327" t="s">
        <v>12</v>
      </c>
      <c r="I327" t="str">
        <f t="shared" si="16"/>
        <v>High Value</v>
      </c>
      <c r="J327" t="str">
        <f t="shared" si="17"/>
        <v>Low Risk</v>
      </c>
      <c r="K327" s="3" t="str">
        <f t="shared" si="15"/>
        <v>4+ Years</v>
      </c>
    </row>
    <row r="328" spans="1:11" x14ac:dyDescent="0.3">
      <c r="A328" t="s">
        <v>345</v>
      </c>
      <c r="B328" t="s">
        <v>9</v>
      </c>
      <c r="C328" t="s">
        <v>10</v>
      </c>
      <c r="D328" t="s">
        <v>11</v>
      </c>
      <c r="E328">
        <v>82.9</v>
      </c>
      <c r="F328">
        <v>11</v>
      </c>
      <c r="G328">
        <v>911.9</v>
      </c>
      <c r="H328" t="s">
        <v>12</v>
      </c>
      <c r="I328" t="str">
        <f t="shared" si="16"/>
        <v>Low Value</v>
      </c>
      <c r="J328" t="str">
        <f t="shared" si="17"/>
        <v>High Risk</v>
      </c>
      <c r="K328" s="3" t="str">
        <f t="shared" si="15"/>
        <v>0-1 Year</v>
      </c>
    </row>
    <row r="329" spans="1:11" x14ac:dyDescent="0.3">
      <c r="A329" t="s">
        <v>346</v>
      </c>
      <c r="B329" t="s">
        <v>9</v>
      </c>
      <c r="C329" t="s">
        <v>10</v>
      </c>
      <c r="D329" t="s">
        <v>11</v>
      </c>
      <c r="E329">
        <v>70.349999999999994</v>
      </c>
      <c r="F329">
        <v>2</v>
      </c>
      <c r="G329">
        <v>140.69999999999999</v>
      </c>
      <c r="H329" t="s">
        <v>18</v>
      </c>
      <c r="I329" t="str">
        <f t="shared" si="16"/>
        <v>Low Value</v>
      </c>
      <c r="J329" t="str">
        <f t="shared" si="17"/>
        <v>High Risk</v>
      </c>
      <c r="K329" s="3" t="str">
        <f t="shared" si="15"/>
        <v>0-1 Year</v>
      </c>
    </row>
    <row r="330" spans="1:11" x14ac:dyDescent="0.3">
      <c r="A330" t="s">
        <v>347</v>
      </c>
      <c r="B330" t="s">
        <v>9</v>
      </c>
      <c r="C330" t="s">
        <v>10</v>
      </c>
      <c r="D330" t="s">
        <v>11</v>
      </c>
      <c r="E330">
        <v>35.9</v>
      </c>
      <c r="F330">
        <v>28</v>
      </c>
      <c r="G330">
        <v>1005.19999999999</v>
      </c>
      <c r="H330" t="s">
        <v>12</v>
      </c>
      <c r="I330" t="str">
        <f t="shared" si="16"/>
        <v>Low Value</v>
      </c>
      <c r="J330" t="str">
        <f t="shared" si="17"/>
        <v>Low Risk</v>
      </c>
      <c r="K330" s="3" t="str">
        <f t="shared" si="15"/>
        <v>2-4 Years</v>
      </c>
    </row>
    <row r="331" spans="1:11" x14ac:dyDescent="0.3">
      <c r="A331" t="s">
        <v>348</v>
      </c>
      <c r="B331" t="s">
        <v>9</v>
      </c>
      <c r="C331" t="s">
        <v>10</v>
      </c>
      <c r="D331" t="s">
        <v>24</v>
      </c>
      <c r="E331">
        <v>82.65</v>
      </c>
      <c r="F331">
        <v>17</v>
      </c>
      <c r="G331">
        <v>1405.05</v>
      </c>
      <c r="H331" t="s">
        <v>12</v>
      </c>
      <c r="I331" t="str">
        <f t="shared" si="16"/>
        <v>Low Value</v>
      </c>
      <c r="J331" t="str">
        <f t="shared" si="17"/>
        <v>Medium Risk</v>
      </c>
      <c r="K331" s="3" t="str">
        <f t="shared" si="15"/>
        <v>1-2 Years</v>
      </c>
    </row>
    <row r="332" spans="1:11" x14ac:dyDescent="0.3">
      <c r="A332" t="s">
        <v>349</v>
      </c>
      <c r="B332" t="s">
        <v>9</v>
      </c>
      <c r="C332" t="s">
        <v>30</v>
      </c>
      <c r="D332" t="s">
        <v>16</v>
      </c>
      <c r="E332">
        <v>19.850000000000001</v>
      </c>
      <c r="F332">
        <v>35</v>
      </c>
      <c r="G332">
        <v>694.75</v>
      </c>
      <c r="H332" t="s">
        <v>12</v>
      </c>
      <c r="I332" t="str">
        <f t="shared" si="16"/>
        <v>Low Value</v>
      </c>
      <c r="J332" t="str">
        <f t="shared" si="17"/>
        <v>Low Risk</v>
      </c>
      <c r="K332" s="3" t="str">
        <f t="shared" si="15"/>
        <v>2-4 Years</v>
      </c>
    </row>
    <row r="333" spans="1:11" x14ac:dyDescent="0.3">
      <c r="A333" t="s">
        <v>350</v>
      </c>
      <c r="B333" t="s">
        <v>9</v>
      </c>
      <c r="C333" t="s">
        <v>15</v>
      </c>
      <c r="D333" t="s">
        <v>16</v>
      </c>
      <c r="E333">
        <v>19.2</v>
      </c>
      <c r="F333">
        <v>8</v>
      </c>
      <c r="G333">
        <v>153.6</v>
      </c>
      <c r="H333" t="s">
        <v>12</v>
      </c>
      <c r="I333" t="str">
        <f t="shared" si="16"/>
        <v>Low Value</v>
      </c>
      <c r="J333" t="str">
        <f t="shared" si="17"/>
        <v>High Risk</v>
      </c>
      <c r="K333" s="3" t="str">
        <f t="shared" si="15"/>
        <v>0-1 Year</v>
      </c>
    </row>
    <row r="334" spans="1:11" x14ac:dyDescent="0.3">
      <c r="A334" t="s">
        <v>351</v>
      </c>
      <c r="B334" t="s">
        <v>14</v>
      </c>
      <c r="C334" t="s">
        <v>15</v>
      </c>
      <c r="D334" t="s">
        <v>24</v>
      </c>
      <c r="E334">
        <v>94.9</v>
      </c>
      <c r="F334">
        <v>46</v>
      </c>
      <c r="G334">
        <v>4365.3999999999996</v>
      </c>
      <c r="H334" t="s">
        <v>12</v>
      </c>
      <c r="I334" t="str">
        <f t="shared" si="16"/>
        <v>Medium Value</v>
      </c>
      <c r="J334" t="str">
        <f t="shared" si="17"/>
        <v>Low Risk</v>
      </c>
      <c r="K334" s="3" t="str">
        <f t="shared" si="15"/>
        <v>2-4 Years</v>
      </c>
    </row>
    <row r="335" spans="1:11" x14ac:dyDescent="0.3">
      <c r="A335" t="s">
        <v>352</v>
      </c>
      <c r="B335" t="s">
        <v>9</v>
      </c>
      <c r="C335" t="s">
        <v>10</v>
      </c>
      <c r="D335" t="s">
        <v>11</v>
      </c>
      <c r="E335">
        <v>73.849999999999994</v>
      </c>
      <c r="F335">
        <v>7</v>
      </c>
      <c r="G335">
        <v>516.94999999999902</v>
      </c>
      <c r="H335" t="s">
        <v>18</v>
      </c>
      <c r="I335" t="str">
        <f t="shared" si="16"/>
        <v>Low Value</v>
      </c>
      <c r="J335" t="str">
        <f t="shared" si="17"/>
        <v>High Risk</v>
      </c>
      <c r="K335" s="3" t="str">
        <f t="shared" si="15"/>
        <v>0-1 Year</v>
      </c>
    </row>
    <row r="336" spans="1:11" x14ac:dyDescent="0.3">
      <c r="A336" t="s">
        <v>353</v>
      </c>
      <c r="B336" t="s">
        <v>9</v>
      </c>
      <c r="C336" t="s">
        <v>10</v>
      </c>
      <c r="D336" t="s">
        <v>16</v>
      </c>
      <c r="E336">
        <v>80.599999999999994</v>
      </c>
      <c r="F336">
        <v>2</v>
      </c>
      <c r="G336">
        <v>161.19999999999999</v>
      </c>
      <c r="H336" t="s">
        <v>18</v>
      </c>
      <c r="I336" t="str">
        <f t="shared" si="16"/>
        <v>Low Value</v>
      </c>
      <c r="J336" t="str">
        <f t="shared" si="17"/>
        <v>High Risk</v>
      </c>
      <c r="K336" s="3" t="str">
        <f t="shared" si="15"/>
        <v>0-1 Year</v>
      </c>
    </row>
    <row r="337" spans="1:11" x14ac:dyDescent="0.3">
      <c r="A337" t="s">
        <v>354</v>
      </c>
      <c r="B337" t="s">
        <v>14</v>
      </c>
      <c r="C337" t="s">
        <v>15</v>
      </c>
      <c r="D337" t="s">
        <v>20</v>
      </c>
      <c r="E337">
        <v>75.8</v>
      </c>
      <c r="F337">
        <v>68</v>
      </c>
      <c r="G337">
        <v>5154.3999999999996</v>
      </c>
      <c r="H337" t="s">
        <v>18</v>
      </c>
      <c r="I337" t="str">
        <f t="shared" si="16"/>
        <v>High Value</v>
      </c>
      <c r="J337" t="str">
        <f t="shared" si="17"/>
        <v>Low Risk</v>
      </c>
      <c r="K337" s="3" t="str">
        <f t="shared" si="15"/>
        <v>4+ Years</v>
      </c>
    </row>
    <row r="338" spans="1:11" x14ac:dyDescent="0.3">
      <c r="A338" t="s">
        <v>355</v>
      </c>
      <c r="B338" t="s">
        <v>9</v>
      </c>
      <c r="C338" t="s">
        <v>30</v>
      </c>
      <c r="D338" t="s">
        <v>11</v>
      </c>
      <c r="E338">
        <v>104.6</v>
      </c>
      <c r="F338">
        <v>43</v>
      </c>
      <c r="G338">
        <v>4497.8</v>
      </c>
      <c r="H338" t="s">
        <v>18</v>
      </c>
      <c r="I338" t="str">
        <f t="shared" si="16"/>
        <v>Medium Value</v>
      </c>
      <c r="J338" t="str">
        <f t="shared" si="17"/>
        <v>Low Risk</v>
      </c>
      <c r="K338" s="3" t="str">
        <f t="shared" si="15"/>
        <v>2-4 Years</v>
      </c>
    </row>
    <row r="339" spans="1:11" x14ac:dyDescent="0.3">
      <c r="A339" t="s">
        <v>356</v>
      </c>
      <c r="B339" t="s">
        <v>9</v>
      </c>
      <c r="C339" t="s">
        <v>30</v>
      </c>
      <c r="D339" t="s">
        <v>11</v>
      </c>
      <c r="E339">
        <v>88.15</v>
      </c>
      <c r="F339">
        <v>68</v>
      </c>
      <c r="G339">
        <v>5994.2</v>
      </c>
      <c r="H339" t="s">
        <v>12</v>
      </c>
      <c r="I339" t="str">
        <f t="shared" si="16"/>
        <v>High Value</v>
      </c>
      <c r="J339" t="str">
        <f t="shared" si="17"/>
        <v>Low Risk</v>
      </c>
      <c r="K339" s="3" t="str">
        <f t="shared" si="15"/>
        <v>4+ Years</v>
      </c>
    </row>
    <row r="340" spans="1:11" x14ac:dyDescent="0.3">
      <c r="A340" t="s">
        <v>357</v>
      </c>
      <c r="B340" t="s">
        <v>9</v>
      </c>
      <c r="C340" t="s">
        <v>10</v>
      </c>
      <c r="D340" t="s">
        <v>24</v>
      </c>
      <c r="E340">
        <v>94.8</v>
      </c>
      <c r="F340">
        <v>36</v>
      </c>
      <c r="G340">
        <v>3412.7999999999902</v>
      </c>
      <c r="H340" t="s">
        <v>12</v>
      </c>
      <c r="I340" t="str">
        <f t="shared" si="16"/>
        <v>Medium Value</v>
      </c>
      <c r="J340" t="str">
        <f t="shared" si="17"/>
        <v>Low Risk</v>
      </c>
      <c r="K340" s="3" t="str">
        <f t="shared" si="15"/>
        <v>2-4 Years</v>
      </c>
    </row>
    <row r="341" spans="1:11" x14ac:dyDescent="0.3">
      <c r="A341" t="s">
        <v>358</v>
      </c>
      <c r="B341" t="s">
        <v>14</v>
      </c>
      <c r="C341" t="s">
        <v>10</v>
      </c>
      <c r="D341" t="s">
        <v>11</v>
      </c>
      <c r="E341">
        <v>103.4</v>
      </c>
      <c r="F341">
        <v>63</v>
      </c>
      <c r="G341">
        <v>6514.2</v>
      </c>
      <c r="H341" t="s">
        <v>18</v>
      </c>
      <c r="I341" t="str">
        <f t="shared" si="16"/>
        <v>High Value</v>
      </c>
      <c r="J341" t="str">
        <f t="shared" si="17"/>
        <v>Low Risk</v>
      </c>
      <c r="K341" s="3" t="str">
        <f t="shared" si="15"/>
        <v>4+ Years</v>
      </c>
    </row>
    <row r="342" spans="1:11" x14ac:dyDescent="0.3">
      <c r="A342" t="s">
        <v>359</v>
      </c>
      <c r="B342" t="s">
        <v>9</v>
      </c>
      <c r="C342" t="s">
        <v>10</v>
      </c>
      <c r="D342" t="s">
        <v>20</v>
      </c>
      <c r="E342">
        <v>54.65</v>
      </c>
      <c r="F342">
        <v>32</v>
      </c>
      <c r="G342">
        <v>1748.8</v>
      </c>
      <c r="H342" t="s">
        <v>12</v>
      </c>
      <c r="I342" t="str">
        <f t="shared" si="16"/>
        <v>Low Value</v>
      </c>
      <c r="J342" t="str">
        <f t="shared" si="17"/>
        <v>Low Risk</v>
      </c>
      <c r="K342" s="3" t="str">
        <f t="shared" si="15"/>
        <v>2-4 Years</v>
      </c>
    </row>
    <row r="343" spans="1:11" x14ac:dyDescent="0.3">
      <c r="A343" t="s">
        <v>360</v>
      </c>
      <c r="B343" t="s">
        <v>9</v>
      </c>
      <c r="C343" t="s">
        <v>30</v>
      </c>
      <c r="D343" t="s">
        <v>24</v>
      </c>
      <c r="E343">
        <v>85.75</v>
      </c>
      <c r="F343">
        <v>71</v>
      </c>
      <c r="G343">
        <v>6088.25</v>
      </c>
      <c r="H343" t="s">
        <v>12</v>
      </c>
      <c r="I343" t="str">
        <f t="shared" si="16"/>
        <v>High Value</v>
      </c>
      <c r="J343" t="str">
        <f t="shared" si="17"/>
        <v>Low Risk</v>
      </c>
      <c r="K343" s="3" t="str">
        <f t="shared" si="15"/>
        <v>4+ Years</v>
      </c>
    </row>
    <row r="344" spans="1:11" x14ac:dyDescent="0.3">
      <c r="A344" t="s">
        <v>361</v>
      </c>
      <c r="B344" t="s">
        <v>9</v>
      </c>
      <c r="C344" t="s">
        <v>10</v>
      </c>
      <c r="D344" t="s">
        <v>20</v>
      </c>
      <c r="E344">
        <v>67.45</v>
      </c>
      <c r="F344">
        <v>66</v>
      </c>
      <c r="G344">
        <v>4451.7</v>
      </c>
      <c r="H344" t="s">
        <v>12</v>
      </c>
      <c r="I344" t="str">
        <f t="shared" si="16"/>
        <v>Medium Value</v>
      </c>
      <c r="J344" t="str">
        <f t="shared" si="17"/>
        <v>Low Risk</v>
      </c>
      <c r="K344" s="3" t="str">
        <f t="shared" si="15"/>
        <v>4+ Years</v>
      </c>
    </row>
    <row r="345" spans="1:11" x14ac:dyDescent="0.3">
      <c r="A345" t="s">
        <v>362</v>
      </c>
      <c r="B345" t="s">
        <v>14</v>
      </c>
      <c r="C345" t="s">
        <v>15</v>
      </c>
      <c r="D345" t="s">
        <v>16</v>
      </c>
      <c r="E345">
        <v>20.5</v>
      </c>
      <c r="F345">
        <v>63</v>
      </c>
      <c r="G345">
        <v>1291.5</v>
      </c>
      <c r="H345" t="s">
        <v>12</v>
      </c>
      <c r="I345" t="str">
        <f t="shared" si="16"/>
        <v>Low Value</v>
      </c>
      <c r="J345" t="str">
        <f t="shared" si="17"/>
        <v>Low Risk</v>
      </c>
      <c r="K345" s="3" t="str">
        <f t="shared" si="15"/>
        <v>4+ Years</v>
      </c>
    </row>
    <row r="346" spans="1:11" x14ac:dyDescent="0.3">
      <c r="A346" t="s">
        <v>363</v>
      </c>
      <c r="B346" t="s">
        <v>9</v>
      </c>
      <c r="C346" t="s">
        <v>15</v>
      </c>
      <c r="D346" t="s">
        <v>24</v>
      </c>
      <c r="E346">
        <v>20.25</v>
      </c>
      <c r="F346">
        <v>41</v>
      </c>
      <c r="G346">
        <v>830.25</v>
      </c>
      <c r="H346" t="s">
        <v>12</v>
      </c>
      <c r="I346" t="str">
        <f t="shared" si="16"/>
        <v>Low Value</v>
      </c>
      <c r="J346" t="str">
        <f t="shared" si="17"/>
        <v>Low Risk</v>
      </c>
      <c r="K346" s="3" t="str">
        <f t="shared" si="15"/>
        <v>2-4 Years</v>
      </c>
    </row>
    <row r="347" spans="1:11" x14ac:dyDescent="0.3">
      <c r="A347" t="s">
        <v>364</v>
      </c>
      <c r="B347" t="s">
        <v>9</v>
      </c>
      <c r="C347" t="s">
        <v>10</v>
      </c>
      <c r="D347" t="s">
        <v>11</v>
      </c>
      <c r="E347">
        <v>72.099999999999994</v>
      </c>
      <c r="F347">
        <v>1</v>
      </c>
      <c r="G347">
        <v>72.099999999999994</v>
      </c>
      <c r="H347" t="s">
        <v>12</v>
      </c>
      <c r="I347" t="str">
        <f t="shared" si="16"/>
        <v>Low Value</v>
      </c>
      <c r="J347" t="str">
        <f t="shared" si="17"/>
        <v>High Risk</v>
      </c>
      <c r="K347" s="3" t="str">
        <f t="shared" si="15"/>
        <v>0-1 Year</v>
      </c>
    </row>
    <row r="348" spans="1:11" x14ac:dyDescent="0.3">
      <c r="A348" t="s">
        <v>365</v>
      </c>
      <c r="B348" t="s">
        <v>9</v>
      </c>
      <c r="C348" t="s">
        <v>10</v>
      </c>
      <c r="D348" t="s">
        <v>11</v>
      </c>
      <c r="E348">
        <v>90.4</v>
      </c>
      <c r="F348">
        <v>2</v>
      </c>
      <c r="G348">
        <v>180.8</v>
      </c>
      <c r="H348" t="s">
        <v>18</v>
      </c>
      <c r="I348" t="str">
        <f t="shared" si="16"/>
        <v>Low Value</v>
      </c>
      <c r="J348" t="str">
        <f t="shared" si="17"/>
        <v>High Risk</v>
      </c>
      <c r="K348" s="3" t="str">
        <f t="shared" si="15"/>
        <v>0-1 Year</v>
      </c>
    </row>
    <row r="349" spans="1:11" x14ac:dyDescent="0.3">
      <c r="A349" t="s">
        <v>366</v>
      </c>
      <c r="B349" t="s">
        <v>9</v>
      </c>
      <c r="C349" t="s">
        <v>30</v>
      </c>
      <c r="D349" t="s">
        <v>20</v>
      </c>
      <c r="E349">
        <v>19.45</v>
      </c>
      <c r="F349">
        <v>70</v>
      </c>
      <c r="G349">
        <v>1361.5</v>
      </c>
      <c r="H349" t="s">
        <v>12</v>
      </c>
      <c r="I349" t="str">
        <f t="shared" si="16"/>
        <v>Low Value</v>
      </c>
      <c r="J349" t="str">
        <f t="shared" si="17"/>
        <v>Low Risk</v>
      </c>
      <c r="K349" s="3" t="str">
        <f t="shared" si="15"/>
        <v>4+ Years</v>
      </c>
    </row>
    <row r="350" spans="1:11" x14ac:dyDescent="0.3">
      <c r="A350" t="s">
        <v>367</v>
      </c>
      <c r="B350" t="s">
        <v>9</v>
      </c>
      <c r="C350" t="s">
        <v>10</v>
      </c>
      <c r="D350" t="s">
        <v>11</v>
      </c>
      <c r="E350">
        <v>44.95</v>
      </c>
      <c r="F350">
        <v>23</v>
      </c>
      <c r="G350">
        <v>1033.8499999999999</v>
      </c>
      <c r="H350" t="s">
        <v>12</v>
      </c>
      <c r="I350" t="str">
        <f t="shared" si="16"/>
        <v>Low Value</v>
      </c>
      <c r="J350" t="str">
        <f t="shared" si="17"/>
        <v>Medium Risk</v>
      </c>
      <c r="K350" s="3" t="str">
        <f t="shared" si="15"/>
        <v>1-2 Years</v>
      </c>
    </row>
    <row r="351" spans="1:11" x14ac:dyDescent="0.3">
      <c r="A351" t="s">
        <v>368</v>
      </c>
      <c r="B351" t="s">
        <v>9</v>
      </c>
      <c r="C351" t="s">
        <v>15</v>
      </c>
      <c r="D351" t="s">
        <v>20</v>
      </c>
      <c r="E351">
        <v>97</v>
      </c>
      <c r="F351">
        <v>64</v>
      </c>
      <c r="G351">
        <v>6208</v>
      </c>
      <c r="H351" t="s">
        <v>12</v>
      </c>
      <c r="I351" t="str">
        <f t="shared" si="16"/>
        <v>High Value</v>
      </c>
      <c r="J351" t="str">
        <f t="shared" si="17"/>
        <v>Low Risk</v>
      </c>
      <c r="K351" s="3" t="str">
        <f t="shared" si="15"/>
        <v>4+ Years</v>
      </c>
    </row>
    <row r="352" spans="1:11" x14ac:dyDescent="0.3">
      <c r="A352" t="s">
        <v>369</v>
      </c>
      <c r="B352" t="s">
        <v>14</v>
      </c>
      <c r="C352" t="s">
        <v>30</v>
      </c>
      <c r="D352" t="s">
        <v>24</v>
      </c>
      <c r="E352">
        <v>62.8</v>
      </c>
      <c r="F352">
        <v>37</v>
      </c>
      <c r="G352">
        <v>2323.6</v>
      </c>
      <c r="H352" t="s">
        <v>12</v>
      </c>
      <c r="I352" t="str">
        <f t="shared" si="16"/>
        <v>Medium Value</v>
      </c>
      <c r="J352" t="str">
        <f t="shared" si="17"/>
        <v>Low Risk</v>
      </c>
      <c r="K352" s="3" t="str">
        <f t="shared" si="15"/>
        <v>2-4 Years</v>
      </c>
    </row>
    <row r="353" spans="1:11" x14ac:dyDescent="0.3">
      <c r="A353" t="s">
        <v>370</v>
      </c>
      <c r="B353" t="s">
        <v>14</v>
      </c>
      <c r="C353" t="s">
        <v>15</v>
      </c>
      <c r="D353" t="s">
        <v>16</v>
      </c>
      <c r="E353">
        <v>44.6</v>
      </c>
      <c r="F353">
        <v>17</v>
      </c>
      <c r="G353">
        <v>758.2</v>
      </c>
      <c r="H353" t="s">
        <v>12</v>
      </c>
      <c r="I353" t="str">
        <f t="shared" si="16"/>
        <v>Low Value</v>
      </c>
      <c r="J353" t="str">
        <f t="shared" si="17"/>
        <v>Medium Risk</v>
      </c>
      <c r="K353" s="3" t="str">
        <f t="shared" si="15"/>
        <v>1-2 Years</v>
      </c>
    </row>
    <row r="354" spans="1:11" x14ac:dyDescent="0.3">
      <c r="A354" t="s">
        <v>371</v>
      </c>
      <c r="B354" t="s">
        <v>9</v>
      </c>
      <c r="C354" t="s">
        <v>10</v>
      </c>
      <c r="D354" t="s">
        <v>11</v>
      </c>
      <c r="E354">
        <v>89.15</v>
      </c>
      <c r="F354">
        <v>7</v>
      </c>
      <c r="G354">
        <v>624.04999999999995</v>
      </c>
      <c r="H354" t="s">
        <v>12</v>
      </c>
      <c r="I354" t="str">
        <f t="shared" si="16"/>
        <v>Low Value</v>
      </c>
      <c r="J354" t="str">
        <f t="shared" si="17"/>
        <v>High Risk</v>
      </c>
      <c r="K354" s="3" t="str">
        <f t="shared" si="15"/>
        <v>0-1 Year</v>
      </c>
    </row>
    <row r="355" spans="1:11" x14ac:dyDescent="0.3">
      <c r="A355" t="s">
        <v>372</v>
      </c>
      <c r="B355" t="s">
        <v>14</v>
      </c>
      <c r="C355" t="s">
        <v>10</v>
      </c>
      <c r="D355" t="s">
        <v>20</v>
      </c>
      <c r="E355">
        <v>84.8</v>
      </c>
      <c r="F355">
        <v>4</v>
      </c>
      <c r="G355">
        <v>339.2</v>
      </c>
      <c r="H355" t="s">
        <v>18</v>
      </c>
      <c r="I355" t="str">
        <f t="shared" si="16"/>
        <v>Low Value</v>
      </c>
      <c r="J355" t="str">
        <f t="shared" si="17"/>
        <v>High Risk</v>
      </c>
      <c r="K355" s="3" t="str">
        <f t="shared" si="15"/>
        <v>0-1 Year</v>
      </c>
    </row>
    <row r="356" spans="1:11" x14ac:dyDescent="0.3">
      <c r="A356" t="s">
        <v>373</v>
      </c>
      <c r="B356" t="s">
        <v>9</v>
      </c>
      <c r="C356" t="s">
        <v>10</v>
      </c>
      <c r="D356" t="s">
        <v>11</v>
      </c>
      <c r="E356">
        <v>41.9</v>
      </c>
      <c r="F356">
        <v>21</v>
      </c>
      <c r="G356">
        <v>879.9</v>
      </c>
      <c r="H356" t="s">
        <v>18</v>
      </c>
      <c r="I356" t="str">
        <f t="shared" si="16"/>
        <v>Low Value</v>
      </c>
      <c r="J356" t="str">
        <f t="shared" si="17"/>
        <v>Medium Risk</v>
      </c>
      <c r="K356" s="3" t="str">
        <f t="shared" si="15"/>
        <v>1-2 Years</v>
      </c>
    </row>
    <row r="357" spans="1:11" x14ac:dyDescent="0.3">
      <c r="A357" t="s">
        <v>374</v>
      </c>
      <c r="B357" t="s">
        <v>9</v>
      </c>
      <c r="C357" t="s">
        <v>10</v>
      </c>
      <c r="D357" t="s">
        <v>20</v>
      </c>
      <c r="E357">
        <v>80.25</v>
      </c>
      <c r="F357">
        <v>10</v>
      </c>
      <c r="G357">
        <v>802.5</v>
      </c>
      <c r="H357" t="s">
        <v>18</v>
      </c>
      <c r="I357" t="str">
        <f t="shared" si="16"/>
        <v>Low Value</v>
      </c>
      <c r="J357" t="str">
        <f t="shared" si="17"/>
        <v>High Risk</v>
      </c>
      <c r="K357" s="3" t="str">
        <f t="shared" si="15"/>
        <v>0-1 Year</v>
      </c>
    </row>
    <row r="358" spans="1:11" x14ac:dyDescent="0.3">
      <c r="A358" t="s">
        <v>375</v>
      </c>
      <c r="B358" t="s">
        <v>9</v>
      </c>
      <c r="C358" t="s">
        <v>10</v>
      </c>
      <c r="D358" t="s">
        <v>11</v>
      </c>
      <c r="E358">
        <v>54.1</v>
      </c>
      <c r="F358">
        <v>16</v>
      </c>
      <c r="G358">
        <v>865.6</v>
      </c>
      <c r="H358" t="s">
        <v>12</v>
      </c>
      <c r="I358" t="str">
        <f t="shared" si="16"/>
        <v>Low Value</v>
      </c>
      <c r="J358" t="str">
        <f t="shared" si="17"/>
        <v>Medium Risk</v>
      </c>
      <c r="K358" s="3" t="str">
        <f t="shared" si="15"/>
        <v>1-2 Years</v>
      </c>
    </row>
    <row r="359" spans="1:11" x14ac:dyDescent="0.3">
      <c r="A359" t="s">
        <v>376</v>
      </c>
      <c r="B359" t="s">
        <v>14</v>
      </c>
      <c r="C359" t="s">
        <v>30</v>
      </c>
      <c r="D359" t="s">
        <v>11</v>
      </c>
      <c r="E359">
        <v>105.25</v>
      </c>
      <c r="F359">
        <v>64</v>
      </c>
      <c r="G359">
        <v>6736</v>
      </c>
      <c r="H359" t="s">
        <v>12</v>
      </c>
      <c r="I359" t="str">
        <f t="shared" si="16"/>
        <v>High Value</v>
      </c>
      <c r="J359" t="str">
        <f t="shared" si="17"/>
        <v>Low Risk</v>
      </c>
      <c r="K359" s="3" t="str">
        <f t="shared" si="15"/>
        <v>4+ Years</v>
      </c>
    </row>
    <row r="360" spans="1:11" x14ac:dyDescent="0.3">
      <c r="A360" t="s">
        <v>377</v>
      </c>
      <c r="B360" t="s">
        <v>14</v>
      </c>
      <c r="C360" t="s">
        <v>10</v>
      </c>
      <c r="D360" t="s">
        <v>24</v>
      </c>
      <c r="E360">
        <v>30.75</v>
      </c>
      <c r="F360">
        <v>27</v>
      </c>
      <c r="G360">
        <v>830.25</v>
      </c>
      <c r="H360" t="s">
        <v>18</v>
      </c>
      <c r="I360" t="str">
        <f t="shared" si="16"/>
        <v>Low Value</v>
      </c>
      <c r="J360" t="str">
        <f t="shared" si="17"/>
        <v>Low Risk</v>
      </c>
      <c r="K360" s="3" t="str">
        <f t="shared" si="15"/>
        <v>2-4 Years</v>
      </c>
    </row>
    <row r="361" spans="1:11" x14ac:dyDescent="0.3">
      <c r="A361" t="s">
        <v>378</v>
      </c>
      <c r="B361" t="s">
        <v>14</v>
      </c>
      <c r="C361" t="s">
        <v>15</v>
      </c>
      <c r="D361" t="s">
        <v>11</v>
      </c>
      <c r="E361">
        <v>97.1</v>
      </c>
      <c r="F361">
        <v>42</v>
      </c>
      <c r="G361">
        <v>4078.2</v>
      </c>
      <c r="H361" t="s">
        <v>12</v>
      </c>
      <c r="I361" t="str">
        <f t="shared" si="16"/>
        <v>Medium Value</v>
      </c>
      <c r="J361" t="str">
        <f t="shared" si="17"/>
        <v>Low Risk</v>
      </c>
      <c r="K361" s="3" t="str">
        <f t="shared" si="15"/>
        <v>2-4 Years</v>
      </c>
    </row>
    <row r="362" spans="1:11" x14ac:dyDescent="0.3">
      <c r="A362" t="s">
        <v>379</v>
      </c>
      <c r="B362" t="s">
        <v>14</v>
      </c>
      <c r="C362" t="s">
        <v>10</v>
      </c>
      <c r="D362" t="s">
        <v>16</v>
      </c>
      <c r="E362">
        <v>20.2</v>
      </c>
      <c r="F362">
        <v>5</v>
      </c>
      <c r="G362">
        <v>101</v>
      </c>
      <c r="H362" t="s">
        <v>12</v>
      </c>
      <c r="I362" t="str">
        <f t="shared" si="16"/>
        <v>Low Value</v>
      </c>
      <c r="J362" t="str">
        <f t="shared" si="17"/>
        <v>High Risk</v>
      </c>
      <c r="K362" s="3" t="str">
        <f t="shared" si="15"/>
        <v>0-1 Year</v>
      </c>
    </row>
    <row r="363" spans="1:11" x14ac:dyDescent="0.3">
      <c r="A363" t="s">
        <v>380</v>
      </c>
      <c r="B363" t="s">
        <v>9</v>
      </c>
      <c r="C363" t="s">
        <v>30</v>
      </c>
      <c r="D363" t="s">
        <v>20</v>
      </c>
      <c r="E363">
        <v>98.8</v>
      </c>
      <c r="F363">
        <v>41</v>
      </c>
      <c r="G363">
        <v>4050.7999999999902</v>
      </c>
      <c r="H363" t="s">
        <v>12</v>
      </c>
      <c r="I363" t="str">
        <f t="shared" si="16"/>
        <v>Medium Value</v>
      </c>
      <c r="J363" t="str">
        <f t="shared" si="17"/>
        <v>Low Risk</v>
      </c>
      <c r="K363" s="3" t="str">
        <f t="shared" si="15"/>
        <v>2-4 Years</v>
      </c>
    </row>
    <row r="364" spans="1:11" x14ac:dyDescent="0.3">
      <c r="A364" t="s">
        <v>381</v>
      </c>
      <c r="B364" t="s">
        <v>14</v>
      </c>
      <c r="C364" t="s">
        <v>15</v>
      </c>
      <c r="D364" t="s">
        <v>24</v>
      </c>
      <c r="E364">
        <v>50.3</v>
      </c>
      <c r="F364">
        <v>58</v>
      </c>
      <c r="G364">
        <v>2917.3999999999901</v>
      </c>
      <c r="H364" t="s">
        <v>12</v>
      </c>
      <c r="I364" t="str">
        <f t="shared" si="16"/>
        <v>Medium Value</v>
      </c>
      <c r="J364" t="str">
        <f t="shared" si="17"/>
        <v>Low Risk</v>
      </c>
      <c r="K364" s="3" t="str">
        <f t="shared" si="15"/>
        <v>4+ Years</v>
      </c>
    </row>
    <row r="365" spans="1:11" x14ac:dyDescent="0.3">
      <c r="A365" t="s">
        <v>382</v>
      </c>
      <c r="B365" t="s">
        <v>9</v>
      </c>
      <c r="C365" t="s">
        <v>30</v>
      </c>
      <c r="D365" t="s">
        <v>16</v>
      </c>
      <c r="E365">
        <v>20.55</v>
      </c>
      <c r="F365">
        <v>47</v>
      </c>
      <c r="G365">
        <v>965.85</v>
      </c>
      <c r="H365" t="s">
        <v>12</v>
      </c>
      <c r="I365" t="str">
        <f t="shared" si="16"/>
        <v>Low Value</v>
      </c>
      <c r="J365" t="str">
        <f t="shared" si="17"/>
        <v>Low Risk</v>
      </c>
      <c r="K365" s="3" t="str">
        <f t="shared" si="15"/>
        <v>2-4 Years</v>
      </c>
    </row>
    <row r="366" spans="1:11" x14ac:dyDescent="0.3">
      <c r="A366" t="s">
        <v>383</v>
      </c>
      <c r="B366" t="s">
        <v>14</v>
      </c>
      <c r="C366" t="s">
        <v>10</v>
      </c>
      <c r="D366" t="s">
        <v>20</v>
      </c>
      <c r="E366">
        <v>75.900000000000006</v>
      </c>
      <c r="F366">
        <v>18</v>
      </c>
      <c r="G366">
        <v>1366.2</v>
      </c>
      <c r="H366" t="s">
        <v>12</v>
      </c>
      <c r="I366" t="str">
        <f t="shared" si="16"/>
        <v>Low Value</v>
      </c>
      <c r="J366" t="str">
        <f t="shared" si="17"/>
        <v>Medium Risk</v>
      </c>
      <c r="K366" s="3" t="str">
        <f t="shared" si="15"/>
        <v>1-2 Years</v>
      </c>
    </row>
    <row r="367" spans="1:11" x14ac:dyDescent="0.3">
      <c r="A367" t="s">
        <v>384</v>
      </c>
      <c r="B367" t="s">
        <v>14</v>
      </c>
      <c r="C367" t="s">
        <v>10</v>
      </c>
      <c r="D367" t="s">
        <v>20</v>
      </c>
      <c r="E367">
        <v>96.5</v>
      </c>
      <c r="F367">
        <v>5</v>
      </c>
      <c r="G367">
        <v>482.5</v>
      </c>
      <c r="H367" t="s">
        <v>18</v>
      </c>
      <c r="I367" t="str">
        <f t="shared" si="16"/>
        <v>Low Value</v>
      </c>
      <c r="J367" t="str">
        <f t="shared" si="17"/>
        <v>High Risk</v>
      </c>
      <c r="K367" s="3" t="str">
        <f t="shared" si="15"/>
        <v>0-1 Year</v>
      </c>
    </row>
    <row r="368" spans="1:11" x14ac:dyDescent="0.3">
      <c r="A368" t="s">
        <v>385</v>
      </c>
      <c r="B368" t="s">
        <v>14</v>
      </c>
      <c r="C368" t="s">
        <v>10</v>
      </c>
      <c r="D368" t="s">
        <v>20</v>
      </c>
      <c r="E368">
        <v>59.95</v>
      </c>
      <c r="F368">
        <v>23</v>
      </c>
      <c r="G368">
        <v>1378.85</v>
      </c>
      <c r="H368" t="s">
        <v>12</v>
      </c>
      <c r="I368" t="str">
        <f t="shared" si="16"/>
        <v>Low Value</v>
      </c>
      <c r="J368" t="str">
        <f t="shared" si="17"/>
        <v>Medium Risk</v>
      </c>
      <c r="K368" s="3" t="str">
        <f t="shared" si="15"/>
        <v>1-2 Years</v>
      </c>
    </row>
    <row r="369" spans="1:11" x14ac:dyDescent="0.3">
      <c r="A369" t="s">
        <v>386</v>
      </c>
      <c r="B369" t="s">
        <v>9</v>
      </c>
      <c r="C369" t="s">
        <v>10</v>
      </c>
      <c r="D369" t="s">
        <v>16</v>
      </c>
      <c r="E369">
        <v>19.149999999999999</v>
      </c>
      <c r="F369">
        <v>1</v>
      </c>
      <c r="G369">
        <v>19.149999999999999</v>
      </c>
      <c r="H369" t="s">
        <v>12</v>
      </c>
      <c r="I369" t="str">
        <f t="shared" si="16"/>
        <v>Low Value</v>
      </c>
      <c r="J369" t="str">
        <f t="shared" si="17"/>
        <v>High Risk</v>
      </c>
      <c r="K369" s="3" t="str">
        <f t="shared" si="15"/>
        <v>0-1 Year</v>
      </c>
    </row>
    <row r="370" spans="1:11" x14ac:dyDescent="0.3">
      <c r="A370" t="s">
        <v>387</v>
      </c>
      <c r="B370" t="s">
        <v>14</v>
      </c>
      <c r="C370" t="s">
        <v>15</v>
      </c>
      <c r="D370" t="s">
        <v>24</v>
      </c>
      <c r="E370">
        <v>98.65</v>
      </c>
      <c r="F370">
        <v>71</v>
      </c>
      <c r="G370">
        <v>7004.15</v>
      </c>
      <c r="H370" t="s">
        <v>12</v>
      </c>
      <c r="I370" t="str">
        <f t="shared" si="16"/>
        <v>High Value</v>
      </c>
      <c r="J370" t="str">
        <f t="shared" si="17"/>
        <v>Low Risk</v>
      </c>
      <c r="K370" s="3" t="str">
        <f t="shared" si="15"/>
        <v>4+ Years</v>
      </c>
    </row>
    <row r="371" spans="1:11" x14ac:dyDescent="0.3">
      <c r="A371" t="s">
        <v>388</v>
      </c>
      <c r="B371" t="s">
        <v>14</v>
      </c>
      <c r="C371" t="s">
        <v>30</v>
      </c>
      <c r="D371" t="s">
        <v>24</v>
      </c>
      <c r="E371">
        <v>112.6</v>
      </c>
      <c r="F371">
        <v>72</v>
      </c>
      <c r="G371">
        <v>8107.2</v>
      </c>
      <c r="H371" t="s">
        <v>12</v>
      </c>
      <c r="I371" t="str">
        <f t="shared" si="16"/>
        <v>High Value</v>
      </c>
      <c r="J371" t="str">
        <f t="shared" si="17"/>
        <v>Low Risk</v>
      </c>
      <c r="K371" s="3" t="str">
        <f t="shared" si="15"/>
        <v>4+ Years</v>
      </c>
    </row>
    <row r="372" spans="1:11" x14ac:dyDescent="0.3">
      <c r="A372" t="s">
        <v>389</v>
      </c>
      <c r="B372" t="s">
        <v>14</v>
      </c>
      <c r="C372" t="s">
        <v>15</v>
      </c>
      <c r="D372" t="s">
        <v>16</v>
      </c>
      <c r="E372">
        <v>20.6</v>
      </c>
      <c r="F372">
        <v>33</v>
      </c>
      <c r="G372">
        <v>679.8</v>
      </c>
      <c r="H372" t="s">
        <v>12</v>
      </c>
      <c r="I372" t="str">
        <f t="shared" si="16"/>
        <v>Low Value</v>
      </c>
      <c r="J372" t="str">
        <f t="shared" si="17"/>
        <v>Low Risk</v>
      </c>
      <c r="K372" s="3" t="str">
        <f t="shared" si="15"/>
        <v>2-4 Years</v>
      </c>
    </row>
    <row r="373" spans="1:11" x14ac:dyDescent="0.3">
      <c r="A373" t="s">
        <v>390</v>
      </c>
      <c r="B373" t="s">
        <v>14</v>
      </c>
      <c r="C373" t="s">
        <v>10</v>
      </c>
      <c r="D373" t="s">
        <v>11</v>
      </c>
      <c r="E373">
        <v>85.65</v>
      </c>
      <c r="F373">
        <v>2</v>
      </c>
      <c r="G373">
        <v>171.3</v>
      </c>
      <c r="H373" t="s">
        <v>18</v>
      </c>
      <c r="I373" t="str">
        <f t="shared" si="16"/>
        <v>Low Value</v>
      </c>
      <c r="J373" t="str">
        <f t="shared" si="17"/>
        <v>High Risk</v>
      </c>
      <c r="K373" s="3" t="str">
        <f t="shared" si="15"/>
        <v>0-1 Year</v>
      </c>
    </row>
    <row r="374" spans="1:11" x14ac:dyDescent="0.3">
      <c r="A374" t="s">
        <v>391</v>
      </c>
      <c r="B374" t="s">
        <v>14</v>
      </c>
      <c r="C374" t="s">
        <v>30</v>
      </c>
      <c r="D374" t="s">
        <v>16</v>
      </c>
      <c r="E374">
        <v>35.75</v>
      </c>
      <c r="F374">
        <v>24</v>
      </c>
      <c r="G374">
        <v>858</v>
      </c>
      <c r="H374" t="s">
        <v>12</v>
      </c>
      <c r="I374" t="str">
        <f t="shared" si="16"/>
        <v>Low Value</v>
      </c>
      <c r="J374" t="str">
        <f t="shared" si="17"/>
        <v>Low Risk</v>
      </c>
      <c r="K374" s="3" t="str">
        <f t="shared" si="15"/>
        <v>1-2 Years</v>
      </c>
    </row>
    <row r="375" spans="1:11" x14ac:dyDescent="0.3">
      <c r="A375" t="s">
        <v>392</v>
      </c>
      <c r="B375" t="s">
        <v>9</v>
      </c>
      <c r="C375" t="s">
        <v>15</v>
      </c>
      <c r="D375" t="s">
        <v>24</v>
      </c>
      <c r="E375">
        <v>99.75</v>
      </c>
      <c r="F375">
        <v>56</v>
      </c>
      <c r="G375">
        <v>5586</v>
      </c>
      <c r="H375" t="s">
        <v>12</v>
      </c>
      <c r="I375" t="str">
        <f t="shared" si="16"/>
        <v>High Value</v>
      </c>
      <c r="J375" t="str">
        <f t="shared" si="17"/>
        <v>Low Risk</v>
      </c>
      <c r="K375" s="3" t="str">
        <f t="shared" si="15"/>
        <v>4+ Years</v>
      </c>
    </row>
    <row r="376" spans="1:11" x14ac:dyDescent="0.3">
      <c r="A376" t="s">
        <v>393</v>
      </c>
      <c r="B376" t="s">
        <v>14</v>
      </c>
      <c r="C376" t="s">
        <v>10</v>
      </c>
      <c r="D376" t="s">
        <v>24</v>
      </c>
      <c r="E376">
        <v>96.1</v>
      </c>
      <c r="F376">
        <v>37</v>
      </c>
      <c r="G376">
        <v>3555.7</v>
      </c>
      <c r="H376" t="s">
        <v>12</v>
      </c>
      <c r="I376" t="str">
        <f t="shared" si="16"/>
        <v>Medium Value</v>
      </c>
      <c r="J376" t="str">
        <f t="shared" si="17"/>
        <v>Low Risk</v>
      </c>
      <c r="K376" s="3" t="str">
        <f t="shared" si="15"/>
        <v>2-4 Years</v>
      </c>
    </row>
    <row r="377" spans="1:11" x14ac:dyDescent="0.3">
      <c r="A377" t="s">
        <v>394</v>
      </c>
      <c r="B377" t="s">
        <v>9</v>
      </c>
      <c r="C377" t="s">
        <v>15</v>
      </c>
      <c r="D377" t="s">
        <v>24</v>
      </c>
      <c r="E377">
        <v>85.1</v>
      </c>
      <c r="F377">
        <v>43</v>
      </c>
      <c r="G377">
        <v>3659.2999999999902</v>
      </c>
      <c r="H377" t="s">
        <v>12</v>
      </c>
      <c r="I377" t="str">
        <f t="shared" si="16"/>
        <v>Medium Value</v>
      </c>
      <c r="J377" t="str">
        <f t="shared" si="17"/>
        <v>Low Risk</v>
      </c>
      <c r="K377" s="3" t="str">
        <f t="shared" si="15"/>
        <v>2-4 Years</v>
      </c>
    </row>
    <row r="378" spans="1:11" x14ac:dyDescent="0.3">
      <c r="A378" t="s">
        <v>395</v>
      </c>
      <c r="B378" t="s">
        <v>14</v>
      </c>
      <c r="C378" t="s">
        <v>10</v>
      </c>
      <c r="D378" t="s">
        <v>16</v>
      </c>
      <c r="E378">
        <v>25.35</v>
      </c>
      <c r="F378">
        <v>1</v>
      </c>
      <c r="G378">
        <v>25.35</v>
      </c>
      <c r="H378" t="s">
        <v>12</v>
      </c>
      <c r="I378" t="str">
        <f t="shared" si="16"/>
        <v>Low Value</v>
      </c>
      <c r="J378" t="str">
        <f t="shared" si="17"/>
        <v>High Risk</v>
      </c>
      <c r="K378" s="3" t="str">
        <f t="shared" si="15"/>
        <v>0-1 Year</v>
      </c>
    </row>
    <row r="379" spans="1:11" x14ac:dyDescent="0.3">
      <c r="A379" t="s">
        <v>396</v>
      </c>
      <c r="B379" t="s">
        <v>9</v>
      </c>
      <c r="C379" t="s">
        <v>10</v>
      </c>
      <c r="D379" t="s">
        <v>20</v>
      </c>
      <c r="E379">
        <v>104.95</v>
      </c>
      <c r="F379">
        <v>25</v>
      </c>
      <c r="G379">
        <v>2623.75</v>
      </c>
      <c r="H379" t="s">
        <v>18</v>
      </c>
      <c r="I379" t="str">
        <f t="shared" si="16"/>
        <v>Medium Value</v>
      </c>
      <c r="J379" t="str">
        <f t="shared" si="17"/>
        <v>Low Risk</v>
      </c>
      <c r="K379" s="3" t="str">
        <f t="shared" si="15"/>
        <v>2-4 Years</v>
      </c>
    </row>
    <row r="380" spans="1:11" x14ac:dyDescent="0.3">
      <c r="A380" t="s">
        <v>397</v>
      </c>
      <c r="B380" t="s">
        <v>9</v>
      </c>
      <c r="C380" t="s">
        <v>30</v>
      </c>
      <c r="D380" t="s">
        <v>11</v>
      </c>
      <c r="E380">
        <v>89.65</v>
      </c>
      <c r="F380">
        <v>61</v>
      </c>
      <c r="G380">
        <v>5468.65</v>
      </c>
      <c r="H380" t="s">
        <v>12</v>
      </c>
      <c r="I380" t="str">
        <f t="shared" si="16"/>
        <v>High Value</v>
      </c>
      <c r="J380" t="str">
        <f t="shared" si="17"/>
        <v>Low Risk</v>
      </c>
      <c r="K380" s="3" t="str">
        <f t="shared" si="15"/>
        <v>4+ Years</v>
      </c>
    </row>
    <row r="381" spans="1:11" x14ac:dyDescent="0.3">
      <c r="A381" t="s">
        <v>398</v>
      </c>
      <c r="B381" t="s">
        <v>14</v>
      </c>
      <c r="C381" t="s">
        <v>15</v>
      </c>
      <c r="D381" t="s">
        <v>11</v>
      </c>
      <c r="E381">
        <v>86.75</v>
      </c>
      <c r="F381">
        <v>17</v>
      </c>
      <c r="G381">
        <v>1474.75</v>
      </c>
      <c r="H381" t="s">
        <v>12</v>
      </c>
      <c r="I381" t="str">
        <f t="shared" si="16"/>
        <v>Low Value</v>
      </c>
      <c r="J381" t="str">
        <f t="shared" si="17"/>
        <v>Medium Risk</v>
      </c>
      <c r="K381" s="3" t="str">
        <f t="shared" si="15"/>
        <v>1-2 Years</v>
      </c>
    </row>
    <row r="382" spans="1:11" x14ac:dyDescent="0.3">
      <c r="A382" t="s">
        <v>399</v>
      </c>
      <c r="B382" t="s">
        <v>9</v>
      </c>
      <c r="C382" t="s">
        <v>15</v>
      </c>
      <c r="D382" t="s">
        <v>20</v>
      </c>
      <c r="E382">
        <v>86.2</v>
      </c>
      <c r="F382">
        <v>41</v>
      </c>
      <c r="G382">
        <v>3534.2</v>
      </c>
      <c r="H382" t="s">
        <v>12</v>
      </c>
      <c r="I382" t="str">
        <f t="shared" si="16"/>
        <v>Medium Value</v>
      </c>
      <c r="J382" t="str">
        <f t="shared" si="17"/>
        <v>Low Risk</v>
      </c>
      <c r="K382" s="3" t="str">
        <f t="shared" si="15"/>
        <v>2-4 Years</v>
      </c>
    </row>
    <row r="383" spans="1:11" x14ac:dyDescent="0.3">
      <c r="A383" t="s">
        <v>400</v>
      </c>
      <c r="B383" t="s">
        <v>14</v>
      </c>
      <c r="C383" t="s">
        <v>10</v>
      </c>
      <c r="D383" t="s">
        <v>16</v>
      </c>
      <c r="E383">
        <v>50.65</v>
      </c>
      <c r="F383">
        <v>1</v>
      </c>
      <c r="G383">
        <v>50.65</v>
      </c>
      <c r="H383" t="s">
        <v>18</v>
      </c>
      <c r="I383" t="str">
        <f t="shared" si="16"/>
        <v>Low Value</v>
      </c>
      <c r="J383" t="str">
        <f t="shared" si="17"/>
        <v>High Risk</v>
      </c>
      <c r="K383" s="3" t="str">
        <f t="shared" si="15"/>
        <v>0-1 Year</v>
      </c>
    </row>
    <row r="384" spans="1:11" x14ac:dyDescent="0.3">
      <c r="A384" t="s">
        <v>401</v>
      </c>
      <c r="B384" t="s">
        <v>14</v>
      </c>
      <c r="C384" t="s">
        <v>30</v>
      </c>
      <c r="D384" t="s">
        <v>20</v>
      </c>
      <c r="E384">
        <v>64.8</v>
      </c>
      <c r="F384">
        <v>72</v>
      </c>
      <c r="G384">
        <v>4665.5999999999904</v>
      </c>
      <c r="H384" t="s">
        <v>12</v>
      </c>
      <c r="I384" t="str">
        <f t="shared" si="16"/>
        <v>Medium Value</v>
      </c>
      <c r="J384" t="str">
        <f t="shared" si="17"/>
        <v>Low Risk</v>
      </c>
      <c r="K384" s="3" t="str">
        <f t="shared" si="15"/>
        <v>4+ Years</v>
      </c>
    </row>
    <row r="385" spans="1:11" x14ac:dyDescent="0.3">
      <c r="A385" t="s">
        <v>402</v>
      </c>
      <c r="B385" t="s">
        <v>14</v>
      </c>
      <c r="C385" t="s">
        <v>10</v>
      </c>
      <c r="D385" t="s">
        <v>24</v>
      </c>
      <c r="E385">
        <v>90.85</v>
      </c>
      <c r="F385">
        <v>1</v>
      </c>
      <c r="G385">
        <v>90.85</v>
      </c>
      <c r="H385" t="s">
        <v>18</v>
      </c>
      <c r="I385" t="str">
        <f t="shared" si="16"/>
        <v>Low Value</v>
      </c>
      <c r="J385" t="str">
        <f t="shared" si="17"/>
        <v>High Risk</v>
      </c>
      <c r="K385" s="3" t="str">
        <f t="shared" si="15"/>
        <v>0-1 Year</v>
      </c>
    </row>
    <row r="386" spans="1:11" x14ac:dyDescent="0.3">
      <c r="A386" t="s">
        <v>403</v>
      </c>
      <c r="B386" t="s">
        <v>14</v>
      </c>
      <c r="C386" t="s">
        <v>30</v>
      </c>
      <c r="D386" t="s">
        <v>20</v>
      </c>
      <c r="E386">
        <v>108.1</v>
      </c>
      <c r="F386">
        <v>48</v>
      </c>
      <c r="G386">
        <v>5188.7999999999902</v>
      </c>
      <c r="H386" t="s">
        <v>12</v>
      </c>
      <c r="I386" t="str">
        <f t="shared" si="16"/>
        <v>High Value</v>
      </c>
      <c r="J386" t="str">
        <f t="shared" si="17"/>
        <v>Low Risk</v>
      </c>
      <c r="K386" s="3" t="str">
        <f t="shared" si="15"/>
        <v>2-4 Years</v>
      </c>
    </row>
    <row r="387" spans="1:11" x14ac:dyDescent="0.3">
      <c r="A387" t="s">
        <v>404</v>
      </c>
      <c r="B387" t="s">
        <v>14</v>
      </c>
      <c r="C387" t="s">
        <v>10</v>
      </c>
      <c r="D387" t="s">
        <v>16</v>
      </c>
      <c r="E387">
        <v>19.95</v>
      </c>
      <c r="F387">
        <v>11</v>
      </c>
      <c r="G387">
        <v>219.45</v>
      </c>
      <c r="H387" t="s">
        <v>18</v>
      </c>
      <c r="I387" t="str">
        <f t="shared" si="16"/>
        <v>Low Value</v>
      </c>
      <c r="J387" t="str">
        <f t="shared" si="17"/>
        <v>High Risk</v>
      </c>
      <c r="K387" s="3" t="str">
        <f t="shared" ref="K387:K450" si="18">IF(F387&lt;=12,"0-1 Year",
IF(F387&lt;=24,"1-2 Years",
IF(F387&lt;=48,"2-4 Years","4+ Years")))</f>
        <v>0-1 Year</v>
      </c>
    </row>
    <row r="388" spans="1:11" x14ac:dyDescent="0.3">
      <c r="A388" t="s">
        <v>405</v>
      </c>
      <c r="B388" t="s">
        <v>9</v>
      </c>
      <c r="C388" t="s">
        <v>10</v>
      </c>
      <c r="D388" t="s">
        <v>11</v>
      </c>
      <c r="E388">
        <v>85.45</v>
      </c>
      <c r="F388">
        <v>55</v>
      </c>
      <c r="G388">
        <v>4699.75</v>
      </c>
      <c r="H388" t="s">
        <v>18</v>
      </c>
      <c r="I388" t="str">
        <f t="shared" ref="I388:I451" si="19">IF(G388&gt;5000,"High Value",
IF(G388&gt;2000,"Medium Value","Low Value"))</f>
        <v>Medium Value</v>
      </c>
      <c r="J388" t="str">
        <f t="shared" ref="J388:J451" si="20">IF(F388&lt;12,"High Risk",
IF(F388&lt;24,"Medium Risk","Low Risk"))</f>
        <v>Low Risk</v>
      </c>
      <c r="K388" s="3" t="str">
        <f t="shared" si="18"/>
        <v>4+ Years</v>
      </c>
    </row>
    <row r="389" spans="1:11" x14ac:dyDescent="0.3">
      <c r="A389" t="s">
        <v>406</v>
      </c>
      <c r="B389" t="s">
        <v>9</v>
      </c>
      <c r="C389" t="s">
        <v>15</v>
      </c>
      <c r="D389" t="s">
        <v>11</v>
      </c>
      <c r="E389">
        <v>54.75</v>
      </c>
      <c r="F389">
        <v>42</v>
      </c>
      <c r="G389">
        <v>2299.5</v>
      </c>
      <c r="H389" t="s">
        <v>12</v>
      </c>
      <c r="I389" t="str">
        <f t="shared" si="19"/>
        <v>Medium Value</v>
      </c>
      <c r="J389" t="str">
        <f t="shared" si="20"/>
        <v>Low Risk</v>
      </c>
      <c r="K389" s="3" t="str">
        <f t="shared" si="18"/>
        <v>2-4 Years</v>
      </c>
    </row>
    <row r="390" spans="1:11" x14ac:dyDescent="0.3">
      <c r="A390" t="s">
        <v>407</v>
      </c>
      <c r="B390" t="s">
        <v>14</v>
      </c>
      <c r="C390" t="s">
        <v>10</v>
      </c>
      <c r="D390" t="s">
        <v>16</v>
      </c>
      <c r="E390">
        <v>90.4</v>
      </c>
      <c r="F390">
        <v>44</v>
      </c>
      <c r="G390">
        <v>3977.6</v>
      </c>
      <c r="H390" t="s">
        <v>12</v>
      </c>
      <c r="I390" t="str">
        <f t="shared" si="19"/>
        <v>Medium Value</v>
      </c>
      <c r="J390" t="str">
        <f t="shared" si="20"/>
        <v>Low Risk</v>
      </c>
      <c r="K390" s="3" t="str">
        <f t="shared" si="18"/>
        <v>2-4 Years</v>
      </c>
    </row>
    <row r="391" spans="1:11" x14ac:dyDescent="0.3">
      <c r="A391" t="s">
        <v>408</v>
      </c>
      <c r="B391" t="s">
        <v>14</v>
      </c>
      <c r="C391" t="s">
        <v>10</v>
      </c>
      <c r="D391" t="s">
        <v>11</v>
      </c>
      <c r="E391">
        <v>44</v>
      </c>
      <c r="F391">
        <v>1</v>
      </c>
      <c r="G391">
        <v>44</v>
      </c>
      <c r="H391" t="s">
        <v>12</v>
      </c>
      <c r="I391" t="str">
        <f t="shared" si="19"/>
        <v>Low Value</v>
      </c>
      <c r="J391" t="str">
        <f t="shared" si="20"/>
        <v>High Risk</v>
      </c>
      <c r="K391" s="3" t="str">
        <f t="shared" si="18"/>
        <v>0-1 Year</v>
      </c>
    </row>
    <row r="392" spans="1:11" x14ac:dyDescent="0.3">
      <c r="A392" t="s">
        <v>409</v>
      </c>
      <c r="B392" t="s">
        <v>9</v>
      </c>
      <c r="C392" t="s">
        <v>10</v>
      </c>
      <c r="D392" t="s">
        <v>20</v>
      </c>
      <c r="E392">
        <v>95.6</v>
      </c>
      <c r="F392">
        <v>27</v>
      </c>
      <c r="G392">
        <v>2581.1999999999998</v>
      </c>
      <c r="H392" t="s">
        <v>12</v>
      </c>
      <c r="I392" t="str">
        <f t="shared" si="19"/>
        <v>Medium Value</v>
      </c>
      <c r="J392" t="str">
        <f t="shared" si="20"/>
        <v>Low Risk</v>
      </c>
      <c r="K392" s="3" t="str">
        <f t="shared" si="18"/>
        <v>2-4 Years</v>
      </c>
    </row>
    <row r="393" spans="1:11" x14ac:dyDescent="0.3">
      <c r="A393" t="s">
        <v>410</v>
      </c>
      <c r="B393" t="s">
        <v>14</v>
      </c>
      <c r="C393" t="s">
        <v>10</v>
      </c>
      <c r="D393" t="s">
        <v>20</v>
      </c>
      <c r="E393">
        <v>84.8</v>
      </c>
      <c r="F393">
        <v>27</v>
      </c>
      <c r="G393">
        <v>2289.6</v>
      </c>
      <c r="H393" t="s">
        <v>12</v>
      </c>
      <c r="I393" t="str">
        <f t="shared" si="19"/>
        <v>Medium Value</v>
      </c>
      <c r="J393" t="str">
        <f t="shared" si="20"/>
        <v>Low Risk</v>
      </c>
      <c r="K393" s="3" t="str">
        <f t="shared" si="18"/>
        <v>2-4 Years</v>
      </c>
    </row>
    <row r="394" spans="1:11" x14ac:dyDescent="0.3">
      <c r="A394" t="s">
        <v>411</v>
      </c>
      <c r="B394" t="s">
        <v>9</v>
      </c>
      <c r="C394" t="s">
        <v>10</v>
      </c>
      <c r="D394" t="s">
        <v>11</v>
      </c>
      <c r="E394">
        <v>44.3</v>
      </c>
      <c r="F394">
        <v>2</v>
      </c>
      <c r="G394">
        <v>88.6</v>
      </c>
      <c r="H394" t="s">
        <v>12</v>
      </c>
      <c r="I394" t="str">
        <f t="shared" si="19"/>
        <v>Low Value</v>
      </c>
      <c r="J394" t="str">
        <f t="shared" si="20"/>
        <v>High Risk</v>
      </c>
      <c r="K394" s="3" t="str">
        <f t="shared" si="18"/>
        <v>0-1 Year</v>
      </c>
    </row>
    <row r="395" spans="1:11" x14ac:dyDescent="0.3">
      <c r="A395" t="s">
        <v>412</v>
      </c>
      <c r="B395" t="s">
        <v>9</v>
      </c>
      <c r="C395" t="s">
        <v>10</v>
      </c>
      <c r="D395" t="s">
        <v>16</v>
      </c>
      <c r="E395">
        <v>19.899999999999999</v>
      </c>
      <c r="F395">
        <v>19</v>
      </c>
      <c r="G395">
        <v>378.099999999999</v>
      </c>
      <c r="H395" t="s">
        <v>12</v>
      </c>
      <c r="I395" t="str">
        <f t="shared" si="19"/>
        <v>Low Value</v>
      </c>
      <c r="J395" t="str">
        <f t="shared" si="20"/>
        <v>Medium Risk</v>
      </c>
      <c r="K395" s="3" t="str">
        <f t="shared" si="18"/>
        <v>1-2 Years</v>
      </c>
    </row>
    <row r="396" spans="1:11" x14ac:dyDescent="0.3">
      <c r="A396" t="s">
        <v>413</v>
      </c>
      <c r="B396" t="s">
        <v>9</v>
      </c>
      <c r="C396" t="s">
        <v>10</v>
      </c>
      <c r="D396" t="s">
        <v>11</v>
      </c>
      <c r="E396">
        <v>95.05</v>
      </c>
      <c r="F396">
        <v>42</v>
      </c>
      <c r="G396">
        <v>3992.1</v>
      </c>
      <c r="H396" t="s">
        <v>12</v>
      </c>
      <c r="I396" t="str">
        <f t="shared" si="19"/>
        <v>Medium Value</v>
      </c>
      <c r="J396" t="str">
        <f t="shared" si="20"/>
        <v>Low Risk</v>
      </c>
      <c r="K396" s="3" t="str">
        <f t="shared" si="18"/>
        <v>2-4 Years</v>
      </c>
    </row>
    <row r="397" spans="1:11" x14ac:dyDescent="0.3">
      <c r="A397" t="s">
        <v>414</v>
      </c>
      <c r="B397" t="s">
        <v>9</v>
      </c>
      <c r="C397" t="s">
        <v>30</v>
      </c>
      <c r="D397" t="s">
        <v>24</v>
      </c>
      <c r="E397">
        <v>90.05</v>
      </c>
      <c r="F397">
        <v>66</v>
      </c>
      <c r="G397">
        <v>5943.3</v>
      </c>
      <c r="H397" t="s">
        <v>12</v>
      </c>
      <c r="I397" t="str">
        <f t="shared" si="19"/>
        <v>High Value</v>
      </c>
      <c r="J397" t="str">
        <f t="shared" si="20"/>
        <v>Low Risk</v>
      </c>
      <c r="K397" s="3" t="str">
        <f t="shared" si="18"/>
        <v>4+ Years</v>
      </c>
    </row>
    <row r="398" spans="1:11" x14ac:dyDescent="0.3">
      <c r="A398" t="s">
        <v>415</v>
      </c>
      <c r="B398" t="s">
        <v>14</v>
      </c>
      <c r="C398" t="s">
        <v>10</v>
      </c>
      <c r="D398" t="s">
        <v>20</v>
      </c>
      <c r="E398">
        <v>109.9</v>
      </c>
      <c r="F398">
        <v>33</v>
      </c>
      <c r="G398">
        <v>3626.7</v>
      </c>
      <c r="H398" t="s">
        <v>12</v>
      </c>
      <c r="I398" t="str">
        <f t="shared" si="19"/>
        <v>Medium Value</v>
      </c>
      <c r="J398" t="str">
        <f t="shared" si="20"/>
        <v>Low Risk</v>
      </c>
      <c r="K398" s="3" t="str">
        <f t="shared" si="18"/>
        <v>2-4 Years</v>
      </c>
    </row>
    <row r="399" spans="1:11" x14ac:dyDescent="0.3">
      <c r="A399" t="s">
        <v>416</v>
      </c>
      <c r="B399" t="s">
        <v>9</v>
      </c>
      <c r="C399" t="s">
        <v>10</v>
      </c>
      <c r="D399" t="s">
        <v>24</v>
      </c>
      <c r="E399">
        <v>73.95</v>
      </c>
      <c r="F399">
        <v>34</v>
      </c>
      <c r="G399">
        <v>2514.3000000000002</v>
      </c>
      <c r="H399" t="s">
        <v>18</v>
      </c>
      <c r="I399" t="str">
        <f t="shared" si="19"/>
        <v>Medium Value</v>
      </c>
      <c r="J399" t="str">
        <f t="shared" si="20"/>
        <v>Low Risk</v>
      </c>
      <c r="K399" s="3" t="str">
        <f t="shared" si="18"/>
        <v>2-4 Years</v>
      </c>
    </row>
    <row r="400" spans="1:11" x14ac:dyDescent="0.3">
      <c r="A400" t="s">
        <v>417</v>
      </c>
      <c r="B400" t="s">
        <v>14</v>
      </c>
      <c r="C400" t="s">
        <v>10</v>
      </c>
      <c r="D400" t="s">
        <v>11</v>
      </c>
      <c r="E400">
        <v>54.6</v>
      </c>
      <c r="F400">
        <v>33</v>
      </c>
      <c r="G400">
        <v>1801.8</v>
      </c>
      <c r="H400" t="s">
        <v>12</v>
      </c>
      <c r="I400" t="str">
        <f t="shared" si="19"/>
        <v>Low Value</v>
      </c>
      <c r="J400" t="str">
        <f t="shared" si="20"/>
        <v>Low Risk</v>
      </c>
      <c r="K400" s="3" t="str">
        <f t="shared" si="18"/>
        <v>2-4 Years</v>
      </c>
    </row>
    <row r="401" spans="1:11" x14ac:dyDescent="0.3">
      <c r="A401" t="s">
        <v>418</v>
      </c>
      <c r="B401" t="s">
        <v>9</v>
      </c>
      <c r="C401" t="s">
        <v>15</v>
      </c>
      <c r="D401" t="s">
        <v>16</v>
      </c>
      <c r="E401">
        <v>20.05</v>
      </c>
      <c r="F401">
        <v>23</v>
      </c>
      <c r="G401">
        <v>461.15</v>
      </c>
      <c r="H401" t="s">
        <v>12</v>
      </c>
      <c r="I401" t="str">
        <f t="shared" si="19"/>
        <v>Low Value</v>
      </c>
      <c r="J401" t="str">
        <f t="shared" si="20"/>
        <v>Medium Risk</v>
      </c>
      <c r="K401" s="3" t="str">
        <f t="shared" si="18"/>
        <v>1-2 Years</v>
      </c>
    </row>
    <row r="402" spans="1:11" x14ac:dyDescent="0.3">
      <c r="A402" t="s">
        <v>419</v>
      </c>
      <c r="B402" t="s">
        <v>9</v>
      </c>
      <c r="C402" t="s">
        <v>15</v>
      </c>
      <c r="D402" t="s">
        <v>20</v>
      </c>
      <c r="E402">
        <v>19.75</v>
      </c>
      <c r="F402">
        <v>32</v>
      </c>
      <c r="G402">
        <v>632</v>
      </c>
      <c r="H402" t="s">
        <v>12</v>
      </c>
      <c r="I402" t="str">
        <f t="shared" si="19"/>
        <v>Low Value</v>
      </c>
      <c r="J402" t="str">
        <f t="shared" si="20"/>
        <v>Low Risk</v>
      </c>
      <c r="K402" s="3" t="str">
        <f t="shared" si="18"/>
        <v>2-4 Years</v>
      </c>
    </row>
    <row r="403" spans="1:11" x14ac:dyDescent="0.3">
      <c r="A403" t="s">
        <v>420</v>
      </c>
      <c r="B403" t="s">
        <v>9</v>
      </c>
      <c r="C403" t="s">
        <v>15</v>
      </c>
      <c r="D403" t="s">
        <v>24</v>
      </c>
      <c r="E403">
        <v>20.05</v>
      </c>
      <c r="F403">
        <v>11</v>
      </c>
      <c r="G403">
        <v>220.55</v>
      </c>
      <c r="H403" t="s">
        <v>12</v>
      </c>
      <c r="I403" t="str">
        <f t="shared" si="19"/>
        <v>Low Value</v>
      </c>
      <c r="J403" t="str">
        <f t="shared" si="20"/>
        <v>High Risk</v>
      </c>
      <c r="K403" s="3" t="str">
        <f t="shared" si="18"/>
        <v>0-1 Year</v>
      </c>
    </row>
    <row r="404" spans="1:11" x14ac:dyDescent="0.3">
      <c r="A404" t="s">
        <v>421</v>
      </c>
      <c r="B404" t="s">
        <v>14</v>
      </c>
      <c r="C404" t="s">
        <v>10</v>
      </c>
      <c r="D404" t="s">
        <v>24</v>
      </c>
      <c r="E404">
        <v>99.45</v>
      </c>
      <c r="F404">
        <v>69</v>
      </c>
      <c r="G404">
        <v>6862.05</v>
      </c>
      <c r="H404" t="s">
        <v>18</v>
      </c>
      <c r="I404" t="str">
        <f t="shared" si="19"/>
        <v>High Value</v>
      </c>
      <c r="J404" t="str">
        <f t="shared" si="20"/>
        <v>Low Risk</v>
      </c>
      <c r="K404" s="3" t="str">
        <f t="shared" si="18"/>
        <v>4+ Years</v>
      </c>
    </row>
    <row r="405" spans="1:11" x14ac:dyDescent="0.3">
      <c r="A405" t="s">
        <v>422</v>
      </c>
      <c r="B405" t="s">
        <v>9</v>
      </c>
      <c r="C405" t="s">
        <v>15</v>
      </c>
      <c r="D405" t="s">
        <v>20</v>
      </c>
      <c r="E405">
        <v>55.9</v>
      </c>
      <c r="F405">
        <v>68</v>
      </c>
      <c r="G405">
        <v>3801.2</v>
      </c>
      <c r="H405" t="s">
        <v>12</v>
      </c>
      <c r="I405" t="str">
        <f t="shared" si="19"/>
        <v>Medium Value</v>
      </c>
      <c r="J405" t="str">
        <f t="shared" si="20"/>
        <v>Low Risk</v>
      </c>
      <c r="K405" s="3" t="str">
        <f t="shared" si="18"/>
        <v>4+ Years</v>
      </c>
    </row>
    <row r="406" spans="1:11" x14ac:dyDescent="0.3">
      <c r="A406" t="s">
        <v>423</v>
      </c>
      <c r="B406" t="s">
        <v>14</v>
      </c>
      <c r="C406" t="s">
        <v>30</v>
      </c>
      <c r="D406" t="s">
        <v>16</v>
      </c>
      <c r="E406">
        <v>19.7</v>
      </c>
      <c r="F406">
        <v>20</v>
      </c>
      <c r="G406">
        <v>394</v>
      </c>
      <c r="H406" t="s">
        <v>12</v>
      </c>
      <c r="I406" t="str">
        <f t="shared" si="19"/>
        <v>Low Value</v>
      </c>
      <c r="J406" t="str">
        <f t="shared" si="20"/>
        <v>Medium Risk</v>
      </c>
      <c r="K406" s="3" t="str">
        <f t="shared" si="18"/>
        <v>1-2 Years</v>
      </c>
    </row>
    <row r="407" spans="1:11" x14ac:dyDescent="0.3">
      <c r="A407" t="s">
        <v>424</v>
      </c>
      <c r="B407" t="s">
        <v>14</v>
      </c>
      <c r="C407" t="s">
        <v>30</v>
      </c>
      <c r="D407" t="s">
        <v>24</v>
      </c>
      <c r="E407">
        <v>19.8</v>
      </c>
      <c r="F407">
        <v>72</v>
      </c>
      <c r="G407">
        <v>1425.6</v>
      </c>
      <c r="H407" t="s">
        <v>12</v>
      </c>
      <c r="I407" t="str">
        <f t="shared" si="19"/>
        <v>Low Value</v>
      </c>
      <c r="J407" t="str">
        <f t="shared" si="20"/>
        <v>Low Risk</v>
      </c>
      <c r="K407" s="3" t="str">
        <f t="shared" si="18"/>
        <v>4+ Years</v>
      </c>
    </row>
    <row r="408" spans="1:11" x14ac:dyDescent="0.3">
      <c r="A408" t="s">
        <v>425</v>
      </c>
      <c r="B408" t="s">
        <v>14</v>
      </c>
      <c r="C408" t="s">
        <v>15</v>
      </c>
      <c r="D408" t="s">
        <v>20</v>
      </c>
      <c r="E408">
        <v>95.4</v>
      </c>
      <c r="F408">
        <v>60</v>
      </c>
      <c r="G408">
        <v>5724</v>
      </c>
      <c r="H408" t="s">
        <v>12</v>
      </c>
      <c r="I408" t="str">
        <f t="shared" si="19"/>
        <v>High Value</v>
      </c>
      <c r="J408" t="str">
        <f t="shared" si="20"/>
        <v>Low Risk</v>
      </c>
      <c r="K408" s="3" t="str">
        <f t="shared" si="18"/>
        <v>4+ Years</v>
      </c>
    </row>
    <row r="409" spans="1:11" x14ac:dyDescent="0.3">
      <c r="A409" t="s">
        <v>426</v>
      </c>
      <c r="B409" t="s">
        <v>14</v>
      </c>
      <c r="C409" t="s">
        <v>10</v>
      </c>
      <c r="D409" t="s">
        <v>16</v>
      </c>
      <c r="E409">
        <v>93.95</v>
      </c>
      <c r="F409">
        <v>32</v>
      </c>
      <c r="G409">
        <v>3006.4</v>
      </c>
      <c r="H409" t="s">
        <v>12</v>
      </c>
      <c r="I409" t="str">
        <f t="shared" si="19"/>
        <v>Medium Value</v>
      </c>
      <c r="J409" t="str">
        <f t="shared" si="20"/>
        <v>Low Risk</v>
      </c>
      <c r="K409" s="3" t="str">
        <f t="shared" si="18"/>
        <v>2-4 Years</v>
      </c>
    </row>
    <row r="410" spans="1:11" x14ac:dyDescent="0.3">
      <c r="A410" t="s">
        <v>427</v>
      </c>
      <c r="B410" t="s">
        <v>9</v>
      </c>
      <c r="C410" t="s">
        <v>10</v>
      </c>
      <c r="D410" t="s">
        <v>16</v>
      </c>
      <c r="E410">
        <v>19.899999999999999</v>
      </c>
      <c r="F410">
        <v>1</v>
      </c>
      <c r="G410">
        <v>19.899999999999999</v>
      </c>
      <c r="H410" t="s">
        <v>18</v>
      </c>
      <c r="I410" t="str">
        <f t="shared" si="19"/>
        <v>Low Value</v>
      </c>
      <c r="J410" t="str">
        <f t="shared" si="20"/>
        <v>High Risk</v>
      </c>
      <c r="K410" s="3" t="str">
        <f t="shared" si="18"/>
        <v>0-1 Year</v>
      </c>
    </row>
    <row r="411" spans="1:11" x14ac:dyDescent="0.3">
      <c r="A411" t="s">
        <v>428</v>
      </c>
      <c r="B411" t="s">
        <v>14</v>
      </c>
      <c r="C411" t="s">
        <v>10</v>
      </c>
      <c r="D411" t="s">
        <v>16</v>
      </c>
      <c r="E411">
        <v>19.600000000000001</v>
      </c>
      <c r="F411">
        <v>1</v>
      </c>
      <c r="G411">
        <v>19.600000000000001</v>
      </c>
      <c r="H411" t="s">
        <v>18</v>
      </c>
      <c r="I411" t="str">
        <f t="shared" si="19"/>
        <v>Low Value</v>
      </c>
      <c r="J411" t="str">
        <f t="shared" si="20"/>
        <v>High Risk</v>
      </c>
      <c r="K411" s="3" t="str">
        <f t="shared" si="18"/>
        <v>0-1 Year</v>
      </c>
    </row>
    <row r="412" spans="1:11" x14ac:dyDescent="0.3">
      <c r="A412" t="s">
        <v>429</v>
      </c>
      <c r="B412" t="s">
        <v>14</v>
      </c>
      <c r="C412" t="s">
        <v>10</v>
      </c>
      <c r="D412" t="s">
        <v>11</v>
      </c>
      <c r="E412">
        <v>81.349999999999994</v>
      </c>
      <c r="F412">
        <v>3</v>
      </c>
      <c r="G412">
        <v>244.04999999999899</v>
      </c>
      <c r="H412" t="s">
        <v>18</v>
      </c>
      <c r="I412" t="str">
        <f t="shared" si="19"/>
        <v>Low Value</v>
      </c>
      <c r="J412" t="str">
        <f t="shared" si="20"/>
        <v>High Risk</v>
      </c>
      <c r="K412" s="3" t="str">
        <f t="shared" si="18"/>
        <v>0-1 Year</v>
      </c>
    </row>
    <row r="413" spans="1:11" x14ac:dyDescent="0.3">
      <c r="A413" t="s">
        <v>430</v>
      </c>
      <c r="B413" t="s">
        <v>9</v>
      </c>
      <c r="C413" t="s">
        <v>15</v>
      </c>
      <c r="D413" t="s">
        <v>20</v>
      </c>
      <c r="E413">
        <v>24.45</v>
      </c>
      <c r="F413">
        <v>46</v>
      </c>
      <c r="G413">
        <v>1124.7</v>
      </c>
      <c r="H413" t="s">
        <v>12</v>
      </c>
      <c r="I413" t="str">
        <f t="shared" si="19"/>
        <v>Low Value</v>
      </c>
      <c r="J413" t="str">
        <f t="shared" si="20"/>
        <v>Low Risk</v>
      </c>
      <c r="K413" s="3" t="str">
        <f t="shared" si="18"/>
        <v>2-4 Years</v>
      </c>
    </row>
    <row r="414" spans="1:11" x14ac:dyDescent="0.3">
      <c r="A414" t="s">
        <v>431</v>
      </c>
      <c r="B414" t="s">
        <v>9</v>
      </c>
      <c r="C414" t="s">
        <v>10</v>
      </c>
      <c r="D414" t="s">
        <v>11</v>
      </c>
      <c r="E414">
        <v>74.95</v>
      </c>
      <c r="F414">
        <v>29</v>
      </c>
      <c r="G414">
        <v>2173.5500000000002</v>
      </c>
      <c r="H414" t="s">
        <v>12</v>
      </c>
      <c r="I414" t="str">
        <f t="shared" si="19"/>
        <v>Medium Value</v>
      </c>
      <c r="J414" t="str">
        <f t="shared" si="20"/>
        <v>Low Risk</v>
      </c>
      <c r="K414" s="3" t="str">
        <f t="shared" si="18"/>
        <v>2-4 Years</v>
      </c>
    </row>
    <row r="415" spans="1:11" x14ac:dyDescent="0.3">
      <c r="A415" t="s">
        <v>432</v>
      </c>
      <c r="B415" t="s">
        <v>14</v>
      </c>
      <c r="C415" t="s">
        <v>10</v>
      </c>
      <c r="D415" t="s">
        <v>11</v>
      </c>
      <c r="E415">
        <v>87.35</v>
      </c>
      <c r="F415">
        <v>51</v>
      </c>
      <c r="G415">
        <v>4454.8499999999904</v>
      </c>
      <c r="H415" t="s">
        <v>12</v>
      </c>
      <c r="I415" t="str">
        <f t="shared" si="19"/>
        <v>Medium Value</v>
      </c>
      <c r="J415" t="str">
        <f t="shared" si="20"/>
        <v>Low Risk</v>
      </c>
      <c r="K415" s="3" t="str">
        <f t="shared" si="18"/>
        <v>4+ Years</v>
      </c>
    </row>
    <row r="416" spans="1:11" x14ac:dyDescent="0.3">
      <c r="A416" t="s">
        <v>433</v>
      </c>
      <c r="B416" t="s">
        <v>9</v>
      </c>
      <c r="C416" t="s">
        <v>10</v>
      </c>
      <c r="D416" t="s">
        <v>20</v>
      </c>
      <c r="E416">
        <v>70.650000000000006</v>
      </c>
      <c r="F416">
        <v>48</v>
      </c>
      <c r="G416">
        <v>3391.2</v>
      </c>
      <c r="H416" t="s">
        <v>12</v>
      </c>
      <c r="I416" t="str">
        <f t="shared" si="19"/>
        <v>Medium Value</v>
      </c>
      <c r="J416" t="str">
        <f t="shared" si="20"/>
        <v>Low Risk</v>
      </c>
      <c r="K416" s="3" t="str">
        <f t="shared" si="18"/>
        <v>2-4 Years</v>
      </c>
    </row>
    <row r="417" spans="1:11" x14ac:dyDescent="0.3">
      <c r="A417" t="s">
        <v>434</v>
      </c>
      <c r="B417" t="s">
        <v>9</v>
      </c>
      <c r="C417" t="s">
        <v>10</v>
      </c>
      <c r="D417" t="s">
        <v>20</v>
      </c>
      <c r="E417">
        <v>73.25</v>
      </c>
      <c r="F417">
        <v>16</v>
      </c>
      <c r="G417">
        <v>1172</v>
      </c>
      <c r="H417" t="s">
        <v>12</v>
      </c>
      <c r="I417" t="str">
        <f t="shared" si="19"/>
        <v>Low Value</v>
      </c>
      <c r="J417" t="str">
        <f t="shared" si="20"/>
        <v>Medium Risk</v>
      </c>
      <c r="K417" s="3" t="str">
        <f t="shared" si="18"/>
        <v>1-2 Years</v>
      </c>
    </row>
    <row r="418" spans="1:11" x14ac:dyDescent="0.3">
      <c r="A418" t="s">
        <v>435</v>
      </c>
      <c r="B418" t="s">
        <v>14</v>
      </c>
      <c r="C418" t="s">
        <v>30</v>
      </c>
      <c r="D418" t="s">
        <v>20</v>
      </c>
      <c r="E418">
        <v>98.7</v>
      </c>
      <c r="F418">
        <v>70</v>
      </c>
      <c r="G418">
        <v>6909</v>
      </c>
      <c r="H418" t="s">
        <v>12</v>
      </c>
      <c r="I418" t="str">
        <f t="shared" si="19"/>
        <v>High Value</v>
      </c>
      <c r="J418" t="str">
        <f t="shared" si="20"/>
        <v>Low Risk</v>
      </c>
      <c r="K418" s="3" t="str">
        <f t="shared" si="18"/>
        <v>4+ Years</v>
      </c>
    </row>
    <row r="419" spans="1:11" x14ac:dyDescent="0.3">
      <c r="A419" t="s">
        <v>436</v>
      </c>
      <c r="B419" t="s">
        <v>9</v>
      </c>
      <c r="C419" t="s">
        <v>30</v>
      </c>
      <c r="D419" t="s">
        <v>16</v>
      </c>
      <c r="E419">
        <v>24.8</v>
      </c>
      <c r="F419">
        <v>40</v>
      </c>
      <c r="G419">
        <v>992</v>
      </c>
      <c r="H419" t="s">
        <v>12</v>
      </c>
      <c r="I419" t="str">
        <f t="shared" si="19"/>
        <v>Low Value</v>
      </c>
      <c r="J419" t="str">
        <f t="shared" si="20"/>
        <v>Low Risk</v>
      </c>
      <c r="K419" s="3" t="str">
        <f t="shared" si="18"/>
        <v>2-4 Years</v>
      </c>
    </row>
    <row r="420" spans="1:11" x14ac:dyDescent="0.3">
      <c r="A420" t="s">
        <v>437</v>
      </c>
      <c r="B420" t="s">
        <v>9</v>
      </c>
      <c r="C420" t="s">
        <v>10</v>
      </c>
      <c r="D420" t="s">
        <v>11</v>
      </c>
      <c r="E420">
        <v>83.3</v>
      </c>
      <c r="F420">
        <v>22</v>
      </c>
      <c r="G420">
        <v>1832.6</v>
      </c>
      <c r="H420" t="s">
        <v>18</v>
      </c>
      <c r="I420" t="str">
        <f t="shared" si="19"/>
        <v>Low Value</v>
      </c>
      <c r="J420" t="str">
        <f t="shared" si="20"/>
        <v>Medium Risk</v>
      </c>
      <c r="K420" s="3" t="str">
        <f t="shared" si="18"/>
        <v>1-2 Years</v>
      </c>
    </row>
    <row r="421" spans="1:11" x14ac:dyDescent="0.3">
      <c r="A421" t="s">
        <v>438</v>
      </c>
      <c r="B421" t="s">
        <v>9</v>
      </c>
      <c r="C421" t="s">
        <v>10</v>
      </c>
      <c r="D421" t="s">
        <v>20</v>
      </c>
      <c r="E421">
        <v>75.3</v>
      </c>
      <c r="F421">
        <v>1</v>
      </c>
      <c r="G421">
        <v>75.3</v>
      </c>
      <c r="H421" t="s">
        <v>18</v>
      </c>
      <c r="I421" t="str">
        <f t="shared" si="19"/>
        <v>Low Value</v>
      </c>
      <c r="J421" t="str">
        <f t="shared" si="20"/>
        <v>High Risk</v>
      </c>
      <c r="K421" s="3" t="str">
        <f t="shared" si="18"/>
        <v>0-1 Year</v>
      </c>
    </row>
    <row r="422" spans="1:11" x14ac:dyDescent="0.3">
      <c r="A422" t="s">
        <v>439</v>
      </c>
      <c r="B422" t="s">
        <v>9</v>
      </c>
      <c r="C422" t="s">
        <v>10</v>
      </c>
      <c r="D422" t="s">
        <v>16</v>
      </c>
      <c r="E422">
        <v>24.3</v>
      </c>
      <c r="F422">
        <v>5</v>
      </c>
      <c r="G422">
        <v>121.5</v>
      </c>
      <c r="H422" t="s">
        <v>12</v>
      </c>
      <c r="I422" t="str">
        <f t="shared" si="19"/>
        <v>Low Value</v>
      </c>
      <c r="J422" t="str">
        <f t="shared" si="20"/>
        <v>High Risk</v>
      </c>
      <c r="K422" s="3" t="str">
        <f t="shared" si="18"/>
        <v>0-1 Year</v>
      </c>
    </row>
    <row r="423" spans="1:11" x14ac:dyDescent="0.3">
      <c r="A423" t="s">
        <v>440</v>
      </c>
      <c r="B423" t="s">
        <v>9</v>
      </c>
      <c r="C423" t="s">
        <v>10</v>
      </c>
      <c r="D423" t="s">
        <v>20</v>
      </c>
      <c r="E423">
        <v>69.849999999999994</v>
      </c>
      <c r="F423">
        <v>7</v>
      </c>
      <c r="G423">
        <v>488.94999999999902</v>
      </c>
      <c r="H423" t="s">
        <v>12</v>
      </c>
      <c r="I423" t="str">
        <f t="shared" si="19"/>
        <v>Low Value</v>
      </c>
      <c r="J423" t="str">
        <f t="shared" si="20"/>
        <v>High Risk</v>
      </c>
      <c r="K423" s="3" t="str">
        <f t="shared" si="18"/>
        <v>0-1 Year</v>
      </c>
    </row>
    <row r="424" spans="1:11" x14ac:dyDescent="0.3">
      <c r="A424" t="s">
        <v>441</v>
      </c>
      <c r="B424" t="s">
        <v>14</v>
      </c>
      <c r="C424" t="s">
        <v>15</v>
      </c>
      <c r="D424" t="s">
        <v>24</v>
      </c>
      <c r="E424">
        <v>100.55</v>
      </c>
      <c r="F424">
        <v>29</v>
      </c>
      <c r="G424">
        <v>2915.95</v>
      </c>
      <c r="H424" t="s">
        <v>12</v>
      </c>
      <c r="I424" t="str">
        <f t="shared" si="19"/>
        <v>Medium Value</v>
      </c>
      <c r="J424" t="str">
        <f t="shared" si="20"/>
        <v>Low Risk</v>
      </c>
      <c r="K424" s="3" t="str">
        <f t="shared" si="18"/>
        <v>2-4 Years</v>
      </c>
    </row>
    <row r="425" spans="1:11" x14ac:dyDescent="0.3">
      <c r="A425" t="s">
        <v>442</v>
      </c>
      <c r="B425" t="s">
        <v>14</v>
      </c>
      <c r="C425" t="s">
        <v>15</v>
      </c>
      <c r="D425" t="s">
        <v>16</v>
      </c>
      <c r="E425">
        <v>25.7</v>
      </c>
      <c r="F425">
        <v>44</v>
      </c>
      <c r="G425">
        <v>1130.8</v>
      </c>
      <c r="H425" t="s">
        <v>12</v>
      </c>
      <c r="I425" t="str">
        <f t="shared" si="19"/>
        <v>Low Value</v>
      </c>
      <c r="J425" t="str">
        <f t="shared" si="20"/>
        <v>Low Risk</v>
      </c>
      <c r="K425" s="3" t="str">
        <f t="shared" si="18"/>
        <v>2-4 Years</v>
      </c>
    </row>
    <row r="426" spans="1:11" x14ac:dyDescent="0.3">
      <c r="A426" t="s">
        <v>443</v>
      </c>
      <c r="B426" t="s">
        <v>9</v>
      </c>
      <c r="C426" t="s">
        <v>10</v>
      </c>
      <c r="D426" t="s">
        <v>20</v>
      </c>
      <c r="E426">
        <v>40.700000000000003</v>
      </c>
      <c r="F426">
        <v>10</v>
      </c>
      <c r="G426">
        <v>407</v>
      </c>
      <c r="H426" t="s">
        <v>12</v>
      </c>
      <c r="I426" t="str">
        <f t="shared" si="19"/>
        <v>Low Value</v>
      </c>
      <c r="J426" t="str">
        <f t="shared" si="20"/>
        <v>High Risk</v>
      </c>
      <c r="K426" s="3" t="str">
        <f t="shared" si="18"/>
        <v>0-1 Year</v>
      </c>
    </row>
    <row r="427" spans="1:11" x14ac:dyDescent="0.3">
      <c r="A427" t="s">
        <v>444</v>
      </c>
      <c r="B427" t="s">
        <v>9</v>
      </c>
      <c r="C427" t="s">
        <v>10</v>
      </c>
      <c r="D427" t="s">
        <v>20</v>
      </c>
      <c r="E427">
        <v>51.65</v>
      </c>
      <c r="F427">
        <v>55</v>
      </c>
      <c r="G427">
        <v>2840.75</v>
      </c>
      <c r="H427" t="s">
        <v>12</v>
      </c>
      <c r="I427" t="str">
        <f t="shared" si="19"/>
        <v>Medium Value</v>
      </c>
      <c r="J427" t="str">
        <f t="shared" si="20"/>
        <v>Low Risk</v>
      </c>
      <c r="K427" s="3" t="str">
        <f t="shared" si="18"/>
        <v>4+ Years</v>
      </c>
    </row>
    <row r="428" spans="1:11" x14ac:dyDescent="0.3">
      <c r="A428" t="s">
        <v>445</v>
      </c>
      <c r="B428" t="s">
        <v>14</v>
      </c>
      <c r="C428" t="s">
        <v>15</v>
      </c>
      <c r="D428" t="s">
        <v>20</v>
      </c>
      <c r="E428">
        <v>105.1</v>
      </c>
      <c r="F428">
        <v>52</v>
      </c>
      <c r="G428">
        <v>5465.2</v>
      </c>
      <c r="H428" t="s">
        <v>12</v>
      </c>
      <c r="I428" t="str">
        <f t="shared" si="19"/>
        <v>High Value</v>
      </c>
      <c r="J428" t="str">
        <f t="shared" si="20"/>
        <v>Low Risk</v>
      </c>
      <c r="K428" s="3" t="str">
        <f t="shared" si="18"/>
        <v>4+ Years</v>
      </c>
    </row>
    <row r="429" spans="1:11" x14ac:dyDescent="0.3">
      <c r="A429" t="s">
        <v>446</v>
      </c>
      <c r="B429" t="s">
        <v>9</v>
      </c>
      <c r="C429" t="s">
        <v>10</v>
      </c>
      <c r="D429" t="s">
        <v>11</v>
      </c>
      <c r="E429">
        <v>85.95</v>
      </c>
      <c r="F429">
        <v>10</v>
      </c>
      <c r="G429">
        <v>859.5</v>
      </c>
      <c r="H429" t="s">
        <v>12</v>
      </c>
      <c r="I429" t="str">
        <f t="shared" si="19"/>
        <v>Low Value</v>
      </c>
      <c r="J429" t="str">
        <f t="shared" si="20"/>
        <v>High Risk</v>
      </c>
      <c r="K429" s="3" t="str">
        <f t="shared" si="18"/>
        <v>0-1 Year</v>
      </c>
    </row>
    <row r="430" spans="1:11" x14ac:dyDescent="0.3">
      <c r="A430" t="s">
        <v>447</v>
      </c>
      <c r="B430" t="s">
        <v>14</v>
      </c>
      <c r="C430" t="s">
        <v>10</v>
      </c>
      <c r="D430" t="s">
        <v>20</v>
      </c>
      <c r="E430">
        <v>75.599999999999994</v>
      </c>
      <c r="F430">
        <v>18</v>
      </c>
      <c r="G430">
        <v>1360.8</v>
      </c>
      <c r="H430" t="s">
        <v>12</v>
      </c>
      <c r="I430" t="str">
        <f t="shared" si="19"/>
        <v>Low Value</v>
      </c>
      <c r="J430" t="str">
        <f t="shared" si="20"/>
        <v>Medium Risk</v>
      </c>
      <c r="K430" s="3" t="str">
        <f t="shared" si="18"/>
        <v>1-2 Years</v>
      </c>
    </row>
    <row r="431" spans="1:11" x14ac:dyDescent="0.3">
      <c r="A431" t="s">
        <v>448</v>
      </c>
      <c r="B431" t="s">
        <v>9</v>
      </c>
      <c r="C431" t="s">
        <v>15</v>
      </c>
      <c r="D431" t="s">
        <v>20</v>
      </c>
      <c r="E431">
        <v>58.25</v>
      </c>
      <c r="F431">
        <v>68</v>
      </c>
      <c r="G431">
        <v>3961</v>
      </c>
      <c r="H431" t="s">
        <v>12</v>
      </c>
      <c r="I431" t="str">
        <f t="shared" si="19"/>
        <v>Medium Value</v>
      </c>
      <c r="J431" t="str">
        <f t="shared" si="20"/>
        <v>Low Risk</v>
      </c>
      <c r="K431" s="3" t="str">
        <f t="shared" si="18"/>
        <v>4+ Years</v>
      </c>
    </row>
    <row r="432" spans="1:11" x14ac:dyDescent="0.3">
      <c r="A432" t="s">
        <v>449</v>
      </c>
      <c r="B432" t="s">
        <v>9</v>
      </c>
      <c r="C432" t="s">
        <v>10</v>
      </c>
      <c r="D432" t="s">
        <v>16</v>
      </c>
      <c r="E432">
        <v>19.399999999999999</v>
      </c>
      <c r="F432">
        <v>61</v>
      </c>
      <c r="G432">
        <v>1183.3999999999901</v>
      </c>
      <c r="H432" t="s">
        <v>18</v>
      </c>
      <c r="I432" t="str">
        <f t="shared" si="19"/>
        <v>Low Value</v>
      </c>
      <c r="J432" t="str">
        <f t="shared" si="20"/>
        <v>Low Risk</v>
      </c>
      <c r="K432" s="3" t="str">
        <f t="shared" si="18"/>
        <v>4+ Years</v>
      </c>
    </row>
    <row r="433" spans="1:11" x14ac:dyDescent="0.3">
      <c r="A433" t="s">
        <v>450</v>
      </c>
      <c r="B433" t="s">
        <v>9</v>
      </c>
      <c r="C433" t="s">
        <v>30</v>
      </c>
      <c r="D433" t="s">
        <v>24</v>
      </c>
      <c r="E433">
        <v>65.2</v>
      </c>
      <c r="F433">
        <v>72</v>
      </c>
      <c r="G433">
        <v>4694.3999999999996</v>
      </c>
      <c r="H433" t="s">
        <v>12</v>
      </c>
      <c r="I433" t="str">
        <f t="shared" si="19"/>
        <v>Medium Value</v>
      </c>
      <c r="J433" t="str">
        <f t="shared" si="20"/>
        <v>Low Risk</v>
      </c>
      <c r="K433" s="3" t="str">
        <f t="shared" si="18"/>
        <v>4+ Years</v>
      </c>
    </row>
    <row r="434" spans="1:11" x14ac:dyDescent="0.3">
      <c r="A434" t="s">
        <v>451</v>
      </c>
      <c r="B434" t="s">
        <v>14</v>
      </c>
      <c r="C434" t="s">
        <v>10</v>
      </c>
      <c r="D434" t="s">
        <v>11</v>
      </c>
      <c r="E434">
        <v>53.45</v>
      </c>
      <c r="F434">
        <v>2</v>
      </c>
      <c r="G434">
        <v>106.9</v>
      </c>
      <c r="H434" t="s">
        <v>12</v>
      </c>
      <c r="I434" t="str">
        <f t="shared" si="19"/>
        <v>Low Value</v>
      </c>
      <c r="J434" t="str">
        <f t="shared" si="20"/>
        <v>High Risk</v>
      </c>
      <c r="K434" s="3" t="str">
        <f t="shared" si="18"/>
        <v>0-1 Year</v>
      </c>
    </row>
    <row r="435" spans="1:11" x14ac:dyDescent="0.3">
      <c r="A435" t="s">
        <v>452</v>
      </c>
      <c r="B435" t="s">
        <v>14</v>
      </c>
      <c r="C435" t="s">
        <v>10</v>
      </c>
      <c r="D435" t="s">
        <v>20</v>
      </c>
      <c r="E435">
        <v>45.4</v>
      </c>
      <c r="F435">
        <v>12</v>
      </c>
      <c r="G435">
        <v>544.79999999999995</v>
      </c>
      <c r="H435" t="s">
        <v>18</v>
      </c>
      <c r="I435" t="str">
        <f t="shared" si="19"/>
        <v>Low Value</v>
      </c>
      <c r="J435" t="str">
        <f t="shared" si="20"/>
        <v>Medium Risk</v>
      </c>
      <c r="K435" s="3" t="str">
        <f t="shared" si="18"/>
        <v>0-1 Year</v>
      </c>
    </row>
    <row r="436" spans="1:11" x14ac:dyDescent="0.3">
      <c r="A436" t="s">
        <v>453</v>
      </c>
      <c r="B436" t="s">
        <v>14</v>
      </c>
      <c r="C436" t="s">
        <v>30</v>
      </c>
      <c r="D436" t="s">
        <v>11</v>
      </c>
      <c r="E436">
        <v>19.75</v>
      </c>
      <c r="F436">
        <v>41</v>
      </c>
      <c r="G436">
        <v>809.75</v>
      </c>
      <c r="H436" t="s">
        <v>12</v>
      </c>
      <c r="I436" t="str">
        <f t="shared" si="19"/>
        <v>Low Value</v>
      </c>
      <c r="J436" t="str">
        <f t="shared" si="20"/>
        <v>Low Risk</v>
      </c>
      <c r="K436" s="3" t="str">
        <f t="shared" si="18"/>
        <v>2-4 Years</v>
      </c>
    </row>
    <row r="437" spans="1:11" x14ac:dyDescent="0.3">
      <c r="A437" t="s">
        <v>454</v>
      </c>
      <c r="B437" t="s">
        <v>9</v>
      </c>
      <c r="C437" t="s">
        <v>10</v>
      </c>
      <c r="D437" t="s">
        <v>24</v>
      </c>
      <c r="E437">
        <v>44.45</v>
      </c>
      <c r="F437">
        <v>26</v>
      </c>
      <c r="G437">
        <v>1155.7</v>
      </c>
      <c r="H437" t="s">
        <v>12</v>
      </c>
      <c r="I437" t="str">
        <f t="shared" si="19"/>
        <v>Low Value</v>
      </c>
      <c r="J437" t="str">
        <f t="shared" si="20"/>
        <v>Low Risk</v>
      </c>
      <c r="K437" s="3" t="str">
        <f t="shared" si="18"/>
        <v>2-4 Years</v>
      </c>
    </row>
    <row r="438" spans="1:11" x14ac:dyDescent="0.3">
      <c r="A438" t="s">
        <v>455</v>
      </c>
      <c r="B438" t="s">
        <v>14</v>
      </c>
      <c r="C438" t="s">
        <v>15</v>
      </c>
      <c r="D438" t="s">
        <v>20</v>
      </c>
      <c r="E438">
        <v>20.85</v>
      </c>
      <c r="F438">
        <v>36</v>
      </c>
      <c r="G438">
        <v>750.6</v>
      </c>
      <c r="H438" t="s">
        <v>12</v>
      </c>
      <c r="I438" t="str">
        <f t="shared" si="19"/>
        <v>Low Value</v>
      </c>
      <c r="J438" t="str">
        <f t="shared" si="20"/>
        <v>Low Risk</v>
      </c>
      <c r="K438" s="3" t="str">
        <f t="shared" si="18"/>
        <v>2-4 Years</v>
      </c>
    </row>
    <row r="439" spans="1:11" x14ac:dyDescent="0.3">
      <c r="A439" t="s">
        <v>456</v>
      </c>
      <c r="B439" t="s">
        <v>14</v>
      </c>
      <c r="C439" t="s">
        <v>30</v>
      </c>
      <c r="D439" t="s">
        <v>24</v>
      </c>
      <c r="E439">
        <v>114.05</v>
      </c>
      <c r="F439">
        <v>72</v>
      </c>
      <c r="G439">
        <v>8211.6</v>
      </c>
      <c r="H439" t="s">
        <v>12</v>
      </c>
      <c r="I439" t="str">
        <f t="shared" si="19"/>
        <v>High Value</v>
      </c>
      <c r="J439" t="str">
        <f t="shared" si="20"/>
        <v>Low Risk</v>
      </c>
      <c r="K439" s="3" t="str">
        <f t="shared" si="18"/>
        <v>4+ Years</v>
      </c>
    </row>
    <row r="440" spans="1:11" x14ac:dyDescent="0.3">
      <c r="A440" t="s">
        <v>457</v>
      </c>
      <c r="B440" t="s">
        <v>14</v>
      </c>
      <c r="C440" t="s">
        <v>10</v>
      </c>
      <c r="D440" t="s">
        <v>20</v>
      </c>
      <c r="E440">
        <v>89.85</v>
      </c>
      <c r="F440">
        <v>35</v>
      </c>
      <c r="G440">
        <v>3144.75</v>
      </c>
      <c r="H440" t="s">
        <v>12</v>
      </c>
      <c r="I440" t="str">
        <f t="shared" si="19"/>
        <v>Medium Value</v>
      </c>
      <c r="J440" t="str">
        <f t="shared" si="20"/>
        <v>Low Risk</v>
      </c>
      <c r="K440" s="3" t="str">
        <f t="shared" si="18"/>
        <v>2-4 Years</v>
      </c>
    </row>
    <row r="441" spans="1:11" x14ac:dyDescent="0.3">
      <c r="A441" t="s">
        <v>458</v>
      </c>
      <c r="B441" t="s">
        <v>14</v>
      </c>
      <c r="C441" t="s">
        <v>10</v>
      </c>
      <c r="D441" t="s">
        <v>16</v>
      </c>
      <c r="E441">
        <v>55.05</v>
      </c>
      <c r="F441">
        <v>1</v>
      </c>
      <c r="G441">
        <v>55.05</v>
      </c>
      <c r="H441" t="s">
        <v>12</v>
      </c>
      <c r="I441" t="str">
        <f t="shared" si="19"/>
        <v>Low Value</v>
      </c>
      <c r="J441" t="str">
        <f t="shared" si="20"/>
        <v>High Risk</v>
      </c>
      <c r="K441" s="3" t="str">
        <f t="shared" si="18"/>
        <v>0-1 Year</v>
      </c>
    </row>
    <row r="442" spans="1:11" x14ac:dyDescent="0.3">
      <c r="A442" t="s">
        <v>459</v>
      </c>
      <c r="B442" t="s">
        <v>9</v>
      </c>
      <c r="C442" t="s">
        <v>10</v>
      </c>
      <c r="D442" t="s">
        <v>11</v>
      </c>
      <c r="E442">
        <v>112.95</v>
      </c>
      <c r="F442">
        <v>16</v>
      </c>
      <c r="G442">
        <v>1807.2</v>
      </c>
      <c r="H442" t="s">
        <v>12</v>
      </c>
      <c r="I442" t="str">
        <f t="shared" si="19"/>
        <v>Low Value</v>
      </c>
      <c r="J442" t="str">
        <f t="shared" si="20"/>
        <v>Medium Risk</v>
      </c>
      <c r="K442" s="3" t="str">
        <f t="shared" si="18"/>
        <v>1-2 Years</v>
      </c>
    </row>
    <row r="443" spans="1:11" x14ac:dyDescent="0.3">
      <c r="A443" t="s">
        <v>460</v>
      </c>
      <c r="B443" t="s">
        <v>9</v>
      </c>
      <c r="C443" t="s">
        <v>10</v>
      </c>
      <c r="D443" t="s">
        <v>24</v>
      </c>
      <c r="E443">
        <v>101.55</v>
      </c>
      <c r="F443">
        <v>49</v>
      </c>
      <c r="G443">
        <v>4975.95</v>
      </c>
      <c r="H443" t="s">
        <v>12</v>
      </c>
      <c r="I443" t="str">
        <f t="shared" si="19"/>
        <v>Medium Value</v>
      </c>
      <c r="J443" t="str">
        <f t="shared" si="20"/>
        <v>Low Risk</v>
      </c>
      <c r="K443" s="3" t="str">
        <f t="shared" si="18"/>
        <v>4+ Years</v>
      </c>
    </row>
    <row r="444" spans="1:11" x14ac:dyDescent="0.3">
      <c r="A444" t="s">
        <v>461</v>
      </c>
      <c r="B444" t="s">
        <v>9</v>
      </c>
      <c r="C444" t="s">
        <v>15</v>
      </c>
      <c r="D444" t="s">
        <v>16</v>
      </c>
      <c r="E444">
        <v>114.65</v>
      </c>
      <c r="F444">
        <v>54</v>
      </c>
      <c r="G444">
        <v>6191.1</v>
      </c>
      <c r="H444" t="s">
        <v>12</v>
      </c>
      <c r="I444" t="str">
        <f t="shared" si="19"/>
        <v>High Value</v>
      </c>
      <c r="J444" t="str">
        <f t="shared" si="20"/>
        <v>Low Risk</v>
      </c>
      <c r="K444" s="3" t="str">
        <f t="shared" si="18"/>
        <v>4+ Years</v>
      </c>
    </row>
    <row r="445" spans="1:11" x14ac:dyDescent="0.3">
      <c r="A445" t="s">
        <v>462</v>
      </c>
      <c r="B445" t="s">
        <v>9</v>
      </c>
      <c r="C445" t="s">
        <v>10</v>
      </c>
      <c r="D445" t="s">
        <v>11</v>
      </c>
      <c r="E445">
        <v>64.8</v>
      </c>
      <c r="F445">
        <v>18</v>
      </c>
      <c r="G445">
        <v>1166.3999999999901</v>
      </c>
      <c r="H445" t="s">
        <v>12</v>
      </c>
      <c r="I445" t="str">
        <f t="shared" si="19"/>
        <v>Low Value</v>
      </c>
      <c r="J445" t="str">
        <f t="shared" si="20"/>
        <v>Medium Risk</v>
      </c>
      <c r="K445" s="3" t="str">
        <f t="shared" si="18"/>
        <v>1-2 Years</v>
      </c>
    </row>
    <row r="446" spans="1:11" x14ac:dyDescent="0.3">
      <c r="A446" t="s">
        <v>463</v>
      </c>
      <c r="B446" t="s">
        <v>9</v>
      </c>
      <c r="C446" t="s">
        <v>10</v>
      </c>
      <c r="D446" t="s">
        <v>11</v>
      </c>
      <c r="E446">
        <v>80.400000000000006</v>
      </c>
      <c r="F446">
        <v>36</v>
      </c>
      <c r="G446">
        <v>2894.4</v>
      </c>
      <c r="H446" t="s">
        <v>12</v>
      </c>
      <c r="I446" t="str">
        <f t="shared" si="19"/>
        <v>Medium Value</v>
      </c>
      <c r="J446" t="str">
        <f t="shared" si="20"/>
        <v>Low Risk</v>
      </c>
      <c r="K446" s="3" t="str">
        <f t="shared" si="18"/>
        <v>2-4 Years</v>
      </c>
    </row>
    <row r="447" spans="1:11" x14ac:dyDescent="0.3">
      <c r="A447" t="s">
        <v>464</v>
      </c>
      <c r="B447" t="s">
        <v>9</v>
      </c>
      <c r="C447" t="s">
        <v>10</v>
      </c>
      <c r="D447" t="s">
        <v>11</v>
      </c>
      <c r="E447">
        <v>105.9</v>
      </c>
      <c r="F447">
        <v>60</v>
      </c>
      <c r="G447">
        <v>6354</v>
      </c>
      <c r="H447" t="s">
        <v>18</v>
      </c>
      <c r="I447" t="str">
        <f t="shared" si="19"/>
        <v>High Value</v>
      </c>
      <c r="J447" t="str">
        <f t="shared" si="20"/>
        <v>Low Risk</v>
      </c>
      <c r="K447" s="3" t="str">
        <f t="shared" si="18"/>
        <v>4+ Years</v>
      </c>
    </row>
    <row r="448" spans="1:11" x14ac:dyDescent="0.3">
      <c r="A448" t="s">
        <v>465</v>
      </c>
      <c r="B448" t="s">
        <v>9</v>
      </c>
      <c r="C448" t="s">
        <v>10</v>
      </c>
      <c r="D448" t="s">
        <v>16</v>
      </c>
      <c r="E448">
        <v>69.55</v>
      </c>
      <c r="F448">
        <v>1</v>
      </c>
      <c r="G448">
        <v>69.55</v>
      </c>
      <c r="H448" t="s">
        <v>18</v>
      </c>
      <c r="I448" t="str">
        <f t="shared" si="19"/>
        <v>Low Value</v>
      </c>
      <c r="J448" t="str">
        <f t="shared" si="20"/>
        <v>High Risk</v>
      </c>
      <c r="K448" s="3" t="str">
        <f t="shared" si="18"/>
        <v>0-1 Year</v>
      </c>
    </row>
    <row r="449" spans="1:11" x14ac:dyDescent="0.3">
      <c r="A449" t="s">
        <v>466</v>
      </c>
      <c r="B449" t="s">
        <v>9</v>
      </c>
      <c r="C449" t="s">
        <v>30</v>
      </c>
      <c r="D449" t="s">
        <v>20</v>
      </c>
      <c r="E449">
        <v>25.05</v>
      </c>
      <c r="F449">
        <v>52</v>
      </c>
      <c r="G449">
        <v>1302.5999999999999</v>
      </c>
      <c r="H449" t="s">
        <v>12</v>
      </c>
      <c r="I449" t="str">
        <f t="shared" si="19"/>
        <v>Low Value</v>
      </c>
      <c r="J449" t="str">
        <f t="shared" si="20"/>
        <v>Low Risk</v>
      </c>
      <c r="K449" s="3" t="str">
        <f t="shared" si="18"/>
        <v>4+ Years</v>
      </c>
    </row>
    <row r="450" spans="1:11" x14ac:dyDescent="0.3">
      <c r="A450" t="s">
        <v>467</v>
      </c>
      <c r="B450" t="s">
        <v>14</v>
      </c>
      <c r="C450" t="s">
        <v>10</v>
      </c>
      <c r="D450" t="s">
        <v>11</v>
      </c>
      <c r="E450">
        <v>94.75</v>
      </c>
      <c r="F450">
        <v>8</v>
      </c>
      <c r="G450">
        <v>758</v>
      </c>
      <c r="H450" t="s">
        <v>12</v>
      </c>
      <c r="I450" t="str">
        <f t="shared" si="19"/>
        <v>Low Value</v>
      </c>
      <c r="J450" t="str">
        <f t="shared" si="20"/>
        <v>High Risk</v>
      </c>
      <c r="K450" s="3" t="str">
        <f t="shared" si="18"/>
        <v>0-1 Year</v>
      </c>
    </row>
    <row r="451" spans="1:11" x14ac:dyDescent="0.3">
      <c r="A451" t="s">
        <v>468</v>
      </c>
      <c r="B451" t="s">
        <v>14</v>
      </c>
      <c r="C451" t="s">
        <v>30</v>
      </c>
      <c r="D451" t="s">
        <v>20</v>
      </c>
      <c r="E451">
        <v>105.5</v>
      </c>
      <c r="F451">
        <v>72</v>
      </c>
      <c r="G451">
        <v>7596</v>
      </c>
      <c r="H451" t="s">
        <v>12</v>
      </c>
      <c r="I451" t="str">
        <f t="shared" si="19"/>
        <v>High Value</v>
      </c>
      <c r="J451" t="str">
        <f t="shared" si="20"/>
        <v>Low Risk</v>
      </c>
      <c r="K451" s="3" t="str">
        <f t="shared" ref="K451:K514" si="21">IF(F451&lt;=12,"0-1 Year",
IF(F451&lt;=24,"1-2 Years",
IF(F451&lt;=48,"2-4 Years","4+ Years")))</f>
        <v>4+ Years</v>
      </c>
    </row>
    <row r="452" spans="1:11" x14ac:dyDescent="0.3">
      <c r="A452" t="s">
        <v>469</v>
      </c>
      <c r="B452" t="s">
        <v>9</v>
      </c>
      <c r="C452" t="s">
        <v>15</v>
      </c>
      <c r="D452" t="s">
        <v>16</v>
      </c>
      <c r="E452">
        <v>24.7</v>
      </c>
      <c r="F452">
        <v>64</v>
      </c>
      <c r="G452">
        <v>1580.8</v>
      </c>
      <c r="H452" t="s">
        <v>12</v>
      </c>
      <c r="I452" t="str">
        <f t="shared" ref="I452:I515" si="22">IF(G452&gt;5000,"High Value",
IF(G452&gt;2000,"Medium Value","Low Value"))</f>
        <v>Low Value</v>
      </c>
      <c r="J452" t="str">
        <f t="shared" ref="J452:J515" si="23">IF(F452&lt;12,"High Risk",
IF(F452&lt;24,"Medium Risk","Low Risk"))</f>
        <v>Low Risk</v>
      </c>
      <c r="K452" s="3" t="str">
        <f t="shared" si="21"/>
        <v>4+ Years</v>
      </c>
    </row>
    <row r="453" spans="1:11" x14ac:dyDescent="0.3">
      <c r="A453" t="s">
        <v>470</v>
      </c>
      <c r="B453" t="s">
        <v>9</v>
      </c>
      <c r="C453" t="s">
        <v>10</v>
      </c>
      <c r="D453" t="s">
        <v>16</v>
      </c>
      <c r="E453">
        <v>69.75</v>
      </c>
      <c r="F453">
        <v>22</v>
      </c>
      <c r="G453">
        <v>1534.5</v>
      </c>
      <c r="H453" t="s">
        <v>12</v>
      </c>
      <c r="I453" t="str">
        <f t="shared" si="22"/>
        <v>Low Value</v>
      </c>
      <c r="J453" t="str">
        <f t="shared" si="23"/>
        <v>Medium Risk</v>
      </c>
      <c r="K453" s="3" t="str">
        <f t="shared" si="21"/>
        <v>1-2 Years</v>
      </c>
    </row>
    <row r="454" spans="1:11" x14ac:dyDescent="0.3">
      <c r="A454" t="s">
        <v>471</v>
      </c>
      <c r="B454" t="s">
        <v>14</v>
      </c>
      <c r="C454" t="s">
        <v>10</v>
      </c>
      <c r="D454" t="s">
        <v>20</v>
      </c>
      <c r="E454">
        <v>60.2</v>
      </c>
      <c r="F454">
        <v>60</v>
      </c>
      <c r="G454">
        <v>3612</v>
      </c>
      <c r="H454" t="s">
        <v>12</v>
      </c>
      <c r="I454" t="str">
        <f t="shared" si="22"/>
        <v>Medium Value</v>
      </c>
      <c r="J454" t="str">
        <f t="shared" si="23"/>
        <v>Low Risk</v>
      </c>
      <c r="K454" s="3" t="str">
        <f t="shared" si="21"/>
        <v>4+ Years</v>
      </c>
    </row>
    <row r="455" spans="1:11" x14ac:dyDescent="0.3">
      <c r="A455" t="s">
        <v>472</v>
      </c>
      <c r="B455" t="s">
        <v>9</v>
      </c>
      <c r="C455" t="s">
        <v>10</v>
      </c>
      <c r="D455" t="s">
        <v>11</v>
      </c>
      <c r="E455">
        <v>81.05</v>
      </c>
      <c r="F455">
        <v>28</v>
      </c>
      <c r="G455">
        <v>2269.4</v>
      </c>
      <c r="H455" t="s">
        <v>18</v>
      </c>
      <c r="I455" t="str">
        <f t="shared" si="22"/>
        <v>Medium Value</v>
      </c>
      <c r="J455" t="str">
        <f t="shared" si="23"/>
        <v>Low Risk</v>
      </c>
      <c r="K455" s="3" t="str">
        <f t="shared" si="21"/>
        <v>2-4 Years</v>
      </c>
    </row>
    <row r="456" spans="1:11" x14ac:dyDescent="0.3">
      <c r="A456" t="s">
        <v>473</v>
      </c>
      <c r="B456" t="s">
        <v>9</v>
      </c>
      <c r="C456" t="s">
        <v>30</v>
      </c>
      <c r="D456" t="s">
        <v>16</v>
      </c>
      <c r="E456">
        <v>24.4</v>
      </c>
      <c r="F456">
        <v>61</v>
      </c>
      <c r="G456">
        <v>1488.3999999999901</v>
      </c>
      <c r="H456" t="s">
        <v>12</v>
      </c>
      <c r="I456" t="str">
        <f t="shared" si="22"/>
        <v>Low Value</v>
      </c>
      <c r="J456" t="str">
        <f t="shared" si="23"/>
        <v>Low Risk</v>
      </c>
      <c r="K456" s="3" t="str">
        <f t="shared" si="21"/>
        <v>4+ Years</v>
      </c>
    </row>
    <row r="457" spans="1:11" x14ac:dyDescent="0.3">
      <c r="A457" t="s">
        <v>474</v>
      </c>
      <c r="B457" t="s">
        <v>9</v>
      </c>
      <c r="C457" t="s">
        <v>10</v>
      </c>
      <c r="D457" t="s">
        <v>11</v>
      </c>
      <c r="E457">
        <v>104.15</v>
      </c>
      <c r="F457">
        <v>24</v>
      </c>
      <c r="G457">
        <v>2499.6</v>
      </c>
      <c r="H457" t="s">
        <v>12</v>
      </c>
      <c r="I457" t="str">
        <f t="shared" si="22"/>
        <v>Medium Value</v>
      </c>
      <c r="J457" t="str">
        <f t="shared" si="23"/>
        <v>Low Risk</v>
      </c>
      <c r="K457" s="3" t="str">
        <f t="shared" si="21"/>
        <v>1-2 Years</v>
      </c>
    </row>
    <row r="458" spans="1:11" x14ac:dyDescent="0.3">
      <c r="A458" t="s">
        <v>475</v>
      </c>
      <c r="B458" t="s">
        <v>14</v>
      </c>
      <c r="C458" t="s">
        <v>15</v>
      </c>
      <c r="D458" t="s">
        <v>20</v>
      </c>
      <c r="E458">
        <v>92.9</v>
      </c>
      <c r="F458">
        <v>28</v>
      </c>
      <c r="G458">
        <v>2601.1999999999998</v>
      </c>
      <c r="H458" t="s">
        <v>12</v>
      </c>
      <c r="I458" t="str">
        <f t="shared" si="22"/>
        <v>Medium Value</v>
      </c>
      <c r="J458" t="str">
        <f t="shared" si="23"/>
        <v>Low Risk</v>
      </c>
      <c r="K458" s="3" t="str">
        <f t="shared" si="21"/>
        <v>2-4 Years</v>
      </c>
    </row>
    <row r="459" spans="1:11" x14ac:dyDescent="0.3">
      <c r="A459" t="s">
        <v>476</v>
      </c>
      <c r="B459" t="s">
        <v>9</v>
      </c>
      <c r="C459" t="s">
        <v>30</v>
      </c>
      <c r="D459" t="s">
        <v>20</v>
      </c>
      <c r="E459">
        <v>80.8</v>
      </c>
      <c r="F459">
        <v>30</v>
      </c>
      <c r="G459">
        <v>2424</v>
      </c>
      <c r="H459" t="s">
        <v>12</v>
      </c>
      <c r="I459" t="str">
        <f t="shared" si="22"/>
        <v>Medium Value</v>
      </c>
      <c r="J459" t="str">
        <f t="shared" si="23"/>
        <v>Low Risk</v>
      </c>
      <c r="K459" s="3" t="str">
        <f t="shared" si="21"/>
        <v>2-4 Years</v>
      </c>
    </row>
    <row r="460" spans="1:11" x14ac:dyDescent="0.3">
      <c r="A460" t="s">
        <v>477</v>
      </c>
      <c r="B460" t="s">
        <v>14</v>
      </c>
      <c r="C460" t="s">
        <v>10</v>
      </c>
      <c r="D460" t="s">
        <v>16</v>
      </c>
      <c r="E460">
        <v>20</v>
      </c>
      <c r="F460">
        <v>2</v>
      </c>
      <c r="G460">
        <v>40</v>
      </c>
      <c r="H460" t="s">
        <v>12</v>
      </c>
      <c r="I460" t="str">
        <f t="shared" si="22"/>
        <v>Low Value</v>
      </c>
      <c r="J460" t="str">
        <f t="shared" si="23"/>
        <v>High Risk</v>
      </c>
      <c r="K460" s="3" t="str">
        <f t="shared" si="21"/>
        <v>0-1 Year</v>
      </c>
    </row>
    <row r="461" spans="1:11" x14ac:dyDescent="0.3">
      <c r="A461" t="s">
        <v>478</v>
      </c>
      <c r="B461" t="s">
        <v>14</v>
      </c>
      <c r="C461" t="s">
        <v>10</v>
      </c>
      <c r="D461" t="s">
        <v>11</v>
      </c>
      <c r="E461">
        <v>75.099999999999994</v>
      </c>
      <c r="F461">
        <v>1</v>
      </c>
      <c r="G461">
        <v>75.099999999999994</v>
      </c>
      <c r="H461" t="s">
        <v>12</v>
      </c>
      <c r="I461" t="str">
        <f t="shared" si="22"/>
        <v>Low Value</v>
      </c>
      <c r="J461" t="str">
        <f t="shared" si="23"/>
        <v>High Risk</v>
      </c>
      <c r="K461" s="3" t="str">
        <f t="shared" si="21"/>
        <v>0-1 Year</v>
      </c>
    </row>
    <row r="462" spans="1:11" x14ac:dyDescent="0.3">
      <c r="A462" t="s">
        <v>479</v>
      </c>
      <c r="B462" t="s">
        <v>14</v>
      </c>
      <c r="C462" t="s">
        <v>10</v>
      </c>
      <c r="D462" t="s">
        <v>16</v>
      </c>
      <c r="E462">
        <v>19.649999999999999</v>
      </c>
      <c r="F462">
        <v>6</v>
      </c>
      <c r="G462">
        <v>117.899999999999</v>
      </c>
      <c r="H462" t="s">
        <v>12</v>
      </c>
      <c r="I462" t="str">
        <f t="shared" si="22"/>
        <v>Low Value</v>
      </c>
      <c r="J462" t="str">
        <f t="shared" si="23"/>
        <v>High Risk</v>
      </c>
      <c r="K462" s="3" t="str">
        <f t="shared" si="21"/>
        <v>0-1 Year</v>
      </c>
    </row>
    <row r="463" spans="1:11" x14ac:dyDescent="0.3">
      <c r="A463" t="s">
        <v>480</v>
      </c>
      <c r="B463" t="s">
        <v>9</v>
      </c>
      <c r="C463" t="s">
        <v>10</v>
      </c>
      <c r="D463" t="s">
        <v>20</v>
      </c>
      <c r="E463">
        <v>69.45</v>
      </c>
      <c r="F463">
        <v>24</v>
      </c>
      <c r="G463">
        <v>1666.8</v>
      </c>
      <c r="H463" t="s">
        <v>12</v>
      </c>
      <c r="I463" t="str">
        <f t="shared" si="22"/>
        <v>Low Value</v>
      </c>
      <c r="J463" t="str">
        <f t="shared" si="23"/>
        <v>Low Risk</v>
      </c>
      <c r="K463" s="3" t="str">
        <f t="shared" si="21"/>
        <v>1-2 Years</v>
      </c>
    </row>
    <row r="464" spans="1:11" x14ac:dyDescent="0.3">
      <c r="A464" t="s">
        <v>481</v>
      </c>
      <c r="B464" t="s">
        <v>14</v>
      </c>
      <c r="C464" t="s">
        <v>10</v>
      </c>
      <c r="D464" t="s">
        <v>11</v>
      </c>
      <c r="E464">
        <v>101.15</v>
      </c>
      <c r="F464">
        <v>4</v>
      </c>
      <c r="G464">
        <v>404.6</v>
      </c>
      <c r="H464" t="s">
        <v>18</v>
      </c>
      <c r="I464" t="str">
        <f t="shared" si="22"/>
        <v>Low Value</v>
      </c>
      <c r="J464" t="str">
        <f t="shared" si="23"/>
        <v>High Risk</v>
      </c>
      <c r="K464" s="3" t="str">
        <f t="shared" si="21"/>
        <v>0-1 Year</v>
      </c>
    </row>
    <row r="465" spans="1:11" x14ac:dyDescent="0.3">
      <c r="A465" t="s">
        <v>482</v>
      </c>
      <c r="B465" t="s">
        <v>14</v>
      </c>
      <c r="C465" t="s">
        <v>10</v>
      </c>
      <c r="D465" t="s">
        <v>11</v>
      </c>
      <c r="E465">
        <v>99.8</v>
      </c>
      <c r="F465">
        <v>7</v>
      </c>
      <c r="G465">
        <v>698.6</v>
      </c>
      <c r="H465" t="s">
        <v>18</v>
      </c>
      <c r="I465" t="str">
        <f t="shared" si="22"/>
        <v>Low Value</v>
      </c>
      <c r="J465" t="str">
        <f t="shared" si="23"/>
        <v>High Risk</v>
      </c>
      <c r="K465" s="3" t="str">
        <f t="shared" si="21"/>
        <v>0-1 Year</v>
      </c>
    </row>
    <row r="466" spans="1:11" x14ac:dyDescent="0.3">
      <c r="A466" t="s">
        <v>483</v>
      </c>
      <c r="B466" t="s">
        <v>14</v>
      </c>
      <c r="C466" t="s">
        <v>30</v>
      </c>
      <c r="D466" t="s">
        <v>20</v>
      </c>
      <c r="E466">
        <v>116.05</v>
      </c>
      <c r="F466">
        <v>72</v>
      </c>
      <c r="G466">
        <v>8355.6</v>
      </c>
      <c r="H466" t="s">
        <v>12</v>
      </c>
      <c r="I466" t="str">
        <f t="shared" si="22"/>
        <v>High Value</v>
      </c>
      <c r="J466" t="str">
        <f t="shared" si="23"/>
        <v>Low Risk</v>
      </c>
      <c r="K466" s="3" t="str">
        <f t="shared" si="21"/>
        <v>4+ Years</v>
      </c>
    </row>
    <row r="467" spans="1:11" x14ac:dyDescent="0.3">
      <c r="A467" t="s">
        <v>484</v>
      </c>
      <c r="B467" t="s">
        <v>14</v>
      </c>
      <c r="C467" t="s">
        <v>30</v>
      </c>
      <c r="D467" t="s">
        <v>16</v>
      </c>
      <c r="E467">
        <v>40.049999999999997</v>
      </c>
      <c r="F467">
        <v>70</v>
      </c>
      <c r="G467">
        <v>2803.5</v>
      </c>
      <c r="H467" t="s">
        <v>12</v>
      </c>
      <c r="I467" t="str">
        <f t="shared" si="22"/>
        <v>Medium Value</v>
      </c>
      <c r="J467" t="str">
        <f t="shared" si="23"/>
        <v>Low Risk</v>
      </c>
      <c r="K467" s="3" t="str">
        <f t="shared" si="21"/>
        <v>4+ Years</v>
      </c>
    </row>
    <row r="468" spans="1:11" x14ac:dyDescent="0.3">
      <c r="A468" t="s">
        <v>485</v>
      </c>
      <c r="B468" t="s">
        <v>14</v>
      </c>
      <c r="C468" t="s">
        <v>30</v>
      </c>
      <c r="D468" t="s">
        <v>11</v>
      </c>
      <c r="E468">
        <v>102.1</v>
      </c>
      <c r="F468">
        <v>64</v>
      </c>
      <c r="G468">
        <v>6534.4</v>
      </c>
      <c r="H468" t="s">
        <v>12</v>
      </c>
      <c r="I468" t="str">
        <f t="shared" si="22"/>
        <v>High Value</v>
      </c>
      <c r="J468" t="str">
        <f t="shared" si="23"/>
        <v>Low Risk</v>
      </c>
      <c r="K468" s="3" t="str">
        <f t="shared" si="21"/>
        <v>4+ Years</v>
      </c>
    </row>
    <row r="469" spans="1:11" x14ac:dyDescent="0.3">
      <c r="A469" t="s">
        <v>486</v>
      </c>
      <c r="B469" t="s">
        <v>14</v>
      </c>
      <c r="C469" t="s">
        <v>15</v>
      </c>
      <c r="D469" t="s">
        <v>11</v>
      </c>
      <c r="E469">
        <v>89.7</v>
      </c>
      <c r="F469">
        <v>72</v>
      </c>
      <c r="G469">
        <v>6458.4</v>
      </c>
      <c r="H469" t="s">
        <v>12</v>
      </c>
      <c r="I469" t="str">
        <f t="shared" si="22"/>
        <v>High Value</v>
      </c>
      <c r="J469" t="str">
        <f t="shared" si="23"/>
        <v>Low Risk</v>
      </c>
      <c r="K469" s="3" t="str">
        <f t="shared" si="21"/>
        <v>4+ Years</v>
      </c>
    </row>
    <row r="470" spans="1:11" x14ac:dyDescent="0.3">
      <c r="A470" t="s">
        <v>487</v>
      </c>
      <c r="B470" t="s">
        <v>9</v>
      </c>
      <c r="C470" t="s">
        <v>30</v>
      </c>
      <c r="D470" t="s">
        <v>16</v>
      </c>
      <c r="E470">
        <v>19.899999999999999</v>
      </c>
      <c r="F470">
        <v>44</v>
      </c>
      <c r="G470">
        <v>875.599999999999</v>
      </c>
      <c r="H470" t="s">
        <v>12</v>
      </c>
      <c r="I470" t="str">
        <f t="shared" si="22"/>
        <v>Low Value</v>
      </c>
      <c r="J470" t="str">
        <f t="shared" si="23"/>
        <v>Low Risk</v>
      </c>
      <c r="K470" s="3" t="str">
        <f t="shared" si="21"/>
        <v>2-4 Years</v>
      </c>
    </row>
    <row r="471" spans="1:11" x14ac:dyDescent="0.3">
      <c r="A471" t="s">
        <v>488</v>
      </c>
      <c r="B471" t="s">
        <v>9</v>
      </c>
      <c r="C471" t="s">
        <v>10</v>
      </c>
      <c r="D471" t="s">
        <v>11</v>
      </c>
      <c r="E471">
        <v>55.95</v>
      </c>
      <c r="F471">
        <v>13</v>
      </c>
      <c r="G471">
        <v>727.35</v>
      </c>
      <c r="H471" t="s">
        <v>18</v>
      </c>
      <c r="I471" t="str">
        <f t="shared" si="22"/>
        <v>Low Value</v>
      </c>
      <c r="J471" t="str">
        <f t="shared" si="23"/>
        <v>Medium Risk</v>
      </c>
      <c r="K471" s="3" t="str">
        <f t="shared" si="21"/>
        <v>1-2 Years</v>
      </c>
    </row>
    <row r="472" spans="1:11" x14ac:dyDescent="0.3">
      <c r="A472" t="s">
        <v>489</v>
      </c>
      <c r="B472" t="s">
        <v>9</v>
      </c>
      <c r="C472" t="s">
        <v>15</v>
      </c>
      <c r="D472" t="s">
        <v>16</v>
      </c>
      <c r="E472">
        <v>20.65</v>
      </c>
      <c r="F472">
        <v>17</v>
      </c>
      <c r="G472">
        <v>351.04999999999899</v>
      </c>
      <c r="H472" t="s">
        <v>12</v>
      </c>
      <c r="I472" t="str">
        <f t="shared" si="22"/>
        <v>Low Value</v>
      </c>
      <c r="J472" t="str">
        <f t="shared" si="23"/>
        <v>Medium Risk</v>
      </c>
      <c r="K472" s="3" t="str">
        <f t="shared" si="21"/>
        <v>1-2 Years</v>
      </c>
    </row>
    <row r="473" spans="1:11" x14ac:dyDescent="0.3">
      <c r="A473" t="s">
        <v>490</v>
      </c>
      <c r="B473" t="s">
        <v>14</v>
      </c>
      <c r="C473" t="s">
        <v>10</v>
      </c>
      <c r="D473" t="s">
        <v>11</v>
      </c>
      <c r="E473">
        <v>55</v>
      </c>
      <c r="F473">
        <v>1</v>
      </c>
      <c r="G473">
        <v>55</v>
      </c>
      <c r="H473" t="s">
        <v>18</v>
      </c>
      <c r="I473" t="str">
        <f t="shared" si="22"/>
        <v>Low Value</v>
      </c>
      <c r="J473" t="str">
        <f t="shared" si="23"/>
        <v>High Risk</v>
      </c>
      <c r="K473" s="3" t="str">
        <f t="shared" si="21"/>
        <v>0-1 Year</v>
      </c>
    </row>
    <row r="474" spans="1:11" x14ac:dyDescent="0.3">
      <c r="A474" t="s">
        <v>491</v>
      </c>
      <c r="B474" t="s">
        <v>14</v>
      </c>
      <c r="C474" t="s">
        <v>10</v>
      </c>
      <c r="D474" t="s">
        <v>16</v>
      </c>
      <c r="E474">
        <v>70.05</v>
      </c>
      <c r="F474">
        <v>9</v>
      </c>
      <c r="G474">
        <v>630.44999999999902</v>
      </c>
      <c r="H474" t="s">
        <v>12</v>
      </c>
      <c r="I474" t="str">
        <f t="shared" si="22"/>
        <v>Low Value</v>
      </c>
      <c r="J474" t="str">
        <f t="shared" si="23"/>
        <v>High Risk</v>
      </c>
      <c r="K474" s="3" t="str">
        <f t="shared" si="21"/>
        <v>0-1 Year</v>
      </c>
    </row>
    <row r="475" spans="1:11" x14ac:dyDescent="0.3">
      <c r="A475" t="s">
        <v>492</v>
      </c>
      <c r="B475" t="s">
        <v>14</v>
      </c>
      <c r="C475" t="s">
        <v>10</v>
      </c>
      <c r="D475" t="s">
        <v>16</v>
      </c>
      <c r="E475">
        <v>53.6</v>
      </c>
      <c r="F475">
        <v>24</v>
      </c>
      <c r="G475">
        <v>1286.4000000000001</v>
      </c>
      <c r="H475" t="s">
        <v>12</v>
      </c>
      <c r="I475" t="str">
        <f t="shared" si="22"/>
        <v>Low Value</v>
      </c>
      <c r="J475" t="str">
        <f t="shared" si="23"/>
        <v>Low Risk</v>
      </c>
      <c r="K475" s="3" t="str">
        <f t="shared" si="21"/>
        <v>1-2 Years</v>
      </c>
    </row>
    <row r="476" spans="1:11" x14ac:dyDescent="0.3">
      <c r="A476" t="s">
        <v>493</v>
      </c>
      <c r="B476" t="s">
        <v>9</v>
      </c>
      <c r="C476" t="s">
        <v>10</v>
      </c>
      <c r="D476" t="s">
        <v>11</v>
      </c>
      <c r="E476">
        <v>74.7</v>
      </c>
      <c r="F476">
        <v>1</v>
      </c>
      <c r="G476">
        <v>74.7</v>
      </c>
      <c r="H476" t="s">
        <v>18</v>
      </c>
      <c r="I476" t="str">
        <f t="shared" si="22"/>
        <v>Low Value</v>
      </c>
      <c r="J476" t="str">
        <f t="shared" si="23"/>
        <v>High Risk</v>
      </c>
      <c r="K476" s="3" t="str">
        <f t="shared" si="21"/>
        <v>0-1 Year</v>
      </c>
    </row>
    <row r="477" spans="1:11" x14ac:dyDescent="0.3">
      <c r="A477" t="s">
        <v>494</v>
      </c>
      <c r="B477" t="s">
        <v>14</v>
      </c>
      <c r="C477" t="s">
        <v>10</v>
      </c>
      <c r="D477" t="s">
        <v>11</v>
      </c>
      <c r="E477">
        <v>80.25</v>
      </c>
      <c r="F477">
        <v>24</v>
      </c>
      <c r="G477">
        <v>1926</v>
      </c>
      <c r="H477" t="s">
        <v>18</v>
      </c>
      <c r="I477" t="str">
        <f t="shared" si="22"/>
        <v>Low Value</v>
      </c>
      <c r="J477" t="str">
        <f t="shared" si="23"/>
        <v>Low Risk</v>
      </c>
      <c r="K477" s="3" t="str">
        <f t="shared" si="21"/>
        <v>1-2 Years</v>
      </c>
    </row>
    <row r="478" spans="1:11" x14ac:dyDescent="0.3">
      <c r="A478" t="s">
        <v>495</v>
      </c>
      <c r="B478" t="s">
        <v>14</v>
      </c>
      <c r="C478" t="s">
        <v>10</v>
      </c>
      <c r="D478" t="s">
        <v>11</v>
      </c>
      <c r="E478">
        <v>76.05</v>
      </c>
      <c r="F478">
        <v>35</v>
      </c>
      <c r="G478">
        <v>2661.75</v>
      </c>
      <c r="H478" t="s">
        <v>12</v>
      </c>
      <c r="I478" t="str">
        <f t="shared" si="22"/>
        <v>Medium Value</v>
      </c>
      <c r="J478" t="str">
        <f t="shared" si="23"/>
        <v>Low Risk</v>
      </c>
      <c r="K478" s="3" t="str">
        <f t="shared" si="21"/>
        <v>2-4 Years</v>
      </c>
    </row>
    <row r="479" spans="1:11" x14ac:dyDescent="0.3">
      <c r="A479" t="s">
        <v>496</v>
      </c>
      <c r="B479" t="s">
        <v>9</v>
      </c>
      <c r="C479" t="s">
        <v>10</v>
      </c>
      <c r="D479" t="s">
        <v>11</v>
      </c>
      <c r="E479">
        <v>75.7</v>
      </c>
      <c r="F479">
        <v>7</v>
      </c>
      <c r="G479">
        <v>529.9</v>
      </c>
      <c r="H479" t="s">
        <v>12</v>
      </c>
      <c r="I479" t="str">
        <f t="shared" si="22"/>
        <v>Low Value</v>
      </c>
      <c r="J479" t="str">
        <f t="shared" si="23"/>
        <v>High Risk</v>
      </c>
      <c r="K479" s="3" t="str">
        <f t="shared" si="21"/>
        <v>0-1 Year</v>
      </c>
    </row>
    <row r="480" spans="1:11" x14ac:dyDescent="0.3">
      <c r="A480" t="s">
        <v>497</v>
      </c>
      <c r="B480" t="s">
        <v>14</v>
      </c>
      <c r="C480" t="s">
        <v>10</v>
      </c>
      <c r="D480" t="s">
        <v>11</v>
      </c>
      <c r="E480">
        <v>96.1</v>
      </c>
      <c r="F480">
        <v>5</v>
      </c>
      <c r="G480">
        <v>480.5</v>
      </c>
      <c r="H480" t="s">
        <v>18</v>
      </c>
      <c r="I480" t="str">
        <f t="shared" si="22"/>
        <v>Low Value</v>
      </c>
      <c r="J480" t="str">
        <f t="shared" si="23"/>
        <v>High Risk</v>
      </c>
      <c r="K480" s="3" t="str">
        <f t="shared" si="21"/>
        <v>0-1 Year</v>
      </c>
    </row>
    <row r="481" spans="1:11" x14ac:dyDescent="0.3">
      <c r="A481" t="s">
        <v>498</v>
      </c>
      <c r="B481" t="s">
        <v>9</v>
      </c>
      <c r="C481" t="s">
        <v>10</v>
      </c>
      <c r="D481" t="s">
        <v>20</v>
      </c>
      <c r="E481">
        <v>69</v>
      </c>
      <c r="F481">
        <v>15</v>
      </c>
      <c r="G481">
        <v>1035</v>
      </c>
      <c r="H481" t="s">
        <v>18</v>
      </c>
      <c r="I481" t="str">
        <f t="shared" si="22"/>
        <v>Low Value</v>
      </c>
      <c r="J481" t="str">
        <f t="shared" si="23"/>
        <v>Medium Risk</v>
      </c>
      <c r="K481" s="3" t="str">
        <f t="shared" si="21"/>
        <v>1-2 Years</v>
      </c>
    </row>
    <row r="482" spans="1:11" x14ac:dyDescent="0.3">
      <c r="A482" t="s">
        <v>499</v>
      </c>
      <c r="B482" t="s">
        <v>14</v>
      </c>
      <c r="C482" t="s">
        <v>30</v>
      </c>
      <c r="D482" t="s">
        <v>16</v>
      </c>
      <c r="E482">
        <v>19.649999999999999</v>
      </c>
      <c r="F482">
        <v>11</v>
      </c>
      <c r="G482">
        <v>216.14999999999901</v>
      </c>
      <c r="H482" t="s">
        <v>12</v>
      </c>
      <c r="I482" t="str">
        <f t="shared" si="22"/>
        <v>Low Value</v>
      </c>
      <c r="J482" t="str">
        <f t="shared" si="23"/>
        <v>High Risk</v>
      </c>
      <c r="K482" s="3" t="str">
        <f t="shared" si="21"/>
        <v>0-1 Year</v>
      </c>
    </row>
    <row r="483" spans="1:11" x14ac:dyDescent="0.3">
      <c r="A483" t="s">
        <v>500</v>
      </c>
      <c r="B483" t="s">
        <v>9</v>
      </c>
      <c r="C483" t="s">
        <v>10</v>
      </c>
      <c r="D483" t="s">
        <v>20</v>
      </c>
      <c r="E483">
        <v>45.3</v>
      </c>
      <c r="F483">
        <v>48</v>
      </c>
      <c r="G483">
        <v>2174.3999999999901</v>
      </c>
      <c r="H483" t="s">
        <v>18</v>
      </c>
      <c r="I483" t="str">
        <f t="shared" si="22"/>
        <v>Medium Value</v>
      </c>
      <c r="J483" t="str">
        <f t="shared" si="23"/>
        <v>Low Risk</v>
      </c>
      <c r="K483" s="3" t="str">
        <f t="shared" si="21"/>
        <v>2-4 Years</v>
      </c>
    </row>
    <row r="484" spans="1:11" x14ac:dyDescent="0.3">
      <c r="A484" t="s">
        <v>501</v>
      </c>
      <c r="B484" t="s">
        <v>9</v>
      </c>
      <c r="C484" t="s">
        <v>10</v>
      </c>
      <c r="D484" t="s">
        <v>11</v>
      </c>
      <c r="E484">
        <v>81.45</v>
      </c>
      <c r="F484">
        <v>20</v>
      </c>
      <c r="G484">
        <v>1629</v>
      </c>
      <c r="H484" t="s">
        <v>12</v>
      </c>
      <c r="I484" t="str">
        <f t="shared" si="22"/>
        <v>Low Value</v>
      </c>
      <c r="J484" t="str">
        <f t="shared" si="23"/>
        <v>Medium Risk</v>
      </c>
      <c r="K484" s="3" t="str">
        <f t="shared" si="21"/>
        <v>1-2 Years</v>
      </c>
    </row>
    <row r="485" spans="1:11" x14ac:dyDescent="0.3">
      <c r="A485" t="s">
        <v>502</v>
      </c>
      <c r="B485" t="s">
        <v>9</v>
      </c>
      <c r="C485" t="s">
        <v>15</v>
      </c>
      <c r="D485" t="s">
        <v>20</v>
      </c>
      <c r="E485">
        <v>108.5</v>
      </c>
      <c r="F485">
        <v>72</v>
      </c>
      <c r="G485">
        <v>7812</v>
      </c>
      <c r="H485" t="s">
        <v>12</v>
      </c>
      <c r="I485" t="str">
        <f t="shared" si="22"/>
        <v>High Value</v>
      </c>
      <c r="J485" t="str">
        <f t="shared" si="23"/>
        <v>Low Risk</v>
      </c>
      <c r="K485" s="3" t="str">
        <f t="shared" si="21"/>
        <v>4+ Years</v>
      </c>
    </row>
    <row r="486" spans="1:11" x14ac:dyDescent="0.3">
      <c r="A486" t="s">
        <v>503</v>
      </c>
      <c r="B486" t="s">
        <v>9</v>
      </c>
      <c r="C486" t="s">
        <v>10</v>
      </c>
      <c r="D486" t="s">
        <v>11</v>
      </c>
      <c r="E486">
        <v>83.55</v>
      </c>
      <c r="F486">
        <v>8</v>
      </c>
      <c r="G486">
        <v>668.4</v>
      </c>
      <c r="H486" t="s">
        <v>18</v>
      </c>
      <c r="I486" t="str">
        <f t="shared" si="22"/>
        <v>Low Value</v>
      </c>
      <c r="J486" t="str">
        <f t="shared" si="23"/>
        <v>High Risk</v>
      </c>
      <c r="K486" s="3" t="str">
        <f t="shared" si="21"/>
        <v>0-1 Year</v>
      </c>
    </row>
    <row r="487" spans="1:11" x14ac:dyDescent="0.3">
      <c r="A487" t="s">
        <v>504</v>
      </c>
      <c r="B487" t="s">
        <v>14</v>
      </c>
      <c r="C487" t="s">
        <v>30</v>
      </c>
      <c r="D487" t="s">
        <v>24</v>
      </c>
      <c r="E487">
        <v>84.5</v>
      </c>
      <c r="F487">
        <v>72</v>
      </c>
      <c r="G487">
        <v>6084</v>
      </c>
      <c r="H487" t="s">
        <v>12</v>
      </c>
      <c r="I487" t="str">
        <f t="shared" si="22"/>
        <v>High Value</v>
      </c>
      <c r="J487" t="str">
        <f t="shared" si="23"/>
        <v>Low Risk</v>
      </c>
      <c r="K487" s="3" t="str">
        <f t="shared" si="21"/>
        <v>4+ Years</v>
      </c>
    </row>
    <row r="488" spans="1:11" x14ac:dyDescent="0.3">
      <c r="A488" t="s">
        <v>505</v>
      </c>
      <c r="B488" t="s">
        <v>9</v>
      </c>
      <c r="C488" t="s">
        <v>10</v>
      </c>
      <c r="D488" t="s">
        <v>11</v>
      </c>
      <c r="E488">
        <v>100.15</v>
      </c>
      <c r="F488">
        <v>15</v>
      </c>
      <c r="G488">
        <v>1502.25</v>
      </c>
      <c r="H488" t="s">
        <v>12</v>
      </c>
      <c r="I488" t="str">
        <f t="shared" si="22"/>
        <v>Low Value</v>
      </c>
      <c r="J488" t="str">
        <f t="shared" si="23"/>
        <v>Medium Risk</v>
      </c>
      <c r="K488" s="3" t="str">
        <f t="shared" si="21"/>
        <v>1-2 Years</v>
      </c>
    </row>
    <row r="489" spans="1:11" x14ac:dyDescent="0.3">
      <c r="A489" t="s">
        <v>506</v>
      </c>
      <c r="B489" t="s">
        <v>14</v>
      </c>
      <c r="C489" t="s">
        <v>30</v>
      </c>
      <c r="D489" t="s">
        <v>20</v>
      </c>
      <c r="E489">
        <v>88.6</v>
      </c>
      <c r="F489">
        <v>72</v>
      </c>
      <c r="G489">
        <v>6379.2</v>
      </c>
      <c r="H489" t="s">
        <v>12</v>
      </c>
      <c r="I489" t="str">
        <f t="shared" si="22"/>
        <v>High Value</v>
      </c>
      <c r="J489" t="str">
        <f t="shared" si="23"/>
        <v>Low Risk</v>
      </c>
      <c r="K489" s="3" t="str">
        <f t="shared" si="21"/>
        <v>4+ Years</v>
      </c>
    </row>
    <row r="490" spans="1:11" x14ac:dyDescent="0.3">
      <c r="A490" t="s">
        <v>507</v>
      </c>
      <c r="B490" t="s">
        <v>14</v>
      </c>
      <c r="C490" t="s">
        <v>10</v>
      </c>
      <c r="D490" t="s">
        <v>11</v>
      </c>
      <c r="E490">
        <v>74.349999999999994</v>
      </c>
      <c r="F490">
        <v>1</v>
      </c>
      <c r="G490">
        <v>74.349999999999994</v>
      </c>
      <c r="H490" t="s">
        <v>18</v>
      </c>
      <c r="I490" t="str">
        <f t="shared" si="22"/>
        <v>Low Value</v>
      </c>
      <c r="J490" t="str">
        <f t="shared" si="23"/>
        <v>High Risk</v>
      </c>
      <c r="K490" s="3" t="str">
        <f t="shared" si="21"/>
        <v>0-1 Year</v>
      </c>
    </row>
    <row r="491" spans="1:11" x14ac:dyDescent="0.3">
      <c r="A491" t="s">
        <v>508</v>
      </c>
      <c r="B491" t="s">
        <v>14</v>
      </c>
      <c r="C491" t="s">
        <v>30</v>
      </c>
      <c r="D491" t="s">
        <v>20</v>
      </c>
      <c r="E491">
        <v>104.8</v>
      </c>
      <c r="F491">
        <v>63</v>
      </c>
      <c r="G491">
        <v>6602.4</v>
      </c>
      <c r="H491" t="s">
        <v>12</v>
      </c>
      <c r="I491" t="str">
        <f t="shared" si="22"/>
        <v>High Value</v>
      </c>
      <c r="J491" t="str">
        <f t="shared" si="23"/>
        <v>Low Risk</v>
      </c>
      <c r="K491" s="3" t="str">
        <f t="shared" si="21"/>
        <v>4+ Years</v>
      </c>
    </row>
    <row r="492" spans="1:11" x14ac:dyDescent="0.3">
      <c r="A492" t="s">
        <v>509</v>
      </c>
      <c r="B492" t="s">
        <v>9</v>
      </c>
      <c r="C492" t="s">
        <v>10</v>
      </c>
      <c r="D492" t="s">
        <v>11</v>
      </c>
      <c r="E492">
        <v>59</v>
      </c>
      <c r="F492">
        <v>2</v>
      </c>
      <c r="G492">
        <v>118</v>
      </c>
      <c r="H492" t="s">
        <v>12</v>
      </c>
      <c r="I492" t="str">
        <f t="shared" si="22"/>
        <v>Low Value</v>
      </c>
      <c r="J492" t="str">
        <f t="shared" si="23"/>
        <v>High Risk</v>
      </c>
      <c r="K492" s="3" t="str">
        <f t="shared" si="21"/>
        <v>0-1 Year</v>
      </c>
    </row>
    <row r="493" spans="1:11" x14ac:dyDescent="0.3">
      <c r="A493" t="s">
        <v>510</v>
      </c>
      <c r="B493" t="s">
        <v>9</v>
      </c>
      <c r="C493" t="s">
        <v>10</v>
      </c>
      <c r="D493" t="s">
        <v>11</v>
      </c>
      <c r="E493">
        <v>74.400000000000006</v>
      </c>
      <c r="F493">
        <v>2</v>
      </c>
      <c r="G493">
        <v>148.80000000000001</v>
      </c>
      <c r="H493" t="s">
        <v>18</v>
      </c>
      <c r="I493" t="str">
        <f t="shared" si="22"/>
        <v>Low Value</v>
      </c>
      <c r="J493" t="str">
        <f t="shared" si="23"/>
        <v>High Risk</v>
      </c>
      <c r="K493" s="3" t="str">
        <f t="shared" si="21"/>
        <v>0-1 Year</v>
      </c>
    </row>
    <row r="494" spans="1:11" x14ac:dyDescent="0.3">
      <c r="A494" t="s">
        <v>511</v>
      </c>
      <c r="B494" t="s">
        <v>14</v>
      </c>
      <c r="C494" t="s">
        <v>15</v>
      </c>
      <c r="D494" t="s">
        <v>20</v>
      </c>
      <c r="E494">
        <v>64.05</v>
      </c>
      <c r="F494">
        <v>61</v>
      </c>
      <c r="G494">
        <v>3907.0499999999902</v>
      </c>
      <c r="H494" t="s">
        <v>12</v>
      </c>
      <c r="I494" t="str">
        <f t="shared" si="22"/>
        <v>Medium Value</v>
      </c>
      <c r="J494" t="str">
        <f t="shared" si="23"/>
        <v>Low Risk</v>
      </c>
      <c r="K494" s="3" t="str">
        <f t="shared" si="21"/>
        <v>4+ Years</v>
      </c>
    </row>
    <row r="495" spans="1:11" x14ac:dyDescent="0.3">
      <c r="A495" t="s">
        <v>512</v>
      </c>
      <c r="B495" t="s">
        <v>14</v>
      </c>
      <c r="C495" t="s">
        <v>10</v>
      </c>
      <c r="D495" t="s">
        <v>16</v>
      </c>
      <c r="E495">
        <v>20.399999999999999</v>
      </c>
      <c r="F495">
        <v>1</v>
      </c>
      <c r="G495">
        <v>20.399999999999999</v>
      </c>
      <c r="H495" t="s">
        <v>12</v>
      </c>
      <c r="I495" t="str">
        <f t="shared" si="22"/>
        <v>Low Value</v>
      </c>
      <c r="J495" t="str">
        <f t="shared" si="23"/>
        <v>High Risk</v>
      </c>
      <c r="K495" s="3" t="str">
        <f t="shared" si="21"/>
        <v>0-1 Year</v>
      </c>
    </row>
    <row r="496" spans="1:11" x14ac:dyDescent="0.3">
      <c r="A496" t="s">
        <v>513</v>
      </c>
      <c r="B496" t="s">
        <v>14</v>
      </c>
      <c r="C496" t="s">
        <v>15</v>
      </c>
      <c r="D496" t="s">
        <v>20</v>
      </c>
      <c r="E496">
        <v>43.75</v>
      </c>
      <c r="F496">
        <v>22</v>
      </c>
      <c r="G496">
        <v>962.5</v>
      </c>
      <c r="H496" t="s">
        <v>18</v>
      </c>
      <c r="I496" t="str">
        <f t="shared" si="22"/>
        <v>Low Value</v>
      </c>
      <c r="J496" t="str">
        <f t="shared" si="23"/>
        <v>Medium Risk</v>
      </c>
      <c r="K496" s="3" t="str">
        <f t="shared" si="21"/>
        <v>1-2 Years</v>
      </c>
    </row>
    <row r="497" spans="1:11" x14ac:dyDescent="0.3">
      <c r="A497" t="s">
        <v>514</v>
      </c>
      <c r="B497" t="s">
        <v>14</v>
      </c>
      <c r="C497" t="s">
        <v>10</v>
      </c>
      <c r="D497" t="s">
        <v>16</v>
      </c>
      <c r="E497">
        <v>60.9</v>
      </c>
      <c r="F497">
        <v>28</v>
      </c>
      <c r="G497">
        <v>1705.2</v>
      </c>
      <c r="H497" t="s">
        <v>12</v>
      </c>
      <c r="I497" t="str">
        <f t="shared" si="22"/>
        <v>Low Value</v>
      </c>
      <c r="J497" t="str">
        <f t="shared" si="23"/>
        <v>Low Risk</v>
      </c>
      <c r="K497" s="3" t="str">
        <f t="shared" si="21"/>
        <v>2-4 Years</v>
      </c>
    </row>
    <row r="498" spans="1:11" x14ac:dyDescent="0.3">
      <c r="A498" t="s">
        <v>515</v>
      </c>
      <c r="B498" t="s">
        <v>9</v>
      </c>
      <c r="C498" t="s">
        <v>30</v>
      </c>
      <c r="D498" t="s">
        <v>20</v>
      </c>
      <c r="E498">
        <v>19.8</v>
      </c>
      <c r="F498">
        <v>70</v>
      </c>
      <c r="G498">
        <v>1386</v>
      </c>
      <c r="H498" t="s">
        <v>12</v>
      </c>
      <c r="I498" t="str">
        <f t="shared" si="22"/>
        <v>Low Value</v>
      </c>
      <c r="J498" t="str">
        <f t="shared" si="23"/>
        <v>Low Risk</v>
      </c>
      <c r="K498" s="3" t="str">
        <f t="shared" si="21"/>
        <v>4+ Years</v>
      </c>
    </row>
    <row r="499" spans="1:11" x14ac:dyDescent="0.3">
      <c r="A499" t="s">
        <v>516</v>
      </c>
      <c r="B499" t="s">
        <v>9</v>
      </c>
      <c r="C499" t="s">
        <v>10</v>
      </c>
      <c r="D499" t="s">
        <v>11</v>
      </c>
      <c r="E499">
        <v>28.45</v>
      </c>
      <c r="F499">
        <v>5</v>
      </c>
      <c r="G499">
        <v>142.25</v>
      </c>
      <c r="H499" t="s">
        <v>18</v>
      </c>
      <c r="I499" t="str">
        <f t="shared" si="22"/>
        <v>Low Value</v>
      </c>
      <c r="J499" t="str">
        <f t="shared" si="23"/>
        <v>High Risk</v>
      </c>
      <c r="K499" s="3" t="str">
        <f t="shared" si="21"/>
        <v>0-1 Year</v>
      </c>
    </row>
    <row r="500" spans="1:11" x14ac:dyDescent="0.3">
      <c r="A500" t="s">
        <v>517</v>
      </c>
      <c r="B500" t="s">
        <v>9</v>
      </c>
      <c r="C500" t="s">
        <v>10</v>
      </c>
      <c r="D500" t="s">
        <v>20</v>
      </c>
      <c r="E500">
        <v>99.7</v>
      </c>
      <c r="F500">
        <v>12</v>
      </c>
      <c r="G500">
        <v>1196.4000000000001</v>
      </c>
      <c r="H500" t="s">
        <v>18</v>
      </c>
      <c r="I500" t="str">
        <f t="shared" si="22"/>
        <v>Low Value</v>
      </c>
      <c r="J500" t="str">
        <f t="shared" si="23"/>
        <v>Medium Risk</v>
      </c>
      <c r="K500" s="3" t="str">
        <f t="shared" si="21"/>
        <v>0-1 Year</v>
      </c>
    </row>
    <row r="501" spans="1:11" x14ac:dyDescent="0.3">
      <c r="A501" t="s">
        <v>518</v>
      </c>
      <c r="B501" t="s">
        <v>14</v>
      </c>
      <c r="C501" t="s">
        <v>15</v>
      </c>
      <c r="D501" t="s">
        <v>24</v>
      </c>
      <c r="E501">
        <v>116.25</v>
      </c>
      <c r="F501">
        <v>34</v>
      </c>
      <c r="G501">
        <v>3952.5</v>
      </c>
      <c r="H501" t="s">
        <v>12</v>
      </c>
      <c r="I501" t="str">
        <f t="shared" si="22"/>
        <v>Medium Value</v>
      </c>
      <c r="J501" t="str">
        <f t="shared" si="23"/>
        <v>Low Risk</v>
      </c>
      <c r="K501" s="3" t="str">
        <f t="shared" si="21"/>
        <v>2-4 Years</v>
      </c>
    </row>
    <row r="502" spans="1:11" x14ac:dyDescent="0.3">
      <c r="A502" t="s">
        <v>519</v>
      </c>
      <c r="B502" t="s">
        <v>9</v>
      </c>
      <c r="C502" t="s">
        <v>30</v>
      </c>
      <c r="D502" t="s">
        <v>24</v>
      </c>
      <c r="E502">
        <v>80.7</v>
      </c>
      <c r="F502">
        <v>71</v>
      </c>
      <c r="G502">
        <v>5729.7</v>
      </c>
      <c r="H502" t="s">
        <v>12</v>
      </c>
      <c r="I502" t="str">
        <f t="shared" si="22"/>
        <v>High Value</v>
      </c>
      <c r="J502" t="str">
        <f t="shared" si="23"/>
        <v>Low Risk</v>
      </c>
      <c r="K502" s="3" t="str">
        <f t="shared" si="21"/>
        <v>4+ Years</v>
      </c>
    </row>
    <row r="503" spans="1:11" x14ac:dyDescent="0.3">
      <c r="A503" t="s">
        <v>520</v>
      </c>
      <c r="B503" t="s">
        <v>9</v>
      </c>
      <c r="C503" t="s">
        <v>15</v>
      </c>
      <c r="D503" t="s">
        <v>20</v>
      </c>
      <c r="E503">
        <v>65.2</v>
      </c>
      <c r="F503">
        <v>70</v>
      </c>
      <c r="G503">
        <v>4564</v>
      </c>
      <c r="H503" t="s">
        <v>12</v>
      </c>
      <c r="I503" t="str">
        <f t="shared" si="22"/>
        <v>Medium Value</v>
      </c>
      <c r="J503" t="str">
        <f t="shared" si="23"/>
        <v>Low Risk</v>
      </c>
      <c r="K503" s="3" t="str">
        <f t="shared" si="21"/>
        <v>4+ Years</v>
      </c>
    </row>
    <row r="504" spans="1:11" x14ac:dyDescent="0.3">
      <c r="A504" t="s">
        <v>521</v>
      </c>
      <c r="B504" t="s">
        <v>9</v>
      </c>
      <c r="C504" t="s">
        <v>10</v>
      </c>
      <c r="D504" t="s">
        <v>20</v>
      </c>
      <c r="E504">
        <v>84.05</v>
      </c>
      <c r="F504">
        <v>52</v>
      </c>
      <c r="G504">
        <v>4370.5999999999904</v>
      </c>
      <c r="H504" t="s">
        <v>12</v>
      </c>
      <c r="I504" t="str">
        <f t="shared" si="22"/>
        <v>Medium Value</v>
      </c>
      <c r="J504" t="str">
        <f t="shared" si="23"/>
        <v>Low Risk</v>
      </c>
      <c r="K504" s="3" t="str">
        <f t="shared" si="21"/>
        <v>4+ Years</v>
      </c>
    </row>
    <row r="505" spans="1:11" x14ac:dyDescent="0.3">
      <c r="A505" t="s">
        <v>522</v>
      </c>
      <c r="B505" t="s">
        <v>14</v>
      </c>
      <c r="C505" t="s">
        <v>30</v>
      </c>
      <c r="D505" t="s">
        <v>24</v>
      </c>
      <c r="E505">
        <v>79.45</v>
      </c>
      <c r="F505">
        <v>69</v>
      </c>
      <c r="G505">
        <v>5482.05</v>
      </c>
      <c r="H505" t="s">
        <v>12</v>
      </c>
      <c r="I505" t="str">
        <f t="shared" si="22"/>
        <v>High Value</v>
      </c>
      <c r="J505" t="str">
        <f t="shared" si="23"/>
        <v>Low Risk</v>
      </c>
      <c r="K505" s="3" t="str">
        <f t="shared" si="21"/>
        <v>4+ Years</v>
      </c>
    </row>
    <row r="506" spans="1:11" x14ac:dyDescent="0.3">
      <c r="A506" t="s">
        <v>523</v>
      </c>
      <c r="B506" t="s">
        <v>9</v>
      </c>
      <c r="C506" t="s">
        <v>10</v>
      </c>
      <c r="D506" t="s">
        <v>11</v>
      </c>
      <c r="E506">
        <v>94.1</v>
      </c>
      <c r="F506">
        <v>20</v>
      </c>
      <c r="G506">
        <v>1882</v>
      </c>
      <c r="H506" t="s">
        <v>18</v>
      </c>
      <c r="I506" t="str">
        <f t="shared" si="22"/>
        <v>Low Value</v>
      </c>
      <c r="J506" t="str">
        <f t="shared" si="23"/>
        <v>Medium Risk</v>
      </c>
      <c r="K506" s="3" t="str">
        <f t="shared" si="21"/>
        <v>1-2 Years</v>
      </c>
    </row>
    <row r="507" spans="1:11" x14ac:dyDescent="0.3">
      <c r="A507" t="s">
        <v>524</v>
      </c>
      <c r="B507" t="s">
        <v>14</v>
      </c>
      <c r="C507" t="s">
        <v>10</v>
      </c>
      <c r="D507" t="s">
        <v>16</v>
      </c>
      <c r="E507">
        <v>78</v>
      </c>
      <c r="F507">
        <v>11</v>
      </c>
      <c r="G507">
        <v>858</v>
      </c>
      <c r="H507" t="s">
        <v>12</v>
      </c>
      <c r="I507" t="str">
        <f t="shared" si="22"/>
        <v>Low Value</v>
      </c>
      <c r="J507" t="str">
        <f t="shared" si="23"/>
        <v>High Risk</v>
      </c>
      <c r="K507" s="3" t="str">
        <f t="shared" si="21"/>
        <v>0-1 Year</v>
      </c>
    </row>
    <row r="508" spans="1:11" x14ac:dyDescent="0.3">
      <c r="A508" t="s">
        <v>525</v>
      </c>
      <c r="B508" t="s">
        <v>14</v>
      </c>
      <c r="C508" t="s">
        <v>10</v>
      </c>
      <c r="D508" t="s">
        <v>11</v>
      </c>
      <c r="E508">
        <v>94.2</v>
      </c>
      <c r="F508">
        <v>2</v>
      </c>
      <c r="G508">
        <v>188.4</v>
      </c>
      <c r="H508" t="s">
        <v>18</v>
      </c>
      <c r="I508" t="str">
        <f t="shared" si="22"/>
        <v>Low Value</v>
      </c>
      <c r="J508" t="str">
        <f t="shared" si="23"/>
        <v>High Risk</v>
      </c>
      <c r="K508" s="3" t="str">
        <f t="shared" si="21"/>
        <v>0-1 Year</v>
      </c>
    </row>
    <row r="509" spans="1:11" x14ac:dyDescent="0.3">
      <c r="A509" t="s">
        <v>526</v>
      </c>
      <c r="B509" t="s">
        <v>9</v>
      </c>
      <c r="C509" t="s">
        <v>10</v>
      </c>
      <c r="D509" t="s">
        <v>11</v>
      </c>
      <c r="E509">
        <v>80.5</v>
      </c>
      <c r="F509">
        <v>6</v>
      </c>
      <c r="G509">
        <v>483</v>
      </c>
      <c r="H509" t="s">
        <v>18</v>
      </c>
      <c r="I509" t="str">
        <f t="shared" si="22"/>
        <v>Low Value</v>
      </c>
      <c r="J509" t="str">
        <f t="shared" si="23"/>
        <v>High Risk</v>
      </c>
      <c r="K509" s="3" t="str">
        <f t="shared" si="21"/>
        <v>0-1 Year</v>
      </c>
    </row>
    <row r="510" spans="1:11" x14ac:dyDescent="0.3">
      <c r="A510" t="s">
        <v>527</v>
      </c>
      <c r="B510" t="s">
        <v>9</v>
      </c>
      <c r="C510" t="s">
        <v>10</v>
      </c>
      <c r="D510" t="s">
        <v>16</v>
      </c>
      <c r="E510">
        <v>19.850000000000001</v>
      </c>
      <c r="F510">
        <v>1</v>
      </c>
      <c r="G510">
        <v>19.850000000000001</v>
      </c>
      <c r="H510" t="s">
        <v>12</v>
      </c>
      <c r="I510" t="str">
        <f t="shared" si="22"/>
        <v>Low Value</v>
      </c>
      <c r="J510" t="str">
        <f t="shared" si="23"/>
        <v>High Risk</v>
      </c>
      <c r="K510" s="3" t="str">
        <f t="shared" si="21"/>
        <v>0-1 Year</v>
      </c>
    </row>
    <row r="511" spans="1:11" x14ac:dyDescent="0.3">
      <c r="A511" t="s">
        <v>528</v>
      </c>
      <c r="B511" t="s">
        <v>14</v>
      </c>
      <c r="C511" t="s">
        <v>15</v>
      </c>
      <c r="D511" t="s">
        <v>24</v>
      </c>
      <c r="E511">
        <v>94.3</v>
      </c>
      <c r="F511">
        <v>20</v>
      </c>
      <c r="G511">
        <v>1886</v>
      </c>
      <c r="H511" t="s">
        <v>12</v>
      </c>
      <c r="I511" t="str">
        <f t="shared" si="22"/>
        <v>Low Value</v>
      </c>
      <c r="J511" t="str">
        <f t="shared" si="23"/>
        <v>Medium Risk</v>
      </c>
      <c r="K511" s="3" t="str">
        <f t="shared" si="21"/>
        <v>1-2 Years</v>
      </c>
    </row>
    <row r="512" spans="1:11" x14ac:dyDescent="0.3">
      <c r="A512" t="s">
        <v>529</v>
      </c>
      <c r="B512" t="s">
        <v>14</v>
      </c>
      <c r="C512" t="s">
        <v>10</v>
      </c>
      <c r="D512" t="s">
        <v>11</v>
      </c>
      <c r="E512">
        <v>106.45</v>
      </c>
      <c r="F512">
        <v>61</v>
      </c>
      <c r="G512">
        <v>6493.45</v>
      </c>
      <c r="H512" t="s">
        <v>12</v>
      </c>
      <c r="I512" t="str">
        <f t="shared" si="22"/>
        <v>High Value</v>
      </c>
      <c r="J512" t="str">
        <f t="shared" si="23"/>
        <v>Low Risk</v>
      </c>
      <c r="K512" s="3" t="str">
        <f t="shared" si="21"/>
        <v>4+ Years</v>
      </c>
    </row>
    <row r="513" spans="1:11" x14ac:dyDescent="0.3">
      <c r="A513" t="s">
        <v>530</v>
      </c>
      <c r="B513" t="s">
        <v>9</v>
      </c>
      <c r="C513" t="s">
        <v>10</v>
      </c>
      <c r="D513" t="s">
        <v>11</v>
      </c>
      <c r="E513">
        <v>74.349999999999994</v>
      </c>
      <c r="F513">
        <v>5</v>
      </c>
      <c r="G513">
        <v>371.75</v>
      </c>
      <c r="H513" t="s">
        <v>18</v>
      </c>
      <c r="I513" t="str">
        <f t="shared" si="22"/>
        <v>Low Value</v>
      </c>
      <c r="J513" t="str">
        <f t="shared" si="23"/>
        <v>High Risk</v>
      </c>
      <c r="K513" s="3" t="str">
        <f t="shared" si="21"/>
        <v>0-1 Year</v>
      </c>
    </row>
    <row r="514" spans="1:11" x14ac:dyDescent="0.3">
      <c r="A514" t="s">
        <v>531</v>
      </c>
      <c r="B514" t="s">
        <v>9</v>
      </c>
      <c r="C514" t="s">
        <v>10</v>
      </c>
      <c r="D514" t="s">
        <v>20</v>
      </c>
      <c r="E514">
        <v>105.45</v>
      </c>
      <c r="F514">
        <v>56</v>
      </c>
      <c r="G514">
        <v>5905.2</v>
      </c>
      <c r="H514" t="s">
        <v>12</v>
      </c>
      <c r="I514" t="str">
        <f t="shared" si="22"/>
        <v>High Value</v>
      </c>
      <c r="J514" t="str">
        <f t="shared" si="23"/>
        <v>Low Risk</v>
      </c>
      <c r="K514" s="3" t="str">
        <f t="shared" si="21"/>
        <v>4+ Years</v>
      </c>
    </row>
    <row r="515" spans="1:11" x14ac:dyDescent="0.3">
      <c r="A515" t="s">
        <v>532</v>
      </c>
      <c r="B515" t="s">
        <v>14</v>
      </c>
      <c r="C515" t="s">
        <v>10</v>
      </c>
      <c r="D515" t="s">
        <v>24</v>
      </c>
      <c r="E515">
        <v>95</v>
      </c>
      <c r="F515">
        <v>30</v>
      </c>
      <c r="G515">
        <v>2850</v>
      </c>
      <c r="H515" t="s">
        <v>12</v>
      </c>
      <c r="I515" t="str">
        <f t="shared" si="22"/>
        <v>Medium Value</v>
      </c>
      <c r="J515" t="str">
        <f t="shared" si="23"/>
        <v>Low Risk</v>
      </c>
      <c r="K515" s="3" t="str">
        <f t="shared" ref="K515:K578" si="24">IF(F515&lt;=12,"0-1 Year",
IF(F515&lt;=24,"1-2 Years",
IF(F515&lt;=48,"2-4 Years","4+ Years")))</f>
        <v>2-4 Years</v>
      </c>
    </row>
    <row r="516" spans="1:11" x14ac:dyDescent="0.3">
      <c r="A516" t="s">
        <v>533</v>
      </c>
      <c r="B516" t="s">
        <v>14</v>
      </c>
      <c r="C516" t="s">
        <v>10</v>
      </c>
      <c r="D516" t="s">
        <v>20</v>
      </c>
      <c r="E516">
        <v>104.8</v>
      </c>
      <c r="F516">
        <v>40</v>
      </c>
      <c r="G516">
        <v>4192</v>
      </c>
      <c r="H516" t="s">
        <v>18</v>
      </c>
      <c r="I516" t="str">
        <f t="shared" ref="I516:I579" si="25">IF(G516&gt;5000,"High Value",
IF(G516&gt;2000,"Medium Value","Low Value"))</f>
        <v>Medium Value</v>
      </c>
      <c r="J516" t="str">
        <f t="shared" ref="J516:J579" si="26">IF(F516&lt;12,"High Risk",
IF(F516&lt;24,"Medium Risk","Low Risk"))</f>
        <v>Low Risk</v>
      </c>
      <c r="K516" s="3" t="str">
        <f t="shared" si="24"/>
        <v>2-4 Years</v>
      </c>
    </row>
    <row r="517" spans="1:11" x14ac:dyDescent="0.3">
      <c r="A517" t="s">
        <v>534</v>
      </c>
      <c r="B517" t="s">
        <v>9</v>
      </c>
      <c r="C517" t="s">
        <v>15</v>
      </c>
      <c r="D517" t="s">
        <v>16</v>
      </c>
      <c r="E517">
        <v>54.3</v>
      </c>
      <c r="F517">
        <v>28</v>
      </c>
      <c r="G517">
        <v>1520.3999999999901</v>
      </c>
      <c r="H517" t="s">
        <v>12</v>
      </c>
      <c r="I517" t="str">
        <f t="shared" si="25"/>
        <v>Low Value</v>
      </c>
      <c r="J517" t="str">
        <f t="shared" si="26"/>
        <v>Low Risk</v>
      </c>
      <c r="K517" s="3" t="str">
        <f t="shared" si="24"/>
        <v>2-4 Years</v>
      </c>
    </row>
    <row r="518" spans="1:11" x14ac:dyDescent="0.3">
      <c r="A518" t="s">
        <v>535</v>
      </c>
      <c r="B518" t="s">
        <v>9</v>
      </c>
      <c r="C518" t="s">
        <v>10</v>
      </c>
      <c r="D518" t="s">
        <v>11</v>
      </c>
      <c r="E518">
        <v>70.05</v>
      </c>
      <c r="F518">
        <v>5</v>
      </c>
      <c r="G518">
        <v>350.25</v>
      </c>
      <c r="H518" t="s">
        <v>12</v>
      </c>
      <c r="I518" t="str">
        <f t="shared" si="25"/>
        <v>Low Value</v>
      </c>
      <c r="J518" t="str">
        <f t="shared" si="26"/>
        <v>High Risk</v>
      </c>
      <c r="K518" s="3" t="str">
        <f t="shared" si="24"/>
        <v>0-1 Year</v>
      </c>
    </row>
    <row r="519" spans="1:11" x14ac:dyDescent="0.3">
      <c r="A519" t="s">
        <v>536</v>
      </c>
      <c r="B519" t="s">
        <v>9</v>
      </c>
      <c r="C519" t="s">
        <v>10</v>
      </c>
      <c r="D519" t="s">
        <v>20</v>
      </c>
      <c r="E519">
        <v>75.2</v>
      </c>
      <c r="F519">
        <v>27</v>
      </c>
      <c r="G519">
        <v>2030.4</v>
      </c>
      <c r="H519" t="s">
        <v>18</v>
      </c>
      <c r="I519" t="str">
        <f t="shared" si="25"/>
        <v>Medium Value</v>
      </c>
      <c r="J519" t="str">
        <f t="shared" si="26"/>
        <v>Low Risk</v>
      </c>
      <c r="K519" s="3" t="str">
        <f t="shared" si="24"/>
        <v>2-4 Years</v>
      </c>
    </row>
    <row r="520" spans="1:11" x14ac:dyDescent="0.3">
      <c r="A520" t="s">
        <v>537</v>
      </c>
      <c r="B520" t="s">
        <v>14</v>
      </c>
      <c r="C520" t="s">
        <v>10</v>
      </c>
      <c r="D520" t="s">
        <v>24</v>
      </c>
      <c r="E520">
        <v>20.05</v>
      </c>
      <c r="F520">
        <v>12</v>
      </c>
      <c r="G520">
        <v>240.6</v>
      </c>
      <c r="H520" t="s">
        <v>12</v>
      </c>
      <c r="I520" t="str">
        <f t="shared" si="25"/>
        <v>Low Value</v>
      </c>
      <c r="J520" t="str">
        <f t="shared" si="26"/>
        <v>Medium Risk</v>
      </c>
      <c r="K520" s="3" t="str">
        <f t="shared" si="24"/>
        <v>0-1 Year</v>
      </c>
    </row>
    <row r="521" spans="1:11" x14ac:dyDescent="0.3">
      <c r="A521" t="s">
        <v>538</v>
      </c>
      <c r="B521" t="s">
        <v>14</v>
      </c>
      <c r="C521" t="s">
        <v>15</v>
      </c>
      <c r="D521" t="s">
        <v>11</v>
      </c>
      <c r="E521">
        <v>105.4</v>
      </c>
      <c r="F521">
        <v>67</v>
      </c>
      <c r="G521">
        <v>7061.8</v>
      </c>
      <c r="H521" t="s">
        <v>12</v>
      </c>
      <c r="I521" t="str">
        <f t="shared" si="25"/>
        <v>High Value</v>
      </c>
      <c r="J521" t="str">
        <f t="shared" si="26"/>
        <v>Low Risk</v>
      </c>
      <c r="K521" s="3" t="str">
        <f t="shared" si="24"/>
        <v>4+ Years</v>
      </c>
    </row>
    <row r="522" spans="1:11" x14ac:dyDescent="0.3">
      <c r="A522" t="s">
        <v>539</v>
      </c>
      <c r="B522" t="s">
        <v>14</v>
      </c>
      <c r="C522" t="s">
        <v>10</v>
      </c>
      <c r="D522" t="s">
        <v>11</v>
      </c>
      <c r="E522">
        <v>51.6</v>
      </c>
      <c r="F522">
        <v>29</v>
      </c>
      <c r="G522">
        <v>1496.4</v>
      </c>
      <c r="H522" t="s">
        <v>12</v>
      </c>
      <c r="I522" t="str">
        <f t="shared" si="25"/>
        <v>Low Value</v>
      </c>
      <c r="J522" t="str">
        <f t="shared" si="26"/>
        <v>Low Risk</v>
      </c>
      <c r="K522" s="3" t="str">
        <f t="shared" si="24"/>
        <v>2-4 Years</v>
      </c>
    </row>
    <row r="523" spans="1:11" x14ac:dyDescent="0.3">
      <c r="A523" t="s">
        <v>540</v>
      </c>
      <c r="B523" t="s">
        <v>14</v>
      </c>
      <c r="C523" t="s">
        <v>10</v>
      </c>
      <c r="D523" t="s">
        <v>20</v>
      </c>
      <c r="E523">
        <v>85.5</v>
      </c>
      <c r="F523">
        <v>55</v>
      </c>
      <c r="G523">
        <v>4702.5</v>
      </c>
      <c r="H523" t="s">
        <v>12</v>
      </c>
      <c r="I523" t="str">
        <f t="shared" si="25"/>
        <v>Medium Value</v>
      </c>
      <c r="J523" t="str">
        <f t="shared" si="26"/>
        <v>Low Risk</v>
      </c>
      <c r="K523" s="3" t="str">
        <f t="shared" si="24"/>
        <v>4+ Years</v>
      </c>
    </row>
    <row r="524" spans="1:11" x14ac:dyDescent="0.3">
      <c r="A524" t="s">
        <v>541</v>
      </c>
      <c r="B524" t="s">
        <v>9</v>
      </c>
      <c r="C524" t="s">
        <v>10</v>
      </c>
      <c r="D524" t="s">
        <v>20</v>
      </c>
      <c r="E524">
        <v>75.599999999999994</v>
      </c>
      <c r="F524">
        <v>23</v>
      </c>
      <c r="G524">
        <v>1738.8</v>
      </c>
      <c r="H524" t="s">
        <v>18</v>
      </c>
      <c r="I524" t="str">
        <f t="shared" si="25"/>
        <v>Low Value</v>
      </c>
      <c r="J524" t="str">
        <f t="shared" si="26"/>
        <v>Medium Risk</v>
      </c>
      <c r="K524" s="3" t="str">
        <f t="shared" si="24"/>
        <v>1-2 Years</v>
      </c>
    </row>
    <row r="525" spans="1:11" x14ac:dyDescent="0.3">
      <c r="A525" t="s">
        <v>542</v>
      </c>
      <c r="B525" t="s">
        <v>14</v>
      </c>
      <c r="C525" t="s">
        <v>10</v>
      </c>
      <c r="D525" t="s">
        <v>11</v>
      </c>
      <c r="E525">
        <v>100.05</v>
      </c>
      <c r="F525">
        <v>34</v>
      </c>
      <c r="G525">
        <v>3401.7</v>
      </c>
      <c r="H525" t="s">
        <v>18</v>
      </c>
      <c r="I525" t="str">
        <f t="shared" si="25"/>
        <v>Medium Value</v>
      </c>
      <c r="J525" t="str">
        <f t="shared" si="26"/>
        <v>Low Risk</v>
      </c>
      <c r="K525" s="3" t="str">
        <f t="shared" si="24"/>
        <v>2-4 Years</v>
      </c>
    </row>
    <row r="526" spans="1:11" x14ac:dyDescent="0.3">
      <c r="A526" t="s">
        <v>543</v>
      </c>
      <c r="B526" t="s">
        <v>14</v>
      </c>
      <c r="C526" t="s">
        <v>15</v>
      </c>
      <c r="D526" t="s">
        <v>11</v>
      </c>
      <c r="E526">
        <v>91.25</v>
      </c>
      <c r="F526">
        <v>52</v>
      </c>
      <c r="G526">
        <v>4745</v>
      </c>
      <c r="H526" t="s">
        <v>12</v>
      </c>
      <c r="I526" t="str">
        <f t="shared" si="25"/>
        <v>Medium Value</v>
      </c>
      <c r="J526" t="str">
        <f t="shared" si="26"/>
        <v>Low Risk</v>
      </c>
      <c r="K526" s="3" t="str">
        <f t="shared" si="24"/>
        <v>4+ Years</v>
      </c>
    </row>
    <row r="527" spans="1:11" x14ac:dyDescent="0.3">
      <c r="A527" t="s">
        <v>544</v>
      </c>
      <c r="B527" t="s">
        <v>14</v>
      </c>
      <c r="C527" t="s">
        <v>30</v>
      </c>
      <c r="D527" t="s">
        <v>24</v>
      </c>
      <c r="E527">
        <v>115.75</v>
      </c>
      <c r="F527">
        <v>72</v>
      </c>
      <c r="G527">
        <v>8334</v>
      </c>
      <c r="H527" t="s">
        <v>12</v>
      </c>
      <c r="I527" t="str">
        <f t="shared" si="25"/>
        <v>High Value</v>
      </c>
      <c r="J527" t="str">
        <f t="shared" si="26"/>
        <v>Low Risk</v>
      </c>
      <c r="K527" s="3" t="str">
        <f t="shared" si="24"/>
        <v>4+ Years</v>
      </c>
    </row>
    <row r="528" spans="1:11" x14ac:dyDescent="0.3">
      <c r="A528" t="s">
        <v>545</v>
      </c>
      <c r="B528" t="s">
        <v>14</v>
      </c>
      <c r="C528" t="s">
        <v>15</v>
      </c>
      <c r="D528" t="s">
        <v>24</v>
      </c>
      <c r="E528">
        <v>94.7</v>
      </c>
      <c r="F528">
        <v>58</v>
      </c>
      <c r="G528">
        <v>5492.6</v>
      </c>
      <c r="H528" t="s">
        <v>12</v>
      </c>
      <c r="I528" t="str">
        <f t="shared" si="25"/>
        <v>High Value</v>
      </c>
      <c r="J528" t="str">
        <f t="shared" si="26"/>
        <v>Low Risk</v>
      </c>
      <c r="K528" s="3" t="str">
        <f t="shared" si="24"/>
        <v>4+ Years</v>
      </c>
    </row>
    <row r="529" spans="1:11" x14ac:dyDescent="0.3">
      <c r="A529" t="s">
        <v>546</v>
      </c>
      <c r="B529" t="s">
        <v>14</v>
      </c>
      <c r="C529" t="s">
        <v>30</v>
      </c>
      <c r="D529" t="s">
        <v>16</v>
      </c>
      <c r="E529">
        <v>19.600000000000001</v>
      </c>
      <c r="F529">
        <v>35</v>
      </c>
      <c r="G529">
        <v>686</v>
      </c>
      <c r="H529" t="s">
        <v>12</v>
      </c>
      <c r="I529" t="str">
        <f t="shared" si="25"/>
        <v>Low Value</v>
      </c>
      <c r="J529" t="str">
        <f t="shared" si="26"/>
        <v>Low Risk</v>
      </c>
      <c r="K529" s="3" t="str">
        <f t="shared" si="24"/>
        <v>2-4 Years</v>
      </c>
    </row>
    <row r="530" spans="1:11" x14ac:dyDescent="0.3">
      <c r="A530" t="s">
        <v>547</v>
      </c>
      <c r="B530" t="s">
        <v>9</v>
      </c>
      <c r="C530" t="s">
        <v>30</v>
      </c>
      <c r="D530" t="s">
        <v>20</v>
      </c>
      <c r="E530">
        <v>99.9</v>
      </c>
      <c r="F530">
        <v>56</v>
      </c>
      <c r="G530">
        <v>5594.4</v>
      </c>
      <c r="H530" t="s">
        <v>12</v>
      </c>
      <c r="I530" t="str">
        <f t="shared" si="25"/>
        <v>High Value</v>
      </c>
      <c r="J530" t="str">
        <f t="shared" si="26"/>
        <v>Low Risk</v>
      </c>
      <c r="K530" s="3" t="str">
        <f t="shared" si="24"/>
        <v>4+ Years</v>
      </c>
    </row>
    <row r="531" spans="1:11" x14ac:dyDescent="0.3">
      <c r="A531" t="s">
        <v>548</v>
      </c>
      <c r="B531" t="s">
        <v>9</v>
      </c>
      <c r="C531" t="s">
        <v>30</v>
      </c>
      <c r="D531" t="s">
        <v>24</v>
      </c>
      <c r="E531">
        <v>21.1</v>
      </c>
      <c r="F531">
        <v>24</v>
      </c>
      <c r="G531">
        <v>506.4</v>
      </c>
      <c r="H531" t="s">
        <v>12</v>
      </c>
      <c r="I531" t="str">
        <f t="shared" si="25"/>
        <v>Low Value</v>
      </c>
      <c r="J531" t="str">
        <f t="shared" si="26"/>
        <v>Low Risk</v>
      </c>
      <c r="K531" s="3" t="str">
        <f t="shared" si="24"/>
        <v>1-2 Years</v>
      </c>
    </row>
    <row r="532" spans="1:11" x14ac:dyDescent="0.3">
      <c r="A532" t="s">
        <v>549</v>
      </c>
      <c r="B532" t="s">
        <v>14</v>
      </c>
      <c r="C532" t="s">
        <v>30</v>
      </c>
      <c r="D532" t="s">
        <v>24</v>
      </c>
      <c r="E532">
        <v>20.05</v>
      </c>
      <c r="F532">
        <v>70</v>
      </c>
      <c r="G532">
        <v>1403.5</v>
      </c>
      <c r="H532" t="s">
        <v>12</v>
      </c>
      <c r="I532" t="str">
        <f t="shared" si="25"/>
        <v>Low Value</v>
      </c>
      <c r="J532" t="str">
        <f t="shared" si="26"/>
        <v>Low Risk</v>
      </c>
      <c r="K532" s="3" t="str">
        <f t="shared" si="24"/>
        <v>4+ Years</v>
      </c>
    </row>
    <row r="533" spans="1:11" x14ac:dyDescent="0.3">
      <c r="A533" t="s">
        <v>550</v>
      </c>
      <c r="B533" t="s">
        <v>14</v>
      </c>
      <c r="C533" t="s">
        <v>10</v>
      </c>
      <c r="D533" t="s">
        <v>11</v>
      </c>
      <c r="E533">
        <v>79.95</v>
      </c>
      <c r="F533">
        <v>2</v>
      </c>
      <c r="G533">
        <v>159.9</v>
      </c>
      <c r="H533" t="s">
        <v>12</v>
      </c>
      <c r="I533" t="str">
        <f t="shared" si="25"/>
        <v>Low Value</v>
      </c>
      <c r="J533" t="str">
        <f t="shared" si="26"/>
        <v>High Risk</v>
      </c>
      <c r="K533" s="3" t="str">
        <f t="shared" si="24"/>
        <v>0-1 Year</v>
      </c>
    </row>
    <row r="534" spans="1:11" x14ac:dyDescent="0.3">
      <c r="A534" t="s">
        <v>551</v>
      </c>
      <c r="B534" t="s">
        <v>14</v>
      </c>
      <c r="C534" t="s">
        <v>15</v>
      </c>
      <c r="D534" t="s">
        <v>24</v>
      </c>
      <c r="E534">
        <v>107.15</v>
      </c>
      <c r="F534">
        <v>68</v>
      </c>
      <c r="G534">
        <v>7286.2</v>
      </c>
      <c r="H534" t="s">
        <v>12</v>
      </c>
      <c r="I534" t="str">
        <f t="shared" si="25"/>
        <v>High Value</v>
      </c>
      <c r="J534" t="str">
        <f t="shared" si="26"/>
        <v>Low Risk</v>
      </c>
      <c r="K534" s="3" t="str">
        <f t="shared" si="24"/>
        <v>4+ Years</v>
      </c>
    </row>
    <row r="535" spans="1:11" x14ac:dyDescent="0.3">
      <c r="A535" t="s">
        <v>552</v>
      </c>
      <c r="B535" t="s">
        <v>9</v>
      </c>
      <c r="C535" t="s">
        <v>10</v>
      </c>
      <c r="D535" t="s">
        <v>11</v>
      </c>
      <c r="E535">
        <v>85</v>
      </c>
      <c r="F535">
        <v>1</v>
      </c>
      <c r="G535">
        <v>85</v>
      </c>
      <c r="H535" t="s">
        <v>18</v>
      </c>
      <c r="I535" t="str">
        <f t="shared" si="25"/>
        <v>Low Value</v>
      </c>
      <c r="J535" t="str">
        <f t="shared" si="26"/>
        <v>High Risk</v>
      </c>
      <c r="K535" s="3" t="str">
        <f t="shared" si="24"/>
        <v>0-1 Year</v>
      </c>
    </row>
    <row r="536" spans="1:11" x14ac:dyDescent="0.3">
      <c r="A536" t="s">
        <v>553</v>
      </c>
      <c r="B536" t="s">
        <v>14</v>
      </c>
      <c r="C536" t="s">
        <v>10</v>
      </c>
      <c r="D536" t="s">
        <v>11</v>
      </c>
      <c r="E536">
        <v>89.55</v>
      </c>
      <c r="F536">
        <v>12</v>
      </c>
      <c r="G536">
        <v>1074.5999999999999</v>
      </c>
      <c r="H536" t="s">
        <v>12</v>
      </c>
      <c r="I536" t="str">
        <f t="shared" si="25"/>
        <v>Low Value</v>
      </c>
      <c r="J536" t="str">
        <f t="shared" si="26"/>
        <v>Medium Risk</v>
      </c>
      <c r="K536" s="3" t="str">
        <f t="shared" si="24"/>
        <v>0-1 Year</v>
      </c>
    </row>
    <row r="537" spans="1:11" x14ac:dyDescent="0.3">
      <c r="A537" t="s">
        <v>554</v>
      </c>
      <c r="B537" t="s">
        <v>9</v>
      </c>
      <c r="C537" t="s">
        <v>10</v>
      </c>
      <c r="D537" t="s">
        <v>20</v>
      </c>
      <c r="E537">
        <v>81.55</v>
      </c>
      <c r="F537">
        <v>63</v>
      </c>
      <c r="G537">
        <v>5137.6499999999996</v>
      </c>
      <c r="H537" t="s">
        <v>12</v>
      </c>
      <c r="I537" t="str">
        <f t="shared" si="25"/>
        <v>High Value</v>
      </c>
      <c r="J537" t="str">
        <f t="shared" si="26"/>
        <v>Low Risk</v>
      </c>
      <c r="K537" s="3" t="str">
        <f t="shared" si="24"/>
        <v>4+ Years</v>
      </c>
    </row>
    <row r="538" spans="1:11" x14ac:dyDescent="0.3">
      <c r="A538" t="s">
        <v>555</v>
      </c>
      <c r="B538" t="s">
        <v>9</v>
      </c>
      <c r="C538" t="s">
        <v>15</v>
      </c>
      <c r="D538" t="s">
        <v>16</v>
      </c>
      <c r="E538">
        <v>58.45</v>
      </c>
      <c r="F538">
        <v>33</v>
      </c>
      <c r="G538">
        <v>1928.85</v>
      </c>
      <c r="H538" t="s">
        <v>12</v>
      </c>
      <c r="I538" t="str">
        <f t="shared" si="25"/>
        <v>Low Value</v>
      </c>
      <c r="J538" t="str">
        <f t="shared" si="26"/>
        <v>Low Risk</v>
      </c>
      <c r="K538" s="3" t="str">
        <f t="shared" si="24"/>
        <v>2-4 Years</v>
      </c>
    </row>
    <row r="539" spans="1:11" x14ac:dyDescent="0.3">
      <c r="A539" t="s">
        <v>556</v>
      </c>
      <c r="B539" t="s">
        <v>9</v>
      </c>
      <c r="C539" t="s">
        <v>15</v>
      </c>
      <c r="D539" t="s">
        <v>24</v>
      </c>
      <c r="E539">
        <v>95.65</v>
      </c>
      <c r="F539">
        <v>69</v>
      </c>
      <c r="G539">
        <v>6599.85</v>
      </c>
      <c r="H539" t="s">
        <v>12</v>
      </c>
      <c r="I539" t="str">
        <f t="shared" si="25"/>
        <v>High Value</v>
      </c>
      <c r="J539" t="str">
        <f t="shared" si="26"/>
        <v>Low Risk</v>
      </c>
      <c r="K539" s="3" t="str">
        <f t="shared" si="24"/>
        <v>4+ Years</v>
      </c>
    </row>
    <row r="540" spans="1:11" x14ac:dyDescent="0.3">
      <c r="A540" t="s">
        <v>557</v>
      </c>
      <c r="B540" t="s">
        <v>9</v>
      </c>
      <c r="C540" t="s">
        <v>30</v>
      </c>
      <c r="D540" t="s">
        <v>20</v>
      </c>
      <c r="E540">
        <v>80.599999999999994</v>
      </c>
      <c r="F540">
        <v>60</v>
      </c>
      <c r="G540">
        <v>4836</v>
      </c>
      <c r="H540" t="s">
        <v>12</v>
      </c>
      <c r="I540" t="str">
        <f t="shared" si="25"/>
        <v>Medium Value</v>
      </c>
      <c r="J540" t="str">
        <f t="shared" si="26"/>
        <v>Low Risk</v>
      </c>
      <c r="K540" s="3" t="str">
        <f t="shared" si="24"/>
        <v>4+ Years</v>
      </c>
    </row>
    <row r="541" spans="1:11" x14ac:dyDescent="0.3">
      <c r="A541" t="s">
        <v>558</v>
      </c>
      <c r="B541" t="s">
        <v>9</v>
      </c>
      <c r="C541" t="s">
        <v>30</v>
      </c>
      <c r="D541" t="s">
        <v>20</v>
      </c>
      <c r="E541">
        <v>113.1</v>
      </c>
      <c r="F541">
        <v>72</v>
      </c>
      <c r="G541">
        <v>8143.2</v>
      </c>
      <c r="H541" t="s">
        <v>12</v>
      </c>
      <c r="I541" t="str">
        <f t="shared" si="25"/>
        <v>High Value</v>
      </c>
      <c r="J541" t="str">
        <f t="shared" si="26"/>
        <v>Low Risk</v>
      </c>
      <c r="K541" s="3" t="str">
        <f t="shared" si="24"/>
        <v>4+ Years</v>
      </c>
    </row>
    <row r="542" spans="1:11" x14ac:dyDescent="0.3">
      <c r="A542" t="s">
        <v>559</v>
      </c>
      <c r="B542" t="s">
        <v>9</v>
      </c>
      <c r="C542" t="s">
        <v>10</v>
      </c>
      <c r="D542" t="s">
        <v>16</v>
      </c>
      <c r="E542">
        <v>58.95</v>
      </c>
      <c r="F542">
        <v>11</v>
      </c>
      <c r="G542">
        <v>648.45000000000005</v>
      </c>
      <c r="H542" t="s">
        <v>12</v>
      </c>
      <c r="I542" t="str">
        <f t="shared" si="25"/>
        <v>Low Value</v>
      </c>
      <c r="J542" t="str">
        <f t="shared" si="26"/>
        <v>High Risk</v>
      </c>
      <c r="K542" s="3" t="str">
        <f t="shared" si="24"/>
        <v>0-1 Year</v>
      </c>
    </row>
    <row r="543" spans="1:11" x14ac:dyDescent="0.3">
      <c r="A543" t="s">
        <v>560</v>
      </c>
      <c r="B543" t="s">
        <v>9</v>
      </c>
      <c r="C543" t="s">
        <v>10</v>
      </c>
      <c r="D543" t="s">
        <v>16</v>
      </c>
      <c r="E543">
        <v>19.55</v>
      </c>
      <c r="F543">
        <v>1</v>
      </c>
      <c r="G543">
        <v>19.55</v>
      </c>
      <c r="H543" t="s">
        <v>12</v>
      </c>
      <c r="I543" t="str">
        <f t="shared" si="25"/>
        <v>Low Value</v>
      </c>
      <c r="J543" t="str">
        <f t="shared" si="26"/>
        <v>High Risk</v>
      </c>
      <c r="K543" s="3" t="str">
        <f t="shared" si="24"/>
        <v>0-1 Year</v>
      </c>
    </row>
    <row r="544" spans="1:11" x14ac:dyDescent="0.3">
      <c r="A544" t="s">
        <v>561</v>
      </c>
      <c r="B544" t="s">
        <v>14</v>
      </c>
      <c r="C544" t="s">
        <v>10</v>
      </c>
      <c r="D544" t="s">
        <v>20</v>
      </c>
      <c r="E544">
        <v>86.05</v>
      </c>
      <c r="F544">
        <v>10</v>
      </c>
      <c r="G544">
        <v>860.5</v>
      </c>
      <c r="H544" t="s">
        <v>18</v>
      </c>
      <c r="I544" t="str">
        <f t="shared" si="25"/>
        <v>Low Value</v>
      </c>
      <c r="J544" t="str">
        <f t="shared" si="26"/>
        <v>High Risk</v>
      </c>
      <c r="K544" s="3" t="str">
        <f t="shared" si="24"/>
        <v>0-1 Year</v>
      </c>
    </row>
    <row r="545" spans="1:11" x14ac:dyDescent="0.3">
      <c r="A545" t="s">
        <v>562</v>
      </c>
      <c r="B545" t="s">
        <v>14</v>
      </c>
      <c r="C545" t="s">
        <v>10</v>
      </c>
      <c r="D545" t="s">
        <v>24</v>
      </c>
      <c r="E545">
        <v>45.55</v>
      </c>
      <c r="F545">
        <v>13</v>
      </c>
      <c r="G545">
        <v>592.15</v>
      </c>
      <c r="H545" t="s">
        <v>18</v>
      </c>
      <c r="I545" t="str">
        <f t="shared" si="25"/>
        <v>Low Value</v>
      </c>
      <c r="J545" t="str">
        <f t="shared" si="26"/>
        <v>Medium Risk</v>
      </c>
      <c r="K545" s="3" t="str">
        <f t="shared" si="24"/>
        <v>1-2 Years</v>
      </c>
    </row>
    <row r="546" spans="1:11" x14ac:dyDescent="0.3">
      <c r="A546" t="s">
        <v>563</v>
      </c>
      <c r="B546" t="s">
        <v>14</v>
      </c>
      <c r="C546" t="s">
        <v>15</v>
      </c>
      <c r="D546" t="s">
        <v>20</v>
      </c>
      <c r="E546">
        <v>78.95</v>
      </c>
      <c r="F546">
        <v>34</v>
      </c>
      <c r="G546">
        <v>2684.3</v>
      </c>
      <c r="H546" t="s">
        <v>12</v>
      </c>
      <c r="I546" t="str">
        <f t="shared" si="25"/>
        <v>Medium Value</v>
      </c>
      <c r="J546" t="str">
        <f t="shared" si="26"/>
        <v>Low Risk</v>
      </c>
      <c r="K546" s="3" t="str">
        <f t="shared" si="24"/>
        <v>2-4 Years</v>
      </c>
    </row>
    <row r="547" spans="1:11" x14ac:dyDescent="0.3">
      <c r="A547" t="s">
        <v>564</v>
      </c>
      <c r="B547" t="s">
        <v>14</v>
      </c>
      <c r="C547" t="s">
        <v>10</v>
      </c>
      <c r="D547" t="s">
        <v>16</v>
      </c>
      <c r="E547">
        <v>86.3</v>
      </c>
      <c r="F547">
        <v>39</v>
      </c>
      <c r="G547">
        <v>3365.7</v>
      </c>
      <c r="H547" t="s">
        <v>18</v>
      </c>
      <c r="I547" t="str">
        <f t="shared" si="25"/>
        <v>Medium Value</v>
      </c>
      <c r="J547" t="str">
        <f t="shared" si="26"/>
        <v>Low Risk</v>
      </c>
      <c r="K547" s="3" t="str">
        <f t="shared" si="24"/>
        <v>2-4 Years</v>
      </c>
    </row>
    <row r="548" spans="1:11" x14ac:dyDescent="0.3">
      <c r="A548" t="s">
        <v>565</v>
      </c>
      <c r="B548" t="s">
        <v>9</v>
      </c>
      <c r="C548" t="s">
        <v>15</v>
      </c>
      <c r="D548" t="s">
        <v>20</v>
      </c>
      <c r="E548">
        <v>105.05</v>
      </c>
      <c r="F548">
        <v>65</v>
      </c>
      <c r="G548">
        <v>6828.25</v>
      </c>
      <c r="H548" t="s">
        <v>12</v>
      </c>
      <c r="I548" t="str">
        <f t="shared" si="25"/>
        <v>High Value</v>
      </c>
      <c r="J548" t="str">
        <f t="shared" si="26"/>
        <v>Low Risk</v>
      </c>
      <c r="K548" s="3" t="str">
        <f t="shared" si="24"/>
        <v>4+ Years</v>
      </c>
    </row>
    <row r="549" spans="1:11" x14ac:dyDescent="0.3">
      <c r="A549" t="s">
        <v>566</v>
      </c>
      <c r="B549" t="s">
        <v>14</v>
      </c>
      <c r="C549" t="s">
        <v>15</v>
      </c>
      <c r="D549" t="s">
        <v>20</v>
      </c>
      <c r="E549">
        <v>101.9</v>
      </c>
      <c r="F549">
        <v>50</v>
      </c>
      <c r="G549">
        <v>5095</v>
      </c>
      <c r="H549" t="s">
        <v>12</v>
      </c>
      <c r="I549" t="str">
        <f t="shared" si="25"/>
        <v>High Value</v>
      </c>
      <c r="J549" t="str">
        <f t="shared" si="26"/>
        <v>Low Risk</v>
      </c>
      <c r="K549" s="3" t="str">
        <f t="shared" si="24"/>
        <v>4+ Years</v>
      </c>
    </row>
    <row r="550" spans="1:11" x14ac:dyDescent="0.3">
      <c r="A550" t="s">
        <v>567</v>
      </c>
      <c r="B550" t="s">
        <v>14</v>
      </c>
      <c r="C550" t="s">
        <v>10</v>
      </c>
      <c r="D550" t="s">
        <v>16</v>
      </c>
      <c r="E550">
        <v>19.75</v>
      </c>
      <c r="F550">
        <v>15</v>
      </c>
      <c r="G550">
        <v>296.25</v>
      </c>
      <c r="H550" t="s">
        <v>12</v>
      </c>
      <c r="I550" t="str">
        <f t="shared" si="25"/>
        <v>Low Value</v>
      </c>
      <c r="J550" t="str">
        <f t="shared" si="26"/>
        <v>Medium Risk</v>
      </c>
      <c r="K550" s="3" t="str">
        <f t="shared" si="24"/>
        <v>1-2 Years</v>
      </c>
    </row>
    <row r="551" spans="1:11" x14ac:dyDescent="0.3">
      <c r="A551" t="s">
        <v>568</v>
      </c>
      <c r="B551" t="s">
        <v>14</v>
      </c>
      <c r="C551" t="s">
        <v>30</v>
      </c>
      <c r="D551" t="s">
        <v>20</v>
      </c>
      <c r="E551">
        <v>110.3</v>
      </c>
      <c r="F551">
        <v>72</v>
      </c>
      <c r="G551">
        <v>7941.5999999999904</v>
      </c>
      <c r="H551" t="s">
        <v>12</v>
      </c>
      <c r="I551" t="str">
        <f t="shared" si="25"/>
        <v>High Value</v>
      </c>
      <c r="J551" t="str">
        <f t="shared" si="26"/>
        <v>Low Risk</v>
      </c>
      <c r="K551" s="3" t="str">
        <f t="shared" si="24"/>
        <v>4+ Years</v>
      </c>
    </row>
    <row r="552" spans="1:11" x14ac:dyDescent="0.3">
      <c r="A552" t="s">
        <v>569</v>
      </c>
      <c r="B552" t="s">
        <v>9</v>
      </c>
      <c r="C552" t="s">
        <v>30</v>
      </c>
      <c r="D552" t="s">
        <v>20</v>
      </c>
      <c r="E552">
        <v>115.6</v>
      </c>
      <c r="F552">
        <v>72</v>
      </c>
      <c r="G552">
        <v>8323.1999999999898</v>
      </c>
      <c r="H552" t="s">
        <v>12</v>
      </c>
      <c r="I552" t="str">
        <f t="shared" si="25"/>
        <v>High Value</v>
      </c>
      <c r="J552" t="str">
        <f t="shared" si="26"/>
        <v>Low Risk</v>
      </c>
      <c r="K552" s="3" t="str">
        <f t="shared" si="24"/>
        <v>4+ Years</v>
      </c>
    </row>
    <row r="553" spans="1:11" x14ac:dyDescent="0.3">
      <c r="A553" t="s">
        <v>570</v>
      </c>
      <c r="B553" t="s">
        <v>14</v>
      </c>
      <c r="C553" t="s">
        <v>30</v>
      </c>
      <c r="D553" t="s">
        <v>20</v>
      </c>
      <c r="E553">
        <v>19.350000000000001</v>
      </c>
      <c r="F553">
        <v>55</v>
      </c>
      <c r="G553">
        <v>1064.25</v>
      </c>
      <c r="H553" t="s">
        <v>12</v>
      </c>
      <c r="I553" t="str">
        <f t="shared" si="25"/>
        <v>Low Value</v>
      </c>
      <c r="J553" t="str">
        <f t="shared" si="26"/>
        <v>Low Risk</v>
      </c>
      <c r="K553" s="3" t="str">
        <f t="shared" si="24"/>
        <v>4+ Years</v>
      </c>
    </row>
    <row r="554" spans="1:11" x14ac:dyDescent="0.3">
      <c r="A554" t="s">
        <v>571</v>
      </c>
      <c r="B554" t="s">
        <v>9</v>
      </c>
      <c r="C554" t="s">
        <v>30</v>
      </c>
      <c r="D554" t="s">
        <v>24</v>
      </c>
      <c r="E554">
        <v>25.6</v>
      </c>
      <c r="F554">
        <v>23</v>
      </c>
      <c r="G554">
        <v>588.79999999999995</v>
      </c>
      <c r="H554" t="s">
        <v>12</v>
      </c>
      <c r="I554" t="str">
        <f t="shared" si="25"/>
        <v>Low Value</v>
      </c>
      <c r="J554" t="str">
        <f t="shared" si="26"/>
        <v>Medium Risk</v>
      </c>
      <c r="K554" s="3" t="str">
        <f t="shared" si="24"/>
        <v>1-2 Years</v>
      </c>
    </row>
    <row r="555" spans="1:11" x14ac:dyDescent="0.3">
      <c r="A555" t="s">
        <v>572</v>
      </c>
      <c r="B555" t="s">
        <v>14</v>
      </c>
      <c r="C555" t="s">
        <v>10</v>
      </c>
      <c r="D555" t="s">
        <v>20</v>
      </c>
      <c r="E555">
        <v>80.349999999999994</v>
      </c>
      <c r="F555">
        <v>32</v>
      </c>
      <c r="G555">
        <v>2571.1999999999998</v>
      </c>
      <c r="H555" t="s">
        <v>18</v>
      </c>
      <c r="I555" t="str">
        <f t="shared" si="25"/>
        <v>Medium Value</v>
      </c>
      <c r="J555" t="str">
        <f t="shared" si="26"/>
        <v>Low Risk</v>
      </c>
      <c r="K555" s="3" t="str">
        <f t="shared" si="24"/>
        <v>2-4 Years</v>
      </c>
    </row>
    <row r="556" spans="1:11" x14ac:dyDescent="0.3">
      <c r="A556" t="s">
        <v>573</v>
      </c>
      <c r="B556" t="s">
        <v>9</v>
      </c>
      <c r="C556" t="s">
        <v>15</v>
      </c>
      <c r="D556" t="s">
        <v>20</v>
      </c>
      <c r="E556">
        <v>68.75</v>
      </c>
      <c r="F556">
        <v>56</v>
      </c>
      <c r="G556">
        <v>3850</v>
      </c>
      <c r="H556" t="s">
        <v>12</v>
      </c>
      <c r="I556" t="str">
        <f t="shared" si="25"/>
        <v>Medium Value</v>
      </c>
      <c r="J556" t="str">
        <f t="shared" si="26"/>
        <v>Low Risk</v>
      </c>
      <c r="K556" s="3" t="str">
        <f t="shared" si="24"/>
        <v>4+ Years</v>
      </c>
    </row>
    <row r="557" spans="1:11" x14ac:dyDescent="0.3">
      <c r="A557" t="s">
        <v>574</v>
      </c>
      <c r="B557" t="s">
        <v>9</v>
      </c>
      <c r="C557" t="s">
        <v>10</v>
      </c>
      <c r="D557" t="s">
        <v>20</v>
      </c>
      <c r="E557">
        <v>19.899999999999999</v>
      </c>
      <c r="F557">
        <v>1</v>
      </c>
      <c r="G557">
        <v>19.899999999999999</v>
      </c>
      <c r="H557" t="s">
        <v>12</v>
      </c>
      <c r="I557" t="str">
        <f t="shared" si="25"/>
        <v>Low Value</v>
      </c>
      <c r="J557" t="str">
        <f t="shared" si="26"/>
        <v>High Risk</v>
      </c>
      <c r="K557" s="3" t="str">
        <f t="shared" si="24"/>
        <v>0-1 Year</v>
      </c>
    </row>
    <row r="558" spans="1:11" x14ac:dyDescent="0.3">
      <c r="A558" t="s">
        <v>575</v>
      </c>
      <c r="B558" t="s">
        <v>14</v>
      </c>
      <c r="C558" t="s">
        <v>15</v>
      </c>
      <c r="D558" t="s">
        <v>16</v>
      </c>
      <c r="E558">
        <v>70.599999999999994</v>
      </c>
      <c r="F558">
        <v>38</v>
      </c>
      <c r="G558">
        <v>2682.7999999999902</v>
      </c>
      <c r="H558" t="s">
        <v>12</v>
      </c>
      <c r="I558" t="str">
        <f t="shared" si="25"/>
        <v>Medium Value</v>
      </c>
      <c r="J558" t="str">
        <f t="shared" si="26"/>
        <v>Low Risk</v>
      </c>
      <c r="K558" s="3" t="str">
        <f t="shared" si="24"/>
        <v>2-4 Years</v>
      </c>
    </row>
    <row r="559" spans="1:11" x14ac:dyDescent="0.3">
      <c r="A559" t="s">
        <v>576</v>
      </c>
      <c r="B559" t="s">
        <v>14</v>
      </c>
      <c r="C559" t="s">
        <v>10</v>
      </c>
      <c r="D559" t="s">
        <v>11</v>
      </c>
      <c r="E559">
        <v>70.2</v>
      </c>
      <c r="F559">
        <v>11</v>
      </c>
      <c r="G559">
        <v>772.2</v>
      </c>
      <c r="H559" t="s">
        <v>12</v>
      </c>
      <c r="I559" t="str">
        <f t="shared" si="25"/>
        <v>Low Value</v>
      </c>
      <c r="J559" t="str">
        <f t="shared" si="26"/>
        <v>High Risk</v>
      </c>
      <c r="K559" s="3" t="str">
        <f t="shared" si="24"/>
        <v>0-1 Year</v>
      </c>
    </row>
    <row r="560" spans="1:11" x14ac:dyDescent="0.3">
      <c r="A560" t="s">
        <v>577</v>
      </c>
      <c r="B560" t="s">
        <v>14</v>
      </c>
      <c r="C560" t="s">
        <v>10</v>
      </c>
      <c r="D560" t="s">
        <v>11</v>
      </c>
      <c r="E560">
        <v>49.3</v>
      </c>
      <c r="F560">
        <v>1</v>
      </c>
      <c r="G560">
        <v>49.3</v>
      </c>
      <c r="H560" t="s">
        <v>12</v>
      </c>
      <c r="I560" t="str">
        <f t="shared" si="25"/>
        <v>Low Value</v>
      </c>
      <c r="J560" t="str">
        <f t="shared" si="26"/>
        <v>High Risk</v>
      </c>
      <c r="K560" s="3" t="str">
        <f t="shared" si="24"/>
        <v>0-1 Year</v>
      </c>
    </row>
    <row r="561" spans="1:11" x14ac:dyDescent="0.3">
      <c r="A561" t="s">
        <v>578</v>
      </c>
      <c r="B561" t="s">
        <v>14</v>
      </c>
      <c r="C561" t="s">
        <v>15</v>
      </c>
      <c r="D561" t="s">
        <v>11</v>
      </c>
      <c r="E561">
        <v>107.25</v>
      </c>
      <c r="F561">
        <v>56</v>
      </c>
      <c r="G561">
        <v>6006</v>
      </c>
      <c r="H561" t="s">
        <v>12</v>
      </c>
      <c r="I561" t="str">
        <f t="shared" si="25"/>
        <v>High Value</v>
      </c>
      <c r="J561" t="str">
        <f t="shared" si="26"/>
        <v>Low Risk</v>
      </c>
      <c r="K561" s="3" t="str">
        <f t="shared" si="24"/>
        <v>4+ Years</v>
      </c>
    </row>
    <row r="562" spans="1:11" x14ac:dyDescent="0.3">
      <c r="A562" t="s">
        <v>579</v>
      </c>
      <c r="B562" t="s">
        <v>14</v>
      </c>
      <c r="C562" t="s">
        <v>10</v>
      </c>
      <c r="D562" t="s">
        <v>16</v>
      </c>
      <c r="E562">
        <v>23.6</v>
      </c>
      <c r="F562">
        <v>3</v>
      </c>
      <c r="G562">
        <v>70.8</v>
      </c>
      <c r="H562" t="s">
        <v>12</v>
      </c>
      <c r="I562" t="str">
        <f t="shared" si="25"/>
        <v>Low Value</v>
      </c>
      <c r="J562" t="str">
        <f t="shared" si="26"/>
        <v>High Risk</v>
      </c>
      <c r="K562" s="3" t="str">
        <f t="shared" si="24"/>
        <v>0-1 Year</v>
      </c>
    </row>
    <row r="563" spans="1:11" x14ac:dyDescent="0.3">
      <c r="A563" t="s">
        <v>580</v>
      </c>
      <c r="B563" t="s">
        <v>14</v>
      </c>
      <c r="C563" t="s">
        <v>10</v>
      </c>
      <c r="D563" t="s">
        <v>24</v>
      </c>
      <c r="E563">
        <v>69.7</v>
      </c>
      <c r="F563">
        <v>7</v>
      </c>
      <c r="G563">
        <v>487.9</v>
      </c>
      <c r="H563" t="s">
        <v>12</v>
      </c>
      <c r="I563" t="str">
        <f t="shared" si="25"/>
        <v>Low Value</v>
      </c>
      <c r="J563" t="str">
        <f t="shared" si="26"/>
        <v>High Risk</v>
      </c>
      <c r="K563" s="3" t="str">
        <f t="shared" si="24"/>
        <v>0-1 Year</v>
      </c>
    </row>
    <row r="564" spans="1:11" x14ac:dyDescent="0.3">
      <c r="A564" t="s">
        <v>581</v>
      </c>
      <c r="B564" t="s">
        <v>14</v>
      </c>
      <c r="C564" t="s">
        <v>30</v>
      </c>
      <c r="D564" t="s">
        <v>24</v>
      </c>
      <c r="E564">
        <v>99.5</v>
      </c>
      <c r="F564">
        <v>59</v>
      </c>
      <c r="G564">
        <v>5870.5</v>
      </c>
      <c r="H564" t="s">
        <v>12</v>
      </c>
      <c r="I564" t="str">
        <f t="shared" si="25"/>
        <v>High Value</v>
      </c>
      <c r="J564" t="str">
        <f t="shared" si="26"/>
        <v>Low Risk</v>
      </c>
      <c r="K564" s="3" t="str">
        <f t="shared" si="24"/>
        <v>4+ Years</v>
      </c>
    </row>
    <row r="565" spans="1:11" x14ac:dyDescent="0.3">
      <c r="A565" t="s">
        <v>582</v>
      </c>
      <c r="B565" t="s">
        <v>14</v>
      </c>
      <c r="C565" t="s">
        <v>10</v>
      </c>
      <c r="D565" t="s">
        <v>20</v>
      </c>
      <c r="E565">
        <v>64.3</v>
      </c>
      <c r="F565">
        <v>7</v>
      </c>
      <c r="G565">
        <v>450.099999999999</v>
      </c>
      <c r="H565" t="s">
        <v>12</v>
      </c>
      <c r="I565" t="str">
        <f t="shared" si="25"/>
        <v>Low Value</v>
      </c>
      <c r="J565" t="str">
        <f t="shared" si="26"/>
        <v>High Risk</v>
      </c>
      <c r="K565" s="3" t="str">
        <f t="shared" si="24"/>
        <v>0-1 Year</v>
      </c>
    </row>
    <row r="566" spans="1:11" x14ac:dyDescent="0.3">
      <c r="A566" t="s">
        <v>583</v>
      </c>
      <c r="B566" t="s">
        <v>14</v>
      </c>
      <c r="C566" t="s">
        <v>30</v>
      </c>
      <c r="D566" t="s">
        <v>24</v>
      </c>
      <c r="E566">
        <v>70.849999999999994</v>
      </c>
      <c r="F566">
        <v>71</v>
      </c>
      <c r="G566">
        <v>5030.3499999999904</v>
      </c>
      <c r="H566" t="s">
        <v>12</v>
      </c>
      <c r="I566" t="str">
        <f t="shared" si="25"/>
        <v>High Value</v>
      </c>
      <c r="J566" t="str">
        <f t="shared" si="26"/>
        <v>Low Risk</v>
      </c>
      <c r="K566" s="3" t="str">
        <f t="shared" si="24"/>
        <v>4+ Years</v>
      </c>
    </row>
    <row r="567" spans="1:11" x14ac:dyDescent="0.3">
      <c r="A567" t="s">
        <v>584</v>
      </c>
      <c r="B567" t="s">
        <v>14</v>
      </c>
      <c r="C567" t="s">
        <v>15</v>
      </c>
      <c r="D567" t="s">
        <v>11</v>
      </c>
      <c r="E567">
        <v>101.9</v>
      </c>
      <c r="F567">
        <v>15</v>
      </c>
      <c r="G567">
        <v>1528.5</v>
      </c>
      <c r="H567" t="s">
        <v>12</v>
      </c>
      <c r="I567" t="str">
        <f t="shared" si="25"/>
        <v>Low Value</v>
      </c>
      <c r="J567" t="str">
        <f t="shared" si="26"/>
        <v>Medium Risk</v>
      </c>
      <c r="K567" s="3" t="str">
        <f t="shared" si="24"/>
        <v>1-2 Years</v>
      </c>
    </row>
    <row r="568" spans="1:11" x14ac:dyDescent="0.3">
      <c r="A568" t="s">
        <v>585</v>
      </c>
      <c r="B568" t="s">
        <v>14</v>
      </c>
      <c r="C568" t="s">
        <v>30</v>
      </c>
      <c r="D568" t="s">
        <v>24</v>
      </c>
      <c r="E568">
        <v>73.5</v>
      </c>
      <c r="F568">
        <v>71</v>
      </c>
      <c r="G568">
        <v>5218.5</v>
      </c>
      <c r="H568" t="s">
        <v>12</v>
      </c>
      <c r="I568" t="str">
        <f t="shared" si="25"/>
        <v>High Value</v>
      </c>
      <c r="J568" t="str">
        <f t="shared" si="26"/>
        <v>Low Risk</v>
      </c>
      <c r="K568" s="3" t="str">
        <f t="shared" si="24"/>
        <v>4+ Years</v>
      </c>
    </row>
    <row r="569" spans="1:11" x14ac:dyDescent="0.3">
      <c r="A569" t="s">
        <v>586</v>
      </c>
      <c r="B569" t="s">
        <v>9</v>
      </c>
      <c r="C569" t="s">
        <v>10</v>
      </c>
      <c r="D569" t="s">
        <v>11</v>
      </c>
      <c r="E569">
        <v>100.25</v>
      </c>
      <c r="F569">
        <v>35</v>
      </c>
      <c r="G569">
        <v>3508.75</v>
      </c>
      <c r="H569" t="s">
        <v>18</v>
      </c>
      <c r="I569" t="str">
        <f t="shared" si="25"/>
        <v>Medium Value</v>
      </c>
      <c r="J569" t="str">
        <f t="shared" si="26"/>
        <v>Low Risk</v>
      </c>
      <c r="K569" s="3" t="str">
        <f t="shared" si="24"/>
        <v>2-4 Years</v>
      </c>
    </row>
    <row r="570" spans="1:11" x14ac:dyDescent="0.3">
      <c r="A570" t="s">
        <v>587</v>
      </c>
      <c r="B570" t="s">
        <v>9</v>
      </c>
      <c r="C570" t="s">
        <v>15</v>
      </c>
      <c r="D570" t="s">
        <v>24</v>
      </c>
      <c r="E570">
        <v>40.4</v>
      </c>
      <c r="F570">
        <v>11</v>
      </c>
      <c r="G570">
        <v>444.4</v>
      </c>
      <c r="H570" t="s">
        <v>12</v>
      </c>
      <c r="I570" t="str">
        <f t="shared" si="25"/>
        <v>Low Value</v>
      </c>
      <c r="J570" t="str">
        <f t="shared" si="26"/>
        <v>High Risk</v>
      </c>
      <c r="K570" s="3" t="str">
        <f t="shared" si="24"/>
        <v>0-1 Year</v>
      </c>
    </row>
    <row r="571" spans="1:11" x14ac:dyDescent="0.3">
      <c r="A571" t="s">
        <v>588</v>
      </c>
      <c r="B571" t="s">
        <v>9</v>
      </c>
      <c r="C571" t="s">
        <v>30</v>
      </c>
      <c r="D571" t="s">
        <v>24</v>
      </c>
      <c r="E571">
        <v>19.25</v>
      </c>
      <c r="F571">
        <v>60</v>
      </c>
      <c r="G571">
        <v>1155</v>
      </c>
      <c r="H571" t="s">
        <v>12</v>
      </c>
      <c r="I571" t="str">
        <f t="shared" si="25"/>
        <v>Low Value</v>
      </c>
      <c r="J571" t="str">
        <f t="shared" si="26"/>
        <v>Low Risk</v>
      </c>
      <c r="K571" s="3" t="str">
        <f t="shared" si="24"/>
        <v>4+ Years</v>
      </c>
    </row>
    <row r="572" spans="1:11" x14ac:dyDescent="0.3">
      <c r="A572" t="s">
        <v>589</v>
      </c>
      <c r="B572" t="s">
        <v>14</v>
      </c>
      <c r="C572" t="s">
        <v>30</v>
      </c>
      <c r="D572" t="s">
        <v>20</v>
      </c>
      <c r="E572">
        <v>59.6</v>
      </c>
      <c r="F572">
        <v>47</v>
      </c>
      <c r="G572">
        <v>2801.2</v>
      </c>
      <c r="H572" t="s">
        <v>12</v>
      </c>
      <c r="I572" t="str">
        <f t="shared" si="25"/>
        <v>Medium Value</v>
      </c>
      <c r="J572" t="str">
        <f t="shared" si="26"/>
        <v>Low Risk</v>
      </c>
      <c r="K572" s="3" t="str">
        <f t="shared" si="24"/>
        <v>2-4 Years</v>
      </c>
    </row>
    <row r="573" spans="1:11" x14ac:dyDescent="0.3">
      <c r="A573" t="s">
        <v>590</v>
      </c>
      <c r="B573" t="s">
        <v>9</v>
      </c>
      <c r="C573" t="s">
        <v>15</v>
      </c>
      <c r="D573" t="s">
        <v>24</v>
      </c>
      <c r="E573">
        <v>64.900000000000006</v>
      </c>
      <c r="F573">
        <v>11</v>
      </c>
      <c r="G573">
        <v>713.9</v>
      </c>
      <c r="H573" t="s">
        <v>12</v>
      </c>
      <c r="I573" t="str">
        <f t="shared" si="25"/>
        <v>Low Value</v>
      </c>
      <c r="J573" t="str">
        <f t="shared" si="26"/>
        <v>High Risk</v>
      </c>
      <c r="K573" s="3" t="str">
        <f t="shared" si="24"/>
        <v>0-1 Year</v>
      </c>
    </row>
    <row r="574" spans="1:11" x14ac:dyDescent="0.3">
      <c r="A574" t="s">
        <v>591</v>
      </c>
      <c r="B574" t="s">
        <v>14</v>
      </c>
      <c r="C574" t="s">
        <v>15</v>
      </c>
      <c r="D574" t="s">
        <v>24</v>
      </c>
      <c r="E574">
        <v>100.3</v>
      </c>
      <c r="F574">
        <v>56</v>
      </c>
      <c r="G574">
        <v>5616.8</v>
      </c>
      <c r="H574" t="s">
        <v>18</v>
      </c>
      <c r="I574" t="str">
        <f t="shared" si="25"/>
        <v>High Value</v>
      </c>
      <c r="J574" t="str">
        <f t="shared" si="26"/>
        <v>Low Risk</v>
      </c>
      <c r="K574" s="3" t="str">
        <f t="shared" si="24"/>
        <v>4+ Years</v>
      </c>
    </row>
    <row r="575" spans="1:11" x14ac:dyDescent="0.3">
      <c r="A575" t="s">
        <v>592</v>
      </c>
      <c r="B575" t="s">
        <v>9</v>
      </c>
      <c r="C575" t="s">
        <v>10</v>
      </c>
      <c r="D575" t="s">
        <v>11</v>
      </c>
      <c r="E575">
        <v>110.85</v>
      </c>
      <c r="F575">
        <v>28</v>
      </c>
      <c r="G575">
        <v>3103.7999999999902</v>
      </c>
      <c r="H575" t="s">
        <v>12</v>
      </c>
      <c r="I575" t="str">
        <f t="shared" si="25"/>
        <v>Medium Value</v>
      </c>
      <c r="J575" t="str">
        <f t="shared" si="26"/>
        <v>Low Risk</v>
      </c>
      <c r="K575" s="3" t="str">
        <f t="shared" si="24"/>
        <v>2-4 Years</v>
      </c>
    </row>
    <row r="576" spans="1:11" x14ac:dyDescent="0.3">
      <c r="A576" t="s">
        <v>593</v>
      </c>
      <c r="B576" t="s">
        <v>14</v>
      </c>
      <c r="C576" t="s">
        <v>30</v>
      </c>
      <c r="D576" t="s">
        <v>16</v>
      </c>
      <c r="E576">
        <v>81.05</v>
      </c>
      <c r="F576">
        <v>61</v>
      </c>
      <c r="G576">
        <v>4944.05</v>
      </c>
      <c r="H576" t="s">
        <v>12</v>
      </c>
      <c r="I576" t="str">
        <f t="shared" si="25"/>
        <v>Medium Value</v>
      </c>
      <c r="J576" t="str">
        <f t="shared" si="26"/>
        <v>Low Risk</v>
      </c>
      <c r="K576" s="3" t="str">
        <f t="shared" si="24"/>
        <v>4+ Years</v>
      </c>
    </row>
    <row r="577" spans="1:11" x14ac:dyDescent="0.3">
      <c r="A577" t="s">
        <v>594</v>
      </c>
      <c r="B577" t="s">
        <v>14</v>
      </c>
      <c r="C577" t="s">
        <v>15</v>
      </c>
      <c r="D577" t="s">
        <v>20</v>
      </c>
      <c r="E577">
        <v>98.05</v>
      </c>
      <c r="F577">
        <v>31</v>
      </c>
      <c r="G577">
        <v>3039.5499999999902</v>
      </c>
      <c r="H577" t="s">
        <v>12</v>
      </c>
      <c r="I577" t="str">
        <f t="shared" si="25"/>
        <v>Medium Value</v>
      </c>
      <c r="J577" t="str">
        <f t="shared" si="26"/>
        <v>Low Risk</v>
      </c>
      <c r="K577" s="3" t="str">
        <f t="shared" si="24"/>
        <v>2-4 Years</v>
      </c>
    </row>
    <row r="578" spans="1:11" x14ac:dyDescent="0.3">
      <c r="A578" t="s">
        <v>595</v>
      </c>
      <c r="B578" t="s">
        <v>14</v>
      </c>
      <c r="C578" t="s">
        <v>10</v>
      </c>
      <c r="D578" t="s">
        <v>11</v>
      </c>
      <c r="E578">
        <v>70.5</v>
      </c>
      <c r="F578">
        <v>9</v>
      </c>
      <c r="G578">
        <v>634.5</v>
      </c>
      <c r="H578" t="s">
        <v>12</v>
      </c>
      <c r="I578" t="str">
        <f t="shared" si="25"/>
        <v>Low Value</v>
      </c>
      <c r="J578" t="str">
        <f t="shared" si="26"/>
        <v>High Risk</v>
      </c>
      <c r="K578" s="3" t="str">
        <f t="shared" si="24"/>
        <v>0-1 Year</v>
      </c>
    </row>
    <row r="579" spans="1:11" x14ac:dyDescent="0.3">
      <c r="A579" t="s">
        <v>596</v>
      </c>
      <c r="B579" t="s">
        <v>14</v>
      </c>
      <c r="C579" t="s">
        <v>10</v>
      </c>
      <c r="D579" t="s">
        <v>11</v>
      </c>
      <c r="E579">
        <v>94.55</v>
      </c>
      <c r="F579">
        <v>35</v>
      </c>
      <c r="G579">
        <v>3309.25</v>
      </c>
      <c r="H579" t="s">
        <v>12</v>
      </c>
      <c r="I579" t="str">
        <f t="shared" si="25"/>
        <v>Medium Value</v>
      </c>
      <c r="J579" t="str">
        <f t="shared" si="26"/>
        <v>Low Risk</v>
      </c>
      <c r="K579" s="3" t="str">
        <f t="shared" ref="K579:K642" si="27">IF(F579&lt;=12,"0-1 Year",
IF(F579&lt;=24,"1-2 Years",
IF(F579&lt;=48,"2-4 Years","4+ Years")))</f>
        <v>2-4 Years</v>
      </c>
    </row>
    <row r="580" spans="1:11" x14ac:dyDescent="0.3">
      <c r="A580" t="s">
        <v>597</v>
      </c>
      <c r="B580" t="s">
        <v>14</v>
      </c>
      <c r="C580" t="s">
        <v>10</v>
      </c>
      <c r="D580" t="s">
        <v>16</v>
      </c>
      <c r="E580">
        <v>19.649999999999999</v>
      </c>
      <c r="F580">
        <v>2</v>
      </c>
      <c r="G580">
        <v>39.299999999999997</v>
      </c>
      <c r="H580" t="s">
        <v>12</v>
      </c>
      <c r="I580" t="str">
        <f t="shared" ref="I580:I643" si="28">IF(G580&gt;5000,"High Value",
IF(G580&gt;2000,"Medium Value","Low Value"))</f>
        <v>Low Value</v>
      </c>
      <c r="J580" t="str">
        <f t="shared" ref="J580:J643" si="29">IF(F580&lt;12,"High Risk",
IF(F580&lt;24,"Medium Risk","Low Risk"))</f>
        <v>High Risk</v>
      </c>
      <c r="K580" s="3" t="str">
        <f t="shared" si="27"/>
        <v>0-1 Year</v>
      </c>
    </row>
    <row r="581" spans="1:11" x14ac:dyDescent="0.3">
      <c r="A581" t="s">
        <v>598</v>
      </c>
      <c r="B581" t="s">
        <v>9</v>
      </c>
      <c r="C581" t="s">
        <v>10</v>
      </c>
      <c r="D581" t="s">
        <v>16</v>
      </c>
      <c r="E581">
        <v>19</v>
      </c>
      <c r="F581">
        <v>12</v>
      </c>
      <c r="G581">
        <v>228</v>
      </c>
      <c r="H581" t="s">
        <v>18</v>
      </c>
      <c r="I581" t="str">
        <f t="shared" si="28"/>
        <v>Low Value</v>
      </c>
      <c r="J581" t="str">
        <f t="shared" si="29"/>
        <v>Medium Risk</v>
      </c>
      <c r="K581" s="3" t="str">
        <f t="shared" si="27"/>
        <v>0-1 Year</v>
      </c>
    </row>
    <row r="582" spans="1:11" x14ac:dyDescent="0.3">
      <c r="A582" t="s">
        <v>599</v>
      </c>
      <c r="B582" t="s">
        <v>9</v>
      </c>
      <c r="C582" t="s">
        <v>10</v>
      </c>
      <c r="D582" t="s">
        <v>16</v>
      </c>
      <c r="E582">
        <v>75.3</v>
      </c>
      <c r="F582">
        <v>1</v>
      </c>
      <c r="G582">
        <v>75.3</v>
      </c>
      <c r="H582" t="s">
        <v>18</v>
      </c>
      <c r="I582" t="str">
        <f t="shared" si="28"/>
        <v>Low Value</v>
      </c>
      <c r="J582" t="str">
        <f t="shared" si="29"/>
        <v>High Risk</v>
      </c>
      <c r="K582" s="3" t="str">
        <f t="shared" si="27"/>
        <v>0-1 Year</v>
      </c>
    </row>
    <row r="583" spans="1:11" x14ac:dyDescent="0.3">
      <c r="A583" t="s">
        <v>600</v>
      </c>
      <c r="B583" t="s">
        <v>9</v>
      </c>
      <c r="C583" t="s">
        <v>10</v>
      </c>
      <c r="D583" t="s">
        <v>11</v>
      </c>
      <c r="E583">
        <v>89.2</v>
      </c>
      <c r="F583">
        <v>4</v>
      </c>
      <c r="G583">
        <v>356.8</v>
      </c>
      <c r="H583" t="s">
        <v>18</v>
      </c>
      <c r="I583" t="str">
        <f t="shared" si="28"/>
        <v>Low Value</v>
      </c>
      <c r="J583" t="str">
        <f t="shared" si="29"/>
        <v>High Risk</v>
      </c>
      <c r="K583" s="3" t="str">
        <f t="shared" si="27"/>
        <v>0-1 Year</v>
      </c>
    </row>
    <row r="584" spans="1:11" x14ac:dyDescent="0.3">
      <c r="A584" t="s">
        <v>601</v>
      </c>
      <c r="B584" t="s">
        <v>9</v>
      </c>
      <c r="C584" t="s">
        <v>10</v>
      </c>
      <c r="D584" t="s">
        <v>16</v>
      </c>
      <c r="E584">
        <v>19</v>
      </c>
      <c r="F584">
        <v>1</v>
      </c>
      <c r="G584">
        <v>19</v>
      </c>
      <c r="H584" t="s">
        <v>12</v>
      </c>
      <c r="I584" t="str">
        <f t="shared" si="28"/>
        <v>Low Value</v>
      </c>
      <c r="J584" t="str">
        <f t="shared" si="29"/>
        <v>High Risk</v>
      </c>
      <c r="K584" s="3" t="str">
        <f t="shared" si="27"/>
        <v>0-1 Year</v>
      </c>
    </row>
    <row r="585" spans="1:11" x14ac:dyDescent="0.3">
      <c r="A585" t="s">
        <v>602</v>
      </c>
      <c r="B585" t="s">
        <v>9</v>
      </c>
      <c r="C585" t="s">
        <v>10</v>
      </c>
      <c r="D585" t="s">
        <v>16</v>
      </c>
      <c r="E585">
        <v>20</v>
      </c>
      <c r="F585">
        <v>3</v>
      </c>
      <c r="G585">
        <v>60</v>
      </c>
      <c r="H585" t="s">
        <v>12</v>
      </c>
      <c r="I585" t="str">
        <f t="shared" si="28"/>
        <v>Low Value</v>
      </c>
      <c r="J585" t="str">
        <f t="shared" si="29"/>
        <v>High Risk</v>
      </c>
      <c r="K585" s="3" t="str">
        <f t="shared" si="27"/>
        <v>0-1 Year</v>
      </c>
    </row>
    <row r="586" spans="1:11" x14ac:dyDescent="0.3">
      <c r="A586" t="s">
        <v>603</v>
      </c>
      <c r="B586" t="s">
        <v>9</v>
      </c>
      <c r="C586" t="s">
        <v>10</v>
      </c>
      <c r="D586" t="s">
        <v>11</v>
      </c>
      <c r="E586">
        <v>85.7</v>
      </c>
      <c r="F586">
        <v>1</v>
      </c>
      <c r="G586">
        <v>85.7</v>
      </c>
      <c r="H586" t="s">
        <v>18</v>
      </c>
      <c r="I586" t="str">
        <f t="shared" si="28"/>
        <v>Low Value</v>
      </c>
      <c r="J586" t="str">
        <f t="shared" si="29"/>
        <v>High Risk</v>
      </c>
      <c r="K586" s="3" t="str">
        <f t="shared" si="27"/>
        <v>0-1 Year</v>
      </c>
    </row>
    <row r="587" spans="1:11" x14ac:dyDescent="0.3">
      <c r="A587" t="s">
        <v>604</v>
      </c>
      <c r="B587" t="s">
        <v>14</v>
      </c>
      <c r="C587" t="s">
        <v>30</v>
      </c>
      <c r="D587" t="s">
        <v>24</v>
      </c>
      <c r="E587">
        <v>63.25</v>
      </c>
      <c r="F587">
        <v>52</v>
      </c>
      <c r="G587">
        <v>3289</v>
      </c>
      <c r="H587" t="s">
        <v>12</v>
      </c>
      <c r="I587" t="str">
        <f t="shared" si="28"/>
        <v>Medium Value</v>
      </c>
      <c r="J587" t="str">
        <f t="shared" si="29"/>
        <v>Low Risk</v>
      </c>
      <c r="K587" s="3" t="str">
        <f t="shared" si="27"/>
        <v>4+ Years</v>
      </c>
    </row>
    <row r="588" spans="1:11" x14ac:dyDescent="0.3">
      <c r="A588" t="s">
        <v>605</v>
      </c>
      <c r="B588" t="s">
        <v>14</v>
      </c>
      <c r="C588" t="s">
        <v>15</v>
      </c>
      <c r="D588" t="s">
        <v>16</v>
      </c>
      <c r="E588">
        <v>20.100000000000001</v>
      </c>
      <c r="F588">
        <v>5</v>
      </c>
      <c r="G588">
        <v>100.5</v>
      </c>
      <c r="H588" t="s">
        <v>12</v>
      </c>
      <c r="I588" t="str">
        <f t="shared" si="28"/>
        <v>Low Value</v>
      </c>
      <c r="J588" t="str">
        <f t="shared" si="29"/>
        <v>High Risk</v>
      </c>
      <c r="K588" s="3" t="str">
        <f t="shared" si="27"/>
        <v>0-1 Year</v>
      </c>
    </row>
    <row r="589" spans="1:11" x14ac:dyDescent="0.3">
      <c r="A589" t="s">
        <v>606</v>
      </c>
      <c r="B589" t="s">
        <v>14</v>
      </c>
      <c r="C589" t="s">
        <v>30</v>
      </c>
      <c r="D589" t="s">
        <v>11</v>
      </c>
      <c r="E589">
        <v>99.15</v>
      </c>
      <c r="F589">
        <v>72</v>
      </c>
      <c r="G589">
        <v>7138.8</v>
      </c>
      <c r="H589" t="s">
        <v>12</v>
      </c>
      <c r="I589" t="str">
        <f t="shared" si="28"/>
        <v>High Value</v>
      </c>
      <c r="J589" t="str">
        <f t="shared" si="29"/>
        <v>Low Risk</v>
      </c>
      <c r="K589" s="3" t="str">
        <f t="shared" si="27"/>
        <v>4+ Years</v>
      </c>
    </row>
    <row r="590" spans="1:11" x14ac:dyDescent="0.3">
      <c r="A590" t="s">
        <v>607</v>
      </c>
      <c r="B590" t="s">
        <v>14</v>
      </c>
      <c r="C590" t="s">
        <v>30</v>
      </c>
      <c r="D590" t="s">
        <v>11</v>
      </c>
      <c r="E590">
        <v>90.4</v>
      </c>
      <c r="F590">
        <v>71</v>
      </c>
      <c r="G590">
        <v>6418.4</v>
      </c>
      <c r="H590" t="s">
        <v>12</v>
      </c>
      <c r="I590" t="str">
        <f t="shared" si="28"/>
        <v>High Value</v>
      </c>
      <c r="J590" t="str">
        <f t="shared" si="29"/>
        <v>Low Risk</v>
      </c>
      <c r="K590" s="3" t="str">
        <f t="shared" si="27"/>
        <v>4+ Years</v>
      </c>
    </row>
    <row r="591" spans="1:11" x14ac:dyDescent="0.3">
      <c r="A591" t="s">
        <v>608</v>
      </c>
      <c r="B591" t="s">
        <v>14</v>
      </c>
      <c r="C591" t="s">
        <v>30</v>
      </c>
      <c r="D591" t="s">
        <v>24</v>
      </c>
      <c r="E591">
        <v>111.9</v>
      </c>
      <c r="F591">
        <v>72</v>
      </c>
      <c r="G591">
        <v>8056.8</v>
      </c>
      <c r="H591" t="s">
        <v>12</v>
      </c>
      <c r="I591" t="str">
        <f t="shared" si="28"/>
        <v>High Value</v>
      </c>
      <c r="J591" t="str">
        <f t="shared" si="29"/>
        <v>Low Risk</v>
      </c>
      <c r="K591" s="3" t="str">
        <f t="shared" si="27"/>
        <v>4+ Years</v>
      </c>
    </row>
    <row r="592" spans="1:11" x14ac:dyDescent="0.3">
      <c r="A592" t="s">
        <v>609</v>
      </c>
      <c r="B592" t="s">
        <v>14</v>
      </c>
      <c r="C592" t="s">
        <v>15</v>
      </c>
      <c r="D592" t="s">
        <v>11</v>
      </c>
      <c r="E592">
        <v>24.9</v>
      </c>
      <c r="F592">
        <v>46</v>
      </c>
      <c r="G592">
        <v>1145.3999999999901</v>
      </c>
      <c r="H592" t="s">
        <v>12</v>
      </c>
      <c r="I592" t="str">
        <f t="shared" si="28"/>
        <v>Low Value</v>
      </c>
      <c r="J592" t="str">
        <f t="shared" si="29"/>
        <v>Low Risk</v>
      </c>
      <c r="K592" s="3" t="str">
        <f t="shared" si="27"/>
        <v>2-4 Years</v>
      </c>
    </row>
    <row r="593" spans="1:11" x14ac:dyDescent="0.3">
      <c r="A593" t="s">
        <v>610</v>
      </c>
      <c r="B593" t="s">
        <v>14</v>
      </c>
      <c r="C593" t="s">
        <v>30</v>
      </c>
      <c r="D593" t="s">
        <v>24</v>
      </c>
      <c r="E593">
        <v>83.5</v>
      </c>
      <c r="F593">
        <v>63</v>
      </c>
      <c r="G593">
        <v>5260.5</v>
      </c>
      <c r="H593" t="s">
        <v>12</v>
      </c>
      <c r="I593" t="str">
        <f t="shared" si="28"/>
        <v>High Value</v>
      </c>
      <c r="J593" t="str">
        <f t="shared" si="29"/>
        <v>Low Risk</v>
      </c>
      <c r="K593" s="3" t="str">
        <f t="shared" si="27"/>
        <v>4+ Years</v>
      </c>
    </row>
    <row r="594" spans="1:11" x14ac:dyDescent="0.3">
      <c r="A594" t="s">
        <v>611</v>
      </c>
      <c r="B594" t="s">
        <v>14</v>
      </c>
      <c r="C594" t="s">
        <v>10</v>
      </c>
      <c r="D594" t="s">
        <v>24</v>
      </c>
      <c r="E594">
        <v>84.3</v>
      </c>
      <c r="F594">
        <v>30</v>
      </c>
      <c r="G594">
        <v>2529</v>
      </c>
      <c r="H594" t="s">
        <v>12</v>
      </c>
      <c r="I594" t="str">
        <f t="shared" si="28"/>
        <v>Medium Value</v>
      </c>
      <c r="J594" t="str">
        <f t="shared" si="29"/>
        <v>Low Risk</v>
      </c>
      <c r="K594" s="3" t="str">
        <f t="shared" si="27"/>
        <v>2-4 Years</v>
      </c>
    </row>
    <row r="595" spans="1:11" x14ac:dyDescent="0.3">
      <c r="A595" t="s">
        <v>612</v>
      </c>
      <c r="B595" t="s">
        <v>14</v>
      </c>
      <c r="C595" t="s">
        <v>10</v>
      </c>
      <c r="D595" t="s">
        <v>16</v>
      </c>
      <c r="E595">
        <v>45.6</v>
      </c>
      <c r="F595">
        <v>1</v>
      </c>
      <c r="G595">
        <v>45.6</v>
      </c>
      <c r="H595" t="s">
        <v>12</v>
      </c>
      <c r="I595" t="str">
        <f t="shared" si="28"/>
        <v>Low Value</v>
      </c>
      <c r="J595" t="str">
        <f t="shared" si="29"/>
        <v>High Risk</v>
      </c>
      <c r="K595" s="3" t="str">
        <f t="shared" si="27"/>
        <v>0-1 Year</v>
      </c>
    </row>
    <row r="596" spans="1:11" x14ac:dyDescent="0.3">
      <c r="A596" t="s">
        <v>613</v>
      </c>
      <c r="B596" t="s">
        <v>9</v>
      </c>
      <c r="C596" t="s">
        <v>10</v>
      </c>
      <c r="D596" t="s">
        <v>16</v>
      </c>
      <c r="E596">
        <v>61.65</v>
      </c>
      <c r="F596">
        <v>12</v>
      </c>
      <c r="G596">
        <v>739.8</v>
      </c>
      <c r="H596" t="s">
        <v>18</v>
      </c>
      <c r="I596" t="str">
        <f t="shared" si="28"/>
        <v>Low Value</v>
      </c>
      <c r="J596" t="str">
        <f t="shared" si="29"/>
        <v>Medium Risk</v>
      </c>
      <c r="K596" s="3" t="str">
        <f t="shared" si="27"/>
        <v>0-1 Year</v>
      </c>
    </row>
    <row r="597" spans="1:11" x14ac:dyDescent="0.3">
      <c r="A597" t="s">
        <v>614</v>
      </c>
      <c r="B597" t="s">
        <v>14</v>
      </c>
      <c r="C597" t="s">
        <v>30</v>
      </c>
      <c r="D597" t="s">
        <v>16</v>
      </c>
      <c r="E597">
        <v>54.85</v>
      </c>
      <c r="F597">
        <v>16</v>
      </c>
      <c r="G597">
        <v>877.6</v>
      </c>
      <c r="H597" t="s">
        <v>12</v>
      </c>
      <c r="I597" t="str">
        <f t="shared" si="28"/>
        <v>Low Value</v>
      </c>
      <c r="J597" t="str">
        <f t="shared" si="29"/>
        <v>Medium Risk</v>
      </c>
      <c r="K597" s="3" t="str">
        <f t="shared" si="27"/>
        <v>1-2 Years</v>
      </c>
    </row>
    <row r="598" spans="1:11" x14ac:dyDescent="0.3">
      <c r="A598" t="s">
        <v>615</v>
      </c>
      <c r="B598" t="s">
        <v>14</v>
      </c>
      <c r="C598" t="s">
        <v>10</v>
      </c>
      <c r="D598" t="s">
        <v>16</v>
      </c>
      <c r="E598">
        <v>65.55</v>
      </c>
      <c r="F598">
        <v>4</v>
      </c>
      <c r="G598">
        <v>262.2</v>
      </c>
      <c r="H598" t="s">
        <v>12</v>
      </c>
      <c r="I598" t="str">
        <f t="shared" si="28"/>
        <v>Low Value</v>
      </c>
      <c r="J598" t="str">
        <f t="shared" si="29"/>
        <v>High Risk</v>
      </c>
      <c r="K598" s="3" t="str">
        <f t="shared" si="27"/>
        <v>0-1 Year</v>
      </c>
    </row>
    <row r="599" spans="1:11" x14ac:dyDescent="0.3">
      <c r="A599" t="s">
        <v>616</v>
      </c>
      <c r="B599" t="s">
        <v>14</v>
      </c>
      <c r="C599" t="s">
        <v>15</v>
      </c>
      <c r="D599" t="s">
        <v>24</v>
      </c>
      <c r="E599">
        <v>90.35</v>
      </c>
      <c r="F599">
        <v>51</v>
      </c>
      <c r="G599">
        <v>4607.8499999999904</v>
      </c>
      <c r="H599" t="s">
        <v>12</v>
      </c>
      <c r="I599" t="str">
        <f t="shared" si="28"/>
        <v>Medium Value</v>
      </c>
      <c r="J599" t="str">
        <f t="shared" si="29"/>
        <v>Low Risk</v>
      </c>
      <c r="K599" s="3" t="str">
        <f t="shared" si="27"/>
        <v>4+ Years</v>
      </c>
    </row>
    <row r="600" spans="1:11" x14ac:dyDescent="0.3">
      <c r="A600" t="s">
        <v>617</v>
      </c>
      <c r="B600" t="s">
        <v>14</v>
      </c>
      <c r="C600" t="s">
        <v>30</v>
      </c>
      <c r="D600" t="s">
        <v>24</v>
      </c>
      <c r="E600">
        <v>20.399999999999999</v>
      </c>
      <c r="F600">
        <v>65</v>
      </c>
      <c r="G600">
        <v>1326</v>
      </c>
      <c r="H600" t="s">
        <v>12</v>
      </c>
      <c r="I600" t="str">
        <f t="shared" si="28"/>
        <v>Low Value</v>
      </c>
      <c r="J600" t="str">
        <f t="shared" si="29"/>
        <v>Low Risk</v>
      </c>
      <c r="K600" s="3" t="str">
        <f t="shared" si="27"/>
        <v>4+ Years</v>
      </c>
    </row>
    <row r="601" spans="1:11" x14ac:dyDescent="0.3">
      <c r="A601" t="s">
        <v>618</v>
      </c>
      <c r="B601" t="s">
        <v>14</v>
      </c>
      <c r="C601" t="s">
        <v>10</v>
      </c>
      <c r="D601" t="s">
        <v>24</v>
      </c>
      <c r="E601">
        <v>74.55</v>
      </c>
      <c r="F601">
        <v>16</v>
      </c>
      <c r="G601">
        <v>1192.8</v>
      </c>
      <c r="H601" t="s">
        <v>12</v>
      </c>
      <c r="I601" t="str">
        <f t="shared" si="28"/>
        <v>Low Value</v>
      </c>
      <c r="J601" t="str">
        <f t="shared" si="29"/>
        <v>Medium Risk</v>
      </c>
      <c r="K601" s="3" t="str">
        <f t="shared" si="27"/>
        <v>1-2 Years</v>
      </c>
    </row>
    <row r="602" spans="1:11" x14ac:dyDescent="0.3">
      <c r="A602" t="s">
        <v>619</v>
      </c>
      <c r="B602" t="s">
        <v>14</v>
      </c>
      <c r="C602" t="s">
        <v>15</v>
      </c>
      <c r="D602" t="s">
        <v>16</v>
      </c>
      <c r="E602">
        <v>19.95</v>
      </c>
      <c r="F602">
        <v>2</v>
      </c>
      <c r="G602">
        <v>39.9</v>
      </c>
      <c r="H602" t="s">
        <v>12</v>
      </c>
      <c r="I602" t="str">
        <f t="shared" si="28"/>
        <v>Low Value</v>
      </c>
      <c r="J602" t="str">
        <f t="shared" si="29"/>
        <v>High Risk</v>
      </c>
      <c r="K602" s="3" t="str">
        <f t="shared" si="27"/>
        <v>0-1 Year</v>
      </c>
    </row>
    <row r="603" spans="1:11" x14ac:dyDescent="0.3">
      <c r="A603" t="s">
        <v>620</v>
      </c>
      <c r="B603" t="s">
        <v>9</v>
      </c>
      <c r="C603" t="s">
        <v>15</v>
      </c>
      <c r="D603" t="s">
        <v>20</v>
      </c>
      <c r="E603">
        <v>74.25</v>
      </c>
      <c r="F603">
        <v>66</v>
      </c>
      <c r="G603">
        <v>4900.5</v>
      </c>
      <c r="H603" t="s">
        <v>12</v>
      </c>
      <c r="I603" t="str">
        <f t="shared" si="28"/>
        <v>Medium Value</v>
      </c>
      <c r="J603" t="str">
        <f t="shared" si="29"/>
        <v>Low Risk</v>
      </c>
      <c r="K603" s="3" t="str">
        <f t="shared" si="27"/>
        <v>4+ Years</v>
      </c>
    </row>
    <row r="604" spans="1:11" x14ac:dyDescent="0.3">
      <c r="A604" t="s">
        <v>621</v>
      </c>
      <c r="B604" t="s">
        <v>14</v>
      </c>
      <c r="C604" t="s">
        <v>30</v>
      </c>
      <c r="D604" t="s">
        <v>11</v>
      </c>
      <c r="E604">
        <v>108.65</v>
      </c>
      <c r="F604">
        <v>46</v>
      </c>
      <c r="G604">
        <v>4997.8999999999996</v>
      </c>
      <c r="H604" t="s">
        <v>12</v>
      </c>
      <c r="I604" t="str">
        <f t="shared" si="28"/>
        <v>Medium Value</v>
      </c>
      <c r="J604" t="str">
        <f t="shared" si="29"/>
        <v>Low Risk</v>
      </c>
      <c r="K604" s="3" t="str">
        <f t="shared" si="27"/>
        <v>2-4 Years</v>
      </c>
    </row>
    <row r="605" spans="1:11" x14ac:dyDescent="0.3">
      <c r="A605" t="s">
        <v>622</v>
      </c>
      <c r="B605" t="s">
        <v>9</v>
      </c>
      <c r="C605" t="s">
        <v>15</v>
      </c>
      <c r="D605" t="s">
        <v>20</v>
      </c>
      <c r="E605">
        <v>109.55</v>
      </c>
      <c r="F605">
        <v>32</v>
      </c>
      <c r="G605">
        <v>3505.6</v>
      </c>
      <c r="H605" t="s">
        <v>12</v>
      </c>
      <c r="I605" t="str">
        <f t="shared" si="28"/>
        <v>Medium Value</v>
      </c>
      <c r="J605" t="str">
        <f t="shared" si="29"/>
        <v>Low Risk</v>
      </c>
      <c r="K605" s="3" t="str">
        <f t="shared" si="27"/>
        <v>2-4 Years</v>
      </c>
    </row>
    <row r="606" spans="1:11" x14ac:dyDescent="0.3">
      <c r="A606" t="s">
        <v>623</v>
      </c>
      <c r="B606" t="s">
        <v>14</v>
      </c>
      <c r="C606" t="s">
        <v>30</v>
      </c>
      <c r="D606" t="s">
        <v>24</v>
      </c>
      <c r="E606">
        <v>86.65</v>
      </c>
      <c r="F606">
        <v>72</v>
      </c>
      <c r="G606">
        <v>6238.8</v>
      </c>
      <c r="H606" t="s">
        <v>12</v>
      </c>
      <c r="I606" t="str">
        <f t="shared" si="28"/>
        <v>High Value</v>
      </c>
      <c r="J606" t="str">
        <f t="shared" si="29"/>
        <v>Low Risk</v>
      </c>
      <c r="K606" s="3" t="str">
        <f t="shared" si="27"/>
        <v>4+ Years</v>
      </c>
    </row>
    <row r="607" spans="1:11" x14ac:dyDescent="0.3">
      <c r="A607" t="s">
        <v>624</v>
      </c>
      <c r="B607" t="s">
        <v>14</v>
      </c>
      <c r="C607" t="s">
        <v>30</v>
      </c>
      <c r="D607" t="s">
        <v>24</v>
      </c>
      <c r="E607">
        <v>81</v>
      </c>
      <c r="F607">
        <v>38</v>
      </c>
      <c r="G607">
        <v>3078</v>
      </c>
      <c r="H607" t="s">
        <v>12</v>
      </c>
      <c r="I607" t="str">
        <f t="shared" si="28"/>
        <v>Medium Value</v>
      </c>
      <c r="J607" t="str">
        <f t="shared" si="29"/>
        <v>Low Risk</v>
      </c>
      <c r="K607" s="3" t="str">
        <f t="shared" si="27"/>
        <v>2-4 Years</v>
      </c>
    </row>
    <row r="608" spans="1:11" x14ac:dyDescent="0.3">
      <c r="A608" t="s">
        <v>625</v>
      </c>
      <c r="B608" t="s">
        <v>14</v>
      </c>
      <c r="C608" t="s">
        <v>15</v>
      </c>
      <c r="D608" t="s">
        <v>24</v>
      </c>
      <c r="E608">
        <v>47.85</v>
      </c>
      <c r="F608">
        <v>51</v>
      </c>
      <c r="G608">
        <v>2440.35</v>
      </c>
      <c r="H608" t="s">
        <v>12</v>
      </c>
      <c r="I608" t="str">
        <f t="shared" si="28"/>
        <v>Medium Value</v>
      </c>
      <c r="J608" t="str">
        <f t="shared" si="29"/>
        <v>Low Risk</v>
      </c>
      <c r="K608" s="3" t="str">
        <f t="shared" si="27"/>
        <v>4+ Years</v>
      </c>
    </row>
    <row r="609" spans="1:11" x14ac:dyDescent="0.3">
      <c r="A609" t="s">
        <v>626</v>
      </c>
      <c r="B609" t="s">
        <v>14</v>
      </c>
      <c r="C609" t="s">
        <v>30</v>
      </c>
      <c r="D609" t="s">
        <v>20</v>
      </c>
      <c r="E609">
        <v>114.55</v>
      </c>
      <c r="F609">
        <v>72</v>
      </c>
      <c r="G609">
        <v>8247.6</v>
      </c>
      <c r="H609" t="s">
        <v>12</v>
      </c>
      <c r="I609" t="str">
        <f t="shared" si="28"/>
        <v>High Value</v>
      </c>
      <c r="J609" t="str">
        <f t="shared" si="29"/>
        <v>Low Risk</v>
      </c>
      <c r="K609" s="3" t="str">
        <f t="shared" si="27"/>
        <v>4+ Years</v>
      </c>
    </row>
    <row r="610" spans="1:11" x14ac:dyDescent="0.3">
      <c r="A610" t="s">
        <v>627</v>
      </c>
      <c r="B610" t="s">
        <v>9</v>
      </c>
      <c r="C610" t="s">
        <v>10</v>
      </c>
      <c r="D610" t="s">
        <v>20</v>
      </c>
      <c r="E610">
        <v>105.25</v>
      </c>
      <c r="F610">
        <v>65</v>
      </c>
      <c r="G610">
        <v>6841.25</v>
      </c>
      <c r="H610" t="s">
        <v>18</v>
      </c>
      <c r="I610" t="str">
        <f t="shared" si="28"/>
        <v>High Value</v>
      </c>
      <c r="J610" t="str">
        <f t="shared" si="29"/>
        <v>Low Risk</v>
      </c>
      <c r="K610" s="3" t="str">
        <f t="shared" si="27"/>
        <v>4+ Years</v>
      </c>
    </row>
    <row r="611" spans="1:11" x14ac:dyDescent="0.3">
      <c r="A611" t="s">
        <v>628</v>
      </c>
      <c r="B611" t="s">
        <v>14</v>
      </c>
      <c r="C611" t="s">
        <v>10</v>
      </c>
      <c r="D611" t="s">
        <v>11</v>
      </c>
      <c r="E611">
        <v>29.95</v>
      </c>
      <c r="F611">
        <v>9</v>
      </c>
      <c r="G611">
        <v>269.55</v>
      </c>
      <c r="H611" t="s">
        <v>18</v>
      </c>
      <c r="I611" t="str">
        <f t="shared" si="28"/>
        <v>Low Value</v>
      </c>
      <c r="J611" t="str">
        <f t="shared" si="29"/>
        <v>High Risk</v>
      </c>
      <c r="K611" s="3" t="str">
        <f t="shared" si="27"/>
        <v>0-1 Year</v>
      </c>
    </row>
    <row r="612" spans="1:11" x14ac:dyDescent="0.3">
      <c r="A612" t="s">
        <v>629</v>
      </c>
      <c r="B612" t="s">
        <v>9</v>
      </c>
      <c r="C612" t="s">
        <v>10</v>
      </c>
      <c r="D612" t="s">
        <v>16</v>
      </c>
      <c r="E612">
        <v>65</v>
      </c>
      <c r="F612">
        <v>9</v>
      </c>
      <c r="G612">
        <v>585</v>
      </c>
      <c r="H612" t="s">
        <v>18</v>
      </c>
      <c r="I612" t="str">
        <f t="shared" si="28"/>
        <v>Low Value</v>
      </c>
      <c r="J612" t="str">
        <f t="shared" si="29"/>
        <v>High Risk</v>
      </c>
      <c r="K612" s="3" t="str">
        <f t="shared" si="27"/>
        <v>0-1 Year</v>
      </c>
    </row>
    <row r="613" spans="1:11" x14ac:dyDescent="0.3">
      <c r="A613" t="s">
        <v>630</v>
      </c>
      <c r="B613" t="s">
        <v>14</v>
      </c>
      <c r="C613" t="s">
        <v>30</v>
      </c>
      <c r="D613" t="s">
        <v>16</v>
      </c>
      <c r="E613">
        <v>20.55</v>
      </c>
      <c r="F613">
        <v>66</v>
      </c>
      <c r="G613">
        <v>1356.3</v>
      </c>
      <c r="H613" t="s">
        <v>12</v>
      </c>
      <c r="I613" t="str">
        <f t="shared" si="28"/>
        <v>Low Value</v>
      </c>
      <c r="J613" t="str">
        <f t="shared" si="29"/>
        <v>Low Risk</v>
      </c>
      <c r="K613" s="3" t="str">
        <f t="shared" si="27"/>
        <v>4+ Years</v>
      </c>
    </row>
    <row r="614" spans="1:11" x14ac:dyDescent="0.3">
      <c r="A614" t="s">
        <v>631</v>
      </c>
      <c r="B614" t="s">
        <v>9</v>
      </c>
      <c r="C614" t="s">
        <v>15</v>
      </c>
      <c r="D614" t="s">
        <v>24</v>
      </c>
      <c r="E614">
        <v>109.8</v>
      </c>
      <c r="F614">
        <v>44</v>
      </c>
      <c r="G614">
        <v>4831.2</v>
      </c>
      <c r="H614" t="s">
        <v>12</v>
      </c>
      <c r="I614" t="str">
        <f t="shared" si="28"/>
        <v>Medium Value</v>
      </c>
      <c r="J614" t="str">
        <f t="shared" si="29"/>
        <v>Low Risk</v>
      </c>
      <c r="K614" s="3" t="str">
        <f t="shared" si="27"/>
        <v>2-4 Years</v>
      </c>
    </row>
    <row r="615" spans="1:11" x14ac:dyDescent="0.3">
      <c r="A615" t="s">
        <v>632</v>
      </c>
      <c r="B615" t="s">
        <v>14</v>
      </c>
      <c r="C615" t="s">
        <v>30</v>
      </c>
      <c r="D615" t="s">
        <v>20</v>
      </c>
      <c r="E615">
        <v>69.5</v>
      </c>
      <c r="F615">
        <v>50</v>
      </c>
      <c r="G615">
        <v>3475</v>
      </c>
      <c r="H615" t="s">
        <v>12</v>
      </c>
      <c r="I615" t="str">
        <f t="shared" si="28"/>
        <v>Medium Value</v>
      </c>
      <c r="J615" t="str">
        <f t="shared" si="29"/>
        <v>Low Risk</v>
      </c>
      <c r="K615" s="3" t="str">
        <f t="shared" si="27"/>
        <v>4+ Years</v>
      </c>
    </row>
    <row r="616" spans="1:11" x14ac:dyDescent="0.3">
      <c r="A616" t="s">
        <v>633</v>
      </c>
      <c r="B616" t="s">
        <v>9</v>
      </c>
      <c r="C616" t="s">
        <v>10</v>
      </c>
      <c r="D616" t="s">
        <v>16</v>
      </c>
      <c r="E616">
        <v>48.85</v>
      </c>
      <c r="F616">
        <v>15</v>
      </c>
      <c r="G616">
        <v>732.75</v>
      </c>
      <c r="H616" t="s">
        <v>12</v>
      </c>
      <c r="I616" t="str">
        <f t="shared" si="28"/>
        <v>Low Value</v>
      </c>
      <c r="J616" t="str">
        <f t="shared" si="29"/>
        <v>Medium Risk</v>
      </c>
      <c r="K616" s="3" t="str">
        <f t="shared" si="27"/>
        <v>1-2 Years</v>
      </c>
    </row>
    <row r="617" spans="1:11" x14ac:dyDescent="0.3">
      <c r="A617" t="s">
        <v>634</v>
      </c>
      <c r="B617" t="s">
        <v>14</v>
      </c>
      <c r="C617" t="s">
        <v>10</v>
      </c>
      <c r="D617" t="s">
        <v>24</v>
      </c>
      <c r="E617">
        <v>25.25</v>
      </c>
      <c r="F617">
        <v>8</v>
      </c>
      <c r="G617">
        <v>202</v>
      </c>
      <c r="H617" t="s">
        <v>12</v>
      </c>
      <c r="I617" t="str">
        <f t="shared" si="28"/>
        <v>Low Value</v>
      </c>
      <c r="J617" t="str">
        <f t="shared" si="29"/>
        <v>High Risk</v>
      </c>
      <c r="K617" s="3" t="str">
        <f t="shared" si="27"/>
        <v>0-1 Year</v>
      </c>
    </row>
    <row r="618" spans="1:11" x14ac:dyDescent="0.3">
      <c r="A618" t="s">
        <v>635</v>
      </c>
      <c r="B618" t="s">
        <v>9</v>
      </c>
      <c r="C618" t="s">
        <v>15</v>
      </c>
      <c r="D618" t="s">
        <v>24</v>
      </c>
      <c r="E618">
        <v>102.85</v>
      </c>
      <c r="F618">
        <v>66</v>
      </c>
      <c r="G618">
        <v>6788.0999999999904</v>
      </c>
      <c r="H618" t="s">
        <v>12</v>
      </c>
      <c r="I618" t="str">
        <f t="shared" si="28"/>
        <v>High Value</v>
      </c>
      <c r="J618" t="str">
        <f t="shared" si="29"/>
        <v>Low Risk</v>
      </c>
      <c r="K618" s="3" t="str">
        <f t="shared" si="27"/>
        <v>4+ Years</v>
      </c>
    </row>
    <row r="619" spans="1:11" x14ac:dyDescent="0.3">
      <c r="A619" t="s">
        <v>636</v>
      </c>
      <c r="B619" t="s">
        <v>9</v>
      </c>
      <c r="C619" t="s">
        <v>10</v>
      </c>
      <c r="D619" t="s">
        <v>20</v>
      </c>
      <c r="E619">
        <v>87.55</v>
      </c>
      <c r="F619">
        <v>57</v>
      </c>
      <c r="G619">
        <v>4990.3499999999904</v>
      </c>
      <c r="H619" t="s">
        <v>12</v>
      </c>
      <c r="I619" t="str">
        <f t="shared" si="28"/>
        <v>Medium Value</v>
      </c>
      <c r="J619" t="str">
        <f t="shared" si="29"/>
        <v>Low Risk</v>
      </c>
      <c r="K619" s="3" t="str">
        <f t="shared" si="27"/>
        <v>4+ Years</v>
      </c>
    </row>
    <row r="620" spans="1:11" x14ac:dyDescent="0.3">
      <c r="A620" t="s">
        <v>637</v>
      </c>
      <c r="B620" t="s">
        <v>9</v>
      </c>
      <c r="C620" t="s">
        <v>10</v>
      </c>
      <c r="D620" t="s">
        <v>20</v>
      </c>
      <c r="E620">
        <v>78.55</v>
      </c>
      <c r="F620">
        <v>7</v>
      </c>
      <c r="G620">
        <v>549.85</v>
      </c>
      <c r="H620" t="s">
        <v>12</v>
      </c>
      <c r="I620" t="str">
        <f t="shared" si="28"/>
        <v>Low Value</v>
      </c>
      <c r="J620" t="str">
        <f t="shared" si="29"/>
        <v>High Risk</v>
      </c>
      <c r="K620" s="3" t="str">
        <f t="shared" si="27"/>
        <v>0-1 Year</v>
      </c>
    </row>
    <row r="621" spans="1:11" x14ac:dyDescent="0.3">
      <c r="A621" t="s">
        <v>638</v>
      </c>
      <c r="B621" t="s">
        <v>14</v>
      </c>
      <c r="C621" t="s">
        <v>10</v>
      </c>
      <c r="D621" t="s">
        <v>20</v>
      </c>
      <c r="E621">
        <v>34.549999999999997</v>
      </c>
      <c r="F621">
        <v>10</v>
      </c>
      <c r="G621">
        <v>345.5</v>
      </c>
      <c r="H621" t="s">
        <v>12</v>
      </c>
      <c r="I621" t="str">
        <f t="shared" si="28"/>
        <v>Low Value</v>
      </c>
      <c r="J621" t="str">
        <f t="shared" si="29"/>
        <v>High Risk</v>
      </c>
      <c r="K621" s="3" t="str">
        <f t="shared" si="27"/>
        <v>0-1 Year</v>
      </c>
    </row>
    <row r="622" spans="1:11" x14ac:dyDescent="0.3">
      <c r="A622" t="s">
        <v>639</v>
      </c>
      <c r="B622" t="s">
        <v>9</v>
      </c>
      <c r="C622" t="s">
        <v>15</v>
      </c>
      <c r="D622" t="s">
        <v>11</v>
      </c>
      <c r="E622">
        <v>92.05</v>
      </c>
      <c r="F622">
        <v>62</v>
      </c>
      <c r="G622">
        <v>5707.0999999999904</v>
      </c>
      <c r="H622" t="s">
        <v>12</v>
      </c>
      <c r="I622" t="str">
        <f t="shared" si="28"/>
        <v>High Value</v>
      </c>
      <c r="J622" t="str">
        <f t="shared" si="29"/>
        <v>Low Risk</v>
      </c>
      <c r="K622" s="3" t="str">
        <f t="shared" si="27"/>
        <v>4+ Years</v>
      </c>
    </row>
    <row r="623" spans="1:11" x14ac:dyDescent="0.3">
      <c r="A623" t="s">
        <v>640</v>
      </c>
      <c r="B623" t="s">
        <v>14</v>
      </c>
      <c r="C623" t="s">
        <v>15</v>
      </c>
      <c r="D623" t="s">
        <v>11</v>
      </c>
      <c r="E623">
        <v>85.05</v>
      </c>
      <c r="F623">
        <v>40</v>
      </c>
      <c r="G623">
        <v>3402</v>
      </c>
      <c r="H623" t="s">
        <v>12</v>
      </c>
      <c r="I623" t="str">
        <f t="shared" si="28"/>
        <v>Medium Value</v>
      </c>
      <c r="J623" t="str">
        <f t="shared" si="29"/>
        <v>Low Risk</v>
      </c>
      <c r="K623" s="3" t="str">
        <f t="shared" si="27"/>
        <v>2-4 Years</v>
      </c>
    </row>
    <row r="624" spans="1:11" x14ac:dyDescent="0.3">
      <c r="A624" t="s">
        <v>641</v>
      </c>
      <c r="B624" t="s">
        <v>9</v>
      </c>
      <c r="C624" t="s">
        <v>30</v>
      </c>
      <c r="D624" t="s">
        <v>16</v>
      </c>
      <c r="E624">
        <v>19.7</v>
      </c>
      <c r="F624">
        <v>20</v>
      </c>
      <c r="G624">
        <v>394</v>
      </c>
      <c r="H624" t="s">
        <v>12</v>
      </c>
      <c r="I624" t="str">
        <f t="shared" si="28"/>
        <v>Low Value</v>
      </c>
      <c r="J624" t="str">
        <f t="shared" si="29"/>
        <v>Medium Risk</v>
      </c>
      <c r="K624" s="3" t="str">
        <f t="shared" si="27"/>
        <v>1-2 Years</v>
      </c>
    </row>
    <row r="625" spans="1:11" x14ac:dyDescent="0.3">
      <c r="A625" t="s">
        <v>642</v>
      </c>
      <c r="B625" t="s">
        <v>9</v>
      </c>
      <c r="C625" t="s">
        <v>10</v>
      </c>
      <c r="D625" t="s">
        <v>20</v>
      </c>
      <c r="E625">
        <v>20</v>
      </c>
      <c r="F625">
        <v>7</v>
      </c>
      <c r="G625">
        <v>140</v>
      </c>
      <c r="H625" t="s">
        <v>18</v>
      </c>
      <c r="I625" t="str">
        <f t="shared" si="28"/>
        <v>Low Value</v>
      </c>
      <c r="J625" t="str">
        <f t="shared" si="29"/>
        <v>High Risk</v>
      </c>
      <c r="K625" s="3" t="str">
        <f t="shared" si="27"/>
        <v>0-1 Year</v>
      </c>
    </row>
    <row r="626" spans="1:11" x14ac:dyDescent="0.3">
      <c r="A626" t="s">
        <v>643</v>
      </c>
      <c r="B626" t="s">
        <v>9</v>
      </c>
      <c r="C626" t="s">
        <v>10</v>
      </c>
      <c r="D626" t="s">
        <v>11</v>
      </c>
      <c r="E626">
        <v>95.15</v>
      </c>
      <c r="F626">
        <v>25</v>
      </c>
      <c r="G626">
        <v>2378.75</v>
      </c>
      <c r="H626" t="s">
        <v>12</v>
      </c>
      <c r="I626" t="str">
        <f t="shared" si="28"/>
        <v>Medium Value</v>
      </c>
      <c r="J626" t="str">
        <f t="shared" si="29"/>
        <v>Low Risk</v>
      </c>
      <c r="K626" s="3" t="str">
        <f t="shared" si="27"/>
        <v>2-4 Years</v>
      </c>
    </row>
    <row r="627" spans="1:11" x14ac:dyDescent="0.3">
      <c r="A627" t="s">
        <v>644</v>
      </c>
      <c r="B627" t="s">
        <v>14</v>
      </c>
      <c r="C627" t="s">
        <v>10</v>
      </c>
      <c r="D627" t="s">
        <v>11</v>
      </c>
      <c r="E627">
        <v>84.25</v>
      </c>
      <c r="F627">
        <v>23</v>
      </c>
      <c r="G627">
        <v>1937.75</v>
      </c>
      <c r="H627" t="s">
        <v>12</v>
      </c>
      <c r="I627" t="str">
        <f t="shared" si="28"/>
        <v>Low Value</v>
      </c>
      <c r="J627" t="str">
        <f t="shared" si="29"/>
        <v>Medium Risk</v>
      </c>
      <c r="K627" s="3" t="str">
        <f t="shared" si="27"/>
        <v>1-2 Years</v>
      </c>
    </row>
    <row r="628" spans="1:11" x14ac:dyDescent="0.3">
      <c r="A628" t="s">
        <v>645</v>
      </c>
      <c r="B628" t="s">
        <v>9</v>
      </c>
      <c r="C628" t="s">
        <v>15</v>
      </c>
      <c r="D628" t="s">
        <v>24</v>
      </c>
      <c r="E628">
        <v>104.6</v>
      </c>
      <c r="F628">
        <v>66</v>
      </c>
      <c r="G628">
        <v>6903.5999999999904</v>
      </c>
      <c r="H628" t="s">
        <v>12</v>
      </c>
      <c r="I628" t="str">
        <f t="shared" si="28"/>
        <v>High Value</v>
      </c>
      <c r="J628" t="str">
        <f t="shared" si="29"/>
        <v>Low Risk</v>
      </c>
      <c r="K628" s="3" t="str">
        <f t="shared" si="27"/>
        <v>4+ Years</v>
      </c>
    </row>
    <row r="629" spans="1:11" x14ac:dyDescent="0.3">
      <c r="A629" t="s">
        <v>646</v>
      </c>
      <c r="B629" t="s">
        <v>9</v>
      </c>
      <c r="C629" t="s">
        <v>30</v>
      </c>
      <c r="D629" t="s">
        <v>11</v>
      </c>
      <c r="E629">
        <v>111.65</v>
      </c>
      <c r="F629">
        <v>72</v>
      </c>
      <c r="G629">
        <v>8038.8</v>
      </c>
      <c r="H629" t="s">
        <v>12</v>
      </c>
      <c r="I629" t="str">
        <f t="shared" si="28"/>
        <v>High Value</v>
      </c>
      <c r="J629" t="str">
        <f t="shared" si="29"/>
        <v>Low Risk</v>
      </c>
      <c r="K629" s="3" t="str">
        <f t="shared" si="27"/>
        <v>4+ Years</v>
      </c>
    </row>
    <row r="630" spans="1:11" x14ac:dyDescent="0.3">
      <c r="A630" t="s">
        <v>647</v>
      </c>
      <c r="B630" t="s">
        <v>14</v>
      </c>
      <c r="C630" t="s">
        <v>10</v>
      </c>
      <c r="D630" t="s">
        <v>24</v>
      </c>
      <c r="E630">
        <v>90.05</v>
      </c>
      <c r="F630">
        <v>49</v>
      </c>
      <c r="G630">
        <v>4412.45</v>
      </c>
      <c r="H630" t="s">
        <v>18</v>
      </c>
      <c r="I630" t="str">
        <f t="shared" si="28"/>
        <v>Medium Value</v>
      </c>
      <c r="J630" t="str">
        <f t="shared" si="29"/>
        <v>Low Risk</v>
      </c>
      <c r="K630" s="3" t="str">
        <f t="shared" si="27"/>
        <v>4+ Years</v>
      </c>
    </row>
    <row r="631" spans="1:11" x14ac:dyDescent="0.3">
      <c r="A631" t="s">
        <v>648</v>
      </c>
      <c r="B631" t="s">
        <v>14</v>
      </c>
      <c r="C631" t="s">
        <v>10</v>
      </c>
      <c r="D631" t="s">
        <v>20</v>
      </c>
      <c r="E631">
        <v>110.75</v>
      </c>
      <c r="F631">
        <v>43</v>
      </c>
      <c r="G631">
        <v>4762.25</v>
      </c>
      <c r="H631" t="s">
        <v>18</v>
      </c>
      <c r="I631" t="str">
        <f t="shared" si="28"/>
        <v>Medium Value</v>
      </c>
      <c r="J631" t="str">
        <f t="shared" si="29"/>
        <v>Low Risk</v>
      </c>
      <c r="K631" s="3" t="str">
        <f t="shared" si="27"/>
        <v>2-4 Years</v>
      </c>
    </row>
    <row r="632" spans="1:11" x14ac:dyDescent="0.3">
      <c r="A632" t="s">
        <v>649</v>
      </c>
      <c r="B632" t="s">
        <v>9</v>
      </c>
      <c r="C632" t="s">
        <v>10</v>
      </c>
      <c r="D632" t="s">
        <v>20</v>
      </c>
      <c r="E632">
        <v>55</v>
      </c>
      <c r="F632">
        <v>46</v>
      </c>
      <c r="G632">
        <v>2530</v>
      </c>
      <c r="H632" t="s">
        <v>12</v>
      </c>
      <c r="I632" t="str">
        <f t="shared" si="28"/>
        <v>Medium Value</v>
      </c>
      <c r="J632" t="str">
        <f t="shared" si="29"/>
        <v>Low Risk</v>
      </c>
      <c r="K632" s="3" t="str">
        <f t="shared" si="27"/>
        <v>2-4 Years</v>
      </c>
    </row>
    <row r="633" spans="1:11" x14ac:dyDescent="0.3">
      <c r="A633" t="s">
        <v>650</v>
      </c>
      <c r="B633" t="s">
        <v>14</v>
      </c>
      <c r="C633" t="s">
        <v>30</v>
      </c>
      <c r="D633" t="s">
        <v>24</v>
      </c>
      <c r="E633">
        <v>89.85</v>
      </c>
      <c r="F633">
        <v>72</v>
      </c>
      <c r="G633">
        <v>6469.2</v>
      </c>
      <c r="H633" t="s">
        <v>12</v>
      </c>
      <c r="I633" t="str">
        <f t="shared" si="28"/>
        <v>High Value</v>
      </c>
      <c r="J633" t="str">
        <f t="shared" si="29"/>
        <v>Low Risk</v>
      </c>
      <c r="K633" s="3" t="str">
        <f t="shared" si="27"/>
        <v>4+ Years</v>
      </c>
    </row>
    <row r="634" spans="1:11" x14ac:dyDescent="0.3">
      <c r="A634" t="s">
        <v>651</v>
      </c>
      <c r="B634" t="s">
        <v>14</v>
      </c>
      <c r="C634" t="s">
        <v>15</v>
      </c>
      <c r="D634" t="s">
        <v>16</v>
      </c>
      <c r="E634">
        <v>20.350000000000001</v>
      </c>
      <c r="F634">
        <v>10</v>
      </c>
      <c r="G634">
        <v>203.5</v>
      </c>
      <c r="H634" t="s">
        <v>12</v>
      </c>
      <c r="I634" t="str">
        <f t="shared" si="28"/>
        <v>Low Value</v>
      </c>
      <c r="J634" t="str">
        <f t="shared" si="29"/>
        <v>High Risk</v>
      </c>
      <c r="K634" s="3" t="str">
        <f t="shared" si="27"/>
        <v>0-1 Year</v>
      </c>
    </row>
    <row r="635" spans="1:11" x14ac:dyDescent="0.3">
      <c r="A635" t="s">
        <v>652</v>
      </c>
      <c r="B635" t="s">
        <v>9</v>
      </c>
      <c r="C635" t="s">
        <v>15</v>
      </c>
      <c r="D635" t="s">
        <v>20</v>
      </c>
      <c r="E635">
        <v>54.55</v>
      </c>
      <c r="F635">
        <v>40</v>
      </c>
      <c r="G635">
        <v>2182</v>
      </c>
      <c r="H635" t="s">
        <v>12</v>
      </c>
      <c r="I635" t="str">
        <f t="shared" si="28"/>
        <v>Medium Value</v>
      </c>
      <c r="J635" t="str">
        <f t="shared" si="29"/>
        <v>Low Risk</v>
      </c>
      <c r="K635" s="3" t="str">
        <f t="shared" si="27"/>
        <v>2-4 Years</v>
      </c>
    </row>
    <row r="636" spans="1:11" x14ac:dyDescent="0.3">
      <c r="A636" t="s">
        <v>653</v>
      </c>
      <c r="B636" t="s">
        <v>9</v>
      </c>
      <c r="C636" t="s">
        <v>10</v>
      </c>
      <c r="D636" t="s">
        <v>11</v>
      </c>
      <c r="E636">
        <v>105.5</v>
      </c>
      <c r="F636">
        <v>65</v>
      </c>
      <c r="G636">
        <v>6857.5</v>
      </c>
      <c r="H636" t="s">
        <v>18</v>
      </c>
      <c r="I636" t="str">
        <f t="shared" si="28"/>
        <v>High Value</v>
      </c>
      <c r="J636" t="str">
        <f t="shared" si="29"/>
        <v>Low Risk</v>
      </c>
      <c r="K636" s="3" t="str">
        <f t="shared" si="27"/>
        <v>4+ Years</v>
      </c>
    </row>
    <row r="637" spans="1:11" x14ac:dyDescent="0.3">
      <c r="A637" t="s">
        <v>654</v>
      </c>
      <c r="B637" t="s">
        <v>14</v>
      </c>
      <c r="C637" t="s">
        <v>30</v>
      </c>
      <c r="D637" t="s">
        <v>20</v>
      </c>
      <c r="E637">
        <v>99.45</v>
      </c>
      <c r="F637">
        <v>31</v>
      </c>
      <c r="G637">
        <v>3082.95</v>
      </c>
      <c r="H637" t="s">
        <v>12</v>
      </c>
      <c r="I637" t="str">
        <f t="shared" si="28"/>
        <v>Medium Value</v>
      </c>
      <c r="J637" t="str">
        <f t="shared" si="29"/>
        <v>Low Risk</v>
      </c>
      <c r="K637" s="3" t="str">
        <f t="shared" si="27"/>
        <v>2-4 Years</v>
      </c>
    </row>
    <row r="638" spans="1:11" x14ac:dyDescent="0.3">
      <c r="A638" t="s">
        <v>655</v>
      </c>
      <c r="B638" t="s">
        <v>9</v>
      </c>
      <c r="C638" t="s">
        <v>30</v>
      </c>
      <c r="D638" t="s">
        <v>24</v>
      </c>
      <c r="E638">
        <v>70.900000000000006</v>
      </c>
      <c r="F638">
        <v>68</v>
      </c>
      <c r="G638">
        <v>4821.2</v>
      </c>
      <c r="H638" t="s">
        <v>12</v>
      </c>
      <c r="I638" t="str">
        <f t="shared" si="28"/>
        <v>Medium Value</v>
      </c>
      <c r="J638" t="str">
        <f t="shared" si="29"/>
        <v>Low Risk</v>
      </c>
      <c r="K638" s="3" t="str">
        <f t="shared" si="27"/>
        <v>4+ Years</v>
      </c>
    </row>
    <row r="639" spans="1:11" x14ac:dyDescent="0.3">
      <c r="A639" t="s">
        <v>656</v>
      </c>
      <c r="B639" t="s">
        <v>14</v>
      </c>
      <c r="C639" t="s">
        <v>15</v>
      </c>
      <c r="D639" t="s">
        <v>20</v>
      </c>
      <c r="E639">
        <v>104.55</v>
      </c>
      <c r="F639">
        <v>56</v>
      </c>
      <c r="G639">
        <v>5854.8</v>
      </c>
      <c r="H639" t="s">
        <v>18</v>
      </c>
      <c r="I639" t="str">
        <f t="shared" si="28"/>
        <v>High Value</v>
      </c>
      <c r="J639" t="str">
        <f t="shared" si="29"/>
        <v>Low Risk</v>
      </c>
      <c r="K639" s="3" t="str">
        <f t="shared" si="27"/>
        <v>4+ Years</v>
      </c>
    </row>
    <row r="640" spans="1:11" x14ac:dyDescent="0.3">
      <c r="A640" t="s">
        <v>657</v>
      </c>
      <c r="B640" t="s">
        <v>14</v>
      </c>
      <c r="C640" t="s">
        <v>10</v>
      </c>
      <c r="D640" t="s">
        <v>11</v>
      </c>
      <c r="E640">
        <v>85.25</v>
      </c>
      <c r="F640">
        <v>10</v>
      </c>
      <c r="G640">
        <v>852.5</v>
      </c>
      <c r="H640" t="s">
        <v>18</v>
      </c>
      <c r="I640" t="str">
        <f t="shared" si="28"/>
        <v>Low Value</v>
      </c>
      <c r="J640" t="str">
        <f t="shared" si="29"/>
        <v>High Risk</v>
      </c>
      <c r="K640" s="3" t="str">
        <f t="shared" si="27"/>
        <v>0-1 Year</v>
      </c>
    </row>
    <row r="641" spans="1:11" x14ac:dyDescent="0.3">
      <c r="A641" t="s">
        <v>658</v>
      </c>
      <c r="B641" t="s">
        <v>14</v>
      </c>
      <c r="C641" t="s">
        <v>30</v>
      </c>
      <c r="D641" t="s">
        <v>20</v>
      </c>
      <c r="E641">
        <v>25.4</v>
      </c>
      <c r="F641">
        <v>68</v>
      </c>
      <c r="G641">
        <v>1727.19999999999</v>
      </c>
      <c r="H641" t="s">
        <v>12</v>
      </c>
      <c r="I641" t="str">
        <f t="shared" si="28"/>
        <v>Low Value</v>
      </c>
      <c r="J641" t="str">
        <f t="shared" si="29"/>
        <v>Low Risk</v>
      </c>
      <c r="K641" s="3" t="str">
        <f t="shared" si="27"/>
        <v>4+ Years</v>
      </c>
    </row>
    <row r="642" spans="1:11" x14ac:dyDescent="0.3">
      <c r="A642" t="s">
        <v>659</v>
      </c>
      <c r="B642" t="s">
        <v>9</v>
      </c>
      <c r="C642" t="s">
        <v>10</v>
      </c>
      <c r="D642" t="s">
        <v>11</v>
      </c>
      <c r="E642">
        <v>56.15</v>
      </c>
      <c r="F642">
        <v>43</v>
      </c>
      <c r="G642">
        <v>2414.4499999999998</v>
      </c>
      <c r="H642" t="s">
        <v>18</v>
      </c>
      <c r="I642" t="str">
        <f t="shared" si="28"/>
        <v>Medium Value</v>
      </c>
      <c r="J642" t="str">
        <f t="shared" si="29"/>
        <v>Low Risk</v>
      </c>
      <c r="K642" s="3" t="str">
        <f t="shared" si="27"/>
        <v>2-4 Years</v>
      </c>
    </row>
    <row r="643" spans="1:11" x14ac:dyDescent="0.3">
      <c r="A643" t="s">
        <v>660</v>
      </c>
      <c r="B643" t="s">
        <v>14</v>
      </c>
      <c r="C643" t="s">
        <v>10</v>
      </c>
      <c r="D643" t="s">
        <v>11</v>
      </c>
      <c r="E643">
        <v>89.55</v>
      </c>
      <c r="F643">
        <v>1</v>
      </c>
      <c r="G643">
        <v>89.55</v>
      </c>
      <c r="H643" t="s">
        <v>18</v>
      </c>
      <c r="I643" t="str">
        <f t="shared" si="28"/>
        <v>Low Value</v>
      </c>
      <c r="J643" t="str">
        <f t="shared" si="29"/>
        <v>High Risk</v>
      </c>
      <c r="K643" s="3" t="str">
        <f t="shared" ref="K643:K706" si="30">IF(F643&lt;=12,"0-1 Year",
IF(F643&lt;=24,"1-2 Years",
IF(F643&lt;=48,"2-4 Years","4+ Years")))</f>
        <v>0-1 Year</v>
      </c>
    </row>
    <row r="644" spans="1:11" x14ac:dyDescent="0.3">
      <c r="A644" t="s">
        <v>661</v>
      </c>
      <c r="B644" t="s">
        <v>9</v>
      </c>
      <c r="C644" t="s">
        <v>15</v>
      </c>
      <c r="D644" t="s">
        <v>20</v>
      </c>
      <c r="E644">
        <v>89.85</v>
      </c>
      <c r="F644">
        <v>49</v>
      </c>
      <c r="G644">
        <v>4402.6499999999996</v>
      </c>
      <c r="H644" t="s">
        <v>12</v>
      </c>
      <c r="I644" t="str">
        <f t="shared" ref="I644:I707" si="31">IF(G644&gt;5000,"High Value",
IF(G644&gt;2000,"Medium Value","Low Value"))</f>
        <v>Medium Value</v>
      </c>
      <c r="J644" t="str">
        <f t="shared" ref="J644:J707" si="32">IF(F644&lt;12,"High Risk",
IF(F644&lt;24,"Medium Risk","Low Risk"))</f>
        <v>Low Risk</v>
      </c>
      <c r="K644" s="3" t="str">
        <f t="shared" si="30"/>
        <v>4+ Years</v>
      </c>
    </row>
    <row r="645" spans="1:11" x14ac:dyDescent="0.3">
      <c r="A645" t="s">
        <v>662</v>
      </c>
      <c r="B645" t="s">
        <v>9</v>
      </c>
      <c r="C645" t="s">
        <v>10</v>
      </c>
      <c r="D645" t="s">
        <v>11</v>
      </c>
      <c r="E645">
        <v>25.25</v>
      </c>
      <c r="F645">
        <v>15</v>
      </c>
      <c r="G645">
        <v>378.75</v>
      </c>
      <c r="H645" t="s">
        <v>12</v>
      </c>
      <c r="I645" t="str">
        <f t="shared" si="31"/>
        <v>Low Value</v>
      </c>
      <c r="J645" t="str">
        <f t="shared" si="32"/>
        <v>Medium Risk</v>
      </c>
      <c r="K645" s="3" t="str">
        <f t="shared" si="30"/>
        <v>1-2 Years</v>
      </c>
    </row>
    <row r="646" spans="1:11" x14ac:dyDescent="0.3">
      <c r="A646" t="s">
        <v>663</v>
      </c>
      <c r="B646" t="s">
        <v>14</v>
      </c>
      <c r="C646" t="s">
        <v>10</v>
      </c>
      <c r="D646" t="s">
        <v>11</v>
      </c>
      <c r="E646">
        <v>94.55</v>
      </c>
      <c r="F646">
        <v>20</v>
      </c>
      <c r="G646">
        <v>1891</v>
      </c>
      <c r="H646" t="s">
        <v>18</v>
      </c>
      <c r="I646" t="str">
        <f t="shared" si="31"/>
        <v>Low Value</v>
      </c>
      <c r="J646" t="str">
        <f t="shared" si="32"/>
        <v>Medium Risk</v>
      </c>
      <c r="K646" s="3" t="str">
        <f t="shared" si="30"/>
        <v>1-2 Years</v>
      </c>
    </row>
    <row r="647" spans="1:11" x14ac:dyDescent="0.3">
      <c r="A647" t="s">
        <v>664</v>
      </c>
      <c r="B647" t="s">
        <v>14</v>
      </c>
      <c r="C647" t="s">
        <v>10</v>
      </c>
      <c r="D647" t="s">
        <v>16</v>
      </c>
      <c r="E647">
        <v>45.7</v>
      </c>
      <c r="F647">
        <v>1</v>
      </c>
      <c r="G647">
        <v>45.7</v>
      </c>
      <c r="H647" t="s">
        <v>18</v>
      </c>
      <c r="I647" t="str">
        <f t="shared" si="31"/>
        <v>Low Value</v>
      </c>
      <c r="J647" t="str">
        <f t="shared" si="32"/>
        <v>High Risk</v>
      </c>
      <c r="K647" s="3" t="str">
        <f t="shared" si="30"/>
        <v>0-1 Year</v>
      </c>
    </row>
    <row r="648" spans="1:11" x14ac:dyDescent="0.3">
      <c r="A648" t="s">
        <v>665</v>
      </c>
      <c r="B648" t="s">
        <v>14</v>
      </c>
      <c r="C648" t="s">
        <v>15</v>
      </c>
      <c r="D648" t="s">
        <v>11</v>
      </c>
      <c r="E648">
        <v>69.650000000000006</v>
      </c>
      <c r="F648">
        <v>50</v>
      </c>
      <c r="G648">
        <v>3482.5</v>
      </c>
      <c r="H648" t="s">
        <v>12</v>
      </c>
      <c r="I648" t="str">
        <f t="shared" si="31"/>
        <v>Medium Value</v>
      </c>
      <c r="J648" t="str">
        <f t="shared" si="32"/>
        <v>Low Risk</v>
      </c>
      <c r="K648" s="3" t="str">
        <f t="shared" si="30"/>
        <v>4+ Years</v>
      </c>
    </row>
    <row r="649" spans="1:11" x14ac:dyDescent="0.3">
      <c r="A649" t="s">
        <v>666</v>
      </c>
      <c r="B649" t="s">
        <v>9</v>
      </c>
      <c r="C649" t="s">
        <v>10</v>
      </c>
      <c r="D649" t="s">
        <v>11</v>
      </c>
      <c r="E649">
        <v>89.5</v>
      </c>
      <c r="F649">
        <v>2</v>
      </c>
      <c r="G649">
        <v>179</v>
      </c>
      <c r="H649" t="s">
        <v>18</v>
      </c>
      <c r="I649" t="str">
        <f t="shared" si="31"/>
        <v>Low Value</v>
      </c>
      <c r="J649" t="str">
        <f t="shared" si="32"/>
        <v>High Risk</v>
      </c>
      <c r="K649" s="3" t="str">
        <f t="shared" si="30"/>
        <v>0-1 Year</v>
      </c>
    </row>
    <row r="650" spans="1:11" x14ac:dyDescent="0.3">
      <c r="A650" t="s">
        <v>667</v>
      </c>
      <c r="B650" t="s">
        <v>14</v>
      </c>
      <c r="C650" t="s">
        <v>10</v>
      </c>
      <c r="D650" t="s">
        <v>24</v>
      </c>
      <c r="E650">
        <v>70</v>
      </c>
      <c r="F650">
        <v>24</v>
      </c>
      <c r="G650">
        <v>1680</v>
      </c>
      <c r="H650" t="s">
        <v>12</v>
      </c>
      <c r="I650" t="str">
        <f t="shared" si="31"/>
        <v>Low Value</v>
      </c>
      <c r="J650" t="str">
        <f t="shared" si="32"/>
        <v>Low Risk</v>
      </c>
      <c r="K650" s="3" t="str">
        <f t="shared" si="30"/>
        <v>1-2 Years</v>
      </c>
    </row>
    <row r="651" spans="1:11" x14ac:dyDescent="0.3">
      <c r="A651" t="s">
        <v>668</v>
      </c>
      <c r="B651" t="s">
        <v>9</v>
      </c>
      <c r="C651" t="s">
        <v>10</v>
      </c>
      <c r="D651" t="s">
        <v>20</v>
      </c>
      <c r="E651">
        <v>69.55</v>
      </c>
      <c r="F651">
        <v>3</v>
      </c>
      <c r="G651">
        <v>208.64999999999901</v>
      </c>
      <c r="H651" t="s">
        <v>18</v>
      </c>
      <c r="I651" t="str">
        <f t="shared" si="31"/>
        <v>Low Value</v>
      </c>
      <c r="J651" t="str">
        <f t="shared" si="32"/>
        <v>High Risk</v>
      </c>
      <c r="K651" s="3" t="str">
        <f t="shared" si="30"/>
        <v>0-1 Year</v>
      </c>
    </row>
    <row r="652" spans="1:11" x14ac:dyDescent="0.3">
      <c r="A652" t="s">
        <v>669</v>
      </c>
      <c r="B652" t="s">
        <v>9</v>
      </c>
      <c r="C652" t="s">
        <v>10</v>
      </c>
      <c r="D652" t="s">
        <v>16</v>
      </c>
      <c r="E652">
        <v>74.599999999999994</v>
      </c>
      <c r="F652">
        <v>1</v>
      </c>
      <c r="G652">
        <v>74.599999999999994</v>
      </c>
      <c r="H652" t="s">
        <v>18</v>
      </c>
      <c r="I652" t="str">
        <f t="shared" si="31"/>
        <v>Low Value</v>
      </c>
      <c r="J652" t="str">
        <f t="shared" si="32"/>
        <v>High Risk</v>
      </c>
      <c r="K652" s="3" t="str">
        <f t="shared" si="30"/>
        <v>0-1 Year</v>
      </c>
    </row>
    <row r="653" spans="1:11" x14ac:dyDescent="0.3">
      <c r="A653" t="s">
        <v>670</v>
      </c>
      <c r="B653" t="s">
        <v>14</v>
      </c>
      <c r="C653" t="s">
        <v>30</v>
      </c>
      <c r="D653" t="s">
        <v>16</v>
      </c>
      <c r="E653">
        <v>20.100000000000001</v>
      </c>
      <c r="F653">
        <v>35</v>
      </c>
      <c r="G653">
        <v>703.5</v>
      </c>
      <c r="H653" t="s">
        <v>12</v>
      </c>
      <c r="I653" t="str">
        <f t="shared" si="31"/>
        <v>Low Value</v>
      </c>
      <c r="J653" t="str">
        <f t="shared" si="32"/>
        <v>Low Risk</v>
      </c>
      <c r="K653" s="3" t="str">
        <f t="shared" si="30"/>
        <v>2-4 Years</v>
      </c>
    </row>
    <row r="654" spans="1:11" x14ac:dyDescent="0.3">
      <c r="A654" t="s">
        <v>671</v>
      </c>
      <c r="B654" t="s">
        <v>9</v>
      </c>
      <c r="C654" t="s">
        <v>10</v>
      </c>
      <c r="D654" t="s">
        <v>16</v>
      </c>
      <c r="E654">
        <v>24.8</v>
      </c>
      <c r="F654">
        <v>17</v>
      </c>
      <c r="G654">
        <v>421.6</v>
      </c>
      <c r="H654" t="s">
        <v>12</v>
      </c>
      <c r="I654" t="str">
        <f t="shared" si="31"/>
        <v>Low Value</v>
      </c>
      <c r="J654" t="str">
        <f t="shared" si="32"/>
        <v>Medium Risk</v>
      </c>
      <c r="K654" s="3" t="str">
        <f t="shared" si="30"/>
        <v>1-2 Years</v>
      </c>
    </row>
    <row r="655" spans="1:11" x14ac:dyDescent="0.3">
      <c r="A655" t="s">
        <v>672</v>
      </c>
      <c r="B655" t="s">
        <v>9</v>
      </c>
      <c r="C655" t="s">
        <v>10</v>
      </c>
      <c r="D655" t="s">
        <v>11</v>
      </c>
      <c r="E655">
        <v>19.649999999999999</v>
      </c>
      <c r="F655">
        <v>8</v>
      </c>
      <c r="G655">
        <v>157.19999999999999</v>
      </c>
      <c r="H655" t="s">
        <v>18</v>
      </c>
      <c r="I655" t="str">
        <f t="shared" si="31"/>
        <v>Low Value</v>
      </c>
      <c r="J655" t="str">
        <f t="shared" si="32"/>
        <v>High Risk</v>
      </c>
      <c r="K655" s="3" t="str">
        <f t="shared" si="30"/>
        <v>0-1 Year</v>
      </c>
    </row>
    <row r="656" spans="1:11" x14ac:dyDescent="0.3">
      <c r="A656" t="s">
        <v>673</v>
      </c>
      <c r="B656" t="s">
        <v>14</v>
      </c>
      <c r="C656" t="s">
        <v>10</v>
      </c>
      <c r="D656" t="s">
        <v>24</v>
      </c>
      <c r="E656">
        <v>95.1</v>
      </c>
      <c r="F656">
        <v>10</v>
      </c>
      <c r="G656">
        <v>951</v>
      </c>
      <c r="H656" t="s">
        <v>12</v>
      </c>
      <c r="I656" t="str">
        <f t="shared" si="31"/>
        <v>Low Value</v>
      </c>
      <c r="J656" t="str">
        <f t="shared" si="32"/>
        <v>High Risk</v>
      </c>
      <c r="K656" s="3" t="str">
        <f t="shared" si="30"/>
        <v>0-1 Year</v>
      </c>
    </row>
    <row r="657" spans="1:11" x14ac:dyDescent="0.3">
      <c r="A657" t="s">
        <v>674</v>
      </c>
      <c r="B657" t="s">
        <v>14</v>
      </c>
      <c r="C657" t="s">
        <v>30</v>
      </c>
      <c r="D657" t="s">
        <v>24</v>
      </c>
      <c r="E657">
        <v>88.85</v>
      </c>
      <c r="F657">
        <v>68</v>
      </c>
      <c r="G657">
        <v>6041.7999999999902</v>
      </c>
      <c r="H657" t="s">
        <v>12</v>
      </c>
      <c r="I657" t="str">
        <f t="shared" si="31"/>
        <v>High Value</v>
      </c>
      <c r="J657" t="str">
        <f t="shared" si="32"/>
        <v>Low Risk</v>
      </c>
      <c r="K657" s="3" t="str">
        <f t="shared" si="30"/>
        <v>4+ Years</v>
      </c>
    </row>
    <row r="658" spans="1:11" x14ac:dyDescent="0.3">
      <c r="A658" t="s">
        <v>675</v>
      </c>
      <c r="B658" t="s">
        <v>14</v>
      </c>
      <c r="C658" t="s">
        <v>15</v>
      </c>
      <c r="D658" t="s">
        <v>20</v>
      </c>
      <c r="E658">
        <v>78.8</v>
      </c>
      <c r="F658">
        <v>45</v>
      </c>
      <c r="G658">
        <v>3546</v>
      </c>
      <c r="H658" t="s">
        <v>12</v>
      </c>
      <c r="I658" t="str">
        <f t="shared" si="31"/>
        <v>Medium Value</v>
      </c>
      <c r="J658" t="str">
        <f t="shared" si="32"/>
        <v>Low Risk</v>
      </c>
      <c r="K658" s="3" t="str">
        <f t="shared" si="30"/>
        <v>2-4 Years</v>
      </c>
    </row>
    <row r="659" spans="1:11" x14ac:dyDescent="0.3">
      <c r="A659" t="s">
        <v>676</v>
      </c>
      <c r="B659" t="s">
        <v>14</v>
      </c>
      <c r="C659" t="s">
        <v>15</v>
      </c>
      <c r="D659" t="s">
        <v>16</v>
      </c>
      <c r="E659">
        <v>19.850000000000001</v>
      </c>
      <c r="F659">
        <v>2</v>
      </c>
      <c r="G659">
        <v>39.700000000000003</v>
      </c>
      <c r="H659" t="s">
        <v>18</v>
      </c>
      <c r="I659" t="str">
        <f t="shared" si="31"/>
        <v>Low Value</v>
      </c>
      <c r="J659" t="str">
        <f t="shared" si="32"/>
        <v>High Risk</v>
      </c>
      <c r="K659" s="3" t="str">
        <f t="shared" si="30"/>
        <v>0-1 Year</v>
      </c>
    </row>
    <row r="660" spans="1:11" x14ac:dyDescent="0.3">
      <c r="A660" t="s">
        <v>677</v>
      </c>
      <c r="B660" t="s">
        <v>14</v>
      </c>
      <c r="C660" t="s">
        <v>10</v>
      </c>
      <c r="D660" t="s">
        <v>20</v>
      </c>
      <c r="E660">
        <v>20.350000000000001</v>
      </c>
      <c r="F660">
        <v>37</v>
      </c>
      <c r="G660">
        <v>752.95</v>
      </c>
      <c r="H660" t="s">
        <v>12</v>
      </c>
      <c r="I660" t="str">
        <f t="shared" si="31"/>
        <v>Low Value</v>
      </c>
      <c r="J660" t="str">
        <f t="shared" si="32"/>
        <v>Low Risk</v>
      </c>
      <c r="K660" s="3" t="str">
        <f t="shared" si="30"/>
        <v>2-4 Years</v>
      </c>
    </row>
    <row r="661" spans="1:11" x14ac:dyDescent="0.3">
      <c r="A661" t="s">
        <v>678</v>
      </c>
      <c r="B661" t="s">
        <v>9</v>
      </c>
      <c r="C661" t="s">
        <v>10</v>
      </c>
      <c r="D661" t="s">
        <v>16</v>
      </c>
      <c r="E661">
        <v>24.25</v>
      </c>
      <c r="F661">
        <v>4</v>
      </c>
      <c r="G661">
        <v>97</v>
      </c>
      <c r="H661" t="s">
        <v>18</v>
      </c>
      <c r="I661" t="str">
        <f t="shared" si="31"/>
        <v>Low Value</v>
      </c>
      <c r="J661" t="str">
        <f t="shared" si="32"/>
        <v>High Risk</v>
      </c>
      <c r="K661" s="3" t="str">
        <f t="shared" si="30"/>
        <v>0-1 Year</v>
      </c>
    </row>
    <row r="662" spans="1:11" x14ac:dyDescent="0.3">
      <c r="A662" t="s">
        <v>679</v>
      </c>
      <c r="B662" t="s">
        <v>9</v>
      </c>
      <c r="C662" t="s">
        <v>10</v>
      </c>
      <c r="D662" t="s">
        <v>16</v>
      </c>
      <c r="E662">
        <v>45.25</v>
      </c>
      <c r="F662">
        <v>10</v>
      </c>
      <c r="G662">
        <v>452.5</v>
      </c>
      <c r="H662" t="s">
        <v>12</v>
      </c>
      <c r="I662" t="str">
        <f t="shared" si="31"/>
        <v>Low Value</v>
      </c>
      <c r="J662" t="str">
        <f t="shared" si="32"/>
        <v>High Risk</v>
      </c>
      <c r="K662" s="3" t="str">
        <f t="shared" si="30"/>
        <v>0-1 Year</v>
      </c>
    </row>
    <row r="663" spans="1:11" x14ac:dyDescent="0.3">
      <c r="A663" t="s">
        <v>680</v>
      </c>
      <c r="B663" t="s">
        <v>14</v>
      </c>
      <c r="C663" t="s">
        <v>10</v>
      </c>
      <c r="D663" t="s">
        <v>16</v>
      </c>
      <c r="E663">
        <v>20.05</v>
      </c>
      <c r="F663">
        <v>1</v>
      </c>
      <c r="G663">
        <v>20.05</v>
      </c>
      <c r="H663" t="s">
        <v>12</v>
      </c>
      <c r="I663" t="str">
        <f t="shared" si="31"/>
        <v>Low Value</v>
      </c>
      <c r="J663" t="str">
        <f t="shared" si="32"/>
        <v>High Risk</v>
      </c>
      <c r="K663" s="3" t="str">
        <f t="shared" si="30"/>
        <v>0-1 Year</v>
      </c>
    </row>
    <row r="664" spans="1:11" x14ac:dyDescent="0.3">
      <c r="A664" t="s">
        <v>681</v>
      </c>
      <c r="B664" t="s">
        <v>14</v>
      </c>
      <c r="C664" t="s">
        <v>30</v>
      </c>
      <c r="D664" t="s">
        <v>16</v>
      </c>
      <c r="E664">
        <v>69.55</v>
      </c>
      <c r="F664">
        <v>65</v>
      </c>
      <c r="G664">
        <v>4520.75</v>
      </c>
      <c r="H664" t="s">
        <v>12</v>
      </c>
      <c r="I664" t="str">
        <f t="shared" si="31"/>
        <v>Medium Value</v>
      </c>
      <c r="J664" t="str">
        <f t="shared" si="32"/>
        <v>Low Risk</v>
      </c>
      <c r="K664" s="3" t="str">
        <f t="shared" si="30"/>
        <v>4+ Years</v>
      </c>
    </row>
    <row r="665" spans="1:11" x14ac:dyDescent="0.3">
      <c r="A665" t="s">
        <v>682</v>
      </c>
      <c r="B665" t="s">
        <v>9</v>
      </c>
      <c r="C665" t="s">
        <v>30</v>
      </c>
      <c r="D665" t="s">
        <v>20</v>
      </c>
      <c r="E665">
        <v>19.5</v>
      </c>
      <c r="F665">
        <v>57</v>
      </c>
      <c r="G665">
        <v>1111.5</v>
      </c>
      <c r="H665" t="s">
        <v>12</v>
      </c>
      <c r="I665" t="str">
        <f t="shared" si="31"/>
        <v>Low Value</v>
      </c>
      <c r="J665" t="str">
        <f t="shared" si="32"/>
        <v>Low Risk</v>
      </c>
      <c r="K665" s="3" t="str">
        <f t="shared" si="30"/>
        <v>4+ Years</v>
      </c>
    </row>
    <row r="666" spans="1:11" x14ac:dyDescent="0.3">
      <c r="A666" t="s">
        <v>683</v>
      </c>
      <c r="B666" t="s">
        <v>9</v>
      </c>
      <c r="C666" t="s">
        <v>10</v>
      </c>
      <c r="D666" t="s">
        <v>16</v>
      </c>
      <c r="E666">
        <v>74.75</v>
      </c>
      <c r="F666">
        <v>3</v>
      </c>
      <c r="G666">
        <v>224.25</v>
      </c>
      <c r="H666" t="s">
        <v>12</v>
      </c>
      <c r="I666" t="str">
        <f t="shared" si="31"/>
        <v>Low Value</v>
      </c>
      <c r="J666" t="str">
        <f t="shared" si="32"/>
        <v>High Risk</v>
      </c>
      <c r="K666" s="3" t="str">
        <f t="shared" si="30"/>
        <v>0-1 Year</v>
      </c>
    </row>
    <row r="667" spans="1:11" x14ac:dyDescent="0.3">
      <c r="A667" t="s">
        <v>684</v>
      </c>
      <c r="B667" t="s">
        <v>9</v>
      </c>
      <c r="C667" t="s">
        <v>10</v>
      </c>
      <c r="D667" t="s">
        <v>11</v>
      </c>
      <c r="E667">
        <v>69.650000000000006</v>
      </c>
      <c r="F667">
        <v>2</v>
      </c>
      <c r="G667">
        <v>139.30000000000001</v>
      </c>
      <c r="H667" t="s">
        <v>18</v>
      </c>
      <c r="I667" t="str">
        <f t="shared" si="31"/>
        <v>Low Value</v>
      </c>
      <c r="J667" t="str">
        <f t="shared" si="32"/>
        <v>High Risk</v>
      </c>
      <c r="K667" s="3" t="str">
        <f t="shared" si="30"/>
        <v>0-1 Year</v>
      </c>
    </row>
    <row r="668" spans="1:11" x14ac:dyDescent="0.3">
      <c r="A668" t="s">
        <v>685</v>
      </c>
      <c r="B668" t="s">
        <v>14</v>
      </c>
      <c r="C668" t="s">
        <v>10</v>
      </c>
      <c r="D668" t="s">
        <v>20</v>
      </c>
      <c r="E668">
        <v>30.2</v>
      </c>
      <c r="F668">
        <v>49</v>
      </c>
      <c r="G668">
        <v>1479.8</v>
      </c>
      <c r="H668" t="s">
        <v>12</v>
      </c>
      <c r="I668" t="str">
        <f t="shared" si="31"/>
        <v>Low Value</v>
      </c>
      <c r="J668" t="str">
        <f t="shared" si="32"/>
        <v>Low Risk</v>
      </c>
      <c r="K668" s="3" t="str">
        <f t="shared" si="30"/>
        <v>4+ Years</v>
      </c>
    </row>
    <row r="669" spans="1:11" x14ac:dyDescent="0.3">
      <c r="A669" t="s">
        <v>686</v>
      </c>
      <c r="B669" t="s">
        <v>9</v>
      </c>
      <c r="C669" t="s">
        <v>10</v>
      </c>
      <c r="D669" t="s">
        <v>16</v>
      </c>
      <c r="E669">
        <v>45.65</v>
      </c>
      <c r="F669">
        <v>4</v>
      </c>
      <c r="G669">
        <v>182.6</v>
      </c>
      <c r="H669" t="s">
        <v>18</v>
      </c>
      <c r="I669" t="str">
        <f t="shared" si="31"/>
        <v>Low Value</v>
      </c>
      <c r="J669" t="str">
        <f t="shared" si="32"/>
        <v>High Risk</v>
      </c>
      <c r="K669" s="3" t="str">
        <f t="shared" si="30"/>
        <v>0-1 Year</v>
      </c>
    </row>
    <row r="670" spans="1:11" x14ac:dyDescent="0.3">
      <c r="A670" t="s">
        <v>687</v>
      </c>
      <c r="B670" t="s">
        <v>9</v>
      </c>
      <c r="C670" t="s">
        <v>30</v>
      </c>
      <c r="D670" t="s">
        <v>20</v>
      </c>
      <c r="E670">
        <v>57.8</v>
      </c>
      <c r="F670">
        <v>70</v>
      </c>
      <c r="G670">
        <v>4046</v>
      </c>
      <c r="H670" t="s">
        <v>12</v>
      </c>
      <c r="I670" t="str">
        <f t="shared" si="31"/>
        <v>Medium Value</v>
      </c>
      <c r="J670" t="str">
        <f t="shared" si="32"/>
        <v>Low Risk</v>
      </c>
      <c r="K670" s="3" t="str">
        <f t="shared" si="30"/>
        <v>4+ Years</v>
      </c>
    </row>
    <row r="671" spans="1:11" x14ac:dyDescent="0.3">
      <c r="A671" t="s">
        <v>688</v>
      </c>
      <c r="B671" t="s">
        <v>9</v>
      </c>
      <c r="C671" t="s">
        <v>15</v>
      </c>
      <c r="D671" t="s">
        <v>20</v>
      </c>
      <c r="E671">
        <v>19.850000000000001</v>
      </c>
      <c r="F671">
        <v>53</v>
      </c>
      <c r="G671">
        <v>1052.05</v>
      </c>
      <c r="H671" t="s">
        <v>12</v>
      </c>
      <c r="I671" t="str">
        <f t="shared" si="31"/>
        <v>Low Value</v>
      </c>
      <c r="J671" t="str">
        <f t="shared" si="32"/>
        <v>Low Risk</v>
      </c>
      <c r="K671" s="3" t="str">
        <f t="shared" si="30"/>
        <v>4+ Years</v>
      </c>
    </row>
    <row r="672" spans="1:11" x14ac:dyDescent="0.3">
      <c r="A672" t="s">
        <v>689</v>
      </c>
      <c r="B672" t="s">
        <v>14</v>
      </c>
      <c r="C672" t="s">
        <v>30</v>
      </c>
      <c r="D672" t="s">
        <v>24</v>
      </c>
      <c r="E672">
        <v>25.55</v>
      </c>
      <c r="F672">
        <v>53</v>
      </c>
      <c r="G672">
        <v>1354.15</v>
      </c>
      <c r="H672" t="s">
        <v>12</v>
      </c>
      <c r="I672" t="str">
        <f t="shared" si="31"/>
        <v>Low Value</v>
      </c>
      <c r="J672" t="str">
        <f t="shared" si="32"/>
        <v>Low Risk</v>
      </c>
      <c r="K672" s="3" t="str">
        <f t="shared" si="30"/>
        <v>4+ Years</v>
      </c>
    </row>
    <row r="673" spans="1:11" x14ac:dyDescent="0.3">
      <c r="A673" t="s">
        <v>690</v>
      </c>
      <c r="B673" t="s">
        <v>9</v>
      </c>
      <c r="C673" t="s">
        <v>10</v>
      </c>
      <c r="D673" t="s">
        <v>16</v>
      </c>
      <c r="E673">
        <v>75.05</v>
      </c>
      <c r="F673">
        <v>1</v>
      </c>
      <c r="G673">
        <v>75.05</v>
      </c>
      <c r="H673" t="s">
        <v>18</v>
      </c>
      <c r="I673" t="str">
        <f t="shared" si="31"/>
        <v>Low Value</v>
      </c>
      <c r="J673" t="str">
        <f t="shared" si="32"/>
        <v>High Risk</v>
      </c>
      <c r="K673" s="3" t="str">
        <f t="shared" si="30"/>
        <v>0-1 Year</v>
      </c>
    </row>
    <row r="674" spans="1:11" x14ac:dyDescent="0.3">
      <c r="A674" t="s">
        <v>691</v>
      </c>
      <c r="B674" t="s">
        <v>14</v>
      </c>
      <c r="C674" t="s">
        <v>10</v>
      </c>
      <c r="D674" t="s">
        <v>24</v>
      </c>
      <c r="E674">
        <v>24.85</v>
      </c>
      <c r="F674">
        <v>22</v>
      </c>
      <c r="G674">
        <v>546.70000000000005</v>
      </c>
      <c r="H674" t="s">
        <v>12</v>
      </c>
      <c r="I674" t="str">
        <f t="shared" si="31"/>
        <v>Low Value</v>
      </c>
      <c r="J674" t="str">
        <f t="shared" si="32"/>
        <v>Medium Risk</v>
      </c>
      <c r="K674" s="3" t="str">
        <f t="shared" si="30"/>
        <v>1-2 Years</v>
      </c>
    </row>
    <row r="675" spans="1:11" x14ac:dyDescent="0.3">
      <c r="A675" t="s">
        <v>692</v>
      </c>
      <c r="B675" t="s">
        <v>14</v>
      </c>
      <c r="C675" t="s">
        <v>10</v>
      </c>
      <c r="D675" t="s">
        <v>11</v>
      </c>
      <c r="E675">
        <v>49.15</v>
      </c>
      <c r="F675">
        <v>52</v>
      </c>
      <c r="G675">
        <v>2555.7999999999902</v>
      </c>
      <c r="H675" t="s">
        <v>18</v>
      </c>
      <c r="I675" t="str">
        <f t="shared" si="31"/>
        <v>Medium Value</v>
      </c>
      <c r="J675" t="str">
        <f t="shared" si="32"/>
        <v>Low Risk</v>
      </c>
      <c r="K675" s="3" t="str">
        <f t="shared" si="30"/>
        <v>4+ Years</v>
      </c>
    </row>
    <row r="676" spans="1:11" x14ac:dyDescent="0.3">
      <c r="A676" t="s">
        <v>693</v>
      </c>
      <c r="B676" t="s">
        <v>14</v>
      </c>
      <c r="C676" t="s">
        <v>30</v>
      </c>
      <c r="D676" t="s">
        <v>11</v>
      </c>
      <c r="E676">
        <v>110.35</v>
      </c>
      <c r="F676">
        <v>65</v>
      </c>
      <c r="G676">
        <v>7172.75</v>
      </c>
      <c r="H676" t="s">
        <v>12</v>
      </c>
      <c r="I676" t="str">
        <f t="shared" si="31"/>
        <v>High Value</v>
      </c>
      <c r="J676" t="str">
        <f t="shared" si="32"/>
        <v>Low Risk</v>
      </c>
      <c r="K676" s="3" t="str">
        <f t="shared" si="30"/>
        <v>4+ Years</v>
      </c>
    </row>
    <row r="677" spans="1:11" x14ac:dyDescent="0.3">
      <c r="A677" t="s">
        <v>694</v>
      </c>
      <c r="B677" t="s">
        <v>9</v>
      </c>
      <c r="C677" t="s">
        <v>15</v>
      </c>
      <c r="D677" t="s">
        <v>20</v>
      </c>
      <c r="E677">
        <v>24.55</v>
      </c>
      <c r="F677">
        <v>48</v>
      </c>
      <c r="G677">
        <v>1178.4000000000001</v>
      </c>
      <c r="H677" t="s">
        <v>12</v>
      </c>
      <c r="I677" t="str">
        <f t="shared" si="31"/>
        <v>Low Value</v>
      </c>
      <c r="J677" t="str">
        <f t="shared" si="32"/>
        <v>Low Risk</v>
      </c>
      <c r="K677" s="3" t="str">
        <f t="shared" si="30"/>
        <v>2-4 Years</v>
      </c>
    </row>
    <row r="678" spans="1:11" x14ac:dyDescent="0.3">
      <c r="A678" t="s">
        <v>695</v>
      </c>
      <c r="B678" t="s">
        <v>9</v>
      </c>
      <c r="C678" t="s">
        <v>10</v>
      </c>
      <c r="D678" t="s">
        <v>11</v>
      </c>
      <c r="E678">
        <v>34.700000000000003</v>
      </c>
      <c r="F678">
        <v>2</v>
      </c>
      <c r="G678">
        <v>69.400000000000006</v>
      </c>
      <c r="H678" t="s">
        <v>18</v>
      </c>
      <c r="I678" t="str">
        <f t="shared" si="31"/>
        <v>Low Value</v>
      </c>
      <c r="J678" t="str">
        <f t="shared" si="32"/>
        <v>High Risk</v>
      </c>
      <c r="K678" s="3" t="str">
        <f t="shared" si="30"/>
        <v>0-1 Year</v>
      </c>
    </row>
    <row r="679" spans="1:11" x14ac:dyDescent="0.3">
      <c r="A679" t="s">
        <v>696</v>
      </c>
      <c r="B679" t="s">
        <v>14</v>
      </c>
      <c r="C679" t="s">
        <v>10</v>
      </c>
      <c r="D679" t="s">
        <v>16</v>
      </c>
      <c r="E679">
        <v>107.95</v>
      </c>
      <c r="F679">
        <v>3</v>
      </c>
      <c r="G679">
        <v>323.85000000000002</v>
      </c>
      <c r="H679" t="s">
        <v>12</v>
      </c>
      <c r="I679" t="str">
        <f t="shared" si="31"/>
        <v>Low Value</v>
      </c>
      <c r="J679" t="str">
        <f t="shared" si="32"/>
        <v>High Risk</v>
      </c>
      <c r="K679" s="3" t="str">
        <f t="shared" si="30"/>
        <v>0-1 Year</v>
      </c>
    </row>
    <row r="680" spans="1:11" x14ac:dyDescent="0.3">
      <c r="A680" t="s">
        <v>697</v>
      </c>
      <c r="B680" t="s">
        <v>14</v>
      </c>
      <c r="C680" t="s">
        <v>10</v>
      </c>
      <c r="D680" t="s">
        <v>20</v>
      </c>
      <c r="E680">
        <v>81.400000000000006</v>
      </c>
      <c r="F680">
        <v>45</v>
      </c>
      <c r="G680">
        <v>3663</v>
      </c>
      <c r="H680" t="s">
        <v>12</v>
      </c>
      <c r="I680" t="str">
        <f t="shared" si="31"/>
        <v>Medium Value</v>
      </c>
      <c r="J680" t="str">
        <f t="shared" si="32"/>
        <v>Low Risk</v>
      </c>
      <c r="K680" s="3" t="str">
        <f t="shared" si="30"/>
        <v>2-4 Years</v>
      </c>
    </row>
    <row r="681" spans="1:11" x14ac:dyDescent="0.3">
      <c r="A681" t="s">
        <v>698</v>
      </c>
      <c r="B681" t="s">
        <v>14</v>
      </c>
      <c r="C681" t="s">
        <v>10</v>
      </c>
      <c r="D681" t="s">
        <v>11</v>
      </c>
      <c r="E681">
        <v>80</v>
      </c>
      <c r="F681">
        <v>1</v>
      </c>
      <c r="G681">
        <v>80</v>
      </c>
      <c r="H681" t="s">
        <v>18</v>
      </c>
      <c r="I681" t="str">
        <f t="shared" si="31"/>
        <v>Low Value</v>
      </c>
      <c r="J681" t="str">
        <f t="shared" si="32"/>
        <v>High Risk</v>
      </c>
      <c r="K681" s="3" t="str">
        <f t="shared" si="30"/>
        <v>0-1 Year</v>
      </c>
    </row>
    <row r="682" spans="1:11" x14ac:dyDescent="0.3">
      <c r="A682" t="s">
        <v>699</v>
      </c>
      <c r="B682" t="s">
        <v>9</v>
      </c>
      <c r="C682" t="s">
        <v>30</v>
      </c>
      <c r="D682" t="s">
        <v>20</v>
      </c>
      <c r="E682">
        <v>73.8</v>
      </c>
      <c r="F682">
        <v>61</v>
      </c>
      <c r="G682">
        <v>4501.8</v>
      </c>
      <c r="H682" t="s">
        <v>12</v>
      </c>
      <c r="I682" t="str">
        <f t="shared" si="31"/>
        <v>Medium Value</v>
      </c>
      <c r="J682" t="str">
        <f t="shared" si="32"/>
        <v>Low Risk</v>
      </c>
      <c r="K682" s="3" t="str">
        <f t="shared" si="30"/>
        <v>4+ Years</v>
      </c>
    </row>
    <row r="683" spans="1:11" x14ac:dyDescent="0.3">
      <c r="A683" t="s">
        <v>700</v>
      </c>
      <c r="B683" t="s">
        <v>14</v>
      </c>
      <c r="C683" t="s">
        <v>10</v>
      </c>
      <c r="D683" t="s">
        <v>24</v>
      </c>
      <c r="E683">
        <v>64.400000000000006</v>
      </c>
      <c r="F683">
        <v>3</v>
      </c>
      <c r="G683">
        <v>193.2</v>
      </c>
      <c r="H683" t="s">
        <v>12</v>
      </c>
      <c r="I683" t="str">
        <f t="shared" si="31"/>
        <v>Low Value</v>
      </c>
      <c r="J683" t="str">
        <f t="shared" si="32"/>
        <v>High Risk</v>
      </c>
      <c r="K683" s="3" t="str">
        <f t="shared" si="30"/>
        <v>0-1 Year</v>
      </c>
    </row>
    <row r="684" spans="1:11" x14ac:dyDescent="0.3">
      <c r="A684" t="s">
        <v>701</v>
      </c>
      <c r="B684" t="s">
        <v>9</v>
      </c>
      <c r="C684" t="s">
        <v>15</v>
      </c>
      <c r="D684" t="s">
        <v>24</v>
      </c>
      <c r="E684">
        <v>103.75</v>
      </c>
      <c r="F684">
        <v>40</v>
      </c>
      <c r="G684">
        <v>4150</v>
      </c>
      <c r="H684" t="s">
        <v>12</v>
      </c>
      <c r="I684" t="str">
        <f t="shared" si="31"/>
        <v>Medium Value</v>
      </c>
      <c r="J684" t="str">
        <f t="shared" si="32"/>
        <v>Low Risk</v>
      </c>
      <c r="K684" s="3" t="str">
        <f t="shared" si="30"/>
        <v>2-4 Years</v>
      </c>
    </row>
    <row r="685" spans="1:11" x14ac:dyDescent="0.3">
      <c r="A685" t="s">
        <v>702</v>
      </c>
      <c r="B685" t="s">
        <v>9</v>
      </c>
      <c r="C685" t="s">
        <v>10</v>
      </c>
      <c r="D685" t="s">
        <v>16</v>
      </c>
      <c r="E685">
        <v>71.099999999999994</v>
      </c>
      <c r="F685">
        <v>1</v>
      </c>
      <c r="G685">
        <v>71.099999999999994</v>
      </c>
      <c r="H685" t="s">
        <v>12</v>
      </c>
      <c r="I685" t="str">
        <f t="shared" si="31"/>
        <v>Low Value</v>
      </c>
      <c r="J685" t="str">
        <f t="shared" si="32"/>
        <v>High Risk</v>
      </c>
      <c r="K685" s="3" t="str">
        <f t="shared" si="30"/>
        <v>0-1 Year</v>
      </c>
    </row>
    <row r="686" spans="1:11" x14ac:dyDescent="0.3">
      <c r="A686" t="s">
        <v>703</v>
      </c>
      <c r="B686" t="s">
        <v>9</v>
      </c>
      <c r="C686" t="s">
        <v>10</v>
      </c>
      <c r="D686" t="s">
        <v>11</v>
      </c>
      <c r="E686">
        <v>49.9</v>
      </c>
      <c r="F686">
        <v>1</v>
      </c>
      <c r="G686">
        <v>49.9</v>
      </c>
      <c r="H686" t="s">
        <v>12</v>
      </c>
      <c r="I686" t="str">
        <f t="shared" si="31"/>
        <v>Low Value</v>
      </c>
      <c r="J686" t="str">
        <f t="shared" si="32"/>
        <v>High Risk</v>
      </c>
      <c r="K686" s="3" t="str">
        <f t="shared" si="30"/>
        <v>0-1 Year</v>
      </c>
    </row>
    <row r="687" spans="1:11" x14ac:dyDescent="0.3">
      <c r="A687" t="s">
        <v>704</v>
      </c>
      <c r="B687" t="s">
        <v>14</v>
      </c>
      <c r="C687" t="s">
        <v>15</v>
      </c>
      <c r="D687" t="s">
        <v>20</v>
      </c>
      <c r="E687">
        <v>24.6</v>
      </c>
      <c r="F687">
        <v>51</v>
      </c>
      <c r="G687">
        <v>1254.5999999999999</v>
      </c>
      <c r="H687" t="s">
        <v>12</v>
      </c>
      <c r="I687" t="str">
        <f t="shared" si="31"/>
        <v>Low Value</v>
      </c>
      <c r="J687" t="str">
        <f t="shared" si="32"/>
        <v>Low Risk</v>
      </c>
      <c r="K687" s="3" t="str">
        <f t="shared" si="30"/>
        <v>4+ Years</v>
      </c>
    </row>
    <row r="688" spans="1:11" x14ac:dyDescent="0.3">
      <c r="A688" t="s">
        <v>705</v>
      </c>
      <c r="B688" t="s">
        <v>14</v>
      </c>
      <c r="C688" t="s">
        <v>10</v>
      </c>
      <c r="D688" t="s">
        <v>11</v>
      </c>
      <c r="E688">
        <v>49.25</v>
      </c>
      <c r="F688">
        <v>2</v>
      </c>
      <c r="G688">
        <v>98.5</v>
      </c>
      <c r="H688" t="s">
        <v>18</v>
      </c>
      <c r="I688" t="str">
        <f t="shared" si="31"/>
        <v>Low Value</v>
      </c>
      <c r="J688" t="str">
        <f t="shared" si="32"/>
        <v>High Risk</v>
      </c>
      <c r="K688" s="3" t="str">
        <f t="shared" si="30"/>
        <v>0-1 Year</v>
      </c>
    </row>
    <row r="689" spans="1:11" x14ac:dyDescent="0.3">
      <c r="A689" t="s">
        <v>706</v>
      </c>
      <c r="B689" t="s">
        <v>14</v>
      </c>
      <c r="C689" t="s">
        <v>15</v>
      </c>
      <c r="D689" t="s">
        <v>16</v>
      </c>
      <c r="E689">
        <v>30.1</v>
      </c>
      <c r="F689">
        <v>52</v>
      </c>
      <c r="G689">
        <v>1565.2</v>
      </c>
      <c r="H689" t="s">
        <v>12</v>
      </c>
      <c r="I689" t="str">
        <f t="shared" si="31"/>
        <v>Low Value</v>
      </c>
      <c r="J689" t="str">
        <f t="shared" si="32"/>
        <v>Low Risk</v>
      </c>
      <c r="K689" s="3" t="str">
        <f t="shared" si="30"/>
        <v>4+ Years</v>
      </c>
    </row>
    <row r="690" spans="1:11" x14ac:dyDescent="0.3">
      <c r="A690" t="s">
        <v>707</v>
      </c>
      <c r="B690" t="s">
        <v>14</v>
      </c>
      <c r="C690" t="s">
        <v>10</v>
      </c>
      <c r="D690" t="s">
        <v>20</v>
      </c>
      <c r="E690">
        <v>83.4</v>
      </c>
      <c r="F690">
        <v>51</v>
      </c>
      <c r="G690">
        <v>4253.3999999999996</v>
      </c>
      <c r="H690" t="s">
        <v>12</v>
      </c>
      <c r="I690" t="str">
        <f t="shared" si="31"/>
        <v>Medium Value</v>
      </c>
      <c r="J690" t="str">
        <f t="shared" si="32"/>
        <v>Low Risk</v>
      </c>
      <c r="K690" s="3" t="str">
        <f t="shared" si="30"/>
        <v>4+ Years</v>
      </c>
    </row>
    <row r="691" spans="1:11" x14ac:dyDescent="0.3">
      <c r="A691" t="s">
        <v>708</v>
      </c>
      <c r="B691" t="s">
        <v>14</v>
      </c>
      <c r="C691" t="s">
        <v>10</v>
      </c>
      <c r="D691" t="s">
        <v>16</v>
      </c>
      <c r="E691">
        <v>20.45</v>
      </c>
      <c r="F691">
        <v>1</v>
      </c>
      <c r="G691">
        <v>20.45</v>
      </c>
      <c r="H691" t="s">
        <v>12</v>
      </c>
      <c r="I691" t="str">
        <f t="shared" si="31"/>
        <v>Low Value</v>
      </c>
      <c r="J691" t="str">
        <f t="shared" si="32"/>
        <v>High Risk</v>
      </c>
      <c r="K691" s="3" t="str">
        <f t="shared" si="30"/>
        <v>0-1 Year</v>
      </c>
    </row>
    <row r="692" spans="1:11" x14ac:dyDescent="0.3">
      <c r="A692" t="s">
        <v>709</v>
      </c>
      <c r="B692" t="s">
        <v>14</v>
      </c>
      <c r="C692" t="s">
        <v>15</v>
      </c>
      <c r="D692" t="s">
        <v>20</v>
      </c>
      <c r="E692">
        <v>75.25</v>
      </c>
      <c r="F692">
        <v>31</v>
      </c>
      <c r="G692">
        <v>2332.75</v>
      </c>
      <c r="H692" t="s">
        <v>12</v>
      </c>
      <c r="I692" t="str">
        <f t="shared" si="31"/>
        <v>Medium Value</v>
      </c>
      <c r="J692" t="str">
        <f t="shared" si="32"/>
        <v>Low Risk</v>
      </c>
      <c r="K692" s="3" t="str">
        <f t="shared" si="30"/>
        <v>2-4 Years</v>
      </c>
    </row>
    <row r="693" spans="1:11" x14ac:dyDescent="0.3">
      <c r="A693" t="s">
        <v>710</v>
      </c>
      <c r="B693" t="s">
        <v>14</v>
      </c>
      <c r="C693" t="s">
        <v>15</v>
      </c>
      <c r="D693" t="s">
        <v>24</v>
      </c>
      <c r="E693">
        <v>20.55</v>
      </c>
      <c r="F693">
        <v>47</v>
      </c>
      <c r="G693">
        <v>965.85</v>
      </c>
      <c r="H693" t="s">
        <v>12</v>
      </c>
      <c r="I693" t="str">
        <f t="shared" si="31"/>
        <v>Low Value</v>
      </c>
      <c r="J693" t="str">
        <f t="shared" si="32"/>
        <v>Low Risk</v>
      </c>
      <c r="K693" s="3" t="str">
        <f t="shared" si="30"/>
        <v>2-4 Years</v>
      </c>
    </row>
    <row r="694" spans="1:11" x14ac:dyDescent="0.3">
      <c r="A694" t="s">
        <v>711</v>
      </c>
      <c r="B694" t="s">
        <v>9</v>
      </c>
      <c r="C694" t="s">
        <v>10</v>
      </c>
      <c r="D694" t="s">
        <v>24</v>
      </c>
      <c r="E694">
        <v>75.099999999999994</v>
      </c>
      <c r="F694">
        <v>3</v>
      </c>
      <c r="G694">
        <v>225.29999999999899</v>
      </c>
      <c r="H694" t="s">
        <v>18</v>
      </c>
      <c r="I694" t="str">
        <f t="shared" si="31"/>
        <v>Low Value</v>
      </c>
      <c r="J694" t="str">
        <f t="shared" si="32"/>
        <v>High Risk</v>
      </c>
      <c r="K694" s="3" t="str">
        <f t="shared" si="30"/>
        <v>0-1 Year</v>
      </c>
    </row>
    <row r="695" spans="1:11" x14ac:dyDescent="0.3">
      <c r="A695" t="s">
        <v>712</v>
      </c>
      <c r="B695" t="s">
        <v>9</v>
      </c>
      <c r="C695" t="s">
        <v>15</v>
      </c>
      <c r="D695" t="s">
        <v>16</v>
      </c>
      <c r="E695">
        <v>20.05</v>
      </c>
      <c r="F695">
        <v>22</v>
      </c>
      <c r="G695">
        <v>441.1</v>
      </c>
      <c r="H695" t="s">
        <v>12</v>
      </c>
      <c r="I695" t="str">
        <f t="shared" si="31"/>
        <v>Low Value</v>
      </c>
      <c r="J695" t="str">
        <f t="shared" si="32"/>
        <v>Medium Risk</v>
      </c>
      <c r="K695" s="3" t="str">
        <f t="shared" si="30"/>
        <v>1-2 Years</v>
      </c>
    </row>
    <row r="696" spans="1:11" x14ac:dyDescent="0.3">
      <c r="A696" t="s">
        <v>713</v>
      </c>
      <c r="B696" t="s">
        <v>9</v>
      </c>
      <c r="C696" t="s">
        <v>10</v>
      </c>
      <c r="D696" t="s">
        <v>16</v>
      </c>
      <c r="E696">
        <v>20.65</v>
      </c>
      <c r="F696">
        <v>1</v>
      </c>
      <c r="G696">
        <v>20.65</v>
      </c>
      <c r="H696" t="s">
        <v>12</v>
      </c>
      <c r="I696" t="str">
        <f t="shared" si="31"/>
        <v>Low Value</v>
      </c>
      <c r="J696" t="str">
        <f t="shared" si="32"/>
        <v>High Risk</v>
      </c>
      <c r="K696" s="3" t="str">
        <f t="shared" si="30"/>
        <v>0-1 Year</v>
      </c>
    </row>
    <row r="697" spans="1:11" x14ac:dyDescent="0.3">
      <c r="A697" t="s">
        <v>714</v>
      </c>
      <c r="B697" t="s">
        <v>14</v>
      </c>
      <c r="C697" t="s">
        <v>30</v>
      </c>
      <c r="D697" t="s">
        <v>20</v>
      </c>
      <c r="E697">
        <v>85.15</v>
      </c>
      <c r="F697">
        <v>72</v>
      </c>
      <c r="G697">
        <v>6130.8</v>
      </c>
      <c r="H697" t="s">
        <v>12</v>
      </c>
      <c r="I697" t="str">
        <f t="shared" si="31"/>
        <v>High Value</v>
      </c>
      <c r="J697" t="str">
        <f t="shared" si="32"/>
        <v>Low Risk</v>
      </c>
      <c r="K697" s="3" t="str">
        <f t="shared" si="30"/>
        <v>4+ Years</v>
      </c>
    </row>
    <row r="698" spans="1:11" x14ac:dyDescent="0.3">
      <c r="A698" t="s">
        <v>715</v>
      </c>
      <c r="B698" t="s">
        <v>14</v>
      </c>
      <c r="C698" t="s">
        <v>10</v>
      </c>
      <c r="D698" t="s">
        <v>11</v>
      </c>
      <c r="E698">
        <v>50.15</v>
      </c>
      <c r="F698">
        <v>3</v>
      </c>
      <c r="G698">
        <v>150.44999999999999</v>
      </c>
      <c r="H698" t="s">
        <v>18</v>
      </c>
      <c r="I698" t="str">
        <f t="shared" si="31"/>
        <v>Low Value</v>
      </c>
      <c r="J698" t="str">
        <f t="shared" si="32"/>
        <v>High Risk</v>
      </c>
      <c r="K698" s="3" t="str">
        <f t="shared" si="30"/>
        <v>0-1 Year</v>
      </c>
    </row>
    <row r="699" spans="1:11" x14ac:dyDescent="0.3">
      <c r="A699" t="s">
        <v>716</v>
      </c>
      <c r="B699" t="s">
        <v>14</v>
      </c>
      <c r="C699" t="s">
        <v>15</v>
      </c>
      <c r="D699" t="s">
        <v>20</v>
      </c>
      <c r="E699">
        <v>84.95</v>
      </c>
      <c r="F699">
        <v>47</v>
      </c>
      <c r="G699">
        <v>3992.65</v>
      </c>
      <c r="H699" t="s">
        <v>12</v>
      </c>
      <c r="I699" t="str">
        <f t="shared" si="31"/>
        <v>Medium Value</v>
      </c>
      <c r="J699" t="str">
        <f t="shared" si="32"/>
        <v>Low Risk</v>
      </c>
      <c r="K699" s="3" t="str">
        <f t="shared" si="30"/>
        <v>2-4 Years</v>
      </c>
    </row>
    <row r="700" spans="1:11" x14ac:dyDescent="0.3">
      <c r="A700" t="s">
        <v>717</v>
      </c>
      <c r="B700" t="s">
        <v>14</v>
      </c>
      <c r="C700" t="s">
        <v>30</v>
      </c>
      <c r="D700" t="s">
        <v>24</v>
      </c>
      <c r="E700">
        <v>66.5</v>
      </c>
      <c r="F700">
        <v>72</v>
      </c>
      <c r="G700">
        <v>4788</v>
      </c>
      <c r="H700" t="s">
        <v>12</v>
      </c>
      <c r="I700" t="str">
        <f t="shared" si="31"/>
        <v>Medium Value</v>
      </c>
      <c r="J700" t="str">
        <f t="shared" si="32"/>
        <v>Low Risk</v>
      </c>
      <c r="K700" s="3" t="str">
        <f t="shared" si="30"/>
        <v>4+ Years</v>
      </c>
    </row>
    <row r="701" spans="1:11" x14ac:dyDescent="0.3">
      <c r="A701" t="s">
        <v>718</v>
      </c>
      <c r="B701" t="s">
        <v>14</v>
      </c>
      <c r="C701" t="s">
        <v>30</v>
      </c>
      <c r="D701" t="s">
        <v>20</v>
      </c>
      <c r="E701">
        <v>63.3</v>
      </c>
      <c r="F701">
        <v>66</v>
      </c>
      <c r="G701">
        <v>4177.8</v>
      </c>
      <c r="H701" t="s">
        <v>12</v>
      </c>
      <c r="I701" t="str">
        <f t="shared" si="31"/>
        <v>Medium Value</v>
      </c>
      <c r="J701" t="str">
        <f t="shared" si="32"/>
        <v>Low Risk</v>
      </c>
      <c r="K701" s="3" t="str">
        <f t="shared" si="30"/>
        <v>4+ Years</v>
      </c>
    </row>
    <row r="702" spans="1:11" x14ac:dyDescent="0.3">
      <c r="A702" t="s">
        <v>719</v>
      </c>
      <c r="B702" t="s">
        <v>14</v>
      </c>
      <c r="C702" t="s">
        <v>10</v>
      </c>
      <c r="D702" t="s">
        <v>11</v>
      </c>
      <c r="E702">
        <v>83.15</v>
      </c>
      <c r="F702">
        <v>35</v>
      </c>
      <c r="G702">
        <v>2910.25</v>
      </c>
      <c r="H702" t="s">
        <v>12</v>
      </c>
      <c r="I702" t="str">
        <f t="shared" si="31"/>
        <v>Medium Value</v>
      </c>
      <c r="J702" t="str">
        <f t="shared" si="32"/>
        <v>Low Risk</v>
      </c>
      <c r="K702" s="3" t="str">
        <f t="shared" si="30"/>
        <v>2-4 Years</v>
      </c>
    </row>
    <row r="703" spans="1:11" x14ac:dyDescent="0.3">
      <c r="A703" t="s">
        <v>720</v>
      </c>
      <c r="B703" t="s">
        <v>14</v>
      </c>
      <c r="C703" t="s">
        <v>10</v>
      </c>
      <c r="D703" t="s">
        <v>11</v>
      </c>
      <c r="E703">
        <v>84.9</v>
      </c>
      <c r="F703">
        <v>29</v>
      </c>
      <c r="G703">
        <v>2462.1</v>
      </c>
      <c r="H703" t="s">
        <v>12</v>
      </c>
      <c r="I703" t="str">
        <f t="shared" si="31"/>
        <v>Medium Value</v>
      </c>
      <c r="J703" t="str">
        <f t="shared" si="32"/>
        <v>Low Risk</v>
      </c>
      <c r="K703" s="3" t="str">
        <f t="shared" si="30"/>
        <v>2-4 Years</v>
      </c>
    </row>
    <row r="704" spans="1:11" x14ac:dyDescent="0.3">
      <c r="A704" t="s">
        <v>721</v>
      </c>
      <c r="B704" t="s">
        <v>9</v>
      </c>
      <c r="C704" t="s">
        <v>10</v>
      </c>
      <c r="D704" t="s">
        <v>16</v>
      </c>
      <c r="E704">
        <v>20.55</v>
      </c>
      <c r="F704">
        <v>2</v>
      </c>
      <c r="G704">
        <v>41.1</v>
      </c>
      <c r="H704" t="s">
        <v>12</v>
      </c>
      <c r="I704" t="str">
        <f t="shared" si="31"/>
        <v>Low Value</v>
      </c>
      <c r="J704" t="str">
        <f t="shared" si="32"/>
        <v>High Risk</v>
      </c>
      <c r="K704" s="3" t="str">
        <f t="shared" si="30"/>
        <v>0-1 Year</v>
      </c>
    </row>
    <row r="705" spans="1:11" x14ac:dyDescent="0.3">
      <c r="A705" t="s">
        <v>722</v>
      </c>
      <c r="B705" t="s">
        <v>14</v>
      </c>
      <c r="C705" t="s">
        <v>10</v>
      </c>
      <c r="D705" t="s">
        <v>16</v>
      </c>
      <c r="E705">
        <v>49.25</v>
      </c>
      <c r="F705">
        <v>4</v>
      </c>
      <c r="G705">
        <v>197</v>
      </c>
      <c r="H705" t="s">
        <v>12</v>
      </c>
      <c r="I705" t="str">
        <f t="shared" si="31"/>
        <v>Low Value</v>
      </c>
      <c r="J705" t="str">
        <f t="shared" si="32"/>
        <v>High Risk</v>
      </c>
      <c r="K705" s="3" t="str">
        <f t="shared" si="30"/>
        <v>0-1 Year</v>
      </c>
    </row>
    <row r="706" spans="1:11" x14ac:dyDescent="0.3">
      <c r="A706" t="s">
        <v>723</v>
      </c>
      <c r="B706" t="s">
        <v>9</v>
      </c>
      <c r="C706" t="s">
        <v>10</v>
      </c>
      <c r="D706" t="s">
        <v>20</v>
      </c>
      <c r="E706">
        <v>79.849999999999994</v>
      </c>
      <c r="F706">
        <v>25</v>
      </c>
      <c r="G706">
        <v>1996.24999999999</v>
      </c>
      <c r="H706" t="s">
        <v>18</v>
      </c>
      <c r="I706" t="str">
        <f t="shared" si="31"/>
        <v>Low Value</v>
      </c>
      <c r="J706" t="str">
        <f t="shared" si="32"/>
        <v>Low Risk</v>
      </c>
      <c r="K706" s="3" t="str">
        <f t="shared" si="30"/>
        <v>2-4 Years</v>
      </c>
    </row>
    <row r="707" spans="1:11" x14ac:dyDescent="0.3">
      <c r="A707" t="s">
        <v>724</v>
      </c>
      <c r="B707" t="s">
        <v>9</v>
      </c>
      <c r="C707" t="s">
        <v>30</v>
      </c>
      <c r="D707" t="s">
        <v>16</v>
      </c>
      <c r="E707">
        <v>59.6</v>
      </c>
      <c r="F707">
        <v>65</v>
      </c>
      <c r="G707">
        <v>3874</v>
      </c>
      <c r="H707" t="s">
        <v>12</v>
      </c>
      <c r="I707" t="str">
        <f t="shared" si="31"/>
        <v>Medium Value</v>
      </c>
      <c r="J707" t="str">
        <f t="shared" si="32"/>
        <v>Low Risk</v>
      </c>
      <c r="K707" s="3" t="str">
        <f t="shared" ref="K707:K770" si="33">IF(F707&lt;=12,"0-1 Year",
IF(F707&lt;=24,"1-2 Years",
IF(F707&lt;=48,"2-4 Years","4+ Years")))</f>
        <v>4+ Years</v>
      </c>
    </row>
    <row r="708" spans="1:11" x14ac:dyDescent="0.3">
      <c r="A708" t="s">
        <v>725</v>
      </c>
      <c r="B708" t="s">
        <v>14</v>
      </c>
      <c r="C708" t="s">
        <v>15</v>
      </c>
      <c r="D708" t="s">
        <v>20</v>
      </c>
      <c r="E708">
        <v>104.65</v>
      </c>
      <c r="F708">
        <v>27</v>
      </c>
      <c r="G708">
        <v>2825.55</v>
      </c>
      <c r="H708" t="s">
        <v>12</v>
      </c>
      <c r="I708" t="str">
        <f t="shared" ref="I708:I771" si="34">IF(G708&gt;5000,"High Value",
IF(G708&gt;2000,"Medium Value","Low Value"))</f>
        <v>Medium Value</v>
      </c>
      <c r="J708" t="str">
        <f t="shared" ref="J708:J771" si="35">IF(F708&lt;12,"High Risk",
IF(F708&lt;24,"Medium Risk","Low Risk"))</f>
        <v>Low Risk</v>
      </c>
      <c r="K708" s="3" t="str">
        <f t="shared" si="33"/>
        <v>2-4 Years</v>
      </c>
    </row>
    <row r="709" spans="1:11" x14ac:dyDescent="0.3">
      <c r="A709" t="s">
        <v>726</v>
      </c>
      <c r="B709" t="s">
        <v>14</v>
      </c>
      <c r="C709" t="s">
        <v>10</v>
      </c>
      <c r="D709" t="s">
        <v>24</v>
      </c>
      <c r="E709">
        <v>75.3</v>
      </c>
      <c r="F709">
        <v>29</v>
      </c>
      <c r="G709">
        <v>2183.6999999999998</v>
      </c>
      <c r="H709" t="s">
        <v>12</v>
      </c>
      <c r="I709" t="str">
        <f t="shared" si="34"/>
        <v>Medium Value</v>
      </c>
      <c r="J709" t="str">
        <f t="shared" si="35"/>
        <v>Low Risk</v>
      </c>
      <c r="K709" s="3" t="str">
        <f t="shared" si="33"/>
        <v>2-4 Years</v>
      </c>
    </row>
    <row r="710" spans="1:11" x14ac:dyDescent="0.3">
      <c r="A710" t="s">
        <v>727</v>
      </c>
      <c r="B710" t="s">
        <v>14</v>
      </c>
      <c r="C710" t="s">
        <v>10</v>
      </c>
      <c r="D710" t="s">
        <v>24</v>
      </c>
      <c r="E710">
        <v>80.099999999999994</v>
      </c>
      <c r="F710">
        <v>29</v>
      </c>
      <c r="G710">
        <v>2322.8999999999901</v>
      </c>
      <c r="H710" t="s">
        <v>12</v>
      </c>
      <c r="I710" t="str">
        <f t="shared" si="34"/>
        <v>Medium Value</v>
      </c>
      <c r="J710" t="str">
        <f t="shared" si="35"/>
        <v>Low Risk</v>
      </c>
      <c r="K710" s="3" t="str">
        <f t="shared" si="33"/>
        <v>2-4 Years</v>
      </c>
    </row>
    <row r="711" spans="1:11" x14ac:dyDescent="0.3">
      <c r="A711" t="s">
        <v>728</v>
      </c>
      <c r="B711" t="s">
        <v>14</v>
      </c>
      <c r="C711" t="s">
        <v>10</v>
      </c>
      <c r="D711" t="s">
        <v>16</v>
      </c>
      <c r="E711">
        <v>19.55</v>
      </c>
      <c r="F711">
        <v>1</v>
      </c>
      <c r="G711">
        <v>19.55</v>
      </c>
      <c r="H711" t="s">
        <v>18</v>
      </c>
      <c r="I711" t="str">
        <f t="shared" si="34"/>
        <v>Low Value</v>
      </c>
      <c r="J711" t="str">
        <f t="shared" si="35"/>
        <v>High Risk</v>
      </c>
      <c r="K711" s="3" t="str">
        <f t="shared" si="33"/>
        <v>0-1 Year</v>
      </c>
    </row>
    <row r="712" spans="1:11" x14ac:dyDescent="0.3">
      <c r="A712" t="s">
        <v>729</v>
      </c>
      <c r="B712" t="s">
        <v>9</v>
      </c>
      <c r="C712" t="s">
        <v>10</v>
      </c>
      <c r="D712" t="s">
        <v>16</v>
      </c>
      <c r="E712">
        <v>81</v>
      </c>
      <c r="F712">
        <v>20</v>
      </c>
      <c r="G712">
        <v>1620</v>
      </c>
      <c r="H712" t="s">
        <v>12</v>
      </c>
      <c r="I712" t="str">
        <f t="shared" si="34"/>
        <v>Low Value</v>
      </c>
      <c r="J712" t="str">
        <f t="shared" si="35"/>
        <v>Medium Risk</v>
      </c>
      <c r="K712" s="3" t="str">
        <f t="shared" si="33"/>
        <v>1-2 Years</v>
      </c>
    </row>
    <row r="713" spans="1:11" x14ac:dyDescent="0.3">
      <c r="A713" t="s">
        <v>730</v>
      </c>
      <c r="B713" t="s">
        <v>9</v>
      </c>
      <c r="C713" t="s">
        <v>30</v>
      </c>
      <c r="D713" t="s">
        <v>24</v>
      </c>
      <c r="E713">
        <v>24.7</v>
      </c>
      <c r="F713">
        <v>58</v>
      </c>
      <c r="G713">
        <v>1432.6</v>
      </c>
      <c r="H713" t="s">
        <v>12</v>
      </c>
      <c r="I713" t="str">
        <f t="shared" si="34"/>
        <v>Low Value</v>
      </c>
      <c r="J713" t="str">
        <f t="shared" si="35"/>
        <v>Low Risk</v>
      </c>
      <c r="K713" s="3" t="str">
        <f t="shared" si="33"/>
        <v>4+ Years</v>
      </c>
    </row>
    <row r="714" spans="1:11" x14ac:dyDescent="0.3">
      <c r="A714" t="s">
        <v>731</v>
      </c>
      <c r="B714" t="s">
        <v>9</v>
      </c>
      <c r="C714" t="s">
        <v>10</v>
      </c>
      <c r="D714" t="s">
        <v>16</v>
      </c>
      <c r="E714">
        <v>86</v>
      </c>
      <c r="F714">
        <v>14</v>
      </c>
      <c r="G714">
        <v>1204</v>
      </c>
      <c r="H714" t="s">
        <v>12</v>
      </c>
      <c r="I714" t="str">
        <f t="shared" si="34"/>
        <v>Low Value</v>
      </c>
      <c r="J714" t="str">
        <f t="shared" si="35"/>
        <v>Medium Risk</v>
      </c>
      <c r="K714" s="3" t="str">
        <f t="shared" si="33"/>
        <v>1-2 Years</v>
      </c>
    </row>
    <row r="715" spans="1:11" x14ac:dyDescent="0.3">
      <c r="A715" t="s">
        <v>732</v>
      </c>
      <c r="B715" t="s">
        <v>14</v>
      </c>
      <c r="C715" t="s">
        <v>30</v>
      </c>
      <c r="D715" t="s">
        <v>16</v>
      </c>
      <c r="E715">
        <v>25.4</v>
      </c>
      <c r="F715">
        <v>72</v>
      </c>
      <c r="G715">
        <v>1828.8</v>
      </c>
      <c r="H715" t="s">
        <v>12</v>
      </c>
      <c r="I715" t="str">
        <f t="shared" si="34"/>
        <v>Low Value</v>
      </c>
      <c r="J715" t="str">
        <f t="shared" si="35"/>
        <v>Low Risk</v>
      </c>
      <c r="K715" s="3" t="str">
        <f t="shared" si="33"/>
        <v>4+ Years</v>
      </c>
    </row>
    <row r="716" spans="1:11" x14ac:dyDescent="0.3">
      <c r="A716" t="s">
        <v>733</v>
      </c>
      <c r="B716" t="s">
        <v>14</v>
      </c>
      <c r="C716" t="s">
        <v>10</v>
      </c>
      <c r="D716" t="s">
        <v>24</v>
      </c>
      <c r="E716">
        <v>89.15</v>
      </c>
      <c r="F716">
        <v>46</v>
      </c>
      <c r="G716">
        <v>4100.8999999999996</v>
      </c>
      <c r="H716" t="s">
        <v>12</v>
      </c>
      <c r="I716" t="str">
        <f t="shared" si="34"/>
        <v>Medium Value</v>
      </c>
      <c r="J716" t="str">
        <f t="shared" si="35"/>
        <v>Low Risk</v>
      </c>
      <c r="K716" s="3" t="str">
        <f t="shared" si="33"/>
        <v>2-4 Years</v>
      </c>
    </row>
    <row r="717" spans="1:11" x14ac:dyDescent="0.3">
      <c r="A717" t="s">
        <v>734</v>
      </c>
      <c r="B717" t="s">
        <v>9</v>
      </c>
      <c r="C717" t="s">
        <v>30</v>
      </c>
      <c r="D717" t="s">
        <v>20</v>
      </c>
      <c r="E717">
        <v>58.25</v>
      </c>
      <c r="F717">
        <v>71</v>
      </c>
      <c r="G717">
        <v>4135.75</v>
      </c>
      <c r="H717" t="s">
        <v>12</v>
      </c>
      <c r="I717" t="str">
        <f t="shared" si="34"/>
        <v>Medium Value</v>
      </c>
      <c r="J717" t="str">
        <f t="shared" si="35"/>
        <v>Low Risk</v>
      </c>
      <c r="K717" s="3" t="str">
        <f t="shared" si="33"/>
        <v>4+ Years</v>
      </c>
    </row>
    <row r="718" spans="1:11" x14ac:dyDescent="0.3">
      <c r="A718" t="s">
        <v>735</v>
      </c>
      <c r="B718" t="s">
        <v>14</v>
      </c>
      <c r="C718" t="s">
        <v>10</v>
      </c>
      <c r="D718" t="s">
        <v>20</v>
      </c>
      <c r="E718">
        <v>85.65</v>
      </c>
      <c r="F718">
        <v>32</v>
      </c>
      <c r="G718">
        <v>2740.8</v>
      </c>
      <c r="H718" t="s">
        <v>12</v>
      </c>
      <c r="I718" t="str">
        <f t="shared" si="34"/>
        <v>Medium Value</v>
      </c>
      <c r="J718" t="str">
        <f t="shared" si="35"/>
        <v>Low Risk</v>
      </c>
      <c r="K718" s="3" t="str">
        <f t="shared" si="33"/>
        <v>2-4 Years</v>
      </c>
    </row>
    <row r="719" spans="1:11" x14ac:dyDescent="0.3">
      <c r="A719" t="s">
        <v>736</v>
      </c>
      <c r="B719" t="s">
        <v>9</v>
      </c>
      <c r="C719" t="s">
        <v>10</v>
      </c>
      <c r="D719" t="s">
        <v>24</v>
      </c>
      <c r="E719">
        <v>50.35</v>
      </c>
      <c r="F719">
        <v>26</v>
      </c>
      <c r="G719">
        <v>1309.0999999999999</v>
      </c>
      <c r="H719" t="s">
        <v>12</v>
      </c>
      <c r="I719" t="str">
        <f t="shared" si="34"/>
        <v>Low Value</v>
      </c>
      <c r="J719" t="str">
        <f t="shared" si="35"/>
        <v>Low Risk</v>
      </c>
      <c r="K719" s="3" t="str">
        <f t="shared" si="33"/>
        <v>2-4 Years</v>
      </c>
    </row>
    <row r="720" spans="1:11" x14ac:dyDescent="0.3">
      <c r="A720" t="s">
        <v>737</v>
      </c>
      <c r="B720" t="s">
        <v>14</v>
      </c>
      <c r="C720" t="s">
        <v>10</v>
      </c>
      <c r="D720" t="s">
        <v>24</v>
      </c>
      <c r="E720">
        <v>80.349999999999994</v>
      </c>
      <c r="F720">
        <v>68</v>
      </c>
      <c r="G720">
        <v>5463.7999999999902</v>
      </c>
      <c r="H720" t="s">
        <v>12</v>
      </c>
      <c r="I720" t="str">
        <f t="shared" si="34"/>
        <v>High Value</v>
      </c>
      <c r="J720" t="str">
        <f t="shared" si="35"/>
        <v>Low Risk</v>
      </c>
      <c r="K720" s="3" t="str">
        <f t="shared" si="33"/>
        <v>4+ Years</v>
      </c>
    </row>
    <row r="721" spans="1:11" x14ac:dyDescent="0.3">
      <c r="A721" t="s">
        <v>738</v>
      </c>
      <c r="B721" t="s">
        <v>14</v>
      </c>
      <c r="C721" t="s">
        <v>15</v>
      </c>
      <c r="D721" t="s">
        <v>16</v>
      </c>
      <c r="E721">
        <v>20.2</v>
      </c>
      <c r="F721">
        <v>2</v>
      </c>
      <c r="G721">
        <v>40.4</v>
      </c>
      <c r="H721" t="s">
        <v>12</v>
      </c>
      <c r="I721" t="str">
        <f t="shared" si="34"/>
        <v>Low Value</v>
      </c>
      <c r="J721" t="str">
        <f t="shared" si="35"/>
        <v>High Risk</v>
      </c>
      <c r="K721" s="3" t="str">
        <f t="shared" si="33"/>
        <v>0-1 Year</v>
      </c>
    </row>
    <row r="722" spans="1:11" x14ac:dyDescent="0.3">
      <c r="A722" t="s">
        <v>739</v>
      </c>
      <c r="B722" t="s">
        <v>14</v>
      </c>
      <c r="C722" t="s">
        <v>30</v>
      </c>
      <c r="D722" t="s">
        <v>24</v>
      </c>
      <c r="E722">
        <v>20.55</v>
      </c>
      <c r="F722">
        <v>61</v>
      </c>
      <c r="G722">
        <v>1253.55</v>
      </c>
      <c r="H722" t="s">
        <v>12</v>
      </c>
      <c r="I722" t="str">
        <f t="shared" si="34"/>
        <v>Low Value</v>
      </c>
      <c r="J722" t="str">
        <f t="shared" si="35"/>
        <v>Low Risk</v>
      </c>
      <c r="K722" s="3" t="str">
        <f t="shared" si="33"/>
        <v>4+ Years</v>
      </c>
    </row>
    <row r="723" spans="1:11" x14ac:dyDescent="0.3">
      <c r="A723" t="s">
        <v>740</v>
      </c>
      <c r="B723" t="s">
        <v>9</v>
      </c>
      <c r="C723" t="s">
        <v>10</v>
      </c>
      <c r="D723" t="s">
        <v>11</v>
      </c>
      <c r="E723">
        <v>85.95</v>
      </c>
      <c r="F723">
        <v>4</v>
      </c>
      <c r="G723">
        <v>343.8</v>
      </c>
      <c r="H723" t="s">
        <v>18</v>
      </c>
      <c r="I723" t="str">
        <f t="shared" si="34"/>
        <v>Low Value</v>
      </c>
      <c r="J723" t="str">
        <f t="shared" si="35"/>
        <v>High Risk</v>
      </c>
      <c r="K723" s="3" t="str">
        <f t="shared" si="33"/>
        <v>0-1 Year</v>
      </c>
    </row>
    <row r="724" spans="1:11" x14ac:dyDescent="0.3">
      <c r="A724" t="s">
        <v>741</v>
      </c>
      <c r="B724" t="s">
        <v>14</v>
      </c>
      <c r="C724" t="s">
        <v>10</v>
      </c>
      <c r="D724" t="s">
        <v>11</v>
      </c>
      <c r="E724">
        <v>45.35</v>
      </c>
      <c r="F724">
        <v>3</v>
      </c>
      <c r="G724">
        <v>136.05000000000001</v>
      </c>
      <c r="H724" t="s">
        <v>18</v>
      </c>
      <c r="I724" t="str">
        <f t="shared" si="34"/>
        <v>Low Value</v>
      </c>
      <c r="J724" t="str">
        <f t="shared" si="35"/>
        <v>High Risk</v>
      </c>
      <c r="K724" s="3" t="str">
        <f t="shared" si="33"/>
        <v>0-1 Year</v>
      </c>
    </row>
    <row r="725" spans="1:11" x14ac:dyDescent="0.3">
      <c r="A725" t="s">
        <v>742</v>
      </c>
      <c r="B725" t="s">
        <v>14</v>
      </c>
      <c r="C725" t="s">
        <v>10</v>
      </c>
      <c r="D725" t="s">
        <v>11</v>
      </c>
      <c r="E725">
        <v>94.5</v>
      </c>
      <c r="F725">
        <v>33</v>
      </c>
      <c r="G725">
        <v>3118.5</v>
      </c>
      <c r="H725" t="s">
        <v>18</v>
      </c>
      <c r="I725" t="str">
        <f t="shared" si="34"/>
        <v>Medium Value</v>
      </c>
      <c r="J725" t="str">
        <f t="shared" si="35"/>
        <v>Low Risk</v>
      </c>
      <c r="K725" s="3" t="str">
        <f t="shared" si="33"/>
        <v>2-4 Years</v>
      </c>
    </row>
    <row r="726" spans="1:11" x14ac:dyDescent="0.3">
      <c r="A726" t="s">
        <v>743</v>
      </c>
      <c r="B726" t="s">
        <v>14</v>
      </c>
      <c r="C726" t="s">
        <v>10</v>
      </c>
      <c r="D726" t="s">
        <v>16</v>
      </c>
      <c r="E726">
        <v>21.25</v>
      </c>
      <c r="F726">
        <v>9</v>
      </c>
      <c r="G726">
        <v>191.25</v>
      </c>
      <c r="H726" t="s">
        <v>12</v>
      </c>
      <c r="I726" t="str">
        <f t="shared" si="34"/>
        <v>Low Value</v>
      </c>
      <c r="J726" t="str">
        <f t="shared" si="35"/>
        <v>High Risk</v>
      </c>
      <c r="K726" s="3" t="str">
        <f t="shared" si="33"/>
        <v>0-1 Year</v>
      </c>
    </row>
    <row r="727" spans="1:11" x14ac:dyDescent="0.3">
      <c r="A727" t="s">
        <v>744</v>
      </c>
      <c r="B727" t="s">
        <v>9</v>
      </c>
      <c r="C727" t="s">
        <v>30</v>
      </c>
      <c r="D727" t="s">
        <v>16</v>
      </c>
      <c r="E727">
        <v>26.25</v>
      </c>
      <c r="F727">
        <v>22</v>
      </c>
      <c r="G727">
        <v>577.5</v>
      </c>
      <c r="H727" t="s">
        <v>12</v>
      </c>
      <c r="I727" t="str">
        <f t="shared" si="34"/>
        <v>Low Value</v>
      </c>
      <c r="J727" t="str">
        <f t="shared" si="35"/>
        <v>Medium Risk</v>
      </c>
      <c r="K727" s="3" t="str">
        <f t="shared" si="33"/>
        <v>1-2 Years</v>
      </c>
    </row>
    <row r="728" spans="1:11" x14ac:dyDescent="0.3">
      <c r="A728" t="s">
        <v>745</v>
      </c>
      <c r="B728" t="s">
        <v>9</v>
      </c>
      <c r="C728" t="s">
        <v>10</v>
      </c>
      <c r="D728" t="s">
        <v>11</v>
      </c>
      <c r="E728">
        <v>80.849999999999994</v>
      </c>
      <c r="F728">
        <v>5</v>
      </c>
      <c r="G728">
        <v>404.25</v>
      </c>
      <c r="H728" t="s">
        <v>12</v>
      </c>
      <c r="I728" t="str">
        <f t="shared" si="34"/>
        <v>Low Value</v>
      </c>
      <c r="J728" t="str">
        <f t="shared" si="35"/>
        <v>High Risk</v>
      </c>
      <c r="K728" s="3" t="str">
        <f t="shared" si="33"/>
        <v>0-1 Year</v>
      </c>
    </row>
    <row r="729" spans="1:11" x14ac:dyDescent="0.3">
      <c r="A729" t="s">
        <v>746</v>
      </c>
      <c r="B729" t="s">
        <v>9</v>
      </c>
      <c r="C729" t="s">
        <v>10</v>
      </c>
      <c r="D729" t="s">
        <v>24</v>
      </c>
      <c r="E729">
        <v>91.7</v>
      </c>
      <c r="F729">
        <v>30</v>
      </c>
      <c r="G729">
        <v>2751</v>
      </c>
      <c r="H729" t="s">
        <v>18</v>
      </c>
      <c r="I729" t="str">
        <f t="shared" si="34"/>
        <v>Medium Value</v>
      </c>
      <c r="J729" t="str">
        <f t="shared" si="35"/>
        <v>Low Risk</v>
      </c>
      <c r="K729" s="3" t="str">
        <f t="shared" si="33"/>
        <v>2-4 Years</v>
      </c>
    </row>
    <row r="730" spans="1:11" x14ac:dyDescent="0.3">
      <c r="A730" t="s">
        <v>747</v>
      </c>
      <c r="B730" t="s">
        <v>14</v>
      </c>
      <c r="C730" t="s">
        <v>30</v>
      </c>
      <c r="D730" t="s">
        <v>24</v>
      </c>
      <c r="E730">
        <v>74.2</v>
      </c>
      <c r="F730">
        <v>65</v>
      </c>
      <c r="G730">
        <v>4823</v>
      </c>
      <c r="H730" t="s">
        <v>12</v>
      </c>
      <c r="I730" t="str">
        <f t="shared" si="34"/>
        <v>Medium Value</v>
      </c>
      <c r="J730" t="str">
        <f t="shared" si="35"/>
        <v>Low Risk</v>
      </c>
      <c r="K730" s="3" t="str">
        <f t="shared" si="33"/>
        <v>4+ Years</v>
      </c>
    </row>
    <row r="731" spans="1:11" x14ac:dyDescent="0.3">
      <c r="A731" t="s">
        <v>748</v>
      </c>
      <c r="B731" t="s">
        <v>9</v>
      </c>
      <c r="C731" t="s">
        <v>10</v>
      </c>
      <c r="D731" t="s">
        <v>11</v>
      </c>
      <c r="E731">
        <v>87.25</v>
      </c>
      <c r="F731">
        <v>45</v>
      </c>
      <c r="G731">
        <v>3926.25</v>
      </c>
      <c r="H731" t="s">
        <v>18</v>
      </c>
      <c r="I731" t="str">
        <f t="shared" si="34"/>
        <v>Medium Value</v>
      </c>
      <c r="J731" t="str">
        <f t="shared" si="35"/>
        <v>Low Risk</v>
      </c>
      <c r="K731" s="3" t="str">
        <f t="shared" si="33"/>
        <v>2-4 Years</v>
      </c>
    </row>
    <row r="732" spans="1:11" x14ac:dyDescent="0.3">
      <c r="A732" t="s">
        <v>749</v>
      </c>
      <c r="B732" t="s">
        <v>14</v>
      </c>
      <c r="C732" t="s">
        <v>10</v>
      </c>
      <c r="D732" t="s">
        <v>16</v>
      </c>
      <c r="E732">
        <v>20.350000000000001</v>
      </c>
      <c r="F732">
        <v>5</v>
      </c>
      <c r="G732">
        <v>101.75</v>
      </c>
      <c r="H732" t="s">
        <v>12</v>
      </c>
      <c r="I732" t="str">
        <f t="shared" si="34"/>
        <v>Low Value</v>
      </c>
      <c r="J732" t="str">
        <f t="shared" si="35"/>
        <v>High Risk</v>
      </c>
      <c r="K732" s="3" t="str">
        <f t="shared" si="33"/>
        <v>0-1 Year</v>
      </c>
    </row>
    <row r="733" spans="1:11" x14ac:dyDescent="0.3">
      <c r="A733" t="s">
        <v>750</v>
      </c>
      <c r="B733" t="s">
        <v>14</v>
      </c>
      <c r="C733" t="s">
        <v>10</v>
      </c>
      <c r="D733" t="s">
        <v>11</v>
      </c>
      <c r="E733">
        <v>75.5</v>
      </c>
      <c r="F733">
        <v>25</v>
      </c>
      <c r="G733">
        <v>1887.5</v>
      </c>
      <c r="H733" t="s">
        <v>12</v>
      </c>
      <c r="I733" t="str">
        <f t="shared" si="34"/>
        <v>Low Value</v>
      </c>
      <c r="J733" t="str">
        <f t="shared" si="35"/>
        <v>Low Risk</v>
      </c>
      <c r="K733" s="3" t="str">
        <f t="shared" si="33"/>
        <v>2-4 Years</v>
      </c>
    </row>
    <row r="734" spans="1:11" x14ac:dyDescent="0.3">
      <c r="A734" t="s">
        <v>751</v>
      </c>
      <c r="B734" t="s">
        <v>9</v>
      </c>
      <c r="C734" t="s">
        <v>30</v>
      </c>
      <c r="D734" t="s">
        <v>20</v>
      </c>
      <c r="E734">
        <v>79.05</v>
      </c>
      <c r="F734">
        <v>72</v>
      </c>
      <c r="G734">
        <v>5691.5999999999904</v>
      </c>
      <c r="H734" t="s">
        <v>12</v>
      </c>
      <c r="I734" t="str">
        <f t="shared" si="34"/>
        <v>High Value</v>
      </c>
      <c r="J734" t="str">
        <f t="shared" si="35"/>
        <v>Low Risk</v>
      </c>
      <c r="K734" s="3" t="str">
        <f t="shared" si="33"/>
        <v>4+ Years</v>
      </c>
    </row>
    <row r="735" spans="1:11" x14ac:dyDescent="0.3">
      <c r="A735" t="s">
        <v>752</v>
      </c>
      <c r="B735" t="s">
        <v>9</v>
      </c>
      <c r="C735" t="s">
        <v>10</v>
      </c>
      <c r="D735" t="s">
        <v>20</v>
      </c>
      <c r="E735">
        <v>90.15</v>
      </c>
      <c r="F735">
        <v>27</v>
      </c>
      <c r="G735">
        <v>2434.0500000000002</v>
      </c>
      <c r="H735" t="s">
        <v>12</v>
      </c>
      <c r="I735" t="str">
        <f t="shared" si="34"/>
        <v>Medium Value</v>
      </c>
      <c r="J735" t="str">
        <f t="shared" si="35"/>
        <v>Low Risk</v>
      </c>
      <c r="K735" s="3" t="str">
        <f t="shared" si="33"/>
        <v>2-4 Years</v>
      </c>
    </row>
    <row r="736" spans="1:11" x14ac:dyDescent="0.3">
      <c r="A736" t="s">
        <v>753</v>
      </c>
      <c r="B736" t="s">
        <v>14</v>
      </c>
      <c r="C736" t="s">
        <v>10</v>
      </c>
      <c r="D736" t="s">
        <v>24</v>
      </c>
      <c r="E736">
        <v>50.6</v>
      </c>
      <c r="F736">
        <v>32</v>
      </c>
      <c r="G736">
        <v>1619.2</v>
      </c>
      <c r="H736" t="s">
        <v>12</v>
      </c>
      <c r="I736" t="str">
        <f t="shared" si="34"/>
        <v>Low Value</v>
      </c>
      <c r="J736" t="str">
        <f t="shared" si="35"/>
        <v>Low Risk</v>
      </c>
      <c r="K736" s="3" t="str">
        <f t="shared" si="33"/>
        <v>2-4 Years</v>
      </c>
    </row>
    <row r="737" spans="1:11" x14ac:dyDescent="0.3">
      <c r="A737" t="s">
        <v>754</v>
      </c>
      <c r="B737" t="s">
        <v>9</v>
      </c>
      <c r="C737" t="s">
        <v>15</v>
      </c>
      <c r="D737" t="s">
        <v>24</v>
      </c>
      <c r="E737">
        <v>110.45</v>
      </c>
      <c r="F737">
        <v>30</v>
      </c>
      <c r="G737">
        <v>3313.5</v>
      </c>
      <c r="H737" t="s">
        <v>12</v>
      </c>
      <c r="I737" t="str">
        <f t="shared" si="34"/>
        <v>Medium Value</v>
      </c>
      <c r="J737" t="str">
        <f t="shared" si="35"/>
        <v>Low Risk</v>
      </c>
      <c r="K737" s="3" t="str">
        <f t="shared" si="33"/>
        <v>2-4 Years</v>
      </c>
    </row>
    <row r="738" spans="1:11" x14ac:dyDescent="0.3">
      <c r="A738" t="s">
        <v>755</v>
      </c>
      <c r="B738" t="s">
        <v>14</v>
      </c>
      <c r="C738" t="s">
        <v>30</v>
      </c>
      <c r="D738" t="s">
        <v>24</v>
      </c>
      <c r="E738">
        <v>101</v>
      </c>
      <c r="F738">
        <v>70</v>
      </c>
      <c r="G738">
        <v>7070</v>
      </c>
      <c r="H738" t="s">
        <v>12</v>
      </c>
      <c r="I738" t="str">
        <f t="shared" si="34"/>
        <v>High Value</v>
      </c>
      <c r="J738" t="str">
        <f t="shared" si="35"/>
        <v>Low Risk</v>
      </c>
      <c r="K738" s="3" t="str">
        <f t="shared" si="33"/>
        <v>4+ Years</v>
      </c>
    </row>
    <row r="739" spans="1:11" x14ac:dyDescent="0.3">
      <c r="A739" t="s">
        <v>756</v>
      </c>
      <c r="B739" t="s">
        <v>14</v>
      </c>
      <c r="C739" t="s">
        <v>10</v>
      </c>
      <c r="D739" t="s">
        <v>20</v>
      </c>
      <c r="E739">
        <v>79.349999999999994</v>
      </c>
      <c r="F739">
        <v>42</v>
      </c>
      <c r="G739">
        <v>3332.7</v>
      </c>
      <c r="H739" t="s">
        <v>12</v>
      </c>
      <c r="I739" t="str">
        <f t="shared" si="34"/>
        <v>Medium Value</v>
      </c>
      <c r="J739" t="str">
        <f t="shared" si="35"/>
        <v>Low Risk</v>
      </c>
      <c r="K739" s="3" t="str">
        <f t="shared" si="33"/>
        <v>2-4 Years</v>
      </c>
    </row>
    <row r="740" spans="1:11" x14ac:dyDescent="0.3">
      <c r="A740" t="s">
        <v>757</v>
      </c>
      <c r="B740" t="s">
        <v>9</v>
      </c>
      <c r="C740" t="s">
        <v>30</v>
      </c>
      <c r="D740" t="s">
        <v>20</v>
      </c>
      <c r="E740">
        <v>89.85</v>
      </c>
      <c r="F740">
        <v>72</v>
      </c>
      <c r="G740">
        <v>6469.2</v>
      </c>
      <c r="H740" t="s">
        <v>12</v>
      </c>
      <c r="I740" t="str">
        <f t="shared" si="34"/>
        <v>High Value</v>
      </c>
      <c r="J740" t="str">
        <f t="shared" si="35"/>
        <v>Low Risk</v>
      </c>
      <c r="K740" s="3" t="str">
        <f t="shared" si="33"/>
        <v>4+ Years</v>
      </c>
    </row>
    <row r="741" spans="1:11" x14ac:dyDescent="0.3">
      <c r="A741" t="s">
        <v>758</v>
      </c>
      <c r="B741" t="s">
        <v>9</v>
      </c>
      <c r="C741" t="s">
        <v>30</v>
      </c>
      <c r="D741" t="s">
        <v>16</v>
      </c>
      <c r="E741">
        <v>65</v>
      </c>
      <c r="F741">
        <v>47</v>
      </c>
      <c r="G741">
        <v>3055</v>
      </c>
      <c r="H741" t="s">
        <v>12</v>
      </c>
      <c r="I741" t="str">
        <f t="shared" si="34"/>
        <v>Medium Value</v>
      </c>
      <c r="J741" t="str">
        <f t="shared" si="35"/>
        <v>Low Risk</v>
      </c>
      <c r="K741" s="3" t="str">
        <f t="shared" si="33"/>
        <v>2-4 Years</v>
      </c>
    </row>
    <row r="742" spans="1:11" x14ac:dyDescent="0.3">
      <c r="A742" t="s">
        <v>759</v>
      </c>
      <c r="B742" t="s">
        <v>9</v>
      </c>
      <c r="C742" t="s">
        <v>10</v>
      </c>
      <c r="D742" t="s">
        <v>11</v>
      </c>
      <c r="E742">
        <v>80.45</v>
      </c>
      <c r="F742">
        <v>2</v>
      </c>
      <c r="G742">
        <v>160.9</v>
      </c>
      <c r="H742" t="s">
        <v>12</v>
      </c>
      <c r="I742" t="str">
        <f t="shared" si="34"/>
        <v>Low Value</v>
      </c>
      <c r="J742" t="str">
        <f t="shared" si="35"/>
        <v>High Risk</v>
      </c>
      <c r="K742" s="3" t="str">
        <f t="shared" si="33"/>
        <v>0-1 Year</v>
      </c>
    </row>
    <row r="743" spans="1:11" x14ac:dyDescent="0.3">
      <c r="A743" t="s">
        <v>760</v>
      </c>
      <c r="B743" t="s">
        <v>14</v>
      </c>
      <c r="C743" t="s">
        <v>10</v>
      </c>
      <c r="D743" t="s">
        <v>11</v>
      </c>
      <c r="E743">
        <v>98.55</v>
      </c>
      <c r="F743">
        <v>10</v>
      </c>
      <c r="G743">
        <v>985.5</v>
      </c>
      <c r="H743" t="s">
        <v>18</v>
      </c>
      <c r="I743" t="str">
        <f t="shared" si="34"/>
        <v>Low Value</v>
      </c>
      <c r="J743" t="str">
        <f t="shared" si="35"/>
        <v>High Risk</v>
      </c>
      <c r="K743" s="3" t="str">
        <f t="shared" si="33"/>
        <v>0-1 Year</v>
      </c>
    </row>
    <row r="744" spans="1:11" x14ac:dyDescent="0.3">
      <c r="A744" t="s">
        <v>761</v>
      </c>
      <c r="B744" t="s">
        <v>9</v>
      </c>
      <c r="C744" t="s">
        <v>30</v>
      </c>
      <c r="D744" t="s">
        <v>16</v>
      </c>
      <c r="E744">
        <v>24.1</v>
      </c>
      <c r="F744">
        <v>61</v>
      </c>
      <c r="G744">
        <v>1470.1</v>
      </c>
      <c r="H744" t="s">
        <v>12</v>
      </c>
      <c r="I744" t="str">
        <f t="shared" si="34"/>
        <v>Low Value</v>
      </c>
      <c r="J744" t="str">
        <f t="shared" si="35"/>
        <v>Low Risk</v>
      </c>
      <c r="K744" s="3" t="str">
        <f t="shared" si="33"/>
        <v>4+ Years</v>
      </c>
    </row>
    <row r="745" spans="1:11" x14ac:dyDescent="0.3">
      <c r="A745" t="s">
        <v>762</v>
      </c>
      <c r="B745" t="s">
        <v>9</v>
      </c>
      <c r="C745" t="s">
        <v>10</v>
      </c>
      <c r="D745" t="s">
        <v>24</v>
      </c>
      <c r="E745">
        <v>44.05</v>
      </c>
      <c r="F745">
        <v>5</v>
      </c>
      <c r="G745">
        <v>220.25</v>
      </c>
      <c r="H745" t="s">
        <v>12</v>
      </c>
      <c r="I745" t="str">
        <f t="shared" si="34"/>
        <v>Low Value</v>
      </c>
      <c r="J745" t="str">
        <f t="shared" si="35"/>
        <v>High Risk</v>
      </c>
      <c r="K745" s="3" t="str">
        <f t="shared" si="33"/>
        <v>0-1 Year</v>
      </c>
    </row>
    <row r="746" spans="1:11" x14ac:dyDescent="0.3">
      <c r="A746" t="s">
        <v>763</v>
      </c>
      <c r="B746" t="s">
        <v>9</v>
      </c>
      <c r="C746" t="s">
        <v>30</v>
      </c>
      <c r="D746" t="s">
        <v>24</v>
      </c>
      <c r="E746">
        <v>110.8</v>
      </c>
      <c r="F746">
        <v>72</v>
      </c>
      <c r="G746">
        <v>7977.5999999999904</v>
      </c>
      <c r="H746" t="s">
        <v>12</v>
      </c>
      <c r="I746" t="str">
        <f t="shared" si="34"/>
        <v>High Value</v>
      </c>
      <c r="J746" t="str">
        <f t="shared" si="35"/>
        <v>Low Risk</v>
      </c>
      <c r="K746" s="3" t="str">
        <f t="shared" si="33"/>
        <v>4+ Years</v>
      </c>
    </row>
    <row r="747" spans="1:11" x14ac:dyDescent="0.3">
      <c r="A747" t="s">
        <v>764</v>
      </c>
      <c r="B747" t="s">
        <v>14</v>
      </c>
      <c r="C747" t="s">
        <v>30</v>
      </c>
      <c r="D747" t="s">
        <v>20</v>
      </c>
      <c r="E747">
        <v>114.95</v>
      </c>
      <c r="F747">
        <v>72</v>
      </c>
      <c r="G747">
        <v>8276.4</v>
      </c>
      <c r="H747" t="s">
        <v>12</v>
      </c>
      <c r="I747" t="str">
        <f t="shared" si="34"/>
        <v>High Value</v>
      </c>
      <c r="J747" t="str">
        <f t="shared" si="35"/>
        <v>Low Risk</v>
      </c>
      <c r="K747" s="3" t="str">
        <f t="shared" si="33"/>
        <v>4+ Years</v>
      </c>
    </row>
    <row r="748" spans="1:11" x14ac:dyDescent="0.3">
      <c r="A748" t="s">
        <v>765</v>
      </c>
      <c r="B748" t="s">
        <v>9</v>
      </c>
      <c r="C748" t="s">
        <v>10</v>
      </c>
      <c r="D748" t="s">
        <v>16</v>
      </c>
      <c r="E748">
        <v>75.05</v>
      </c>
      <c r="F748">
        <v>3</v>
      </c>
      <c r="G748">
        <v>225.14999999999901</v>
      </c>
      <c r="H748" t="s">
        <v>12</v>
      </c>
      <c r="I748" t="str">
        <f t="shared" si="34"/>
        <v>Low Value</v>
      </c>
      <c r="J748" t="str">
        <f t="shared" si="35"/>
        <v>High Risk</v>
      </c>
      <c r="K748" s="3" t="str">
        <f t="shared" si="33"/>
        <v>0-1 Year</v>
      </c>
    </row>
    <row r="749" spans="1:11" x14ac:dyDescent="0.3">
      <c r="A749" t="s">
        <v>766</v>
      </c>
      <c r="B749" t="s">
        <v>14</v>
      </c>
      <c r="C749" t="s">
        <v>30</v>
      </c>
      <c r="D749" t="s">
        <v>16</v>
      </c>
      <c r="E749">
        <v>19.25</v>
      </c>
      <c r="F749">
        <v>48</v>
      </c>
      <c r="G749">
        <v>924</v>
      </c>
      <c r="H749" t="s">
        <v>12</v>
      </c>
      <c r="I749" t="str">
        <f t="shared" si="34"/>
        <v>Low Value</v>
      </c>
      <c r="J749" t="str">
        <f t="shared" si="35"/>
        <v>Low Risk</v>
      </c>
      <c r="K749" s="3" t="str">
        <f t="shared" si="33"/>
        <v>2-4 Years</v>
      </c>
    </row>
    <row r="750" spans="1:11" x14ac:dyDescent="0.3">
      <c r="A750" t="s">
        <v>767</v>
      </c>
      <c r="B750" t="s">
        <v>9</v>
      </c>
      <c r="C750" t="s">
        <v>15</v>
      </c>
      <c r="D750" t="s">
        <v>24</v>
      </c>
      <c r="E750">
        <v>90.05</v>
      </c>
      <c r="F750">
        <v>63</v>
      </c>
      <c r="G750">
        <v>5673.15</v>
      </c>
      <c r="H750" t="s">
        <v>12</v>
      </c>
      <c r="I750" t="str">
        <f t="shared" si="34"/>
        <v>High Value</v>
      </c>
      <c r="J750" t="str">
        <f t="shared" si="35"/>
        <v>Low Risk</v>
      </c>
      <c r="K750" s="3" t="str">
        <f t="shared" si="33"/>
        <v>4+ Years</v>
      </c>
    </row>
    <row r="751" spans="1:11" x14ac:dyDescent="0.3">
      <c r="A751" t="s">
        <v>768</v>
      </c>
      <c r="B751" t="s">
        <v>9</v>
      </c>
      <c r="C751" t="s">
        <v>10</v>
      </c>
      <c r="D751" t="s">
        <v>16</v>
      </c>
      <c r="E751">
        <v>56.7</v>
      </c>
      <c r="F751">
        <v>27</v>
      </c>
      <c r="G751">
        <v>1530.9</v>
      </c>
      <c r="H751" t="s">
        <v>12</v>
      </c>
      <c r="I751" t="str">
        <f t="shared" si="34"/>
        <v>Low Value</v>
      </c>
      <c r="J751" t="str">
        <f t="shared" si="35"/>
        <v>Low Risk</v>
      </c>
      <c r="K751" s="3" t="str">
        <f t="shared" si="33"/>
        <v>2-4 Years</v>
      </c>
    </row>
    <row r="752" spans="1:11" x14ac:dyDescent="0.3">
      <c r="A752" t="s">
        <v>769</v>
      </c>
      <c r="B752" t="s">
        <v>14</v>
      </c>
      <c r="C752" t="s">
        <v>30</v>
      </c>
      <c r="D752" t="s">
        <v>24</v>
      </c>
      <c r="E752">
        <v>80.150000000000006</v>
      </c>
      <c r="F752">
        <v>70</v>
      </c>
      <c r="G752">
        <v>5610.5</v>
      </c>
      <c r="H752" t="s">
        <v>12</v>
      </c>
      <c r="I752" t="str">
        <f t="shared" si="34"/>
        <v>High Value</v>
      </c>
      <c r="J752" t="str">
        <f t="shared" si="35"/>
        <v>Low Risk</v>
      </c>
      <c r="K752" s="3" t="str">
        <f t="shared" si="33"/>
        <v>4+ Years</v>
      </c>
    </row>
    <row r="753" spans="1:11" x14ac:dyDescent="0.3">
      <c r="A753" t="s">
        <v>770</v>
      </c>
      <c r="B753" t="s">
        <v>14</v>
      </c>
      <c r="C753" t="s">
        <v>10</v>
      </c>
      <c r="D753" t="s">
        <v>24</v>
      </c>
      <c r="E753">
        <v>71.349999999999994</v>
      </c>
      <c r="F753">
        <v>7</v>
      </c>
      <c r="G753">
        <v>499.44999999999902</v>
      </c>
      <c r="H753" t="s">
        <v>12</v>
      </c>
      <c r="I753" t="str">
        <f t="shared" si="34"/>
        <v>Low Value</v>
      </c>
      <c r="J753" t="str">
        <f t="shared" si="35"/>
        <v>High Risk</v>
      </c>
      <c r="K753" s="3" t="str">
        <f t="shared" si="33"/>
        <v>0-1 Year</v>
      </c>
    </row>
    <row r="754" spans="1:11" x14ac:dyDescent="0.3">
      <c r="A754" t="s">
        <v>771</v>
      </c>
      <c r="B754" t="s">
        <v>9</v>
      </c>
      <c r="C754" t="s">
        <v>10</v>
      </c>
      <c r="D754" t="s">
        <v>11</v>
      </c>
      <c r="E754">
        <v>90.35</v>
      </c>
      <c r="F754">
        <v>2</v>
      </c>
      <c r="G754">
        <v>180.7</v>
      </c>
      <c r="H754" t="s">
        <v>12</v>
      </c>
      <c r="I754" t="str">
        <f t="shared" si="34"/>
        <v>Low Value</v>
      </c>
      <c r="J754" t="str">
        <f t="shared" si="35"/>
        <v>High Risk</v>
      </c>
      <c r="K754" s="3" t="str">
        <f t="shared" si="33"/>
        <v>0-1 Year</v>
      </c>
    </row>
    <row r="755" spans="1:11" x14ac:dyDescent="0.3">
      <c r="A755" t="s">
        <v>772</v>
      </c>
      <c r="B755" t="s">
        <v>14</v>
      </c>
      <c r="C755" t="s">
        <v>10</v>
      </c>
      <c r="D755" t="s">
        <v>11</v>
      </c>
      <c r="E755">
        <v>98.55</v>
      </c>
      <c r="F755">
        <v>20</v>
      </c>
      <c r="G755">
        <v>1971</v>
      </c>
      <c r="H755" t="s">
        <v>18</v>
      </c>
      <c r="I755" t="str">
        <f t="shared" si="34"/>
        <v>Low Value</v>
      </c>
      <c r="J755" t="str">
        <f t="shared" si="35"/>
        <v>Medium Risk</v>
      </c>
      <c r="K755" s="3" t="str">
        <f t="shared" si="33"/>
        <v>1-2 Years</v>
      </c>
    </row>
    <row r="756" spans="1:11" x14ac:dyDescent="0.3">
      <c r="A756" t="s">
        <v>773</v>
      </c>
      <c r="B756" t="s">
        <v>14</v>
      </c>
      <c r="C756" t="s">
        <v>30</v>
      </c>
      <c r="D756" t="s">
        <v>20</v>
      </c>
      <c r="E756">
        <v>19.7</v>
      </c>
      <c r="F756">
        <v>66</v>
      </c>
      <c r="G756">
        <v>1300.2</v>
      </c>
      <c r="H756" t="s">
        <v>12</v>
      </c>
      <c r="I756" t="str">
        <f t="shared" si="34"/>
        <v>Low Value</v>
      </c>
      <c r="J756" t="str">
        <f t="shared" si="35"/>
        <v>Low Risk</v>
      </c>
      <c r="K756" s="3" t="str">
        <f t="shared" si="33"/>
        <v>4+ Years</v>
      </c>
    </row>
    <row r="757" spans="1:11" x14ac:dyDescent="0.3">
      <c r="A757" t="s">
        <v>774</v>
      </c>
      <c r="B757" t="s">
        <v>9</v>
      </c>
      <c r="C757" t="s">
        <v>10</v>
      </c>
      <c r="D757" t="s">
        <v>16</v>
      </c>
      <c r="E757">
        <v>19.850000000000001</v>
      </c>
      <c r="F757">
        <v>3</v>
      </c>
      <c r="G757">
        <v>59.55</v>
      </c>
      <c r="H757" t="s">
        <v>12</v>
      </c>
      <c r="I757" t="str">
        <f t="shared" si="34"/>
        <v>Low Value</v>
      </c>
      <c r="J757" t="str">
        <f t="shared" si="35"/>
        <v>High Risk</v>
      </c>
      <c r="K757" s="3" t="str">
        <f t="shared" si="33"/>
        <v>0-1 Year</v>
      </c>
    </row>
    <row r="758" spans="1:11" x14ac:dyDescent="0.3">
      <c r="A758" t="s">
        <v>775</v>
      </c>
      <c r="B758" t="s">
        <v>9</v>
      </c>
      <c r="C758" t="s">
        <v>10</v>
      </c>
      <c r="D758" t="s">
        <v>20</v>
      </c>
      <c r="E758">
        <v>85.9</v>
      </c>
      <c r="F758">
        <v>15</v>
      </c>
      <c r="G758">
        <v>1288.5</v>
      </c>
      <c r="H758" t="s">
        <v>18</v>
      </c>
      <c r="I758" t="str">
        <f t="shared" si="34"/>
        <v>Low Value</v>
      </c>
      <c r="J758" t="str">
        <f t="shared" si="35"/>
        <v>Medium Risk</v>
      </c>
      <c r="K758" s="3" t="str">
        <f t="shared" si="33"/>
        <v>1-2 Years</v>
      </c>
    </row>
    <row r="759" spans="1:11" x14ac:dyDescent="0.3">
      <c r="A759" t="s">
        <v>776</v>
      </c>
      <c r="B759" t="s">
        <v>9</v>
      </c>
      <c r="C759" t="s">
        <v>30</v>
      </c>
      <c r="D759" t="s">
        <v>20</v>
      </c>
      <c r="E759">
        <v>90.35</v>
      </c>
      <c r="F759">
        <v>72</v>
      </c>
      <c r="G759">
        <v>6505.2</v>
      </c>
      <c r="H759" t="s">
        <v>12</v>
      </c>
      <c r="I759" t="str">
        <f t="shared" si="34"/>
        <v>High Value</v>
      </c>
      <c r="J759" t="str">
        <f t="shared" si="35"/>
        <v>Low Risk</v>
      </c>
      <c r="K759" s="3" t="str">
        <f t="shared" si="33"/>
        <v>4+ Years</v>
      </c>
    </row>
    <row r="760" spans="1:11" x14ac:dyDescent="0.3">
      <c r="A760" t="s">
        <v>777</v>
      </c>
      <c r="B760" t="s">
        <v>14</v>
      </c>
      <c r="C760" t="s">
        <v>10</v>
      </c>
      <c r="D760" t="s">
        <v>16</v>
      </c>
      <c r="E760">
        <v>20.8</v>
      </c>
      <c r="F760">
        <v>1</v>
      </c>
      <c r="G760">
        <v>20.8</v>
      </c>
      <c r="H760" t="s">
        <v>12</v>
      </c>
      <c r="I760" t="str">
        <f t="shared" si="34"/>
        <v>Low Value</v>
      </c>
      <c r="J760" t="str">
        <f t="shared" si="35"/>
        <v>High Risk</v>
      </c>
      <c r="K760" s="3" t="str">
        <f t="shared" si="33"/>
        <v>0-1 Year</v>
      </c>
    </row>
    <row r="761" spans="1:11" x14ac:dyDescent="0.3">
      <c r="A761" t="s">
        <v>778</v>
      </c>
      <c r="B761" t="s">
        <v>9</v>
      </c>
      <c r="C761" t="s">
        <v>10</v>
      </c>
      <c r="D761" t="s">
        <v>11</v>
      </c>
      <c r="E761">
        <v>89.25</v>
      </c>
      <c r="F761">
        <v>22</v>
      </c>
      <c r="G761">
        <v>1963.5</v>
      </c>
      <c r="H761" t="s">
        <v>18</v>
      </c>
      <c r="I761" t="str">
        <f t="shared" si="34"/>
        <v>Low Value</v>
      </c>
      <c r="J761" t="str">
        <f t="shared" si="35"/>
        <v>Medium Risk</v>
      </c>
      <c r="K761" s="3" t="str">
        <f t="shared" si="33"/>
        <v>1-2 Years</v>
      </c>
    </row>
    <row r="762" spans="1:11" x14ac:dyDescent="0.3">
      <c r="A762" t="s">
        <v>779</v>
      </c>
      <c r="B762" t="s">
        <v>14</v>
      </c>
      <c r="C762" t="s">
        <v>10</v>
      </c>
      <c r="D762" t="s">
        <v>11</v>
      </c>
      <c r="E762">
        <v>70.3</v>
      </c>
      <c r="F762">
        <v>3</v>
      </c>
      <c r="G762">
        <v>210.89999999999901</v>
      </c>
      <c r="H762" t="s">
        <v>18</v>
      </c>
      <c r="I762" t="str">
        <f t="shared" si="34"/>
        <v>Low Value</v>
      </c>
      <c r="J762" t="str">
        <f t="shared" si="35"/>
        <v>High Risk</v>
      </c>
      <c r="K762" s="3" t="str">
        <f t="shared" si="33"/>
        <v>0-1 Year</v>
      </c>
    </row>
    <row r="763" spans="1:11" x14ac:dyDescent="0.3">
      <c r="A763" t="s">
        <v>780</v>
      </c>
      <c r="B763" t="s">
        <v>9</v>
      </c>
      <c r="C763" t="s">
        <v>30</v>
      </c>
      <c r="D763" t="s">
        <v>20</v>
      </c>
      <c r="E763">
        <v>66.849999999999994</v>
      </c>
      <c r="F763">
        <v>72</v>
      </c>
      <c r="G763">
        <v>4813.2</v>
      </c>
      <c r="H763" t="s">
        <v>12</v>
      </c>
      <c r="I763" t="str">
        <f t="shared" si="34"/>
        <v>Medium Value</v>
      </c>
      <c r="J763" t="str">
        <f t="shared" si="35"/>
        <v>Low Risk</v>
      </c>
      <c r="K763" s="3" t="str">
        <f t="shared" si="33"/>
        <v>4+ Years</v>
      </c>
    </row>
    <row r="764" spans="1:11" x14ac:dyDescent="0.3">
      <c r="A764" t="s">
        <v>781</v>
      </c>
      <c r="B764" t="s">
        <v>14</v>
      </c>
      <c r="C764" t="s">
        <v>30</v>
      </c>
      <c r="D764" t="s">
        <v>16</v>
      </c>
      <c r="E764">
        <v>19.899999999999999</v>
      </c>
      <c r="F764">
        <v>65</v>
      </c>
      <c r="G764">
        <v>1293.5</v>
      </c>
      <c r="H764" t="s">
        <v>12</v>
      </c>
      <c r="I764" t="str">
        <f t="shared" si="34"/>
        <v>Low Value</v>
      </c>
      <c r="J764" t="str">
        <f t="shared" si="35"/>
        <v>Low Risk</v>
      </c>
      <c r="K764" s="3" t="str">
        <f t="shared" si="33"/>
        <v>4+ Years</v>
      </c>
    </row>
    <row r="765" spans="1:11" x14ac:dyDescent="0.3">
      <c r="A765" t="s">
        <v>782</v>
      </c>
      <c r="B765" t="s">
        <v>9</v>
      </c>
      <c r="C765" t="s">
        <v>10</v>
      </c>
      <c r="D765" t="s">
        <v>16</v>
      </c>
      <c r="E765">
        <v>35.799999999999997</v>
      </c>
      <c r="F765">
        <v>11</v>
      </c>
      <c r="G765">
        <v>393.79999999999899</v>
      </c>
      <c r="H765" t="s">
        <v>12</v>
      </c>
      <c r="I765" t="str">
        <f t="shared" si="34"/>
        <v>Low Value</v>
      </c>
      <c r="J765" t="str">
        <f t="shared" si="35"/>
        <v>High Risk</v>
      </c>
      <c r="K765" s="3" t="str">
        <f t="shared" si="33"/>
        <v>0-1 Year</v>
      </c>
    </row>
    <row r="766" spans="1:11" x14ac:dyDescent="0.3">
      <c r="A766" t="s">
        <v>783</v>
      </c>
      <c r="B766" t="s">
        <v>14</v>
      </c>
      <c r="C766" t="s">
        <v>10</v>
      </c>
      <c r="D766" t="s">
        <v>16</v>
      </c>
      <c r="E766">
        <v>78.849999999999994</v>
      </c>
      <c r="F766">
        <v>22</v>
      </c>
      <c r="G766">
        <v>1734.69999999999</v>
      </c>
      <c r="H766" t="s">
        <v>12</v>
      </c>
      <c r="I766" t="str">
        <f t="shared" si="34"/>
        <v>Low Value</v>
      </c>
      <c r="J766" t="str">
        <f t="shared" si="35"/>
        <v>Medium Risk</v>
      </c>
      <c r="K766" s="3" t="str">
        <f t="shared" si="33"/>
        <v>1-2 Years</v>
      </c>
    </row>
    <row r="767" spans="1:11" x14ac:dyDescent="0.3">
      <c r="A767" t="s">
        <v>784</v>
      </c>
      <c r="B767" t="s">
        <v>14</v>
      </c>
      <c r="C767" t="s">
        <v>15</v>
      </c>
      <c r="D767" t="s">
        <v>20</v>
      </c>
      <c r="E767">
        <v>20.399999999999999</v>
      </c>
      <c r="F767">
        <v>14</v>
      </c>
      <c r="G767">
        <v>285.599999999999</v>
      </c>
      <c r="H767" t="s">
        <v>12</v>
      </c>
      <c r="I767" t="str">
        <f t="shared" si="34"/>
        <v>Low Value</v>
      </c>
      <c r="J767" t="str">
        <f t="shared" si="35"/>
        <v>Medium Risk</v>
      </c>
      <c r="K767" s="3" t="str">
        <f t="shared" si="33"/>
        <v>1-2 Years</v>
      </c>
    </row>
    <row r="768" spans="1:11" x14ac:dyDescent="0.3">
      <c r="A768" t="s">
        <v>785</v>
      </c>
      <c r="B768" t="s">
        <v>14</v>
      </c>
      <c r="C768" t="s">
        <v>10</v>
      </c>
      <c r="D768" t="s">
        <v>11</v>
      </c>
      <c r="E768">
        <v>74.25</v>
      </c>
      <c r="F768">
        <v>41</v>
      </c>
      <c r="G768">
        <v>3044.25</v>
      </c>
      <c r="H768" t="s">
        <v>12</v>
      </c>
      <c r="I768" t="str">
        <f t="shared" si="34"/>
        <v>Medium Value</v>
      </c>
      <c r="J768" t="str">
        <f t="shared" si="35"/>
        <v>Low Risk</v>
      </c>
      <c r="K768" s="3" t="str">
        <f t="shared" si="33"/>
        <v>2-4 Years</v>
      </c>
    </row>
    <row r="769" spans="1:11" x14ac:dyDescent="0.3">
      <c r="A769" t="s">
        <v>786</v>
      </c>
      <c r="B769" t="s">
        <v>14</v>
      </c>
      <c r="C769" t="s">
        <v>15</v>
      </c>
      <c r="D769" t="s">
        <v>16</v>
      </c>
      <c r="E769">
        <v>64.8</v>
      </c>
      <c r="F769">
        <v>17</v>
      </c>
      <c r="G769">
        <v>1101.5999999999999</v>
      </c>
      <c r="H769" t="s">
        <v>12</v>
      </c>
      <c r="I769" t="str">
        <f t="shared" si="34"/>
        <v>Low Value</v>
      </c>
      <c r="J769" t="str">
        <f t="shared" si="35"/>
        <v>Medium Risk</v>
      </c>
      <c r="K769" s="3" t="str">
        <f t="shared" si="33"/>
        <v>1-2 Years</v>
      </c>
    </row>
    <row r="770" spans="1:11" x14ac:dyDescent="0.3">
      <c r="A770" t="s">
        <v>787</v>
      </c>
      <c r="B770" t="s">
        <v>14</v>
      </c>
      <c r="C770" t="s">
        <v>10</v>
      </c>
      <c r="D770" t="s">
        <v>24</v>
      </c>
      <c r="E770">
        <v>20.45</v>
      </c>
      <c r="F770">
        <v>11</v>
      </c>
      <c r="G770">
        <v>224.95</v>
      </c>
      <c r="H770" t="s">
        <v>12</v>
      </c>
      <c r="I770" t="str">
        <f t="shared" si="34"/>
        <v>Low Value</v>
      </c>
      <c r="J770" t="str">
        <f t="shared" si="35"/>
        <v>High Risk</v>
      </c>
      <c r="K770" s="3" t="str">
        <f t="shared" si="33"/>
        <v>0-1 Year</v>
      </c>
    </row>
    <row r="771" spans="1:11" x14ac:dyDescent="0.3">
      <c r="A771" t="s">
        <v>788</v>
      </c>
      <c r="B771" t="s">
        <v>14</v>
      </c>
      <c r="C771" t="s">
        <v>10</v>
      </c>
      <c r="D771" t="s">
        <v>11</v>
      </c>
      <c r="E771">
        <v>93.35</v>
      </c>
      <c r="F771">
        <v>15</v>
      </c>
      <c r="G771">
        <v>1400.25</v>
      </c>
      <c r="H771" t="s">
        <v>18</v>
      </c>
      <c r="I771" t="str">
        <f t="shared" si="34"/>
        <v>Low Value</v>
      </c>
      <c r="J771" t="str">
        <f t="shared" si="35"/>
        <v>Medium Risk</v>
      </c>
      <c r="K771" s="3" t="str">
        <f t="shared" ref="K771:K834" si="36">IF(F771&lt;=12,"0-1 Year",
IF(F771&lt;=24,"1-2 Years",
IF(F771&lt;=48,"2-4 Years","4+ Years")))</f>
        <v>1-2 Years</v>
      </c>
    </row>
    <row r="772" spans="1:11" x14ac:dyDescent="0.3">
      <c r="A772" t="s">
        <v>789</v>
      </c>
      <c r="B772" t="s">
        <v>9</v>
      </c>
      <c r="C772" t="s">
        <v>10</v>
      </c>
      <c r="D772" t="s">
        <v>16</v>
      </c>
      <c r="E772">
        <v>19.899999999999999</v>
      </c>
      <c r="F772">
        <v>1</v>
      </c>
      <c r="G772">
        <v>19.899999999999999</v>
      </c>
      <c r="H772" t="s">
        <v>18</v>
      </c>
      <c r="I772" t="str">
        <f t="shared" ref="I772:I835" si="37">IF(G772&gt;5000,"High Value",
IF(G772&gt;2000,"Medium Value","Low Value"))</f>
        <v>Low Value</v>
      </c>
      <c r="J772" t="str">
        <f t="shared" ref="J772:J835" si="38">IF(F772&lt;12,"High Risk",
IF(F772&lt;24,"Medium Risk","Low Risk"))</f>
        <v>High Risk</v>
      </c>
      <c r="K772" s="3" t="str">
        <f t="shared" si="36"/>
        <v>0-1 Year</v>
      </c>
    </row>
    <row r="773" spans="1:11" x14ac:dyDescent="0.3">
      <c r="A773" t="s">
        <v>790</v>
      </c>
      <c r="B773" t="s">
        <v>9</v>
      </c>
      <c r="C773" t="s">
        <v>10</v>
      </c>
      <c r="D773" t="s">
        <v>16</v>
      </c>
      <c r="E773">
        <v>88.9</v>
      </c>
      <c r="F773">
        <v>5</v>
      </c>
      <c r="G773">
        <v>444.5</v>
      </c>
      <c r="H773" t="s">
        <v>18</v>
      </c>
      <c r="I773" t="str">
        <f t="shared" si="37"/>
        <v>Low Value</v>
      </c>
      <c r="J773" t="str">
        <f t="shared" si="38"/>
        <v>High Risk</v>
      </c>
      <c r="K773" s="3" t="str">
        <f t="shared" si="36"/>
        <v>0-1 Year</v>
      </c>
    </row>
    <row r="774" spans="1:11" x14ac:dyDescent="0.3">
      <c r="A774" t="s">
        <v>791</v>
      </c>
      <c r="B774" t="s">
        <v>14</v>
      </c>
      <c r="C774" t="s">
        <v>15</v>
      </c>
      <c r="D774" t="s">
        <v>11</v>
      </c>
      <c r="E774">
        <v>95.8</v>
      </c>
      <c r="F774">
        <v>33</v>
      </c>
      <c r="G774">
        <v>3161.4</v>
      </c>
      <c r="H774" t="s">
        <v>18</v>
      </c>
      <c r="I774" t="str">
        <f t="shared" si="37"/>
        <v>Medium Value</v>
      </c>
      <c r="J774" t="str">
        <f t="shared" si="38"/>
        <v>Low Risk</v>
      </c>
      <c r="K774" s="3" t="str">
        <f t="shared" si="36"/>
        <v>2-4 Years</v>
      </c>
    </row>
    <row r="775" spans="1:11" x14ac:dyDescent="0.3">
      <c r="A775" t="s">
        <v>792</v>
      </c>
      <c r="B775" t="s">
        <v>9</v>
      </c>
      <c r="C775" t="s">
        <v>30</v>
      </c>
      <c r="D775" t="s">
        <v>24</v>
      </c>
      <c r="E775">
        <v>110.65</v>
      </c>
      <c r="F775">
        <v>72</v>
      </c>
      <c r="G775">
        <v>7966.8</v>
      </c>
      <c r="H775" t="s">
        <v>12</v>
      </c>
      <c r="I775" t="str">
        <f t="shared" si="37"/>
        <v>High Value</v>
      </c>
      <c r="J775" t="str">
        <f t="shared" si="38"/>
        <v>Low Risk</v>
      </c>
      <c r="K775" s="3" t="str">
        <f t="shared" si="36"/>
        <v>4+ Years</v>
      </c>
    </row>
    <row r="776" spans="1:11" x14ac:dyDescent="0.3">
      <c r="A776" t="s">
        <v>793</v>
      </c>
      <c r="B776" t="s">
        <v>9</v>
      </c>
      <c r="C776" t="s">
        <v>10</v>
      </c>
      <c r="D776" t="s">
        <v>16</v>
      </c>
      <c r="E776">
        <v>40.299999999999997</v>
      </c>
      <c r="F776">
        <v>3</v>
      </c>
      <c r="G776">
        <v>120.899999999999</v>
      </c>
      <c r="H776" t="s">
        <v>12</v>
      </c>
      <c r="I776" t="str">
        <f t="shared" si="37"/>
        <v>Low Value</v>
      </c>
      <c r="J776" t="str">
        <f t="shared" si="38"/>
        <v>High Risk</v>
      </c>
      <c r="K776" s="3" t="str">
        <f t="shared" si="36"/>
        <v>0-1 Year</v>
      </c>
    </row>
    <row r="777" spans="1:11" x14ac:dyDescent="0.3">
      <c r="A777" t="s">
        <v>794</v>
      </c>
      <c r="B777" t="s">
        <v>14</v>
      </c>
      <c r="C777" t="s">
        <v>10</v>
      </c>
      <c r="D777" t="s">
        <v>11</v>
      </c>
      <c r="E777">
        <v>82</v>
      </c>
      <c r="F777">
        <v>2</v>
      </c>
      <c r="G777">
        <v>164</v>
      </c>
      <c r="H777" t="s">
        <v>18</v>
      </c>
      <c r="I777" t="str">
        <f t="shared" si="37"/>
        <v>Low Value</v>
      </c>
      <c r="J777" t="str">
        <f t="shared" si="38"/>
        <v>High Risk</v>
      </c>
      <c r="K777" s="3" t="str">
        <f t="shared" si="36"/>
        <v>0-1 Year</v>
      </c>
    </row>
    <row r="778" spans="1:11" x14ac:dyDescent="0.3">
      <c r="A778" t="s">
        <v>795</v>
      </c>
      <c r="B778" t="s">
        <v>9</v>
      </c>
      <c r="C778" t="s">
        <v>15</v>
      </c>
      <c r="D778" t="s">
        <v>24</v>
      </c>
      <c r="E778">
        <v>107</v>
      </c>
      <c r="F778">
        <v>59</v>
      </c>
      <c r="G778">
        <v>6313</v>
      </c>
      <c r="H778" t="s">
        <v>12</v>
      </c>
      <c r="I778" t="str">
        <f t="shared" si="37"/>
        <v>High Value</v>
      </c>
      <c r="J778" t="str">
        <f t="shared" si="38"/>
        <v>Low Risk</v>
      </c>
      <c r="K778" s="3" t="str">
        <f t="shared" si="36"/>
        <v>4+ Years</v>
      </c>
    </row>
    <row r="779" spans="1:11" x14ac:dyDescent="0.3">
      <c r="A779" t="s">
        <v>796</v>
      </c>
      <c r="B779" t="s">
        <v>14</v>
      </c>
      <c r="C779" t="s">
        <v>10</v>
      </c>
      <c r="D779" t="s">
        <v>11</v>
      </c>
      <c r="E779">
        <v>45.35</v>
      </c>
      <c r="F779">
        <v>2</v>
      </c>
      <c r="G779">
        <v>90.7</v>
      </c>
      <c r="H779" t="s">
        <v>18</v>
      </c>
      <c r="I779" t="str">
        <f t="shared" si="37"/>
        <v>Low Value</v>
      </c>
      <c r="J779" t="str">
        <f t="shared" si="38"/>
        <v>High Risk</v>
      </c>
      <c r="K779" s="3" t="str">
        <f t="shared" si="36"/>
        <v>0-1 Year</v>
      </c>
    </row>
    <row r="780" spans="1:11" x14ac:dyDescent="0.3">
      <c r="A780" t="s">
        <v>797</v>
      </c>
      <c r="B780" t="s">
        <v>14</v>
      </c>
      <c r="C780" t="s">
        <v>30</v>
      </c>
      <c r="D780" t="s">
        <v>24</v>
      </c>
      <c r="E780">
        <v>73.349999999999994</v>
      </c>
      <c r="F780">
        <v>71</v>
      </c>
      <c r="G780">
        <v>5207.8499999999904</v>
      </c>
      <c r="H780" t="s">
        <v>12</v>
      </c>
      <c r="I780" t="str">
        <f t="shared" si="37"/>
        <v>High Value</v>
      </c>
      <c r="J780" t="str">
        <f t="shared" si="38"/>
        <v>Low Risk</v>
      </c>
      <c r="K780" s="3" t="str">
        <f t="shared" si="36"/>
        <v>4+ Years</v>
      </c>
    </row>
    <row r="781" spans="1:11" x14ac:dyDescent="0.3">
      <c r="A781" t="s">
        <v>798</v>
      </c>
      <c r="B781" t="s">
        <v>9</v>
      </c>
      <c r="C781" t="s">
        <v>10</v>
      </c>
      <c r="D781" t="s">
        <v>16</v>
      </c>
      <c r="E781">
        <v>44.8</v>
      </c>
      <c r="F781">
        <v>5</v>
      </c>
      <c r="G781">
        <v>224</v>
      </c>
      <c r="H781" t="s">
        <v>12</v>
      </c>
      <c r="I781" t="str">
        <f t="shared" si="37"/>
        <v>Low Value</v>
      </c>
      <c r="J781" t="str">
        <f t="shared" si="38"/>
        <v>High Risk</v>
      </c>
      <c r="K781" s="3" t="str">
        <f t="shared" si="36"/>
        <v>0-1 Year</v>
      </c>
    </row>
    <row r="782" spans="1:11" x14ac:dyDescent="0.3">
      <c r="A782" t="s">
        <v>799</v>
      </c>
      <c r="B782" t="s">
        <v>14</v>
      </c>
      <c r="C782" t="s">
        <v>10</v>
      </c>
      <c r="D782" t="s">
        <v>24</v>
      </c>
      <c r="E782">
        <v>54.75</v>
      </c>
      <c r="F782">
        <v>27</v>
      </c>
      <c r="G782">
        <v>1478.25</v>
      </c>
      <c r="H782" t="s">
        <v>12</v>
      </c>
      <c r="I782" t="str">
        <f t="shared" si="37"/>
        <v>Low Value</v>
      </c>
      <c r="J782" t="str">
        <f t="shared" si="38"/>
        <v>Low Risk</v>
      </c>
      <c r="K782" s="3" t="str">
        <f t="shared" si="36"/>
        <v>2-4 Years</v>
      </c>
    </row>
    <row r="783" spans="1:11" x14ac:dyDescent="0.3">
      <c r="A783" t="s">
        <v>800</v>
      </c>
      <c r="B783" t="s">
        <v>9</v>
      </c>
      <c r="C783" t="s">
        <v>10</v>
      </c>
      <c r="D783" t="s">
        <v>11</v>
      </c>
      <c r="E783">
        <v>52.2</v>
      </c>
      <c r="F783">
        <v>1</v>
      </c>
      <c r="G783">
        <v>52.2</v>
      </c>
      <c r="H783" t="s">
        <v>18</v>
      </c>
      <c r="I783" t="str">
        <f t="shared" si="37"/>
        <v>Low Value</v>
      </c>
      <c r="J783" t="str">
        <f t="shared" si="38"/>
        <v>High Risk</v>
      </c>
      <c r="K783" s="3" t="str">
        <f t="shared" si="36"/>
        <v>0-1 Year</v>
      </c>
    </row>
    <row r="784" spans="1:11" x14ac:dyDescent="0.3">
      <c r="A784" t="s">
        <v>801</v>
      </c>
      <c r="B784" t="s">
        <v>14</v>
      </c>
      <c r="C784" t="s">
        <v>15</v>
      </c>
      <c r="D784" t="s">
        <v>20</v>
      </c>
      <c r="E784">
        <v>40.6</v>
      </c>
      <c r="F784">
        <v>63</v>
      </c>
      <c r="G784">
        <v>2557.8000000000002</v>
      </c>
      <c r="H784" t="s">
        <v>12</v>
      </c>
      <c r="I784" t="str">
        <f t="shared" si="37"/>
        <v>Medium Value</v>
      </c>
      <c r="J784" t="str">
        <f t="shared" si="38"/>
        <v>Low Risk</v>
      </c>
      <c r="K784" s="3" t="str">
        <f t="shared" si="36"/>
        <v>4+ Years</v>
      </c>
    </row>
    <row r="785" spans="1:11" x14ac:dyDescent="0.3">
      <c r="A785" t="s">
        <v>802</v>
      </c>
      <c r="B785" t="s">
        <v>9</v>
      </c>
      <c r="C785" t="s">
        <v>15</v>
      </c>
      <c r="D785" t="s">
        <v>11</v>
      </c>
      <c r="E785">
        <v>110</v>
      </c>
      <c r="F785">
        <v>46</v>
      </c>
      <c r="G785">
        <v>5060</v>
      </c>
      <c r="H785" t="s">
        <v>18</v>
      </c>
      <c r="I785" t="str">
        <f t="shared" si="37"/>
        <v>High Value</v>
      </c>
      <c r="J785" t="str">
        <f t="shared" si="38"/>
        <v>Low Risk</v>
      </c>
      <c r="K785" s="3" t="str">
        <f t="shared" si="36"/>
        <v>2-4 Years</v>
      </c>
    </row>
    <row r="786" spans="1:11" x14ac:dyDescent="0.3">
      <c r="A786" t="s">
        <v>803</v>
      </c>
      <c r="B786" t="s">
        <v>14</v>
      </c>
      <c r="C786" t="s">
        <v>30</v>
      </c>
      <c r="D786" t="s">
        <v>20</v>
      </c>
      <c r="E786">
        <v>55.3</v>
      </c>
      <c r="F786">
        <v>72</v>
      </c>
      <c r="G786">
        <v>3981.6</v>
      </c>
      <c r="H786" t="s">
        <v>12</v>
      </c>
      <c r="I786" t="str">
        <f t="shared" si="37"/>
        <v>Medium Value</v>
      </c>
      <c r="J786" t="str">
        <f t="shared" si="38"/>
        <v>Low Risk</v>
      </c>
      <c r="K786" s="3" t="str">
        <f t="shared" si="36"/>
        <v>4+ Years</v>
      </c>
    </row>
    <row r="787" spans="1:11" x14ac:dyDescent="0.3">
      <c r="A787" t="s">
        <v>804</v>
      </c>
      <c r="B787" t="s">
        <v>9</v>
      </c>
      <c r="C787" t="s">
        <v>10</v>
      </c>
      <c r="D787" t="s">
        <v>20</v>
      </c>
      <c r="E787">
        <v>60.85</v>
      </c>
      <c r="F787">
        <v>34</v>
      </c>
      <c r="G787">
        <v>2068.9</v>
      </c>
      <c r="H787" t="s">
        <v>12</v>
      </c>
      <c r="I787" t="str">
        <f t="shared" si="37"/>
        <v>Medium Value</v>
      </c>
      <c r="J787" t="str">
        <f t="shared" si="38"/>
        <v>Low Risk</v>
      </c>
      <c r="K787" s="3" t="str">
        <f t="shared" si="36"/>
        <v>2-4 Years</v>
      </c>
    </row>
    <row r="788" spans="1:11" x14ac:dyDescent="0.3">
      <c r="A788" t="s">
        <v>805</v>
      </c>
      <c r="B788" t="s">
        <v>9</v>
      </c>
      <c r="C788" t="s">
        <v>15</v>
      </c>
      <c r="D788" t="s">
        <v>11</v>
      </c>
      <c r="E788">
        <v>78.400000000000006</v>
      </c>
      <c r="F788">
        <v>24</v>
      </c>
      <c r="G788">
        <v>1881.6</v>
      </c>
      <c r="H788" t="s">
        <v>12</v>
      </c>
      <c r="I788" t="str">
        <f t="shared" si="37"/>
        <v>Low Value</v>
      </c>
      <c r="J788" t="str">
        <f t="shared" si="38"/>
        <v>Low Risk</v>
      </c>
      <c r="K788" s="3" t="str">
        <f t="shared" si="36"/>
        <v>1-2 Years</v>
      </c>
    </row>
    <row r="789" spans="1:11" x14ac:dyDescent="0.3">
      <c r="A789" t="s">
        <v>806</v>
      </c>
      <c r="B789" t="s">
        <v>14</v>
      </c>
      <c r="C789" t="s">
        <v>30</v>
      </c>
      <c r="D789" t="s">
        <v>20</v>
      </c>
      <c r="E789">
        <v>69.650000000000006</v>
      </c>
      <c r="F789">
        <v>72</v>
      </c>
      <c r="G789">
        <v>5014.8</v>
      </c>
      <c r="H789" t="s">
        <v>12</v>
      </c>
      <c r="I789" t="str">
        <f t="shared" si="37"/>
        <v>High Value</v>
      </c>
      <c r="J789" t="str">
        <f t="shared" si="38"/>
        <v>Low Risk</v>
      </c>
      <c r="K789" s="3" t="str">
        <f t="shared" si="36"/>
        <v>4+ Years</v>
      </c>
    </row>
    <row r="790" spans="1:11" x14ac:dyDescent="0.3">
      <c r="A790" t="s">
        <v>807</v>
      </c>
      <c r="B790" t="s">
        <v>9</v>
      </c>
      <c r="C790" t="s">
        <v>30</v>
      </c>
      <c r="D790" t="s">
        <v>24</v>
      </c>
      <c r="E790">
        <v>59.85</v>
      </c>
      <c r="F790">
        <v>60</v>
      </c>
      <c r="G790">
        <v>3591</v>
      </c>
      <c r="H790" t="s">
        <v>12</v>
      </c>
      <c r="I790" t="str">
        <f t="shared" si="37"/>
        <v>Medium Value</v>
      </c>
      <c r="J790" t="str">
        <f t="shared" si="38"/>
        <v>Low Risk</v>
      </c>
      <c r="K790" s="3" t="str">
        <f t="shared" si="36"/>
        <v>4+ Years</v>
      </c>
    </row>
    <row r="791" spans="1:11" x14ac:dyDescent="0.3">
      <c r="A791" t="s">
        <v>808</v>
      </c>
      <c r="B791" t="s">
        <v>14</v>
      </c>
      <c r="C791" t="s">
        <v>15</v>
      </c>
      <c r="D791" t="s">
        <v>24</v>
      </c>
      <c r="E791">
        <v>76.900000000000006</v>
      </c>
      <c r="F791">
        <v>68</v>
      </c>
      <c r="G791">
        <v>5229.2</v>
      </c>
      <c r="H791" t="s">
        <v>12</v>
      </c>
      <c r="I791" t="str">
        <f t="shared" si="37"/>
        <v>High Value</v>
      </c>
      <c r="J791" t="str">
        <f t="shared" si="38"/>
        <v>Low Risk</v>
      </c>
      <c r="K791" s="3" t="str">
        <f t="shared" si="36"/>
        <v>4+ Years</v>
      </c>
    </row>
    <row r="792" spans="1:11" x14ac:dyDescent="0.3">
      <c r="A792" t="s">
        <v>809</v>
      </c>
      <c r="B792" t="s">
        <v>9</v>
      </c>
      <c r="C792" t="s">
        <v>30</v>
      </c>
      <c r="D792" t="s">
        <v>16</v>
      </c>
      <c r="E792">
        <v>19.850000000000001</v>
      </c>
      <c r="F792">
        <v>8</v>
      </c>
      <c r="G792">
        <v>158.80000000000001</v>
      </c>
      <c r="H792" t="s">
        <v>12</v>
      </c>
      <c r="I792" t="str">
        <f t="shared" si="37"/>
        <v>Low Value</v>
      </c>
      <c r="J792" t="str">
        <f t="shared" si="38"/>
        <v>High Risk</v>
      </c>
      <c r="K792" s="3" t="str">
        <f t="shared" si="36"/>
        <v>0-1 Year</v>
      </c>
    </row>
    <row r="793" spans="1:11" x14ac:dyDescent="0.3">
      <c r="A793" t="s">
        <v>810</v>
      </c>
      <c r="B793" t="s">
        <v>9</v>
      </c>
      <c r="C793" t="s">
        <v>30</v>
      </c>
      <c r="D793" t="s">
        <v>24</v>
      </c>
      <c r="E793">
        <v>67.650000000000006</v>
      </c>
      <c r="F793">
        <v>34</v>
      </c>
      <c r="G793">
        <v>2300.1</v>
      </c>
      <c r="H793" t="s">
        <v>12</v>
      </c>
      <c r="I793" t="str">
        <f t="shared" si="37"/>
        <v>Medium Value</v>
      </c>
      <c r="J793" t="str">
        <f t="shared" si="38"/>
        <v>Low Risk</v>
      </c>
      <c r="K793" s="3" t="str">
        <f t="shared" si="36"/>
        <v>2-4 Years</v>
      </c>
    </row>
    <row r="794" spans="1:11" x14ac:dyDescent="0.3">
      <c r="A794" t="s">
        <v>811</v>
      </c>
      <c r="B794" t="s">
        <v>9</v>
      </c>
      <c r="C794" t="s">
        <v>10</v>
      </c>
      <c r="D794" t="s">
        <v>24</v>
      </c>
      <c r="E794">
        <v>45</v>
      </c>
      <c r="F794">
        <v>6</v>
      </c>
      <c r="G794">
        <v>270</v>
      </c>
      <c r="H794" t="s">
        <v>12</v>
      </c>
      <c r="I794" t="str">
        <f t="shared" si="37"/>
        <v>Low Value</v>
      </c>
      <c r="J794" t="str">
        <f t="shared" si="38"/>
        <v>High Risk</v>
      </c>
      <c r="K794" s="3" t="str">
        <f t="shared" si="36"/>
        <v>0-1 Year</v>
      </c>
    </row>
    <row r="795" spans="1:11" x14ac:dyDescent="0.3">
      <c r="A795" t="s">
        <v>812</v>
      </c>
      <c r="B795" t="s">
        <v>14</v>
      </c>
      <c r="C795" t="s">
        <v>10</v>
      </c>
      <c r="D795" t="s">
        <v>16</v>
      </c>
      <c r="E795">
        <v>64.2</v>
      </c>
      <c r="F795">
        <v>2</v>
      </c>
      <c r="G795">
        <v>128.4</v>
      </c>
      <c r="H795" t="s">
        <v>12</v>
      </c>
      <c r="I795" t="str">
        <f t="shared" si="37"/>
        <v>Low Value</v>
      </c>
      <c r="J795" t="str">
        <f t="shared" si="38"/>
        <v>High Risk</v>
      </c>
      <c r="K795" s="3" t="str">
        <f t="shared" si="36"/>
        <v>0-1 Year</v>
      </c>
    </row>
    <row r="796" spans="1:11" x14ac:dyDescent="0.3">
      <c r="A796" t="s">
        <v>813</v>
      </c>
      <c r="B796" t="s">
        <v>14</v>
      </c>
      <c r="C796" t="s">
        <v>15</v>
      </c>
      <c r="D796" t="s">
        <v>24</v>
      </c>
      <c r="E796">
        <v>81.7</v>
      </c>
      <c r="F796">
        <v>31</v>
      </c>
      <c r="G796">
        <v>2532.6999999999998</v>
      </c>
      <c r="H796" t="s">
        <v>12</v>
      </c>
      <c r="I796" t="str">
        <f t="shared" si="37"/>
        <v>Medium Value</v>
      </c>
      <c r="J796" t="str">
        <f t="shared" si="38"/>
        <v>Low Risk</v>
      </c>
      <c r="K796" s="3" t="str">
        <f t="shared" si="36"/>
        <v>2-4 Years</v>
      </c>
    </row>
    <row r="797" spans="1:11" x14ac:dyDescent="0.3">
      <c r="A797" t="s">
        <v>814</v>
      </c>
      <c r="B797" t="s">
        <v>9</v>
      </c>
      <c r="C797" t="s">
        <v>10</v>
      </c>
      <c r="D797" t="s">
        <v>20</v>
      </c>
      <c r="E797">
        <v>25.55</v>
      </c>
      <c r="F797">
        <v>20</v>
      </c>
      <c r="G797">
        <v>511</v>
      </c>
      <c r="H797" t="s">
        <v>12</v>
      </c>
      <c r="I797" t="str">
        <f t="shared" si="37"/>
        <v>Low Value</v>
      </c>
      <c r="J797" t="str">
        <f t="shared" si="38"/>
        <v>Medium Risk</v>
      </c>
      <c r="K797" s="3" t="str">
        <f t="shared" si="36"/>
        <v>1-2 Years</v>
      </c>
    </row>
    <row r="798" spans="1:11" x14ac:dyDescent="0.3">
      <c r="A798" t="s">
        <v>815</v>
      </c>
      <c r="B798" t="s">
        <v>9</v>
      </c>
      <c r="C798" t="s">
        <v>10</v>
      </c>
      <c r="D798" t="s">
        <v>11</v>
      </c>
      <c r="E798">
        <v>20</v>
      </c>
      <c r="F798">
        <v>1</v>
      </c>
      <c r="G798">
        <v>20</v>
      </c>
      <c r="H798" t="s">
        <v>12</v>
      </c>
      <c r="I798" t="str">
        <f t="shared" si="37"/>
        <v>Low Value</v>
      </c>
      <c r="J798" t="str">
        <f t="shared" si="38"/>
        <v>High Risk</v>
      </c>
      <c r="K798" s="3" t="str">
        <f t="shared" si="36"/>
        <v>0-1 Year</v>
      </c>
    </row>
    <row r="799" spans="1:11" x14ac:dyDescent="0.3">
      <c r="A799" t="s">
        <v>816</v>
      </c>
      <c r="B799" t="s">
        <v>14</v>
      </c>
      <c r="C799" t="s">
        <v>15</v>
      </c>
      <c r="D799" t="s">
        <v>11</v>
      </c>
      <c r="E799">
        <v>96.75</v>
      </c>
      <c r="F799">
        <v>62</v>
      </c>
      <c r="G799">
        <v>5998.5</v>
      </c>
      <c r="H799" t="s">
        <v>18</v>
      </c>
      <c r="I799" t="str">
        <f t="shared" si="37"/>
        <v>High Value</v>
      </c>
      <c r="J799" t="str">
        <f t="shared" si="38"/>
        <v>Low Risk</v>
      </c>
      <c r="K799" s="3" t="str">
        <f t="shared" si="36"/>
        <v>4+ Years</v>
      </c>
    </row>
    <row r="800" spans="1:11" x14ac:dyDescent="0.3">
      <c r="A800" t="s">
        <v>817</v>
      </c>
      <c r="B800" t="s">
        <v>9</v>
      </c>
      <c r="C800" t="s">
        <v>30</v>
      </c>
      <c r="D800" t="s">
        <v>24</v>
      </c>
      <c r="E800">
        <v>75.650000000000006</v>
      </c>
      <c r="F800">
        <v>70</v>
      </c>
      <c r="G800">
        <v>5295.5</v>
      </c>
      <c r="H800" t="s">
        <v>12</v>
      </c>
      <c r="I800" t="str">
        <f t="shared" si="37"/>
        <v>High Value</v>
      </c>
      <c r="J800" t="str">
        <f t="shared" si="38"/>
        <v>Low Risk</v>
      </c>
      <c r="K800" s="3" t="str">
        <f t="shared" si="36"/>
        <v>4+ Years</v>
      </c>
    </row>
    <row r="801" spans="1:11" x14ac:dyDescent="0.3">
      <c r="A801" t="s">
        <v>818</v>
      </c>
      <c r="B801" t="s">
        <v>9</v>
      </c>
      <c r="C801" t="s">
        <v>10</v>
      </c>
      <c r="D801" t="s">
        <v>11</v>
      </c>
      <c r="E801">
        <v>98.5</v>
      </c>
      <c r="F801">
        <v>10</v>
      </c>
      <c r="G801">
        <v>985</v>
      </c>
      <c r="H801" t="s">
        <v>18</v>
      </c>
      <c r="I801" t="str">
        <f t="shared" si="37"/>
        <v>Low Value</v>
      </c>
      <c r="J801" t="str">
        <f t="shared" si="38"/>
        <v>High Risk</v>
      </c>
      <c r="K801" s="3" t="str">
        <f t="shared" si="36"/>
        <v>0-1 Year</v>
      </c>
    </row>
    <row r="802" spans="1:11" x14ac:dyDescent="0.3">
      <c r="A802" t="s">
        <v>819</v>
      </c>
      <c r="B802" t="s">
        <v>14</v>
      </c>
      <c r="C802" t="s">
        <v>30</v>
      </c>
      <c r="D802" t="s">
        <v>16</v>
      </c>
      <c r="E802">
        <v>23.8</v>
      </c>
      <c r="F802">
        <v>39</v>
      </c>
      <c r="G802">
        <v>928.2</v>
      </c>
      <c r="H802" t="s">
        <v>12</v>
      </c>
      <c r="I802" t="str">
        <f t="shared" si="37"/>
        <v>Low Value</v>
      </c>
      <c r="J802" t="str">
        <f t="shared" si="38"/>
        <v>Low Risk</v>
      </c>
      <c r="K802" s="3" t="str">
        <f t="shared" si="36"/>
        <v>2-4 Years</v>
      </c>
    </row>
    <row r="803" spans="1:11" x14ac:dyDescent="0.3">
      <c r="A803" t="s">
        <v>820</v>
      </c>
      <c r="B803" t="s">
        <v>9</v>
      </c>
      <c r="C803" t="s">
        <v>30</v>
      </c>
      <c r="D803" t="s">
        <v>24</v>
      </c>
      <c r="E803">
        <v>64.2</v>
      </c>
      <c r="F803">
        <v>46</v>
      </c>
      <c r="G803">
        <v>2953.2</v>
      </c>
      <c r="H803" t="s">
        <v>12</v>
      </c>
      <c r="I803" t="str">
        <f t="shared" si="37"/>
        <v>Medium Value</v>
      </c>
      <c r="J803" t="str">
        <f t="shared" si="38"/>
        <v>Low Risk</v>
      </c>
      <c r="K803" s="3" t="str">
        <f t="shared" si="36"/>
        <v>2-4 Years</v>
      </c>
    </row>
    <row r="804" spans="1:11" x14ac:dyDescent="0.3">
      <c r="A804" t="s">
        <v>821</v>
      </c>
      <c r="B804" t="s">
        <v>14</v>
      </c>
      <c r="C804" t="s">
        <v>10</v>
      </c>
      <c r="D804" t="s">
        <v>11</v>
      </c>
      <c r="E804">
        <v>85.35</v>
      </c>
      <c r="F804">
        <v>6</v>
      </c>
      <c r="G804">
        <v>512.099999999999</v>
      </c>
      <c r="H804" t="s">
        <v>18</v>
      </c>
      <c r="I804" t="str">
        <f t="shared" si="37"/>
        <v>Low Value</v>
      </c>
      <c r="J804" t="str">
        <f t="shared" si="38"/>
        <v>High Risk</v>
      </c>
      <c r="K804" s="3" t="str">
        <f t="shared" si="36"/>
        <v>0-1 Year</v>
      </c>
    </row>
    <row r="805" spans="1:11" x14ac:dyDescent="0.3">
      <c r="A805" t="s">
        <v>822</v>
      </c>
      <c r="B805" t="s">
        <v>9</v>
      </c>
      <c r="C805" t="s">
        <v>30</v>
      </c>
      <c r="D805" t="s">
        <v>20</v>
      </c>
      <c r="E805">
        <v>76.8</v>
      </c>
      <c r="F805">
        <v>72</v>
      </c>
      <c r="G805">
        <v>5529.5999999999904</v>
      </c>
      <c r="H805" t="s">
        <v>12</v>
      </c>
      <c r="I805" t="str">
        <f t="shared" si="37"/>
        <v>High Value</v>
      </c>
      <c r="J805" t="str">
        <f t="shared" si="38"/>
        <v>Low Risk</v>
      </c>
      <c r="K805" s="3" t="str">
        <f t="shared" si="36"/>
        <v>4+ Years</v>
      </c>
    </row>
    <row r="806" spans="1:11" x14ac:dyDescent="0.3">
      <c r="A806" t="s">
        <v>823</v>
      </c>
      <c r="B806" t="s">
        <v>14</v>
      </c>
      <c r="C806" t="s">
        <v>10</v>
      </c>
      <c r="D806" t="s">
        <v>24</v>
      </c>
      <c r="E806">
        <v>55.2</v>
      </c>
      <c r="F806">
        <v>18</v>
      </c>
      <c r="G806">
        <v>993.6</v>
      </c>
      <c r="H806" t="s">
        <v>12</v>
      </c>
      <c r="I806" t="str">
        <f t="shared" si="37"/>
        <v>Low Value</v>
      </c>
      <c r="J806" t="str">
        <f t="shared" si="38"/>
        <v>Medium Risk</v>
      </c>
      <c r="K806" s="3" t="str">
        <f t="shared" si="36"/>
        <v>1-2 Years</v>
      </c>
    </row>
    <row r="807" spans="1:11" x14ac:dyDescent="0.3">
      <c r="A807" t="s">
        <v>824</v>
      </c>
      <c r="B807" t="s">
        <v>14</v>
      </c>
      <c r="C807" t="s">
        <v>30</v>
      </c>
      <c r="D807" t="s">
        <v>24</v>
      </c>
      <c r="E807">
        <v>108.55</v>
      </c>
      <c r="F807">
        <v>71</v>
      </c>
      <c r="G807">
        <v>7707.05</v>
      </c>
      <c r="H807" t="s">
        <v>12</v>
      </c>
      <c r="I807" t="str">
        <f t="shared" si="37"/>
        <v>High Value</v>
      </c>
      <c r="J807" t="str">
        <f t="shared" si="38"/>
        <v>Low Risk</v>
      </c>
      <c r="K807" s="3" t="str">
        <f t="shared" si="36"/>
        <v>4+ Years</v>
      </c>
    </row>
    <row r="808" spans="1:11" x14ac:dyDescent="0.3">
      <c r="A808" t="s">
        <v>825</v>
      </c>
      <c r="B808" t="s">
        <v>14</v>
      </c>
      <c r="C808" t="s">
        <v>10</v>
      </c>
      <c r="D808" t="s">
        <v>11</v>
      </c>
      <c r="E808">
        <v>101.3</v>
      </c>
      <c r="F808">
        <v>40</v>
      </c>
      <c r="G808">
        <v>4052</v>
      </c>
      <c r="H808" t="s">
        <v>18</v>
      </c>
      <c r="I808" t="str">
        <f t="shared" si="37"/>
        <v>Medium Value</v>
      </c>
      <c r="J808" t="str">
        <f t="shared" si="38"/>
        <v>Low Risk</v>
      </c>
      <c r="K808" s="3" t="str">
        <f t="shared" si="36"/>
        <v>2-4 Years</v>
      </c>
    </row>
    <row r="809" spans="1:11" x14ac:dyDescent="0.3">
      <c r="A809" t="s">
        <v>826</v>
      </c>
      <c r="B809" t="s">
        <v>14</v>
      </c>
      <c r="C809" t="s">
        <v>10</v>
      </c>
      <c r="D809" t="s">
        <v>11</v>
      </c>
      <c r="E809">
        <v>69.55</v>
      </c>
      <c r="F809">
        <v>1</v>
      </c>
      <c r="G809">
        <v>69.55</v>
      </c>
      <c r="H809" t="s">
        <v>18</v>
      </c>
      <c r="I809" t="str">
        <f t="shared" si="37"/>
        <v>Low Value</v>
      </c>
      <c r="J809" t="str">
        <f t="shared" si="38"/>
        <v>High Risk</v>
      </c>
      <c r="K809" s="3" t="str">
        <f t="shared" si="36"/>
        <v>0-1 Year</v>
      </c>
    </row>
    <row r="810" spans="1:11" x14ac:dyDescent="0.3">
      <c r="A810" t="s">
        <v>827</v>
      </c>
      <c r="B810" t="s">
        <v>14</v>
      </c>
      <c r="C810" t="s">
        <v>15</v>
      </c>
      <c r="D810" t="s">
        <v>20</v>
      </c>
      <c r="E810">
        <v>103.25</v>
      </c>
      <c r="F810">
        <v>58</v>
      </c>
      <c r="G810">
        <v>5988.5</v>
      </c>
      <c r="H810" t="s">
        <v>18</v>
      </c>
      <c r="I810" t="str">
        <f t="shared" si="37"/>
        <v>High Value</v>
      </c>
      <c r="J810" t="str">
        <f t="shared" si="38"/>
        <v>Low Risk</v>
      </c>
      <c r="K810" s="3" t="str">
        <f t="shared" si="36"/>
        <v>4+ Years</v>
      </c>
    </row>
    <row r="811" spans="1:11" x14ac:dyDescent="0.3">
      <c r="A811" t="s">
        <v>828</v>
      </c>
      <c r="B811" t="s">
        <v>14</v>
      </c>
      <c r="C811" t="s">
        <v>30</v>
      </c>
      <c r="D811" t="s">
        <v>24</v>
      </c>
      <c r="E811">
        <v>104</v>
      </c>
      <c r="F811">
        <v>70</v>
      </c>
      <c r="G811">
        <v>7280</v>
      </c>
      <c r="H811" t="s">
        <v>18</v>
      </c>
      <c r="I811" t="str">
        <f t="shared" si="37"/>
        <v>High Value</v>
      </c>
      <c r="J811" t="str">
        <f t="shared" si="38"/>
        <v>Low Risk</v>
      </c>
      <c r="K811" s="3" t="str">
        <f t="shared" si="36"/>
        <v>4+ Years</v>
      </c>
    </row>
    <row r="812" spans="1:11" x14ac:dyDescent="0.3">
      <c r="A812" t="s">
        <v>829</v>
      </c>
      <c r="B812" t="s">
        <v>9</v>
      </c>
      <c r="C812" t="s">
        <v>30</v>
      </c>
      <c r="D812" t="s">
        <v>11</v>
      </c>
      <c r="E812">
        <v>25.25</v>
      </c>
      <c r="F812">
        <v>42</v>
      </c>
      <c r="G812">
        <v>1060.5</v>
      </c>
      <c r="H812" t="s">
        <v>12</v>
      </c>
      <c r="I812" t="str">
        <f t="shared" si="37"/>
        <v>Low Value</v>
      </c>
      <c r="J812" t="str">
        <f t="shared" si="38"/>
        <v>Low Risk</v>
      </c>
      <c r="K812" s="3" t="str">
        <f t="shared" si="36"/>
        <v>2-4 Years</v>
      </c>
    </row>
    <row r="813" spans="1:11" x14ac:dyDescent="0.3">
      <c r="A813" t="s">
        <v>830</v>
      </c>
      <c r="B813" t="s">
        <v>14</v>
      </c>
      <c r="C813" t="s">
        <v>15</v>
      </c>
      <c r="D813" t="s">
        <v>20</v>
      </c>
      <c r="E813">
        <v>30.4</v>
      </c>
      <c r="F813">
        <v>34</v>
      </c>
      <c r="G813">
        <v>1033.5999999999999</v>
      </c>
      <c r="H813" t="s">
        <v>12</v>
      </c>
      <c r="I813" t="str">
        <f t="shared" si="37"/>
        <v>Low Value</v>
      </c>
      <c r="J813" t="str">
        <f t="shared" si="38"/>
        <v>Low Risk</v>
      </c>
      <c r="K813" s="3" t="str">
        <f t="shared" si="36"/>
        <v>2-4 Years</v>
      </c>
    </row>
    <row r="814" spans="1:11" x14ac:dyDescent="0.3">
      <c r="A814" t="s">
        <v>831</v>
      </c>
      <c r="B814" t="s">
        <v>14</v>
      </c>
      <c r="C814" t="s">
        <v>10</v>
      </c>
      <c r="D814" t="s">
        <v>20</v>
      </c>
      <c r="E814">
        <v>20.05</v>
      </c>
      <c r="F814">
        <v>5</v>
      </c>
      <c r="G814">
        <v>100.25</v>
      </c>
      <c r="H814" t="s">
        <v>12</v>
      </c>
      <c r="I814" t="str">
        <f t="shared" si="37"/>
        <v>Low Value</v>
      </c>
      <c r="J814" t="str">
        <f t="shared" si="38"/>
        <v>High Risk</v>
      </c>
      <c r="K814" s="3" t="str">
        <f t="shared" si="36"/>
        <v>0-1 Year</v>
      </c>
    </row>
    <row r="815" spans="1:11" x14ac:dyDescent="0.3">
      <c r="A815" t="s">
        <v>832</v>
      </c>
      <c r="B815" t="s">
        <v>9</v>
      </c>
      <c r="C815" t="s">
        <v>10</v>
      </c>
      <c r="D815" t="s">
        <v>16</v>
      </c>
      <c r="E815">
        <v>84.6</v>
      </c>
      <c r="F815">
        <v>25</v>
      </c>
      <c r="G815">
        <v>2115</v>
      </c>
      <c r="H815" t="s">
        <v>12</v>
      </c>
      <c r="I815" t="str">
        <f t="shared" si="37"/>
        <v>Medium Value</v>
      </c>
      <c r="J815" t="str">
        <f t="shared" si="38"/>
        <v>Low Risk</v>
      </c>
      <c r="K815" s="3" t="str">
        <f t="shared" si="36"/>
        <v>2-4 Years</v>
      </c>
    </row>
    <row r="816" spans="1:11" x14ac:dyDescent="0.3">
      <c r="A816" t="s">
        <v>833</v>
      </c>
      <c r="B816" t="s">
        <v>9</v>
      </c>
      <c r="C816" t="s">
        <v>10</v>
      </c>
      <c r="D816" t="s">
        <v>16</v>
      </c>
      <c r="E816">
        <v>86.2</v>
      </c>
      <c r="F816">
        <v>2</v>
      </c>
      <c r="G816">
        <v>172.4</v>
      </c>
      <c r="H816" t="s">
        <v>18</v>
      </c>
      <c r="I816" t="str">
        <f t="shared" si="37"/>
        <v>Low Value</v>
      </c>
      <c r="J816" t="str">
        <f t="shared" si="38"/>
        <v>High Risk</v>
      </c>
      <c r="K816" s="3" t="str">
        <f t="shared" si="36"/>
        <v>0-1 Year</v>
      </c>
    </row>
    <row r="817" spans="1:11" x14ac:dyDescent="0.3">
      <c r="A817" t="s">
        <v>834</v>
      </c>
      <c r="B817" t="s">
        <v>9</v>
      </c>
      <c r="C817" t="s">
        <v>15</v>
      </c>
      <c r="D817" t="s">
        <v>20</v>
      </c>
      <c r="E817">
        <v>103.7</v>
      </c>
      <c r="F817">
        <v>55</v>
      </c>
      <c r="G817">
        <v>5703.5</v>
      </c>
      <c r="H817" t="s">
        <v>12</v>
      </c>
      <c r="I817" t="str">
        <f t="shared" si="37"/>
        <v>High Value</v>
      </c>
      <c r="J817" t="str">
        <f t="shared" si="38"/>
        <v>Low Risk</v>
      </c>
      <c r="K817" s="3" t="str">
        <f t="shared" si="36"/>
        <v>4+ Years</v>
      </c>
    </row>
    <row r="818" spans="1:11" x14ac:dyDescent="0.3">
      <c r="A818" t="s">
        <v>835</v>
      </c>
      <c r="B818" t="s">
        <v>14</v>
      </c>
      <c r="C818" t="s">
        <v>10</v>
      </c>
      <c r="D818" t="s">
        <v>11</v>
      </c>
      <c r="E818">
        <v>111.2</v>
      </c>
      <c r="F818">
        <v>21</v>
      </c>
      <c r="G818">
        <v>2335.1999999999998</v>
      </c>
      <c r="H818" t="s">
        <v>18</v>
      </c>
      <c r="I818" t="str">
        <f t="shared" si="37"/>
        <v>Medium Value</v>
      </c>
      <c r="J818" t="str">
        <f t="shared" si="38"/>
        <v>Medium Risk</v>
      </c>
      <c r="K818" s="3" t="str">
        <f t="shared" si="36"/>
        <v>1-2 Years</v>
      </c>
    </row>
    <row r="819" spans="1:11" x14ac:dyDescent="0.3">
      <c r="A819" t="s">
        <v>836</v>
      </c>
      <c r="B819" t="s">
        <v>14</v>
      </c>
      <c r="C819" t="s">
        <v>30</v>
      </c>
      <c r="D819" t="s">
        <v>24</v>
      </c>
      <c r="E819">
        <v>88</v>
      </c>
      <c r="F819">
        <v>70</v>
      </c>
      <c r="G819">
        <v>6160</v>
      </c>
      <c r="H819" t="s">
        <v>12</v>
      </c>
      <c r="I819" t="str">
        <f t="shared" si="37"/>
        <v>High Value</v>
      </c>
      <c r="J819" t="str">
        <f t="shared" si="38"/>
        <v>Low Risk</v>
      </c>
      <c r="K819" s="3" t="str">
        <f t="shared" si="36"/>
        <v>4+ Years</v>
      </c>
    </row>
    <row r="820" spans="1:11" x14ac:dyDescent="0.3">
      <c r="A820" t="s">
        <v>837</v>
      </c>
      <c r="B820" t="s">
        <v>9</v>
      </c>
      <c r="C820" t="s">
        <v>10</v>
      </c>
      <c r="D820" t="s">
        <v>11</v>
      </c>
      <c r="E820">
        <v>106.35</v>
      </c>
      <c r="F820">
        <v>61</v>
      </c>
      <c r="G820">
        <v>6487.3499999999904</v>
      </c>
      <c r="H820" t="s">
        <v>12</v>
      </c>
      <c r="I820" t="str">
        <f t="shared" si="37"/>
        <v>High Value</v>
      </c>
      <c r="J820" t="str">
        <f t="shared" si="38"/>
        <v>Low Risk</v>
      </c>
      <c r="K820" s="3" t="str">
        <f t="shared" si="36"/>
        <v>4+ Years</v>
      </c>
    </row>
    <row r="821" spans="1:11" x14ac:dyDescent="0.3">
      <c r="A821" t="s">
        <v>838</v>
      </c>
      <c r="B821" t="s">
        <v>14</v>
      </c>
      <c r="C821" t="s">
        <v>30</v>
      </c>
      <c r="D821" t="s">
        <v>24</v>
      </c>
      <c r="E821">
        <v>79.150000000000006</v>
      </c>
      <c r="F821">
        <v>43</v>
      </c>
      <c r="G821">
        <v>3403.45</v>
      </c>
      <c r="H821" t="s">
        <v>12</v>
      </c>
      <c r="I821" t="str">
        <f t="shared" si="37"/>
        <v>Medium Value</v>
      </c>
      <c r="J821" t="str">
        <f t="shared" si="38"/>
        <v>Low Risk</v>
      </c>
      <c r="K821" s="3" t="str">
        <f t="shared" si="36"/>
        <v>2-4 Years</v>
      </c>
    </row>
    <row r="822" spans="1:11" x14ac:dyDescent="0.3">
      <c r="A822" t="s">
        <v>839</v>
      </c>
      <c r="B822" t="s">
        <v>14</v>
      </c>
      <c r="C822" t="s">
        <v>15</v>
      </c>
      <c r="D822" t="s">
        <v>11</v>
      </c>
      <c r="E822">
        <v>103.1</v>
      </c>
      <c r="F822">
        <v>47</v>
      </c>
      <c r="G822">
        <v>4845.7</v>
      </c>
      <c r="H822" t="s">
        <v>12</v>
      </c>
      <c r="I822" t="str">
        <f t="shared" si="37"/>
        <v>Medium Value</v>
      </c>
      <c r="J822" t="str">
        <f t="shared" si="38"/>
        <v>Low Risk</v>
      </c>
      <c r="K822" s="3" t="str">
        <f t="shared" si="36"/>
        <v>2-4 Years</v>
      </c>
    </row>
    <row r="823" spans="1:11" x14ac:dyDescent="0.3">
      <c r="A823" t="s">
        <v>840</v>
      </c>
      <c r="B823" t="s">
        <v>14</v>
      </c>
      <c r="C823" t="s">
        <v>10</v>
      </c>
      <c r="D823" t="s">
        <v>24</v>
      </c>
      <c r="E823">
        <v>63.95</v>
      </c>
      <c r="F823">
        <v>5</v>
      </c>
      <c r="G823">
        <v>319.75</v>
      </c>
      <c r="H823" t="s">
        <v>12</v>
      </c>
      <c r="I823" t="str">
        <f t="shared" si="37"/>
        <v>Low Value</v>
      </c>
      <c r="J823" t="str">
        <f t="shared" si="38"/>
        <v>High Risk</v>
      </c>
      <c r="K823" s="3" t="str">
        <f t="shared" si="36"/>
        <v>0-1 Year</v>
      </c>
    </row>
    <row r="824" spans="1:11" x14ac:dyDescent="0.3">
      <c r="A824" t="s">
        <v>841</v>
      </c>
      <c r="B824" t="s">
        <v>9</v>
      </c>
      <c r="C824" t="s">
        <v>30</v>
      </c>
      <c r="D824" t="s">
        <v>24</v>
      </c>
      <c r="E824">
        <v>25.8</v>
      </c>
      <c r="F824">
        <v>62</v>
      </c>
      <c r="G824">
        <v>1599.6</v>
      </c>
      <c r="H824" t="s">
        <v>12</v>
      </c>
      <c r="I824" t="str">
        <f t="shared" si="37"/>
        <v>Low Value</v>
      </c>
      <c r="J824" t="str">
        <f t="shared" si="38"/>
        <v>Low Risk</v>
      </c>
      <c r="K824" s="3" t="str">
        <f t="shared" si="36"/>
        <v>4+ Years</v>
      </c>
    </row>
    <row r="825" spans="1:11" x14ac:dyDescent="0.3">
      <c r="A825" t="s">
        <v>842</v>
      </c>
      <c r="B825" t="s">
        <v>9</v>
      </c>
      <c r="C825" t="s">
        <v>10</v>
      </c>
      <c r="D825" t="s">
        <v>24</v>
      </c>
      <c r="E825">
        <v>89.45</v>
      </c>
      <c r="F825">
        <v>16</v>
      </c>
      <c r="G825">
        <v>1431.2</v>
      </c>
      <c r="H825" t="s">
        <v>18</v>
      </c>
      <c r="I825" t="str">
        <f t="shared" si="37"/>
        <v>Low Value</v>
      </c>
      <c r="J825" t="str">
        <f t="shared" si="38"/>
        <v>Medium Risk</v>
      </c>
      <c r="K825" s="3" t="str">
        <f t="shared" si="36"/>
        <v>1-2 Years</v>
      </c>
    </row>
    <row r="826" spans="1:11" x14ac:dyDescent="0.3">
      <c r="A826" t="s">
        <v>843</v>
      </c>
      <c r="B826" t="s">
        <v>14</v>
      </c>
      <c r="C826" t="s">
        <v>10</v>
      </c>
      <c r="D826" t="s">
        <v>20</v>
      </c>
      <c r="E826">
        <v>95.6</v>
      </c>
      <c r="F826">
        <v>7</v>
      </c>
      <c r="G826">
        <v>669.19999999999902</v>
      </c>
      <c r="H826" t="s">
        <v>18</v>
      </c>
      <c r="I826" t="str">
        <f t="shared" si="37"/>
        <v>Low Value</v>
      </c>
      <c r="J826" t="str">
        <f t="shared" si="38"/>
        <v>High Risk</v>
      </c>
      <c r="K826" s="3" t="str">
        <f t="shared" si="36"/>
        <v>0-1 Year</v>
      </c>
    </row>
    <row r="827" spans="1:11" x14ac:dyDescent="0.3">
      <c r="A827" t="s">
        <v>844</v>
      </c>
      <c r="B827" t="s">
        <v>9</v>
      </c>
      <c r="C827" t="s">
        <v>10</v>
      </c>
      <c r="D827" t="s">
        <v>16</v>
      </c>
      <c r="E827">
        <v>25.55</v>
      </c>
      <c r="F827">
        <v>14</v>
      </c>
      <c r="G827">
        <v>357.7</v>
      </c>
      <c r="H827" t="s">
        <v>12</v>
      </c>
      <c r="I827" t="str">
        <f t="shared" si="37"/>
        <v>Low Value</v>
      </c>
      <c r="J827" t="str">
        <f t="shared" si="38"/>
        <v>Medium Risk</v>
      </c>
      <c r="K827" s="3" t="str">
        <f t="shared" si="36"/>
        <v>1-2 Years</v>
      </c>
    </row>
    <row r="828" spans="1:11" x14ac:dyDescent="0.3">
      <c r="A828" t="s">
        <v>845</v>
      </c>
      <c r="B828" t="s">
        <v>14</v>
      </c>
      <c r="C828" t="s">
        <v>15</v>
      </c>
      <c r="D828" t="s">
        <v>11</v>
      </c>
      <c r="E828">
        <v>90.95</v>
      </c>
      <c r="F828">
        <v>60</v>
      </c>
      <c r="G828">
        <v>5457</v>
      </c>
      <c r="H828" t="s">
        <v>18</v>
      </c>
      <c r="I828" t="str">
        <f t="shared" si="37"/>
        <v>High Value</v>
      </c>
      <c r="J828" t="str">
        <f t="shared" si="38"/>
        <v>Low Risk</v>
      </c>
      <c r="K828" s="3" t="str">
        <f t="shared" si="36"/>
        <v>4+ Years</v>
      </c>
    </row>
    <row r="829" spans="1:11" x14ac:dyDescent="0.3">
      <c r="A829" t="s">
        <v>846</v>
      </c>
      <c r="B829" t="s">
        <v>14</v>
      </c>
      <c r="C829" t="s">
        <v>10</v>
      </c>
      <c r="D829" t="s">
        <v>11</v>
      </c>
      <c r="E829">
        <v>44.85</v>
      </c>
      <c r="F829">
        <v>34</v>
      </c>
      <c r="G829">
        <v>1524.9</v>
      </c>
      <c r="H829" t="s">
        <v>12</v>
      </c>
      <c r="I829" t="str">
        <f t="shared" si="37"/>
        <v>Low Value</v>
      </c>
      <c r="J829" t="str">
        <f t="shared" si="38"/>
        <v>Low Risk</v>
      </c>
      <c r="K829" s="3" t="str">
        <f t="shared" si="36"/>
        <v>2-4 Years</v>
      </c>
    </row>
    <row r="830" spans="1:11" x14ac:dyDescent="0.3">
      <c r="A830" t="s">
        <v>847</v>
      </c>
      <c r="B830" t="s">
        <v>9</v>
      </c>
      <c r="C830" t="s">
        <v>15</v>
      </c>
      <c r="D830" t="s">
        <v>11</v>
      </c>
      <c r="E830">
        <v>108.55</v>
      </c>
      <c r="F830">
        <v>50</v>
      </c>
      <c r="G830">
        <v>5427.5</v>
      </c>
      <c r="H830" t="s">
        <v>18</v>
      </c>
      <c r="I830" t="str">
        <f t="shared" si="37"/>
        <v>High Value</v>
      </c>
      <c r="J830" t="str">
        <f t="shared" si="38"/>
        <v>Low Risk</v>
      </c>
      <c r="K830" s="3" t="str">
        <f t="shared" si="36"/>
        <v>4+ Years</v>
      </c>
    </row>
    <row r="831" spans="1:11" x14ac:dyDescent="0.3">
      <c r="A831" t="s">
        <v>848</v>
      </c>
      <c r="B831" t="s">
        <v>14</v>
      </c>
      <c r="C831" t="s">
        <v>30</v>
      </c>
      <c r="D831" t="s">
        <v>24</v>
      </c>
      <c r="E831">
        <v>25.05</v>
      </c>
      <c r="F831">
        <v>38</v>
      </c>
      <c r="G831">
        <v>951.9</v>
      </c>
      <c r="H831" t="s">
        <v>12</v>
      </c>
      <c r="I831" t="str">
        <f t="shared" si="37"/>
        <v>Low Value</v>
      </c>
      <c r="J831" t="str">
        <f t="shared" si="38"/>
        <v>Low Risk</v>
      </c>
      <c r="K831" s="3" t="str">
        <f t="shared" si="36"/>
        <v>2-4 Years</v>
      </c>
    </row>
    <row r="832" spans="1:11" x14ac:dyDescent="0.3">
      <c r="A832" t="s">
        <v>849</v>
      </c>
      <c r="B832" t="s">
        <v>9</v>
      </c>
      <c r="C832" t="s">
        <v>15</v>
      </c>
      <c r="D832" t="s">
        <v>24</v>
      </c>
      <c r="E832">
        <v>74.099999999999994</v>
      </c>
      <c r="F832">
        <v>70</v>
      </c>
      <c r="G832">
        <v>5187</v>
      </c>
      <c r="H832" t="s">
        <v>12</v>
      </c>
      <c r="I832" t="str">
        <f t="shared" si="37"/>
        <v>High Value</v>
      </c>
      <c r="J832" t="str">
        <f t="shared" si="38"/>
        <v>Low Risk</v>
      </c>
      <c r="K832" s="3" t="str">
        <f t="shared" si="36"/>
        <v>4+ Years</v>
      </c>
    </row>
    <row r="833" spans="1:11" x14ac:dyDescent="0.3">
      <c r="A833" t="s">
        <v>850</v>
      </c>
      <c r="B833" t="s">
        <v>9</v>
      </c>
      <c r="C833" t="s">
        <v>10</v>
      </c>
      <c r="D833" t="s">
        <v>11</v>
      </c>
      <c r="E833">
        <v>88.8</v>
      </c>
      <c r="F833">
        <v>37</v>
      </c>
      <c r="G833">
        <v>3285.6</v>
      </c>
      <c r="H833" t="s">
        <v>12</v>
      </c>
      <c r="I833" t="str">
        <f t="shared" si="37"/>
        <v>Medium Value</v>
      </c>
      <c r="J833" t="str">
        <f t="shared" si="38"/>
        <v>Low Risk</v>
      </c>
      <c r="K833" s="3" t="str">
        <f t="shared" si="36"/>
        <v>2-4 Years</v>
      </c>
    </row>
    <row r="834" spans="1:11" x14ac:dyDescent="0.3">
      <c r="A834" t="s">
        <v>851</v>
      </c>
      <c r="B834" t="s">
        <v>9</v>
      </c>
      <c r="C834" t="s">
        <v>10</v>
      </c>
      <c r="D834" t="s">
        <v>11</v>
      </c>
      <c r="E834">
        <v>78.849999999999994</v>
      </c>
      <c r="F834">
        <v>4</v>
      </c>
      <c r="G834">
        <v>315.39999999999998</v>
      </c>
      <c r="H834" t="s">
        <v>18</v>
      </c>
      <c r="I834" t="str">
        <f t="shared" si="37"/>
        <v>Low Value</v>
      </c>
      <c r="J834" t="str">
        <f t="shared" si="38"/>
        <v>High Risk</v>
      </c>
      <c r="K834" s="3" t="str">
        <f t="shared" si="36"/>
        <v>0-1 Year</v>
      </c>
    </row>
    <row r="835" spans="1:11" x14ac:dyDescent="0.3">
      <c r="A835" t="s">
        <v>852</v>
      </c>
      <c r="B835" t="s">
        <v>14</v>
      </c>
      <c r="C835" t="s">
        <v>10</v>
      </c>
      <c r="D835" t="s">
        <v>11</v>
      </c>
      <c r="E835">
        <v>93.25</v>
      </c>
      <c r="F835">
        <v>60</v>
      </c>
      <c r="G835">
        <v>5595</v>
      </c>
      <c r="H835" t="s">
        <v>12</v>
      </c>
      <c r="I835" t="str">
        <f t="shared" si="37"/>
        <v>High Value</v>
      </c>
      <c r="J835" t="str">
        <f t="shared" si="38"/>
        <v>Low Risk</v>
      </c>
      <c r="K835" s="3" t="str">
        <f t="shared" ref="K835:K898" si="39">IF(F835&lt;=12,"0-1 Year",
IF(F835&lt;=24,"1-2 Years",
IF(F835&lt;=48,"2-4 Years","4+ Years")))</f>
        <v>4+ Years</v>
      </c>
    </row>
    <row r="836" spans="1:11" x14ac:dyDescent="0.3">
      <c r="A836" t="s">
        <v>853</v>
      </c>
      <c r="B836" t="s">
        <v>14</v>
      </c>
      <c r="C836" t="s">
        <v>15</v>
      </c>
      <c r="D836" t="s">
        <v>24</v>
      </c>
      <c r="E836">
        <v>71.400000000000006</v>
      </c>
      <c r="F836">
        <v>62</v>
      </c>
      <c r="G836">
        <v>4426.8</v>
      </c>
      <c r="H836" t="s">
        <v>12</v>
      </c>
      <c r="I836" t="str">
        <f t="shared" ref="I836:I899" si="40">IF(G836&gt;5000,"High Value",
IF(G836&gt;2000,"Medium Value","Low Value"))</f>
        <v>Medium Value</v>
      </c>
      <c r="J836" t="str">
        <f t="shared" ref="J836:J899" si="41">IF(F836&lt;12,"High Risk",
IF(F836&lt;24,"Medium Risk","Low Risk"))</f>
        <v>Low Risk</v>
      </c>
      <c r="K836" s="3" t="str">
        <f t="shared" si="39"/>
        <v>4+ Years</v>
      </c>
    </row>
    <row r="837" spans="1:11" x14ac:dyDescent="0.3">
      <c r="A837" t="s">
        <v>854</v>
      </c>
      <c r="B837" t="s">
        <v>14</v>
      </c>
      <c r="C837" t="s">
        <v>10</v>
      </c>
      <c r="D837" t="s">
        <v>16</v>
      </c>
      <c r="E837">
        <v>44.4</v>
      </c>
      <c r="F837">
        <v>1</v>
      </c>
      <c r="G837">
        <v>44.4</v>
      </c>
      <c r="H837" t="s">
        <v>18</v>
      </c>
      <c r="I837" t="str">
        <f t="shared" si="40"/>
        <v>Low Value</v>
      </c>
      <c r="J837" t="str">
        <f t="shared" si="41"/>
        <v>High Risk</v>
      </c>
      <c r="K837" s="3" t="str">
        <f t="shared" si="39"/>
        <v>0-1 Year</v>
      </c>
    </row>
    <row r="838" spans="1:11" x14ac:dyDescent="0.3">
      <c r="A838" t="s">
        <v>855</v>
      </c>
      <c r="B838" t="s">
        <v>14</v>
      </c>
      <c r="C838" t="s">
        <v>10</v>
      </c>
      <c r="D838" t="s">
        <v>24</v>
      </c>
      <c r="E838">
        <v>79.2</v>
      </c>
      <c r="F838">
        <v>36</v>
      </c>
      <c r="G838">
        <v>2851.2</v>
      </c>
      <c r="H838" t="s">
        <v>12</v>
      </c>
      <c r="I838" t="str">
        <f t="shared" si="40"/>
        <v>Medium Value</v>
      </c>
      <c r="J838" t="str">
        <f t="shared" si="41"/>
        <v>Low Risk</v>
      </c>
      <c r="K838" s="3" t="str">
        <f t="shared" si="39"/>
        <v>2-4 Years</v>
      </c>
    </row>
    <row r="839" spans="1:11" x14ac:dyDescent="0.3">
      <c r="A839" t="s">
        <v>856</v>
      </c>
      <c r="B839" t="s">
        <v>14</v>
      </c>
      <c r="C839" t="s">
        <v>30</v>
      </c>
      <c r="D839" t="s">
        <v>24</v>
      </c>
      <c r="E839">
        <v>20.399999999999999</v>
      </c>
      <c r="F839">
        <v>44</v>
      </c>
      <c r="G839">
        <v>897.599999999999</v>
      </c>
      <c r="H839" t="s">
        <v>12</v>
      </c>
      <c r="I839" t="str">
        <f t="shared" si="40"/>
        <v>Low Value</v>
      </c>
      <c r="J839" t="str">
        <f t="shared" si="41"/>
        <v>Low Risk</v>
      </c>
      <c r="K839" s="3" t="str">
        <f t="shared" si="39"/>
        <v>2-4 Years</v>
      </c>
    </row>
    <row r="840" spans="1:11" x14ac:dyDescent="0.3">
      <c r="A840" t="s">
        <v>857</v>
      </c>
      <c r="B840" t="s">
        <v>9</v>
      </c>
      <c r="C840" t="s">
        <v>15</v>
      </c>
      <c r="D840" t="s">
        <v>11</v>
      </c>
      <c r="E840">
        <v>100</v>
      </c>
      <c r="F840">
        <v>55</v>
      </c>
      <c r="G840">
        <v>5500</v>
      </c>
      <c r="H840" t="s">
        <v>18</v>
      </c>
      <c r="I840" t="str">
        <f t="shared" si="40"/>
        <v>High Value</v>
      </c>
      <c r="J840" t="str">
        <f t="shared" si="41"/>
        <v>Low Risk</v>
      </c>
      <c r="K840" s="3" t="str">
        <f t="shared" si="39"/>
        <v>4+ Years</v>
      </c>
    </row>
    <row r="841" spans="1:11" x14ac:dyDescent="0.3">
      <c r="A841" t="s">
        <v>858</v>
      </c>
      <c r="B841" t="s">
        <v>9</v>
      </c>
      <c r="C841" t="s">
        <v>30</v>
      </c>
      <c r="D841" t="s">
        <v>24</v>
      </c>
      <c r="E841">
        <v>105</v>
      </c>
      <c r="F841">
        <v>72</v>
      </c>
      <c r="G841">
        <v>7560</v>
      </c>
      <c r="H841" t="s">
        <v>12</v>
      </c>
      <c r="I841" t="str">
        <f t="shared" si="40"/>
        <v>High Value</v>
      </c>
      <c r="J841" t="str">
        <f t="shared" si="41"/>
        <v>Low Risk</v>
      </c>
      <c r="K841" s="3" t="str">
        <f t="shared" si="39"/>
        <v>4+ Years</v>
      </c>
    </row>
    <row r="842" spans="1:11" x14ac:dyDescent="0.3">
      <c r="A842" t="s">
        <v>859</v>
      </c>
      <c r="B842" t="s">
        <v>9</v>
      </c>
      <c r="C842" t="s">
        <v>15</v>
      </c>
      <c r="D842" t="s">
        <v>20</v>
      </c>
      <c r="E842">
        <v>19.8</v>
      </c>
      <c r="F842">
        <v>12</v>
      </c>
      <c r="G842">
        <v>237.6</v>
      </c>
      <c r="H842" t="s">
        <v>18</v>
      </c>
      <c r="I842" t="str">
        <f t="shared" si="40"/>
        <v>Low Value</v>
      </c>
      <c r="J842" t="str">
        <f t="shared" si="41"/>
        <v>Medium Risk</v>
      </c>
      <c r="K842" s="3" t="str">
        <f t="shared" si="39"/>
        <v>0-1 Year</v>
      </c>
    </row>
    <row r="843" spans="1:11" x14ac:dyDescent="0.3">
      <c r="A843" t="s">
        <v>860</v>
      </c>
      <c r="B843" t="s">
        <v>9</v>
      </c>
      <c r="C843" t="s">
        <v>10</v>
      </c>
      <c r="D843" t="s">
        <v>20</v>
      </c>
      <c r="E843">
        <v>30.85</v>
      </c>
      <c r="F843">
        <v>13</v>
      </c>
      <c r="G843">
        <v>401.05</v>
      </c>
      <c r="H843" t="s">
        <v>12</v>
      </c>
      <c r="I843" t="str">
        <f t="shared" si="40"/>
        <v>Low Value</v>
      </c>
      <c r="J843" t="str">
        <f t="shared" si="41"/>
        <v>Medium Risk</v>
      </c>
      <c r="K843" s="3" t="str">
        <f t="shared" si="39"/>
        <v>1-2 Years</v>
      </c>
    </row>
    <row r="844" spans="1:11" x14ac:dyDescent="0.3">
      <c r="A844" t="s">
        <v>861</v>
      </c>
      <c r="B844" t="s">
        <v>14</v>
      </c>
      <c r="C844" t="s">
        <v>10</v>
      </c>
      <c r="D844" t="s">
        <v>11</v>
      </c>
      <c r="E844">
        <v>89.9</v>
      </c>
      <c r="F844">
        <v>1</v>
      </c>
      <c r="G844">
        <v>89.9</v>
      </c>
      <c r="H844" t="s">
        <v>18</v>
      </c>
      <c r="I844" t="str">
        <f t="shared" si="40"/>
        <v>Low Value</v>
      </c>
      <c r="J844" t="str">
        <f t="shared" si="41"/>
        <v>High Risk</v>
      </c>
      <c r="K844" s="3" t="str">
        <f t="shared" si="39"/>
        <v>0-1 Year</v>
      </c>
    </row>
    <row r="845" spans="1:11" x14ac:dyDescent="0.3">
      <c r="A845" t="s">
        <v>862</v>
      </c>
      <c r="B845" t="s">
        <v>9</v>
      </c>
      <c r="C845" t="s">
        <v>15</v>
      </c>
      <c r="D845" t="s">
        <v>16</v>
      </c>
      <c r="E845">
        <v>20.55</v>
      </c>
      <c r="F845">
        <v>15</v>
      </c>
      <c r="G845">
        <v>308.25</v>
      </c>
      <c r="H845" t="s">
        <v>12</v>
      </c>
      <c r="I845" t="str">
        <f t="shared" si="40"/>
        <v>Low Value</v>
      </c>
      <c r="J845" t="str">
        <f t="shared" si="41"/>
        <v>Medium Risk</v>
      </c>
      <c r="K845" s="3" t="str">
        <f t="shared" si="39"/>
        <v>1-2 Years</v>
      </c>
    </row>
    <row r="846" spans="1:11" x14ac:dyDescent="0.3">
      <c r="A846" t="s">
        <v>863</v>
      </c>
      <c r="B846" t="s">
        <v>9</v>
      </c>
      <c r="C846" t="s">
        <v>30</v>
      </c>
      <c r="D846" t="s">
        <v>20</v>
      </c>
      <c r="E846">
        <v>84.85</v>
      </c>
      <c r="F846">
        <v>65</v>
      </c>
      <c r="G846">
        <v>5515.25</v>
      </c>
      <c r="H846" t="s">
        <v>12</v>
      </c>
      <c r="I846" t="str">
        <f t="shared" si="40"/>
        <v>High Value</v>
      </c>
      <c r="J846" t="str">
        <f t="shared" si="41"/>
        <v>Low Risk</v>
      </c>
      <c r="K846" s="3" t="str">
        <f t="shared" si="39"/>
        <v>4+ Years</v>
      </c>
    </row>
    <row r="847" spans="1:11" x14ac:dyDescent="0.3">
      <c r="A847" t="s">
        <v>864</v>
      </c>
      <c r="B847" t="s">
        <v>9</v>
      </c>
      <c r="C847" t="s">
        <v>15</v>
      </c>
      <c r="D847" t="s">
        <v>24</v>
      </c>
      <c r="E847">
        <v>33.15</v>
      </c>
      <c r="F847">
        <v>12</v>
      </c>
      <c r="G847">
        <v>397.79999999999899</v>
      </c>
      <c r="H847" t="s">
        <v>12</v>
      </c>
      <c r="I847" t="str">
        <f t="shared" si="40"/>
        <v>Low Value</v>
      </c>
      <c r="J847" t="str">
        <f t="shared" si="41"/>
        <v>Medium Risk</v>
      </c>
      <c r="K847" s="3" t="str">
        <f t="shared" si="39"/>
        <v>0-1 Year</v>
      </c>
    </row>
    <row r="848" spans="1:11" x14ac:dyDescent="0.3">
      <c r="A848" t="s">
        <v>865</v>
      </c>
      <c r="B848" t="s">
        <v>14</v>
      </c>
      <c r="C848" t="s">
        <v>30</v>
      </c>
      <c r="D848" t="s">
        <v>24</v>
      </c>
      <c r="E848">
        <v>92</v>
      </c>
      <c r="F848">
        <v>72</v>
      </c>
      <c r="G848">
        <v>6624</v>
      </c>
      <c r="H848" t="s">
        <v>12</v>
      </c>
      <c r="I848" t="str">
        <f t="shared" si="40"/>
        <v>High Value</v>
      </c>
      <c r="J848" t="str">
        <f t="shared" si="41"/>
        <v>Low Risk</v>
      </c>
      <c r="K848" s="3" t="str">
        <f t="shared" si="39"/>
        <v>4+ Years</v>
      </c>
    </row>
    <row r="849" spans="1:11" x14ac:dyDescent="0.3">
      <c r="A849" t="s">
        <v>866</v>
      </c>
      <c r="B849" t="s">
        <v>9</v>
      </c>
      <c r="C849" t="s">
        <v>30</v>
      </c>
      <c r="D849" t="s">
        <v>24</v>
      </c>
      <c r="E849">
        <v>89.8</v>
      </c>
      <c r="F849">
        <v>72</v>
      </c>
      <c r="G849">
        <v>6465.5999999999904</v>
      </c>
      <c r="H849" t="s">
        <v>12</v>
      </c>
      <c r="I849" t="str">
        <f t="shared" si="40"/>
        <v>High Value</v>
      </c>
      <c r="J849" t="str">
        <f t="shared" si="41"/>
        <v>Low Risk</v>
      </c>
      <c r="K849" s="3" t="str">
        <f t="shared" si="39"/>
        <v>4+ Years</v>
      </c>
    </row>
    <row r="850" spans="1:11" x14ac:dyDescent="0.3">
      <c r="A850" t="s">
        <v>867</v>
      </c>
      <c r="B850" t="s">
        <v>9</v>
      </c>
      <c r="C850" t="s">
        <v>30</v>
      </c>
      <c r="D850" t="s">
        <v>20</v>
      </c>
      <c r="E850">
        <v>115.8</v>
      </c>
      <c r="F850">
        <v>72</v>
      </c>
      <c r="G850">
        <v>8337.6</v>
      </c>
      <c r="H850" t="s">
        <v>12</v>
      </c>
      <c r="I850" t="str">
        <f t="shared" si="40"/>
        <v>High Value</v>
      </c>
      <c r="J850" t="str">
        <f t="shared" si="41"/>
        <v>Low Risk</v>
      </c>
      <c r="K850" s="3" t="str">
        <f t="shared" si="39"/>
        <v>4+ Years</v>
      </c>
    </row>
    <row r="851" spans="1:11" x14ac:dyDescent="0.3">
      <c r="A851" t="s">
        <v>868</v>
      </c>
      <c r="B851" t="s">
        <v>14</v>
      </c>
      <c r="C851" t="s">
        <v>30</v>
      </c>
      <c r="D851" t="s">
        <v>16</v>
      </c>
      <c r="E851">
        <v>85.15</v>
      </c>
      <c r="F851">
        <v>52</v>
      </c>
      <c r="G851">
        <v>4427.8</v>
      </c>
      <c r="H851" t="s">
        <v>12</v>
      </c>
      <c r="I851" t="str">
        <f t="shared" si="40"/>
        <v>Medium Value</v>
      </c>
      <c r="J851" t="str">
        <f t="shared" si="41"/>
        <v>Low Risk</v>
      </c>
      <c r="K851" s="3" t="str">
        <f t="shared" si="39"/>
        <v>4+ Years</v>
      </c>
    </row>
    <row r="852" spans="1:11" x14ac:dyDescent="0.3">
      <c r="A852" t="s">
        <v>869</v>
      </c>
      <c r="B852" t="s">
        <v>14</v>
      </c>
      <c r="C852" t="s">
        <v>10</v>
      </c>
      <c r="D852" t="s">
        <v>16</v>
      </c>
      <c r="E852">
        <v>24.85</v>
      </c>
      <c r="F852">
        <v>2</v>
      </c>
      <c r="G852">
        <v>49.7</v>
      </c>
      <c r="H852" t="s">
        <v>12</v>
      </c>
      <c r="I852" t="str">
        <f t="shared" si="40"/>
        <v>Low Value</v>
      </c>
      <c r="J852" t="str">
        <f t="shared" si="41"/>
        <v>High Risk</v>
      </c>
      <c r="K852" s="3" t="str">
        <f t="shared" si="39"/>
        <v>0-1 Year</v>
      </c>
    </row>
    <row r="853" spans="1:11" x14ac:dyDescent="0.3">
      <c r="A853" t="s">
        <v>870</v>
      </c>
      <c r="B853" t="s">
        <v>9</v>
      </c>
      <c r="C853" t="s">
        <v>10</v>
      </c>
      <c r="D853" t="s">
        <v>11</v>
      </c>
      <c r="E853">
        <v>64.349999999999994</v>
      </c>
      <c r="F853">
        <v>5</v>
      </c>
      <c r="G853">
        <v>321.75</v>
      </c>
      <c r="H853" t="s">
        <v>12</v>
      </c>
      <c r="I853" t="str">
        <f t="shared" si="40"/>
        <v>Low Value</v>
      </c>
      <c r="J853" t="str">
        <f t="shared" si="41"/>
        <v>High Risk</v>
      </c>
      <c r="K853" s="3" t="str">
        <f t="shared" si="39"/>
        <v>0-1 Year</v>
      </c>
    </row>
    <row r="854" spans="1:11" x14ac:dyDescent="0.3">
      <c r="A854" t="s">
        <v>871</v>
      </c>
      <c r="B854" t="s">
        <v>9</v>
      </c>
      <c r="C854" t="s">
        <v>30</v>
      </c>
      <c r="D854" t="s">
        <v>24</v>
      </c>
      <c r="E854">
        <v>20.5</v>
      </c>
      <c r="F854">
        <v>68</v>
      </c>
      <c r="G854">
        <v>1394</v>
      </c>
      <c r="H854" t="s">
        <v>12</v>
      </c>
      <c r="I854" t="str">
        <f t="shared" si="40"/>
        <v>Low Value</v>
      </c>
      <c r="J854" t="str">
        <f t="shared" si="41"/>
        <v>Low Risk</v>
      </c>
      <c r="K854" s="3" t="str">
        <f t="shared" si="39"/>
        <v>4+ Years</v>
      </c>
    </row>
    <row r="855" spans="1:11" x14ac:dyDescent="0.3">
      <c r="A855" t="s">
        <v>872</v>
      </c>
      <c r="B855" t="s">
        <v>9</v>
      </c>
      <c r="C855" t="s">
        <v>15</v>
      </c>
      <c r="D855" t="s">
        <v>11</v>
      </c>
      <c r="E855">
        <v>100.15</v>
      </c>
      <c r="F855">
        <v>62</v>
      </c>
      <c r="G855">
        <v>6209.3</v>
      </c>
      <c r="H855" t="s">
        <v>18</v>
      </c>
      <c r="I855" t="str">
        <f t="shared" si="40"/>
        <v>High Value</v>
      </c>
      <c r="J855" t="str">
        <f t="shared" si="41"/>
        <v>Low Risk</v>
      </c>
      <c r="K855" s="3" t="str">
        <f t="shared" si="39"/>
        <v>4+ Years</v>
      </c>
    </row>
    <row r="856" spans="1:11" x14ac:dyDescent="0.3">
      <c r="A856" t="s">
        <v>873</v>
      </c>
      <c r="B856" t="s">
        <v>14</v>
      </c>
      <c r="C856" t="s">
        <v>30</v>
      </c>
      <c r="D856" t="s">
        <v>24</v>
      </c>
      <c r="E856">
        <v>86.05</v>
      </c>
      <c r="F856">
        <v>72</v>
      </c>
      <c r="G856">
        <v>6195.5999999999904</v>
      </c>
      <c r="H856" t="s">
        <v>12</v>
      </c>
      <c r="I856" t="str">
        <f t="shared" si="40"/>
        <v>High Value</v>
      </c>
      <c r="J856" t="str">
        <f t="shared" si="41"/>
        <v>Low Risk</v>
      </c>
      <c r="K856" s="3" t="str">
        <f t="shared" si="39"/>
        <v>4+ Years</v>
      </c>
    </row>
    <row r="857" spans="1:11" x14ac:dyDescent="0.3">
      <c r="A857" t="s">
        <v>874</v>
      </c>
      <c r="B857" t="s">
        <v>14</v>
      </c>
      <c r="C857" t="s">
        <v>10</v>
      </c>
      <c r="D857" t="s">
        <v>11</v>
      </c>
      <c r="E857">
        <v>50.8</v>
      </c>
      <c r="F857">
        <v>1</v>
      </c>
      <c r="G857">
        <v>50.8</v>
      </c>
      <c r="H857" t="s">
        <v>18</v>
      </c>
      <c r="I857" t="str">
        <f t="shared" si="40"/>
        <v>Low Value</v>
      </c>
      <c r="J857" t="str">
        <f t="shared" si="41"/>
        <v>High Risk</v>
      </c>
      <c r="K857" s="3" t="str">
        <f t="shared" si="39"/>
        <v>0-1 Year</v>
      </c>
    </row>
    <row r="858" spans="1:11" x14ac:dyDescent="0.3">
      <c r="A858" t="s">
        <v>875</v>
      </c>
      <c r="B858" t="s">
        <v>9</v>
      </c>
      <c r="C858" t="s">
        <v>15</v>
      </c>
      <c r="D858" t="s">
        <v>11</v>
      </c>
      <c r="E858">
        <v>89</v>
      </c>
      <c r="F858">
        <v>66</v>
      </c>
      <c r="G858">
        <v>5874</v>
      </c>
      <c r="H858" t="s">
        <v>12</v>
      </c>
      <c r="I858" t="str">
        <f t="shared" si="40"/>
        <v>High Value</v>
      </c>
      <c r="J858" t="str">
        <f t="shared" si="41"/>
        <v>Low Risk</v>
      </c>
      <c r="K858" s="3" t="str">
        <f t="shared" si="39"/>
        <v>4+ Years</v>
      </c>
    </row>
    <row r="859" spans="1:11" x14ac:dyDescent="0.3">
      <c r="A859" t="s">
        <v>876</v>
      </c>
      <c r="B859" t="s">
        <v>14</v>
      </c>
      <c r="C859" t="s">
        <v>30</v>
      </c>
      <c r="D859" t="s">
        <v>24</v>
      </c>
      <c r="E859">
        <v>64.8</v>
      </c>
      <c r="F859">
        <v>72</v>
      </c>
      <c r="G859">
        <v>4665.5999999999904</v>
      </c>
      <c r="H859" t="s">
        <v>12</v>
      </c>
      <c r="I859" t="str">
        <f t="shared" si="40"/>
        <v>Medium Value</v>
      </c>
      <c r="J859" t="str">
        <f t="shared" si="41"/>
        <v>Low Risk</v>
      </c>
      <c r="K859" s="3" t="str">
        <f t="shared" si="39"/>
        <v>4+ Years</v>
      </c>
    </row>
    <row r="860" spans="1:11" x14ac:dyDescent="0.3">
      <c r="A860" t="s">
        <v>877</v>
      </c>
      <c r="B860" t="s">
        <v>14</v>
      </c>
      <c r="C860" t="s">
        <v>15</v>
      </c>
      <c r="D860" t="s">
        <v>24</v>
      </c>
      <c r="E860">
        <v>19.8</v>
      </c>
      <c r="F860">
        <v>26</v>
      </c>
      <c r="G860">
        <v>514.79999999999995</v>
      </c>
      <c r="H860" t="s">
        <v>12</v>
      </c>
      <c r="I860" t="str">
        <f t="shared" si="40"/>
        <v>Low Value</v>
      </c>
      <c r="J860" t="str">
        <f t="shared" si="41"/>
        <v>Low Risk</v>
      </c>
      <c r="K860" s="3" t="str">
        <f t="shared" si="39"/>
        <v>2-4 Years</v>
      </c>
    </row>
    <row r="861" spans="1:11" x14ac:dyDescent="0.3">
      <c r="A861" t="s">
        <v>878</v>
      </c>
      <c r="B861" t="s">
        <v>14</v>
      </c>
      <c r="C861" t="s">
        <v>30</v>
      </c>
      <c r="D861" t="s">
        <v>20</v>
      </c>
      <c r="E861">
        <v>93.4</v>
      </c>
      <c r="F861">
        <v>64</v>
      </c>
      <c r="G861">
        <v>5977.6</v>
      </c>
      <c r="H861" t="s">
        <v>12</v>
      </c>
      <c r="I861" t="str">
        <f t="shared" si="40"/>
        <v>High Value</v>
      </c>
      <c r="J861" t="str">
        <f t="shared" si="41"/>
        <v>Low Risk</v>
      </c>
      <c r="K861" s="3" t="str">
        <f t="shared" si="39"/>
        <v>4+ Years</v>
      </c>
    </row>
    <row r="862" spans="1:11" x14ac:dyDescent="0.3">
      <c r="A862" t="s">
        <v>879</v>
      </c>
      <c r="B862" t="s">
        <v>14</v>
      </c>
      <c r="C862" t="s">
        <v>10</v>
      </c>
      <c r="D862" t="s">
        <v>11</v>
      </c>
      <c r="E862">
        <v>73.650000000000006</v>
      </c>
      <c r="F862">
        <v>20</v>
      </c>
      <c r="G862">
        <v>1473</v>
      </c>
      <c r="H862" t="s">
        <v>18</v>
      </c>
      <c r="I862" t="str">
        <f t="shared" si="40"/>
        <v>Low Value</v>
      </c>
      <c r="J862" t="str">
        <f t="shared" si="41"/>
        <v>Medium Risk</v>
      </c>
      <c r="K862" s="3" t="str">
        <f t="shared" si="39"/>
        <v>1-2 Years</v>
      </c>
    </row>
    <row r="863" spans="1:11" x14ac:dyDescent="0.3">
      <c r="A863" t="s">
        <v>880</v>
      </c>
      <c r="B863" t="s">
        <v>9</v>
      </c>
      <c r="C863" t="s">
        <v>10</v>
      </c>
      <c r="D863" t="s">
        <v>11</v>
      </c>
      <c r="E863">
        <v>95.1</v>
      </c>
      <c r="F863">
        <v>3</v>
      </c>
      <c r="G863">
        <v>285.29999999999899</v>
      </c>
      <c r="H863" t="s">
        <v>18</v>
      </c>
      <c r="I863" t="str">
        <f t="shared" si="40"/>
        <v>Low Value</v>
      </c>
      <c r="J863" t="str">
        <f t="shared" si="41"/>
        <v>High Risk</v>
      </c>
      <c r="K863" s="3" t="str">
        <f t="shared" si="39"/>
        <v>0-1 Year</v>
      </c>
    </row>
    <row r="864" spans="1:11" x14ac:dyDescent="0.3">
      <c r="A864" t="s">
        <v>881</v>
      </c>
      <c r="B864" t="s">
        <v>14</v>
      </c>
      <c r="C864" t="s">
        <v>10</v>
      </c>
      <c r="D864" t="s">
        <v>24</v>
      </c>
      <c r="E864">
        <v>94.65</v>
      </c>
      <c r="F864">
        <v>22</v>
      </c>
      <c r="G864">
        <v>2082.3000000000002</v>
      </c>
      <c r="H864" t="s">
        <v>18</v>
      </c>
      <c r="I864" t="str">
        <f t="shared" si="40"/>
        <v>Medium Value</v>
      </c>
      <c r="J864" t="str">
        <f t="shared" si="41"/>
        <v>Medium Risk</v>
      </c>
      <c r="K864" s="3" t="str">
        <f t="shared" si="39"/>
        <v>1-2 Years</v>
      </c>
    </row>
    <row r="865" spans="1:11" x14ac:dyDescent="0.3">
      <c r="A865" t="s">
        <v>882</v>
      </c>
      <c r="B865" t="s">
        <v>14</v>
      </c>
      <c r="C865" t="s">
        <v>10</v>
      </c>
      <c r="D865" t="s">
        <v>16</v>
      </c>
      <c r="E865">
        <v>80.599999999999994</v>
      </c>
      <c r="F865">
        <v>4</v>
      </c>
      <c r="G865">
        <v>322.39999999999998</v>
      </c>
      <c r="H865" t="s">
        <v>18</v>
      </c>
      <c r="I865" t="str">
        <f t="shared" si="40"/>
        <v>Low Value</v>
      </c>
      <c r="J865" t="str">
        <f t="shared" si="41"/>
        <v>High Risk</v>
      </c>
      <c r="K865" s="3" t="str">
        <f t="shared" si="39"/>
        <v>0-1 Year</v>
      </c>
    </row>
    <row r="866" spans="1:11" x14ac:dyDescent="0.3">
      <c r="A866" t="s">
        <v>883</v>
      </c>
      <c r="B866" t="s">
        <v>14</v>
      </c>
      <c r="C866" t="s">
        <v>30</v>
      </c>
      <c r="D866" t="s">
        <v>20</v>
      </c>
      <c r="E866">
        <v>39</v>
      </c>
      <c r="F866">
        <v>62</v>
      </c>
      <c r="G866">
        <v>2418</v>
      </c>
      <c r="H866" t="s">
        <v>12</v>
      </c>
      <c r="I866" t="str">
        <f t="shared" si="40"/>
        <v>Medium Value</v>
      </c>
      <c r="J866" t="str">
        <f t="shared" si="41"/>
        <v>Low Risk</v>
      </c>
      <c r="K866" s="3" t="str">
        <f t="shared" si="39"/>
        <v>4+ Years</v>
      </c>
    </row>
    <row r="867" spans="1:11" x14ac:dyDescent="0.3">
      <c r="A867" t="s">
        <v>884</v>
      </c>
      <c r="B867" t="s">
        <v>9</v>
      </c>
      <c r="C867" t="s">
        <v>10</v>
      </c>
      <c r="D867" t="s">
        <v>16</v>
      </c>
      <c r="E867">
        <v>20.5</v>
      </c>
      <c r="F867">
        <v>5</v>
      </c>
      <c r="G867">
        <v>102.5</v>
      </c>
      <c r="H867" t="s">
        <v>12</v>
      </c>
      <c r="I867" t="str">
        <f t="shared" si="40"/>
        <v>Low Value</v>
      </c>
      <c r="J867" t="str">
        <f t="shared" si="41"/>
        <v>High Risk</v>
      </c>
      <c r="K867" s="3" t="str">
        <f t="shared" si="39"/>
        <v>0-1 Year</v>
      </c>
    </row>
    <row r="868" spans="1:11" x14ac:dyDescent="0.3">
      <c r="A868" t="s">
        <v>885</v>
      </c>
      <c r="B868" t="s">
        <v>14</v>
      </c>
      <c r="C868" t="s">
        <v>15</v>
      </c>
      <c r="D868" t="s">
        <v>11</v>
      </c>
      <c r="E868">
        <v>85.55</v>
      </c>
      <c r="F868">
        <v>59</v>
      </c>
      <c r="G868">
        <v>5047.45</v>
      </c>
      <c r="H868" t="s">
        <v>18</v>
      </c>
      <c r="I868" t="str">
        <f t="shared" si="40"/>
        <v>High Value</v>
      </c>
      <c r="J868" t="str">
        <f t="shared" si="41"/>
        <v>Low Risk</v>
      </c>
      <c r="K868" s="3" t="str">
        <f t="shared" si="39"/>
        <v>4+ Years</v>
      </c>
    </row>
    <row r="869" spans="1:11" x14ac:dyDescent="0.3">
      <c r="A869" t="s">
        <v>886</v>
      </c>
      <c r="B869" t="s">
        <v>14</v>
      </c>
      <c r="C869" t="s">
        <v>30</v>
      </c>
      <c r="D869" t="s">
        <v>16</v>
      </c>
      <c r="E869">
        <v>26.4</v>
      </c>
      <c r="F869">
        <v>3</v>
      </c>
      <c r="G869">
        <v>79.199999999999903</v>
      </c>
      <c r="H869" t="s">
        <v>12</v>
      </c>
      <c r="I869" t="str">
        <f t="shared" si="40"/>
        <v>Low Value</v>
      </c>
      <c r="J869" t="str">
        <f t="shared" si="41"/>
        <v>High Risk</v>
      </c>
      <c r="K869" s="3" t="str">
        <f t="shared" si="39"/>
        <v>0-1 Year</v>
      </c>
    </row>
    <row r="870" spans="1:11" x14ac:dyDescent="0.3">
      <c r="A870" t="s">
        <v>887</v>
      </c>
      <c r="B870" t="s">
        <v>9</v>
      </c>
      <c r="C870" t="s">
        <v>30</v>
      </c>
      <c r="D870" t="s">
        <v>20</v>
      </c>
      <c r="E870">
        <v>98.2</v>
      </c>
      <c r="F870">
        <v>72</v>
      </c>
      <c r="G870">
        <v>7070.4</v>
      </c>
      <c r="H870" t="s">
        <v>12</v>
      </c>
      <c r="I870" t="str">
        <f t="shared" si="40"/>
        <v>High Value</v>
      </c>
      <c r="J870" t="str">
        <f t="shared" si="41"/>
        <v>Low Risk</v>
      </c>
      <c r="K870" s="3" t="str">
        <f t="shared" si="39"/>
        <v>4+ Years</v>
      </c>
    </row>
    <row r="871" spans="1:11" x14ac:dyDescent="0.3">
      <c r="A871" t="s">
        <v>888</v>
      </c>
      <c r="B871" t="s">
        <v>14</v>
      </c>
      <c r="C871" t="s">
        <v>15</v>
      </c>
      <c r="D871" t="s">
        <v>24</v>
      </c>
      <c r="E871">
        <v>97.55</v>
      </c>
      <c r="F871">
        <v>57</v>
      </c>
      <c r="G871">
        <v>5560.3499999999904</v>
      </c>
      <c r="H871" t="s">
        <v>12</v>
      </c>
      <c r="I871" t="str">
        <f t="shared" si="40"/>
        <v>High Value</v>
      </c>
      <c r="J871" t="str">
        <f t="shared" si="41"/>
        <v>Low Risk</v>
      </c>
      <c r="K871" s="3" t="str">
        <f t="shared" si="39"/>
        <v>4+ Years</v>
      </c>
    </row>
    <row r="872" spans="1:11" x14ac:dyDescent="0.3">
      <c r="A872" t="s">
        <v>889</v>
      </c>
      <c r="B872" t="s">
        <v>14</v>
      </c>
      <c r="C872" t="s">
        <v>30</v>
      </c>
      <c r="D872" t="s">
        <v>24</v>
      </c>
      <c r="E872">
        <v>19.95</v>
      </c>
      <c r="F872">
        <v>66</v>
      </c>
      <c r="G872">
        <v>1316.7</v>
      </c>
      <c r="H872" t="s">
        <v>12</v>
      </c>
      <c r="I872" t="str">
        <f t="shared" si="40"/>
        <v>Low Value</v>
      </c>
      <c r="J872" t="str">
        <f t="shared" si="41"/>
        <v>Low Risk</v>
      </c>
      <c r="K872" s="3" t="str">
        <f t="shared" si="39"/>
        <v>4+ Years</v>
      </c>
    </row>
    <row r="873" spans="1:11" x14ac:dyDescent="0.3">
      <c r="A873" t="s">
        <v>890</v>
      </c>
      <c r="B873" t="s">
        <v>9</v>
      </c>
      <c r="C873" t="s">
        <v>10</v>
      </c>
      <c r="D873" t="s">
        <v>11</v>
      </c>
      <c r="E873">
        <v>50.8</v>
      </c>
      <c r="F873">
        <v>60</v>
      </c>
      <c r="G873">
        <v>3048</v>
      </c>
      <c r="H873" t="s">
        <v>18</v>
      </c>
      <c r="I873" t="str">
        <f t="shared" si="40"/>
        <v>Medium Value</v>
      </c>
      <c r="J873" t="str">
        <f t="shared" si="41"/>
        <v>Low Risk</v>
      </c>
      <c r="K873" s="3" t="str">
        <f t="shared" si="39"/>
        <v>4+ Years</v>
      </c>
    </row>
    <row r="874" spans="1:11" x14ac:dyDescent="0.3">
      <c r="A874" t="s">
        <v>891</v>
      </c>
      <c r="B874" t="s">
        <v>14</v>
      </c>
      <c r="C874" t="s">
        <v>30</v>
      </c>
      <c r="D874" t="s">
        <v>20</v>
      </c>
      <c r="E874">
        <v>99.7</v>
      </c>
      <c r="F874">
        <v>45</v>
      </c>
      <c r="G874">
        <v>4486.5</v>
      </c>
      <c r="H874" t="s">
        <v>12</v>
      </c>
      <c r="I874" t="str">
        <f t="shared" si="40"/>
        <v>Medium Value</v>
      </c>
      <c r="J874" t="str">
        <f t="shared" si="41"/>
        <v>Low Risk</v>
      </c>
      <c r="K874" s="3" t="str">
        <f t="shared" si="39"/>
        <v>2-4 Years</v>
      </c>
    </row>
    <row r="875" spans="1:11" x14ac:dyDescent="0.3">
      <c r="A875" t="s">
        <v>892</v>
      </c>
      <c r="B875" t="s">
        <v>9</v>
      </c>
      <c r="C875" t="s">
        <v>10</v>
      </c>
      <c r="D875" t="s">
        <v>24</v>
      </c>
      <c r="E875">
        <v>34.799999999999997</v>
      </c>
      <c r="F875">
        <v>3</v>
      </c>
      <c r="G875">
        <v>104.399999999999</v>
      </c>
      <c r="H875" t="s">
        <v>12</v>
      </c>
      <c r="I875" t="str">
        <f t="shared" si="40"/>
        <v>Low Value</v>
      </c>
      <c r="J875" t="str">
        <f t="shared" si="41"/>
        <v>High Risk</v>
      </c>
      <c r="K875" s="3" t="str">
        <f t="shared" si="39"/>
        <v>0-1 Year</v>
      </c>
    </row>
    <row r="876" spans="1:11" x14ac:dyDescent="0.3">
      <c r="A876" t="s">
        <v>893</v>
      </c>
      <c r="B876" t="s">
        <v>9</v>
      </c>
      <c r="C876" t="s">
        <v>10</v>
      </c>
      <c r="D876" t="s">
        <v>11</v>
      </c>
      <c r="E876">
        <v>105.1</v>
      </c>
      <c r="F876">
        <v>15</v>
      </c>
      <c r="G876">
        <v>1576.5</v>
      </c>
      <c r="H876" t="s">
        <v>18</v>
      </c>
      <c r="I876" t="str">
        <f t="shared" si="40"/>
        <v>Low Value</v>
      </c>
      <c r="J876" t="str">
        <f t="shared" si="41"/>
        <v>Medium Risk</v>
      </c>
      <c r="K876" s="3" t="str">
        <f t="shared" si="39"/>
        <v>1-2 Years</v>
      </c>
    </row>
    <row r="877" spans="1:11" x14ac:dyDescent="0.3">
      <c r="A877" t="s">
        <v>894</v>
      </c>
      <c r="B877" t="s">
        <v>9</v>
      </c>
      <c r="C877" t="s">
        <v>15</v>
      </c>
      <c r="D877" t="s">
        <v>20</v>
      </c>
      <c r="E877">
        <v>60.15</v>
      </c>
      <c r="F877">
        <v>51</v>
      </c>
      <c r="G877">
        <v>3067.65</v>
      </c>
      <c r="H877" t="s">
        <v>12</v>
      </c>
      <c r="I877" t="str">
        <f t="shared" si="40"/>
        <v>Medium Value</v>
      </c>
      <c r="J877" t="str">
        <f t="shared" si="41"/>
        <v>Low Risk</v>
      </c>
      <c r="K877" s="3" t="str">
        <f t="shared" si="39"/>
        <v>4+ Years</v>
      </c>
    </row>
    <row r="878" spans="1:11" x14ac:dyDescent="0.3">
      <c r="A878" t="s">
        <v>895</v>
      </c>
      <c r="B878" t="s">
        <v>9</v>
      </c>
      <c r="C878" t="s">
        <v>15</v>
      </c>
      <c r="D878" t="s">
        <v>11</v>
      </c>
      <c r="E878">
        <v>64.75</v>
      </c>
      <c r="F878">
        <v>60</v>
      </c>
      <c r="G878">
        <v>3885</v>
      </c>
      <c r="H878" t="s">
        <v>12</v>
      </c>
      <c r="I878" t="str">
        <f t="shared" si="40"/>
        <v>Medium Value</v>
      </c>
      <c r="J878" t="str">
        <f t="shared" si="41"/>
        <v>Low Risk</v>
      </c>
      <c r="K878" s="3" t="str">
        <f t="shared" si="39"/>
        <v>4+ Years</v>
      </c>
    </row>
    <row r="879" spans="1:11" x14ac:dyDescent="0.3">
      <c r="A879" t="s">
        <v>896</v>
      </c>
      <c r="B879" t="s">
        <v>14</v>
      </c>
      <c r="C879" t="s">
        <v>10</v>
      </c>
      <c r="D879" t="s">
        <v>20</v>
      </c>
      <c r="E879">
        <v>54.65</v>
      </c>
      <c r="F879">
        <v>33</v>
      </c>
      <c r="G879">
        <v>1803.45</v>
      </c>
      <c r="H879" t="s">
        <v>12</v>
      </c>
      <c r="I879" t="str">
        <f t="shared" si="40"/>
        <v>Low Value</v>
      </c>
      <c r="J879" t="str">
        <f t="shared" si="41"/>
        <v>Low Risk</v>
      </c>
      <c r="K879" s="3" t="str">
        <f t="shared" si="39"/>
        <v>2-4 Years</v>
      </c>
    </row>
    <row r="880" spans="1:11" x14ac:dyDescent="0.3">
      <c r="A880" t="s">
        <v>897</v>
      </c>
      <c r="B880" t="s">
        <v>14</v>
      </c>
      <c r="C880" t="s">
        <v>10</v>
      </c>
      <c r="D880" t="s">
        <v>11</v>
      </c>
      <c r="E880">
        <v>110.1</v>
      </c>
      <c r="F880">
        <v>10</v>
      </c>
      <c r="G880">
        <v>1101</v>
      </c>
      <c r="H880" t="s">
        <v>18</v>
      </c>
      <c r="I880" t="str">
        <f t="shared" si="40"/>
        <v>Low Value</v>
      </c>
      <c r="J880" t="str">
        <f t="shared" si="41"/>
        <v>High Risk</v>
      </c>
      <c r="K880" s="3" t="str">
        <f t="shared" si="39"/>
        <v>0-1 Year</v>
      </c>
    </row>
    <row r="881" spans="1:11" x14ac:dyDescent="0.3">
      <c r="A881" t="s">
        <v>898</v>
      </c>
      <c r="B881" t="s">
        <v>14</v>
      </c>
      <c r="C881" t="s">
        <v>15</v>
      </c>
      <c r="D881" t="s">
        <v>24</v>
      </c>
      <c r="E881">
        <v>19.3</v>
      </c>
      <c r="F881">
        <v>26</v>
      </c>
      <c r="G881">
        <v>501.8</v>
      </c>
      <c r="H881" t="s">
        <v>12</v>
      </c>
      <c r="I881" t="str">
        <f t="shared" si="40"/>
        <v>Low Value</v>
      </c>
      <c r="J881" t="str">
        <f t="shared" si="41"/>
        <v>Low Risk</v>
      </c>
      <c r="K881" s="3" t="str">
        <f t="shared" si="39"/>
        <v>2-4 Years</v>
      </c>
    </row>
    <row r="882" spans="1:11" x14ac:dyDescent="0.3">
      <c r="A882" t="s">
        <v>899</v>
      </c>
      <c r="B882" t="s">
        <v>9</v>
      </c>
      <c r="C882" t="s">
        <v>10</v>
      </c>
      <c r="D882" t="s">
        <v>11</v>
      </c>
      <c r="E882">
        <v>83.9</v>
      </c>
      <c r="F882">
        <v>6</v>
      </c>
      <c r="G882">
        <v>503.4</v>
      </c>
      <c r="H882" t="s">
        <v>18</v>
      </c>
      <c r="I882" t="str">
        <f t="shared" si="40"/>
        <v>Low Value</v>
      </c>
      <c r="J882" t="str">
        <f t="shared" si="41"/>
        <v>High Risk</v>
      </c>
      <c r="K882" s="3" t="str">
        <f t="shared" si="39"/>
        <v>0-1 Year</v>
      </c>
    </row>
    <row r="883" spans="1:11" x14ac:dyDescent="0.3">
      <c r="A883" t="s">
        <v>900</v>
      </c>
      <c r="B883" t="s">
        <v>9</v>
      </c>
      <c r="C883" t="s">
        <v>15</v>
      </c>
      <c r="D883" t="s">
        <v>11</v>
      </c>
      <c r="E883">
        <v>111.25</v>
      </c>
      <c r="F883">
        <v>67</v>
      </c>
      <c r="G883">
        <v>7453.75</v>
      </c>
      <c r="H883" t="s">
        <v>12</v>
      </c>
      <c r="I883" t="str">
        <f t="shared" si="40"/>
        <v>High Value</v>
      </c>
      <c r="J883" t="str">
        <f t="shared" si="41"/>
        <v>Low Risk</v>
      </c>
      <c r="K883" s="3" t="str">
        <f t="shared" si="39"/>
        <v>4+ Years</v>
      </c>
    </row>
    <row r="884" spans="1:11" x14ac:dyDescent="0.3">
      <c r="A884" t="s">
        <v>901</v>
      </c>
      <c r="B884" t="s">
        <v>9</v>
      </c>
      <c r="C884" t="s">
        <v>15</v>
      </c>
      <c r="D884" t="s">
        <v>24</v>
      </c>
      <c r="E884">
        <v>35.799999999999997</v>
      </c>
      <c r="F884">
        <v>49</v>
      </c>
      <c r="G884">
        <v>1754.19999999999</v>
      </c>
      <c r="H884" t="s">
        <v>12</v>
      </c>
      <c r="I884" t="str">
        <f t="shared" si="40"/>
        <v>Low Value</v>
      </c>
      <c r="J884" t="str">
        <f t="shared" si="41"/>
        <v>Low Risk</v>
      </c>
      <c r="K884" s="3" t="str">
        <f t="shared" si="39"/>
        <v>4+ Years</v>
      </c>
    </row>
    <row r="885" spans="1:11" x14ac:dyDescent="0.3">
      <c r="A885" t="s">
        <v>902</v>
      </c>
      <c r="B885" t="s">
        <v>14</v>
      </c>
      <c r="C885" t="s">
        <v>10</v>
      </c>
      <c r="D885" t="s">
        <v>16</v>
      </c>
      <c r="E885">
        <v>20.05</v>
      </c>
      <c r="F885">
        <v>1</v>
      </c>
      <c r="G885">
        <v>20.05</v>
      </c>
      <c r="H885" t="s">
        <v>12</v>
      </c>
      <c r="I885" t="str">
        <f t="shared" si="40"/>
        <v>Low Value</v>
      </c>
      <c r="J885" t="str">
        <f t="shared" si="41"/>
        <v>High Risk</v>
      </c>
      <c r="K885" s="3" t="str">
        <f t="shared" si="39"/>
        <v>0-1 Year</v>
      </c>
    </row>
    <row r="886" spans="1:11" x14ac:dyDescent="0.3">
      <c r="A886" t="s">
        <v>903</v>
      </c>
      <c r="B886" t="s">
        <v>9</v>
      </c>
      <c r="C886" t="s">
        <v>10</v>
      </c>
      <c r="D886" t="s">
        <v>11</v>
      </c>
      <c r="E886">
        <v>84.35</v>
      </c>
      <c r="F886">
        <v>7</v>
      </c>
      <c r="G886">
        <v>590.44999999999902</v>
      </c>
      <c r="H886" t="s">
        <v>12</v>
      </c>
      <c r="I886" t="str">
        <f t="shared" si="40"/>
        <v>Low Value</v>
      </c>
      <c r="J886" t="str">
        <f t="shared" si="41"/>
        <v>High Risk</v>
      </c>
      <c r="K886" s="3" t="str">
        <f t="shared" si="39"/>
        <v>0-1 Year</v>
      </c>
    </row>
    <row r="887" spans="1:11" x14ac:dyDescent="0.3">
      <c r="A887" t="s">
        <v>904</v>
      </c>
      <c r="B887" t="s">
        <v>9</v>
      </c>
      <c r="C887" t="s">
        <v>15</v>
      </c>
      <c r="D887" t="s">
        <v>20</v>
      </c>
      <c r="E887">
        <v>110.5</v>
      </c>
      <c r="F887">
        <v>27</v>
      </c>
      <c r="G887">
        <v>2983.5</v>
      </c>
      <c r="H887" t="s">
        <v>12</v>
      </c>
      <c r="I887" t="str">
        <f t="shared" si="40"/>
        <v>Medium Value</v>
      </c>
      <c r="J887" t="str">
        <f t="shared" si="41"/>
        <v>Low Risk</v>
      </c>
      <c r="K887" s="3" t="str">
        <f t="shared" si="39"/>
        <v>2-4 Years</v>
      </c>
    </row>
    <row r="888" spans="1:11" x14ac:dyDescent="0.3">
      <c r="A888" t="s">
        <v>905</v>
      </c>
      <c r="B888" t="s">
        <v>14</v>
      </c>
      <c r="C888" t="s">
        <v>15</v>
      </c>
      <c r="D888" t="s">
        <v>24</v>
      </c>
      <c r="E888">
        <v>91.2</v>
      </c>
      <c r="F888">
        <v>37</v>
      </c>
      <c r="G888">
        <v>3374.4</v>
      </c>
      <c r="H888" t="s">
        <v>12</v>
      </c>
      <c r="I888" t="str">
        <f t="shared" si="40"/>
        <v>Medium Value</v>
      </c>
      <c r="J888" t="str">
        <f t="shared" si="41"/>
        <v>Low Risk</v>
      </c>
      <c r="K888" s="3" t="str">
        <f t="shared" si="39"/>
        <v>2-4 Years</v>
      </c>
    </row>
    <row r="889" spans="1:11" x14ac:dyDescent="0.3">
      <c r="A889" t="s">
        <v>906</v>
      </c>
      <c r="B889" t="s">
        <v>9</v>
      </c>
      <c r="C889" t="s">
        <v>10</v>
      </c>
      <c r="D889" t="s">
        <v>11</v>
      </c>
      <c r="E889">
        <v>100.55</v>
      </c>
      <c r="F889">
        <v>63</v>
      </c>
      <c r="G889">
        <v>6334.65</v>
      </c>
      <c r="H889" t="s">
        <v>18</v>
      </c>
      <c r="I889" t="str">
        <f t="shared" si="40"/>
        <v>High Value</v>
      </c>
      <c r="J889" t="str">
        <f t="shared" si="41"/>
        <v>Low Risk</v>
      </c>
      <c r="K889" s="3" t="str">
        <f t="shared" si="39"/>
        <v>4+ Years</v>
      </c>
    </row>
    <row r="890" spans="1:11" x14ac:dyDescent="0.3">
      <c r="A890" t="s">
        <v>907</v>
      </c>
      <c r="B890" t="s">
        <v>14</v>
      </c>
      <c r="C890" t="s">
        <v>10</v>
      </c>
      <c r="D890" t="s">
        <v>11</v>
      </c>
      <c r="E890">
        <v>89.3</v>
      </c>
      <c r="F890">
        <v>31</v>
      </c>
      <c r="G890">
        <v>2768.2999999999902</v>
      </c>
      <c r="H890" t="s">
        <v>12</v>
      </c>
      <c r="I890" t="str">
        <f t="shared" si="40"/>
        <v>Medium Value</v>
      </c>
      <c r="J890" t="str">
        <f t="shared" si="41"/>
        <v>Low Risk</v>
      </c>
      <c r="K890" s="3" t="str">
        <f t="shared" si="39"/>
        <v>2-4 Years</v>
      </c>
    </row>
    <row r="891" spans="1:11" x14ac:dyDescent="0.3">
      <c r="A891" t="s">
        <v>908</v>
      </c>
      <c r="B891" t="s">
        <v>14</v>
      </c>
      <c r="C891" t="s">
        <v>10</v>
      </c>
      <c r="D891" t="s">
        <v>20</v>
      </c>
      <c r="E891">
        <v>103.85</v>
      </c>
      <c r="F891">
        <v>50</v>
      </c>
      <c r="G891">
        <v>5192.5</v>
      </c>
      <c r="H891" t="s">
        <v>18</v>
      </c>
      <c r="I891" t="str">
        <f t="shared" si="40"/>
        <v>High Value</v>
      </c>
      <c r="J891" t="str">
        <f t="shared" si="41"/>
        <v>Low Risk</v>
      </c>
      <c r="K891" s="3" t="str">
        <f t="shared" si="39"/>
        <v>4+ Years</v>
      </c>
    </row>
    <row r="892" spans="1:11" x14ac:dyDescent="0.3">
      <c r="A892" t="s">
        <v>909</v>
      </c>
      <c r="B892" t="s">
        <v>14</v>
      </c>
      <c r="C892" t="s">
        <v>10</v>
      </c>
      <c r="D892" t="s">
        <v>24</v>
      </c>
      <c r="E892">
        <v>81.099999999999994</v>
      </c>
      <c r="F892">
        <v>32</v>
      </c>
      <c r="G892">
        <v>2595.1999999999998</v>
      </c>
      <c r="H892" t="s">
        <v>12</v>
      </c>
      <c r="I892" t="str">
        <f t="shared" si="40"/>
        <v>Medium Value</v>
      </c>
      <c r="J892" t="str">
        <f t="shared" si="41"/>
        <v>Low Risk</v>
      </c>
      <c r="K892" s="3" t="str">
        <f t="shared" si="39"/>
        <v>2-4 Years</v>
      </c>
    </row>
    <row r="893" spans="1:11" x14ac:dyDescent="0.3">
      <c r="A893" t="s">
        <v>910</v>
      </c>
      <c r="B893" t="s">
        <v>9</v>
      </c>
      <c r="C893" t="s">
        <v>10</v>
      </c>
      <c r="D893" t="s">
        <v>11</v>
      </c>
      <c r="E893">
        <v>24.6</v>
      </c>
      <c r="F893">
        <v>1</v>
      </c>
      <c r="G893">
        <v>24.6</v>
      </c>
      <c r="H893" t="s">
        <v>18</v>
      </c>
      <c r="I893" t="str">
        <f t="shared" si="40"/>
        <v>Low Value</v>
      </c>
      <c r="J893" t="str">
        <f t="shared" si="41"/>
        <v>High Risk</v>
      </c>
      <c r="K893" s="3" t="str">
        <f t="shared" si="39"/>
        <v>0-1 Year</v>
      </c>
    </row>
    <row r="894" spans="1:11" x14ac:dyDescent="0.3">
      <c r="A894" t="s">
        <v>911</v>
      </c>
      <c r="B894" t="s">
        <v>9</v>
      </c>
      <c r="C894" t="s">
        <v>15</v>
      </c>
      <c r="D894" t="s">
        <v>24</v>
      </c>
      <c r="E894">
        <v>81.2</v>
      </c>
      <c r="F894">
        <v>63</v>
      </c>
      <c r="G894">
        <v>5115.6000000000004</v>
      </c>
      <c r="H894" t="s">
        <v>12</v>
      </c>
      <c r="I894" t="str">
        <f t="shared" si="40"/>
        <v>High Value</v>
      </c>
      <c r="J894" t="str">
        <f t="shared" si="41"/>
        <v>Low Risk</v>
      </c>
      <c r="K894" s="3" t="str">
        <f t="shared" si="39"/>
        <v>4+ Years</v>
      </c>
    </row>
    <row r="895" spans="1:11" x14ac:dyDescent="0.3">
      <c r="A895" t="s">
        <v>912</v>
      </c>
      <c r="B895" t="s">
        <v>14</v>
      </c>
      <c r="C895" t="s">
        <v>10</v>
      </c>
      <c r="D895" t="s">
        <v>24</v>
      </c>
      <c r="E895">
        <v>94.3</v>
      </c>
      <c r="F895">
        <v>30</v>
      </c>
      <c r="G895">
        <v>2829</v>
      </c>
      <c r="H895" t="s">
        <v>12</v>
      </c>
      <c r="I895" t="str">
        <f t="shared" si="40"/>
        <v>Medium Value</v>
      </c>
      <c r="J895" t="str">
        <f t="shared" si="41"/>
        <v>Low Risk</v>
      </c>
      <c r="K895" s="3" t="str">
        <f t="shared" si="39"/>
        <v>2-4 Years</v>
      </c>
    </row>
    <row r="896" spans="1:11" x14ac:dyDescent="0.3">
      <c r="A896" t="s">
        <v>913</v>
      </c>
      <c r="B896" t="s">
        <v>14</v>
      </c>
      <c r="C896" t="s">
        <v>30</v>
      </c>
      <c r="D896" t="s">
        <v>20</v>
      </c>
      <c r="E896">
        <v>116.1</v>
      </c>
      <c r="F896">
        <v>71</v>
      </c>
      <c r="G896">
        <v>8243.1</v>
      </c>
      <c r="H896" t="s">
        <v>12</v>
      </c>
      <c r="I896" t="str">
        <f t="shared" si="40"/>
        <v>High Value</v>
      </c>
      <c r="J896" t="str">
        <f t="shared" si="41"/>
        <v>Low Risk</v>
      </c>
      <c r="K896" s="3" t="str">
        <f t="shared" si="39"/>
        <v>4+ Years</v>
      </c>
    </row>
    <row r="897" spans="1:11" x14ac:dyDescent="0.3">
      <c r="A897" t="s">
        <v>914</v>
      </c>
      <c r="B897" t="s">
        <v>9</v>
      </c>
      <c r="C897" t="s">
        <v>30</v>
      </c>
      <c r="D897" t="s">
        <v>11</v>
      </c>
      <c r="E897">
        <v>105.55</v>
      </c>
      <c r="F897">
        <v>53</v>
      </c>
      <c r="G897">
        <v>5594.15</v>
      </c>
      <c r="H897" t="s">
        <v>12</v>
      </c>
      <c r="I897" t="str">
        <f t="shared" si="40"/>
        <v>High Value</v>
      </c>
      <c r="J897" t="str">
        <f t="shared" si="41"/>
        <v>Low Risk</v>
      </c>
      <c r="K897" s="3" t="str">
        <f t="shared" si="39"/>
        <v>4+ Years</v>
      </c>
    </row>
    <row r="898" spans="1:11" x14ac:dyDescent="0.3">
      <c r="A898" t="s">
        <v>915</v>
      </c>
      <c r="B898" t="s">
        <v>9</v>
      </c>
      <c r="C898" t="s">
        <v>10</v>
      </c>
      <c r="D898" t="s">
        <v>20</v>
      </c>
      <c r="E898">
        <v>98.9</v>
      </c>
      <c r="F898">
        <v>12</v>
      </c>
      <c r="G898">
        <v>1186.8</v>
      </c>
      <c r="H898" t="s">
        <v>18</v>
      </c>
      <c r="I898" t="str">
        <f t="shared" si="40"/>
        <v>Low Value</v>
      </c>
      <c r="J898" t="str">
        <f t="shared" si="41"/>
        <v>Medium Risk</v>
      </c>
      <c r="K898" s="3" t="str">
        <f t="shared" si="39"/>
        <v>0-1 Year</v>
      </c>
    </row>
    <row r="899" spans="1:11" x14ac:dyDescent="0.3">
      <c r="A899" t="s">
        <v>916</v>
      </c>
      <c r="B899" t="s">
        <v>14</v>
      </c>
      <c r="C899" t="s">
        <v>10</v>
      </c>
      <c r="D899" t="s">
        <v>24</v>
      </c>
      <c r="E899">
        <v>94.4</v>
      </c>
      <c r="F899">
        <v>50</v>
      </c>
      <c r="G899">
        <v>4720</v>
      </c>
      <c r="H899" t="s">
        <v>12</v>
      </c>
      <c r="I899" t="str">
        <f t="shared" si="40"/>
        <v>Medium Value</v>
      </c>
      <c r="J899" t="str">
        <f t="shared" si="41"/>
        <v>Low Risk</v>
      </c>
      <c r="K899" s="3" t="str">
        <f t="shared" ref="K899:K962" si="42">IF(F899&lt;=12,"0-1 Year",
IF(F899&lt;=24,"1-2 Years",
IF(F899&lt;=48,"2-4 Years","4+ Years")))</f>
        <v>4+ Years</v>
      </c>
    </row>
    <row r="900" spans="1:11" x14ac:dyDescent="0.3">
      <c r="A900" t="s">
        <v>917</v>
      </c>
      <c r="B900" t="s">
        <v>9</v>
      </c>
      <c r="C900" t="s">
        <v>10</v>
      </c>
      <c r="D900" t="s">
        <v>16</v>
      </c>
      <c r="E900">
        <v>19.5</v>
      </c>
      <c r="F900">
        <v>2</v>
      </c>
      <c r="G900">
        <v>39</v>
      </c>
      <c r="H900" t="s">
        <v>12</v>
      </c>
      <c r="I900" t="str">
        <f t="shared" ref="I900:I963" si="43">IF(G900&gt;5000,"High Value",
IF(G900&gt;2000,"Medium Value","Low Value"))</f>
        <v>Low Value</v>
      </c>
      <c r="J900" t="str">
        <f t="shared" ref="J900:J963" si="44">IF(F900&lt;12,"High Risk",
IF(F900&lt;24,"Medium Risk","Low Risk"))</f>
        <v>High Risk</v>
      </c>
      <c r="K900" s="3" t="str">
        <f t="shared" si="42"/>
        <v>0-1 Year</v>
      </c>
    </row>
    <row r="901" spans="1:11" x14ac:dyDescent="0.3">
      <c r="A901" t="s">
        <v>918</v>
      </c>
      <c r="B901" t="s">
        <v>9</v>
      </c>
      <c r="C901" t="s">
        <v>10</v>
      </c>
      <c r="D901" t="s">
        <v>24</v>
      </c>
      <c r="E901">
        <v>98.3</v>
      </c>
      <c r="F901">
        <v>9</v>
      </c>
      <c r="G901">
        <v>884.69999999999902</v>
      </c>
      <c r="H901" t="s">
        <v>18</v>
      </c>
      <c r="I901" t="str">
        <f t="shared" si="43"/>
        <v>Low Value</v>
      </c>
      <c r="J901" t="str">
        <f t="shared" si="44"/>
        <v>High Risk</v>
      </c>
      <c r="K901" s="3" t="str">
        <f t="shared" si="42"/>
        <v>0-1 Year</v>
      </c>
    </row>
    <row r="902" spans="1:11" x14ac:dyDescent="0.3">
      <c r="A902" t="s">
        <v>919</v>
      </c>
      <c r="B902" t="s">
        <v>14</v>
      </c>
      <c r="C902" t="s">
        <v>10</v>
      </c>
      <c r="D902" t="s">
        <v>11</v>
      </c>
      <c r="E902">
        <v>93.85</v>
      </c>
      <c r="F902">
        <v>17</v>
      </c>
      <c r="G902">
        <v>1595.44999999999</v>
      </c>
      <c r="H902" t="s">
        <v>18</v>
      </c>
      <c r="I902" t="str">
        <f t="shared" si="43"/>
        <v>Low Value</v>
      </c>
      <c r="J902" t="str">
        <f t="shared" si="44"/>
        <v>Medium Risk</v>
      </c>
      <c r="K902" s="3" t="str">
        <f t="shared" si="42"/>
        <v>1-2 Years</v>
      </c>
    </row>
    <row r="903" spans="1:11" x14ac:dyDescent="0.3">
      <c r="A903" t="s">
        <v>920</v>
      </c>
      <c r="B903" t="s">
        <v>9</v>
      </c>
      <c r="C903" t="s">
        <v>15</v>
      </c>
      <c r="D903" t="s">
        <v>24</v>
      </c>
      <c r="E903">
        <v>105.6</v>
      </c>
      <c r="F903">
        <v>56</v>
      </c>
      <c r="G903">
        <v>5913.5999999999904</v>
      </c>
      <c r="H903" t="s">
        <v>12</v>
      </c>
      <c r="I903" t="str">
        <f t="shared" si="43"/>
        <v>High Value</v>
      </c>
      <c r="J903" t="str">
        <f t="shared" si="44"/>
        <v>Low Risk</v>
      </c>
      <c r="K903" s="3" t="str">
        <f t="shared" si="42"/>
        <v>4+ Years</v>
      </c>
    </row>
    <row r="904" spans="1:11" x14ac:dyDescent="0.3">
      <c r="A904" t="s">
        <v>921</v>
      </c>
      <c r="B904" t="s">
        <v>14</v>
      </c>
      <c r="C904" t="s">
        <v>30</v>
      </c>
      <c r="D904" t="s">
        <v>24</v>
      </c>
      <c r="E904">
        <v>81.349999999999994</v>
      </c>
      <c r="F904">
        <v>67</v>
      </c>
      <c r="G904">
        <v>5450.45</v>
      </c>
      <c r="H904" t="s">
        <v>12</v>
      </c>
      <c r="I904" t="str">
        <f t="shared" si="43"/>
        <v>High Value</v>
      </c>
      <c r="J904" t="str">
        <f t="shared" si="44"/>
        <v>Low Risk</v>
      </c>
      <c r="K904" s="3" t="str">
        <f t="shared" si="42"/>
        <v>4+ Years</v>
      </c>
    </row>
    <row r="905" spans="1:11" x14ac:dyDescent="0.3">
      <c r="A905" t="s">
        <v>922</v>
      </c>
      <c r="B905" t="s">
        <v>14</v>
      </c>
      <c r="C905" t="s">
        <v>10</v>
      </c>
      <c r="D905" t="s">
        <v>11</v>
      </c>
      <c r="E905">
        <v>100.5</v>
      </c>
      <c r="F905">
        <v>9</v>
      </c>
      <c r="G905">
        <v>904.5</v>
      </c>
      <c r="H905" t="s">
        <v>18</v>
      </c>
      <c r="I905" t="str">
        <f t="shared" si="43"/>
        <v>Low Value</v>
      </c>
      <c r="J905" t="str">
        <f t="shared" si="44"/>
        <v>High Risk</v>
      </c>
      <c r="K905" s="3" t="str">
        <f t="shared" si="42"/>
        <v>0-1 Year</v>
      </c>
    </row>
    <row r="906" spans="1:11" x14ac:dyDescent="0.3">
      <c r="A906" t="s">
        <v>923</v>
      </c>
      <c r="B906" t="s">
        <v>14</v>
      </c>
      <c r="C906" t="s">
        <v>10</v>
      </c>
      <c r="D906" t="s">
        <v>11</v>
      </c>
      <c r="E906">
        <v>56.4</v>
      </c>
      <c r="F906">
        <v>4</v>
      </c>
      <c r="G906">
        <v>225.6</v>
      </c>
      <c r="H906" t="s">
        <v>12</v>
      </c>
      <c r="I906" t="str">
        <f t="shared" si="43"/>
        <v>Low Value</v>
      </c>
      <c r="J906" t="str">
        <f t="shared" si="44"/>
        <v>High Risk</v>
      </c>
      <c r="K906" s="3" t="str">
        <f t="shared" si="42"/>
        <v>0-1 Year</v>
      </c>
    </row>
    <row r="907" spans="1:11" x14ac:dyDescent="0.3">
      <c r="A907" t="s">
        <v>924</v>
      </c>
      <c r="B907" t="s">
        <v>14</v>
      </c>
      <c r="C907" t="s">
        <v>15</v>
      </c>
      <c r="D907" t="s">
        <v>20</v>
      </c>
      <c r="E907">
        <v>65.349999999999994</v>
      </c>
      <c r="F907">
        <v>19</v>
      </c>
      <c r="G907">
        <v>1241.6499999999901</v>
      </c>
      <c r="H907" t="s">
        <v>12</v>
      </c>
      <c r="I907" t="str">
        <f t="shared" si="43"/>
        <v>Low Value</v>
      </c>
      <c r="J907" t="str">
        <f t="shared" si="44"/>
        <v>Medium Risk</v>
      </c>
      <c r="K907" s="3" t="str">
        <f t="shared" si="42"/>
        <v>1-2 Years</v>
      </c>
    </row>
    <row r="908" spans="1:11" x14ac:dyDescent="0.3">
      <c r="A908" t="s">
        <v>925</v>
      </c>
      <c r="B908" t="s">
        <v>9</v>
      </c>
      <c r="C908" t="s">
        <v>10</v>
      </c>
      <c r="D908" t="s">
        <v>16</v>
      </c>
      <c r="E908">
        <v>19.95</v>
      </c>
      <c r="F908">
        <v>8</v>
      </c>
      <c r="G908">
        <v>159.6</v>
      </c>
      <c r="H908" t="s">
        <v>12</v>
      </c>
      <c r="I908" t="str">
        <f t="shared" si="43"/>
        <v>Low Value</v>
      </c>
      <c r="J908" t="str">
        <f t="shared" si="44"/>
        <v>High Risk</v>
      </c>
      <c r="K908" s="3" t="str">
        <f t="shared" si="42"/>
        <v>0-1 Year</v>
      </c>
    </row>
    <row r="909" spans="1:11" x14ac:dyDescent="0.3">
      <c r="A909" t="s">
        <v>926</v>
      </c>
      <c r="B909" t="s">
        <v>9</v>
      </c>
      <c r="C909" t="s">
        <v>30</v>
      </c>
      <c r="D909" t="s">
        <v>11</v>
      </c>
      <c r="E909">
        <v>111.25</v>
      </c>
      <c r="F909">
        <v>71</v>
      </c>
      <c r="G909">
        <v>7898.75</v>
      </c>
      <c r="H909" t="s">
        <v>12</v>
      </c>
      <c r="I909" t="str">
        <f t="shared" si="43"/>
        <v>High Value</v>
      </c>
      <c r="J909" t="str">
        <f t="shared" si="44"/>
        <v>Low Risk</v>
      </c>
      <c r="K909" s="3" t="str">
        <f t="shared" si="42"/>
        <v>4+ Years</v>
      </c>
    </row>
    <row r="910" spans="1:11" x14ac:dyDescent="0.3">
      <c r="A910" t="s">
        <v>927</v>
      </c>
      <c r="B910" t="s">
        <v>14</v>
      </c>
      <c r="C910" t="s">
        <v>10</v>
      </c>
      <c r="D910" t="s">
        <v>11</v>
      </c>
      <c r="E910">
        <v>72.849999999999994</v>
      </c>
      <c r="F910">
        <v>10</v>
      </c>
      <c r="G910">
        <v>728.5</v>
      </c>
      <c r="H910" t="s">
        <v>18</v>
      </c>
      <c r="I910" t="str">
        <f t="shared" si="43"/>
        <v>Low Value</v>
      </c>
      <c r="J910" t="str">
        <f t="shared" si="44"/>
        <v>High Risk</v>
      </c>
      <c r="K910" s="3" t="str">
        <f t="shared" si="42"/>
        <v>0-1 Year</v>
      </c>
    </row>
    <row r="911" spans="1:11" x14ac:dyDescent="0.3">
      <c r="A911" t="s">
        <v>928</v>
      </c>
      <c r="B911" t="s">
        <v>9</v>
      </c>
      <c r="C911" t="s">
        <v>10</v>
      </c>
      <c r="D911" t="s">
        <v>24</v>
      </c>
      <c r="E911">
        <v>89</v>
      </c>
      <c r="F911">
        <v>15</v>
      </c>
      <c r="G911">
        <v>1335</v>
      </c>
      <c r="H911" t="s">
        <v>12</v>
      </c>
      <c r="I911" t="str">
        <f t="shared" si="43"/>
        <v>Low Value</v>
      </c>
      <c r="J911" t="str">
        <f t="shared" si="44"/>
        <v>Medium Risk</v>
      </c>
      <c r="K911" s="3" t="str">
        <f t="shared" si="42"/>
        <v>1-2 Years</v>
      </c>
    </row>
    <row r="912" spans="1:11" x14ac:dyDescent="0.3">
      <c r="A912" t="s">
        <v>929</v>
      </c>
      <c r="B912" t="s">
        <v>14</v>
      </c>
      <c r="C912" t="s">
        <v>15</v>
      </c>
      <c r="D912" t="s">
        <v>20</v>
      </c>
      <c r="E912">
        <v>106.1</v>
      </c>
      <c r="F912">
        <v>72</v>
      </c>
      <c r="G912">
        <v>7639.2</v>
      </c>
      <c r="H912" t="s">
        <v>12</v>
      </c>
      <c r="I912" t="str">
        <f t="shared" si="43"/>
        <v>High Value</v>
      </c>
      <c r="J912" t="str">
        <f t="shared" si="44"/>
        <v>Low Risk</v>
      </c>
      <c r="K912" s="3" t="str">
        <f t="shared" si="42"/>
        <v>4+ Years</v>
      </c>
    </row>
    <row r="913" spans="1:11" x14ac:dyDescent="0.3">
      <c r="A913" t="s">
        <v>930</v>
      </c>
      <c r="B913" t="s">
        <v>14</v>
      </c>
      <c r="C913" t="s">
        <v>15</v>
      </c>
      <c r="D913" t="s">
        <v>24</v>
      </c>
      <c r="E913">
        <v>20.05</v>
      </c>
      <c r="F913">
        <v>12</v>
      </c>
      <c r="G913">
        <v>240.6</v>
      </c>
      <c r="H913" t="s">
        <v>12</v>
      </c>
      <c r="I913" t="str">
        <f t="shared" si="43"/>
        <v>Low Value</v>
      </c>
      <c r="J913" t="str">
        <f t="shared" si="44"/>
        <v>Medium Risk</v>
      </c>
      <c r="K913" s="3" t="str">
        <f t="shared" si="42"/>
        <v>0-1 Year</v>
      </c>
    </row>
    <row r="914" spans="1:11" x14ac:dyDescent="0.3">
      <c r="A914" t="s">
        <v>931</v>
      </c>
      <c r="B914" t="s">
        <v>14</v>
      </c>
      <c r="C914" t="s">
        <v>30</v>
      </c>
      <c r="D914" t="s">
        <v>20</v>
      </c>
      <c r="E914">
        <v>25.2</v>
      </c>
      <c r="F914">
        <v>72</v>
      </c>
      <c r="G914">
        <v>1814.3999999999901</v>
      </c>
      <c r="H914" t="s">
        <v>12</v>
      </c>
      <c r="I914" t="str">
        <f t="shared" si="43"/>
        <v>Low Value</v>
      </c>
      <c r="J914" t="str">
        <f t="shared" si="44"/>
        <v>Low Risk</v>
      </c>
      <c r="K914" s="3" t="str">
        <f t="shared" si="42"/>
        <v>4+ Years</v>
      </c>
    </row>
    <row r="915" spans="1:11" x14ac:dyDescent="0.3">
      <c r="A915" t="s">
        <v>932</v>
      </c>
      <c r="B915" t="s">
        <v>14</v>
      </c>
      <c r="C915" t="s">
        <v>10</v>
      </c>
      <c r="D915" t="s">
        <v>11</v>
      </c>
      <c r="E915">
        <v>73.55</v>
      </c>
      <c r="F915">
        <v>1</v>
      </c>
      <c r="G915">
        <v>73.55</v>
      </c>
      <c r="H915" t="s">
        <v>18</v>
      </c>
      <c r="I915" t="str">
        <f t="shared" si="43"/>
        <v>Low Value</v>
      </c>
      <c r="J915" t="str">
        <f t="shared" si="44"/>
        <v>High Risk</v>
      </c>
      <c r="K915" s="3" t="str">
        <f t="shared" si="42"/>
        <v>0-1 Year</v>
      </c>
    </row>
    <row r="916" spans="1:11" x14ac:dyDescent="0.3">
      <c r="A916" t="s">
        <v>933</v>
      </c>
      <c r="B916" t="s">
        <v>9</v>
      </c>
      <c r="C916" t="s">
        <v>10</v>
      </c>
      <c r="D916" t="s">
        <v>20</v>
      </c>
      <c r="E916">
        <v>75.400000000000006</v>
      </c>
      <c r="F916">
        <v>23</v>
      </c>
      <c r="G916">
        <v>1734.2</v>
      </c>
      <c r="H916" t="s">
        <v>12</v>
      </c>
      <c r="I916" t="str">
        <f t="shared" si="43"/>
        <v>Low Value</v>
      </c>
      <c r="J916" t="str">
        <f t="shared" si="44"/>
        <v>Medium Risk</v>
      </c>
      <c r="K916" s="3" t="str">
        <f t="shared" si="42"/>
        <v>1-2 Years</v>
      </c>
    </row>
    <row r="917" spans="1:11" x14ac:dyDescent="0.3">
      <c r="A917" t="s">
        <v>934</v>
      </c>
      <c r="B917" t="s">
        <v>14</v>
      </c>
      <c r="C917" t="s">
        <v>30</v>
      </c>
      <c r="D917" t="s">
        <v>20</v>
      </c>
      <c r="E917">
        <v>65.55</v>
      </c>
      <c r="F917">
        <v>72</v>
      </c>
      <c r="G917">
        <v>4719.5999999999904</v>
      </c>
      <c r="H917" t="s">
        <v>12</v>
      </c>
      <c r="I917" t="str">
        <f t="shared" si="43"/>
        <v>Medium Value</v>
      </c>
      <c r="J917" t="str">
        <f t="shared" si="44"/>
        <v>Low Risk</v>
      </c>
      <c r="K917" s="3" t="str">
        <f t="shared" si="42"/>
        <v>4+ Years</v>
      </c>
    </row>
    <row r="918" spans="1:11" x14ac:dyDescent="0.3">
      <c r="A918" t="s">
        <v>935</v>
      </c>
      <c r="B918" t="s">
        <v>9</v>
      </c>
      <c r="C918" t="s">
        <v>10</v>
      </c>
      <c r="D918" t="s">
        <v>11</v>
      </c>
      <c r="E918">
        <v>80.7</v>
      </c>
      <c r="F918">
        <v>26</v>
      </c>
      <c r="G918">
        <v>2098.1999999999998</v>
      </c>
      <c r="H918" t="s">
        <v>12</v>
      </c>
      <c r="I918" t="str">
        <f t="shared" si="43"/>
        <v>Medium Value</v>
      </c>
      <c r="J918" t="str">
        <f t="shared" si="44"/>
        <v>Low Risk</v>
      </c>
      <c r="K918" s="3" t="str">
        <f t="shared" si="42"/>
        <v>2-4 Years</v>
      </c>
    </row>
    <row r="919" spans="1:11" x14ac:dyDescent="0.3">
      <c r="A919" t="s">
        <v>936</v>
      </c>
      <c r="B919" t="s">
        <v>9</v>
      </c>
      <c r="C919" t="s">
        <v>15</v>
      </c>
      <c r="D919" t="s">
        <v>16</v>
      </c>
      <c r="E919">
        <v>104.55</v>
      </c>
      <c r="F919">
        <v>21</v>
      </c>
      <c r="G919">
        <v>2195.5499999999902</v>
      </c>
      <c r="H919" t="s">
        <v>12</v>
      </c>
      <c r="I919" t="str">
        <f t="shared" si="43"/>
        <v>Medium Value</v>
      </c>
      <c r="J919" t="str">
        <f t="shared" si="44"/>
        <v>Medium Risk</v>
      </c>
      <c r="K919" s="3" t="str">
        <f t="shared" si="42"/>
        <v>1-2 Years</v>
      </c>
    </row>
    <row r="920" spans="1:11" x14ac:dyDescent="0.3">
      <c r="A920" t="s">
        <v>937</v>
      </c>
      <c r="B920" t="s">
        <v>14</v>
      </c>
      <c r="C920" t="s">
        <v>15</v>
      </c>
      <c r="D920" t="s">
        <v>20</v>
      </c>
      <c r="E920">
        <v>24.15</v>
      </c>
      <c r="F920">
        <v>60</v>
      </c>
      <c r="G920">
        <v>1449</v>
      </c>
      <c r="H920" t="s">
        <v>12</v>
      </c>
      <c r="I920" t="str">
        <f t="shared" si="43"/>
        <v>Low Value</v>
      </c>
      <c r="J920" t="str">
        <f t="shared" si="44"/>
        <v>Low Risk</v>
      </c>
      <c r="K920" s="3" t="str">
        <f t="shared" si="42"/>
        <v>4+ Years</v>
      </c>
    </row>
    <row r="921" spans="1:11" x14ac:dyDescent="0.3">
      <c r="A921" t="s">
        <v>938</v>
      </c>
      <c r="B921" t="s">
        <v>14</v>
      </c>
      <c r="C921" t="s">
        <v>10</v>
      </c>
      <c r="D921" t="s">
        <v>16</v>
      </c>
      <c r="E921">
        <v>20.45</v>
      </c>
      <c r="F921">
        <v>12</v>
      </c>
      <c r="G921">
        <v>245.39999999999901</v>
      </c>
      <c r="H921" t="s">
        <v>12</v>
      </c>
      <c r="I921" t="str">
        <f t="shared" si="43"/>
        <v>Low Value</v>
      </c>
      <c r="J921" t="str">
        <f t="shared" si="44"/>
        <v>Medium Risk</v>
      </c>
      <c r="K921" s="3" t="str">
        <f t="shared" si="42"/>
        <v>0-1 Year</v>
      </c>
    </row>
    <row r="922" spans="1:11" x14ac:dyDescent="0.3">
      <c r="A922" t="s">
        <v>939</v>
      </c>
      <c r="B922" t="s">
        <v>14</v>
      </c>
      <c r="C922" t="s">
        <v>10</v>
      </c>
      <c r="D922" t="s">
        <v>11</v>
      </c>
      <c r="E922">
        <v>75.400000000000006</v>
      </c>
      <c r="F922">
        <v>16</v>
      </c>
      <c r="G922">
        <v>1206.4000000000001</v>
      </c>
      <c r="H922" t="s">
        <v>12</v>
      </c>
      <c r="I922" t="str">
        <f t="shared" si="43"/>
        <v>Low Value</v>
      </c>
      <c r="J922" t="str">
        <f t="shared" si="44"/>
        <v>Medium Risk</v>
      </c>
      <c r="K922" s="3" t="str">
        <f t="shared" si="42"/>
        <v>1-2 Years</v>
      </c>
    </row>
    <row r="923" spans="1:11" x14ac:dyDescent="0.3">
      <c r="A923" t="s">
        <v>940</v>
      </c>
      <c r="B923" t="s">
        <v>9</v>
      </c>
      <c r="C923" t="s">
        <v>15</v>
      </c>
      <c r="D923" t="s">
        <v>24</v>
      </c>
      <c r="E923">
        <v>79.7</v>
      </c>
      <c r="F923">
        <v>63</v>
      </c>
      <c r="G923">
        <v>5021.1000000000004</v>
      </c>
      <c r="H923" t="s">
        <v>12</v>
      </c>
      <c r="I923" t="str">
        <f t="shared" si="43"/>
        <v>High Value</v>
      </c>
      <c r="J923" t="str">
        <f t="shared" si="44"/>
        <v>Low Risk</v>
      </c>
      <c r="K923" s="3" t="str">
        <f t="shared" si="42"/>
        <v>4+ Years</v>
      </c>
    </row>
    <row r="924" spans="1:11" x14ac:dyDescent="0.3">
      <c r="A924" t="s">
        <v>941</v>
      </c>
      <c r="B924" t="s">
        <v>9</v>
      </c>
      <c r="C924" t="s">
        <v>10</v>
      </c>
      <c r="D924" t="s">
        <v>11</v>
      </c>
      <c r="E924">
        <v>81.7</v>
      </c>
      <c r="F924">
        <v>22</v>
      </c>
      <c r="G924">
        <v>1797.4</v>
      </c>
      <c r="H924" t="s">
        <v>12</v>
      </c>
      <c r="I924" t="str">
        <f t="shared" si="43"/>
        <v>Low Value</v>
      </c>
      <c r="J924" t="str">
        <f t="shared" si="44"/>
        <v>Medium Risk</v>
      </c>
      <c r="K924" s="3" t="str">
        <f t="shared" si="42"/>
        <v>1-2 Years</v>
      </c>
    </row>
    <row r="925" spans="1:11" x14ac:dyDescent="0.3">
      <c r="A925" t="s">
        <v>942</v>
      </c>
      <c r="B925" t="s">
        <v>9</v>
      </c>
      <c r="C925" t="s">
        <v>10</v>
      </c>
      <c r="D925" t="s">
        <v>20</v>
      </c>
      <c r="E925">
        <v>76.3</v>
      </c>
      <c r="F925">
        <v>32</v>
      </c>
      <c r="G925">
        <v>2441.6</v>
      </c>
      <c r="H925" t="s">
        <v>12</v>
      </c>
      <c r="I925" t="str">
        <f t="shared" si="43"/>
        <v>Medium Value</v>
      </c>
      <c r="J925" t="str">
        <f t="shared" si="44"/>
        <v>Low Risk</v>
      </c>
      <c r="K925" s="3" t="str">
        <f t="shared" si="42"/>
        <v>2-4 Years</v>
      </c>
    </row>
    <row r="926" spans="1:11" x14ac:dyDescent="0.3">
      <c r="A926" t="s">
        <v>943</v>
      </c>
      <c r="B926" t="s">
        <v>9</v>
      </c>
      <c r="C926" t="s">
        <v>10</v>
      </c>
      <c r="D926" t="s">
        <v>11</v>
      </c>
      <c r="E926">
        <v>79.400000000000006</v>
      </c>
      <c r="F926">
        <v>3</v>
      </c>
      <c r="G926">
        <v>238.2</v>
      </c>
      <c r="H926" t="s">
        <v>18</v>
      </c>
      <c r="I926" t="str">
        <f t="shared" si="43"/>
        <v>Low Value</v>
      </c>
      <c r="J926" t="str">
        <f t="shared" si="44"/>
        <v>High Risk</v>
      </c>
      <c r="K926" s="3" t="str">
        <f t="shared" si="42"/>
        <v>0-1 Year</v>
      </c>
    </row>
    <row r="927" spans="1:11" x14ac:dyDescent="0.3">
      <c r="A927" t="s">
        <v>944</v>
      </c>
      <c r="B927" t="s">
        <v>9</v>
      </c>
      <c r="C927" t="s">
        <v>10</v>
      </c>
      <c r="D927" t="s">
        <v>11</v>
      </c>
      <c r="E927">
        <v>81.150000000000006</v>
      </c>
      <c r="F927">
        <v>13</v>
      </c>
      <c r="G927">
        <v>1054.95</v>
      </c>
      <c r="H927" t="s">
        <v>18</v>
      </c>
      <c r="I927" t="str">
        <f t="shared" si="43"/>
        <v>Low Value</v>
      </c>
      <c r="J927" t="str">
        <f t="shared" si="44"/>
        <v>Medium Risk</v>
      </c>
      <c r="K927" s="3" t="str">
        <f t="shared" si="42"/>
        <v>1-2 Years</v>
      </c>
    </row>
    <row r="928" spans="1:11" x14ac:dyDescent="0.3">
      <c r="A928" t="s">
        <v>945</v>
      </c>
      <c r="B928" t="s">
        <v>9</v>
      </c>
      <c r="C928" t="s">
        <v>30</v>
      </c>
      <c r="D928" t="s">
        <v>24</v>
      </c>
      <c r="E928">
        <v>103.75</v>
      </c>
      <c r="F928">
        <v>68</v>
      </c>
      <c r="G928">
        <v>7055</v>
      </c>
      <c r="H928" t="s">
        <v>12</v>
      </c>
      <c r="I928" t="str">
        <f t="shared" si="43"/>
        <v>High Value</v>
      </c>
      <c r="J928" t="str">
        <f t="shared" si="44"/>
        <v>Low Risk</v>
      </c>
      <c r="K928" s="3" t="str">
        <f t="shared" si="42"/>
        <v>4+ Years</v>
      </c>
    </row>
    <row r="929" spans="1:11" x14ac:dyDescent="0.3">
      <c r="A929" t="s">
        <v>946</v>
      </c>
      <c r="B929" t="s">
        <v>9</v>
      </c>
      <c r="C929" t="s">
        <v>15</v>
      </c>
      <c r="D929" t="s">
        <v>11</v>
      </c>
      <c r="E929">
        <v>86.45</v>
      </c>
      <c r="F929">
        <v>30</v>
      </c>
      <c r="G929">
        <v>2593.5</v>
      </c>
      <c r="H929" t="s">
        <v>12</v>
      </c>
      <c r="I929" t="str">
        <f t="shared" si="43"/>
        <v>Medium Value</v>
      </c>
      <c r="J929" t="str">
        <f t="shared" si="44"/>
        <v>Low Risk</v>
      </c>
      <c r="K929" s="3" t="str">
        <f t="shared" si="42"/>
        <v>2-4 Years</v>
      </c>
    </row>
    <row r="930" spans="1:11" x14ac:dyDescent="0.3">
      <c r="A930" t="s">
        <v>947</v>
      </c>
      <c r="B930" t="s">
        <v>9</v>
      </c>
      <c r="C930" t="s">
        <v>10</v>
      </c>
      <c r="D930" t="s">
        <v>20</v>
      </c>
      <c r="E930">
        <v>75.099999999999994</v>
      </c>
      <c r="F930">
        <v>16</v>
      </c>
      <c r="G930">
        <v>1201.5999999999999</v>
      </c>
      <c r="H930" t="s">
        <v>12</v>
      </c>
      <c r="I930" t="str">
        <f t="shared" si="43"/>
        <v>Low Value</v>
      </c>
      <c r="J930" t="str">
        <f t="shared" si="44"/>
        <v>Medium Risk</v>
      </c>
      <c r="K930" s="3" t="str">
        <f t="shared" si="42"/>
        <v>1-2 Years</v>
      </c>
    </row>
    <row r="931" spans="1:11" x14ac:dyDescent="0.3">
      <c r="A931" t="s">
        <v>948</v>
      </c>
      <c r="B931" t="s">
        <v>14</v>
      </c>
      <c r="C931" t="s">
        <v>30</v>
      </c>
      <c r="D931" t="s">
        <v>20</v>
      </c>
      <c r="E931">
        <v>80.599999999999994</v>
      </c>
      <c r="F931">
        <v>33</v>
      </c>
      <c r="G931">
        <v>2659.7999999999902</v>
      </c>
      <c r="H931" t="s">
        <v>12</v>
      </c>
      <c r="I931" t="str">
        <f t="shared" si="43"/>
        <v>Medium Value</v>
      </c>
      <c r="J931" t="str">
        <f t="shared" si="44"/>
        <v>Low Risk</v>
      </c>
      <c r="K931" s="3" t="str">
        <f t="shared" si="42"/>
        <v>2-4 Years</v>
      </c>
    </row>
    <row r="932" spans="1:11" x14ac:dyDescent="0.3">
      <c r="A932" t="s">
        <v>949</v>
      </c>
      <c r="B932" t="s">
        <v>14</v>
      </c>
      <c r="C932" t="s">
        <v>30</v>
      </c>
      <c r="D932" t="s">
        <v>24</v>
      </c>
      <c r="E932">
        <v>19.3</v>
      </c>
      <c r="F932">
        <v>72</v>
      </c>
      <c r="G932">
        <v>1389.6</v>
      </c>
      <c r="H932" t="s">
        <v>12</v>
      </c>
      <c r="I932" t="str">
        <f t="shared" si="43"/>
        <v>Low Value</v>
      </c>
      <c r="J932" t="str">
        <f t="shared" si="44"/>
        <v>Low Risk</v>
      </c>
      <c r="K932" s="3" t="str">
        <f t="shared" si="42"/>
        <v>4+ Years</v>
      </c>
    </row>
    <row r="933" spans="1:11" x14ac:dyDescent="0.3">
      <c r="A933" t="s">
        <v>950</v>
      </c>
      <c r="B933" t="s">
        <v>9</v>
      </c>
      <c r="C933" t="s">
        <v>10</v>
      </c>
      <c r="D933" t="s">
        <v>11</v>
      </c>
      <c r="E933">
        <v>84.6</v>
      </c>
      <c r="F933">
        <v>4</v>
      </c>
      <c r="G933">
        <v>338.4</v>
      </c>
      <c r="H933" t="s">
        <v>18</v>
      </c>
      <c r="I933" t="str">
        <f t="shared" si="43"/>
        <v>Low Value</v>
      </c>
      <c r="J933" t="str">
        <f t="shared" si="44"/>
        <v>High Risk</v>
      </c>
      <c r="K933" s="3" t="str">
        <f t="shared" si="42"/>
        <v>0-1 Year</v>
      </c>
    </row>
    <row r="934" spans="1:11" x14ac:dyDescent="0.3">
      <c r="A934" t="s">
        <v>951</v>
      </c>
      <c r="B934" t="s">
        <v>9</v>
      </c>
      <c r="C934" t="s">
        <v>15</v>
      </c>
      <c r="D934" t="s">
        <v>16</v>
      </c>
      <c r="E934">
        <v>33.6</v>
      </c>
      <c r="F934">
        <v>12</v>
      </c>
      <c r="G934">
        <v>403.2</v>
      </c>
      <c r="H934" t="s">
        <v>12</v>
      </c>
      <c r="I934" t="str">
        <f t="shared" si="43"/>
        <v>Low Value</v>
      </c>
      <c r="J934" t="str">
        <f t="shared" si="44"/>
        <v>Medium Risk</v>
      </c>
      <c r="K934" s="3" t="str">
        <f t="shared" si="42"/>
        <v>0-1 Year</v>
      </c>
    </row>
    <row r="935" spans="1:11" x14ac:dyDescent="0.3">
      <c r="A935" t="s">
        <v>952</v>
      </c>
      <c r="B935" t="s">
        <v>9</v>
      </c>
      <c r="C935" t="s">
        <v>10</v>
      </c>
      <c r="D935" t="s">
        <v>11</v>
      </c>
      <c r="E935">
        <v>83.25</v>
      </c>
      <c r="F935">
        <v>4</v>
      </c>
      <c r="G935">
        <v>333</v>
      </c>
      <c r="H935" t="s">
        <v>12</v>
      </c>
      <c r="I935" t="str">
        <f t="shared" si="43"/>
        <v>Low Value</v>
      </c>
      <c r="J935" t="str">
        <f t="shared" si="44"/>
        <v>High Risk</v>
      </c>
      <c r="K935" s="3" t="str">
        <f t="shared" si="42"/>
        <v>0-1 Year</v>
      </c>
    </row>
    <row r="936" spans="1:11" x14ac:dyDescent="0.3">
      <c r="A936" t="s">
        <v>953</v>
      </c>
      <c r="B936" t="s">
        <v>9</v>
      </c>
      <c r="C936" t="s">
        <v>10</v>
      </c>
      <c r="D936" t="s">
        <v>11</v>
      </c>
      <c r="E936">
        <v>79.05</v>
      </c>
      <c r="F936">
        <v>6</v>
      </c>
      <c r="G936">
        <v>474.29999999999899</v>
      </c>
      <c r="H936" t="s">
        <v>18</v>
      </c>
      <c r="I936" t="str">
        <f t="shared" si="43"/>
        <v>Low Value</v>
      </c>
      <c r="J936" t="str">
        <f t="shared" si="44"/>
        <v>High Risk</v>
      </c>
      <c r="K936" s="3" t="str">
        <f t="shared" si="42"/>
        <v>0-1 Year</v>
      </c>
    </row>
    <row r="937" spans="1:11" x14ac:dyDescent="0.3">
      <c r="A937" t="s">
        <v>954</v>
      </c>
      <c r="B937" t="s">
        <v>9</v>
      </c>
      <c r="C937" t="s">
        <v>15</v>
      </c>
      <c r="D937" t="s">
        <v>24</v>
      </c>
      <c r="E937">
        <v>108.05</v>
      </c>
      <c r="F937">
        <v>65</v>
      </c>
      <c r="G937">
        <v>7023.25</v>
      </c>
      <c r="H937" t="s">
        <v>12</v>
      </c>
      <c r="I937" t="str">
        <f t="shared" si="43"/>
        <v>High Value</v>
      </c>
      <c r="J937" t="str">
        <f t="shared" si="44"/>
        <v>Low Risk</v>
      </c>
      <c r="K937" s="3" t="str">
        <f t="shared" si="42"/>
        <v>4+ Years</v>
      </c>
    </row>
    <row r="938" spans="1:11" x14ac:dyDescent="0.3">
      <c r="A938" t="s">
        <v>955</v>
      </c>
      <c r="B938" t="s">
        <v>9</v>
      </c>
      <c r="C938" t="s">
        <v>10</v>
      </c>
      <c r="D938" t="s">
        <v>16</v>
      </c>
      <c r="E938">
        <v>19.899999999999999</v>
      </c>
      <c r="F938">
        <v>15</v>
      </c>
      <c r="G938">
        <v>298.5</v>
      </c>
      <c r="H938" t="s">
        <v>12</v>
      </c>
      <c r="I938" t="str">
        <f t="shared" si="43"/>
        <v>Low Value</v>
      </c>
      <c r="J938" t="str">
        <f t="shared" si="44"/>
        <v>Medium Risk</v>
      </c>
      <c r="K938" s="3" t="str">
        <f t="shared" si="42"/>
        <v>1-2 Years</v>
      </c>
    </row>
    <row r="939" spans="1:11" x14ac:dyDescent="0.3">
      <c r="A939" t="s">
        <v>956</v>
      </c>
      <c r="B939" t="s">
        <v>9</v>
      </c>
      <c r="C939" t="s">
        <v>15</v>
      </c>
      <c r="D939" t="s">
        <v>20</v>
      </c>
      <c r="E939">
        <v>21.05</v>
      </c>
      <c r="F939">
        <v>24</v>
      </c>
      <c r="G939">
        <v>505.2</v>
      </c>
      <c r="H939" t="s">
        <v>12</v>
      </c>
      <c r="I939" t="str">
        <f t="shared" si="43"/>
        <v>Low Value</v>
      </c>
      <c r="J939" t="str">
        <f t="shared" si="44"/>
        <v>Low Risk</v>
      </c>
      <c r="K939" s="3" t="str">
        <f t="shared" si="42"/>
        <v>1-2 Years</v>
      </c>
    </row>
    <row r="940" spans="1:11" x14ac:dyDescent="0.3">
      <c r="A940" t="s">
        <v>957</v>
      </c>
      <c r="B940" t="s">
        <v>9</v>
      </c>
      <c r="C940" t="s">
        <v>10</v>
      </c>
      <c r="D940" t="s">
        <v>11</v>
      </c>
      <c r="E940">
        <v>30.15</v>
      </c>
      <c r="F940">
        <v>13</v>
      </c>
      <c r="G940">
        <v>391.95</v>
      </c>
      <c r="H940" t="s">
        <v>12</v>
      </c>
      <c r="I940" t="str">
        <f t="shared" si="43"/>
        <v>Low Value</v>
      </c>
      <c r="J940" t="str">
        <f t="shared" si="44"/>
        <v>Medium Risk</v>
      </c>
      <c r="K940" s="3" t="str">
        <f t="shared" si="42"/>
        <v>1-2 Years</v>
      </c>
    </row>
    <row r="941" spans="1:11" x14ac:dyDescent="0.3">
      <c r="A941" t="s">
        <v>958</v>
      </c>
      <c r="B941" t="s">
        <v>14</v>
      </c>
      <c r="C941" t="s">
        <v>10</v>
      </c>
      <c r="D941" t="s">
        <v>24</v>
      </c>
      <c r="E941">
        <v>79.849999999999994</v>
      </c>
      <c r="F941">
        <v>24</v>
      </c>
      <c r="G941">
        <v>1916.3999999999901</v>
      </c>
      <c r="H941" t="s">
        <v>12</v>
      </c>
      <c r="I941" t="str">
        <f t="shared" si="43"/>
        <v>Low Value</v>
      </c>
      <c r="J941" t="str">
        <f t="shared" si="44"/>
        <v>Low Risk</v>
      </c>
      <c r="K941" s="3" t="str">
        <f t="shared" si="42"/>
        <v>1-2 Years</v>
      </c>
    </row>
    <row r="942" spans="1:11" x14ac:dyDescent="0.3">
      <c r="A942" t="s">
        <v>959</v>
      </c>
      <c r="B942" t="s">
        <v>9</v>
      </c>
      <c r="C942" t="s">
        <v>30</v>
      </c>
      <c r="D942" t="s">
        <v>20</v>
      </c>
      <c r="E942">
        <v>65.5</v>
      </c>
      <c r="F942">
        <v>72</v>
      </c>
      <c r="G942">
        <v>4716</v>
      </c>
      <c r="H942" t="s">
        <v>12</v>
      </c>
      <c r="I942" t="str">
        <f t="shared" si="43"/>
        <v>Medium Value</v>
      </c>
      <c r="J942" t="str">
        <f t="shared" si="44"/>
        <v>Low Risk</v>
      </c>
      <c r="K942" s="3" t="str">
        <f t="shared" si="42"/>
        <v>4+ Years</v>
      </c>
    </row>
    <row r="943" spans="1:11" x14ac:dyDescent="0.3">
      <c r="A943" t="s">
        <v>960</v>
      </c>
      <c r="B943" t="s">
        <v>9</v>
      </c>
      <c r="C943" t="s">
        <v>10</v>
      </c>
      <c r="D943" t="s">
        <v>20</v>
      </c>
      <c r="E943">
        <v>104.1</v>
      </c>
      <c r="F943">
        <v>54</v>
      </c>
      <c r="G943">
        <v>5621.4</v>
      </c>
      <c r="H943" t="s">
        <v>12</v>
      </c>
      <c r="I943" t="str">
        <f t="shared" si="43"/>
        <v>High Value</v>
      </c>
      <c r="J943" t="str">
        <f t="shared" si="44"/>
        <v>Low Risk</v>
      </c>
      <c r="K943" s="3" t="str">
        <f t="shared" si="42"/>
        <v>4+ Years</v>
      </c>
    </row>
    <row r="944" spans="1:11" x14ac:dyDescent="0.3">
      <c r="A944" t="s">
        <v>961</v>
      </c>
      <c r="B944" t="s">
        <v>9</v>
      </c>
      <c r="C944" t="s">
        <v>10</v>
      </c>
      <c r="D944" t="s">
        <v>20</v>
      </c>
      <c r="E944">
        <v>74.400000000000006</v>
      </c>
      <c r="F944">
        <v>3</v>
      </c>
      <c r="G944">
        <v>223.2</v>
      </c>
      <c r="H944" t="s">
        <v>18</v>
      </c>
      <c r="I944" t="str">
        <f t="shared" si="43"/>
        <v>Low Value</v>
      </c>
      <c r="J944" t="str">
        <f t="shared" si="44"/>
        <v>High Risk</v>
      </c>
      <c r="K944" s="3" t="str">
        <f t="shared" si="42"/>
        <v>0-1 Year</v>
      </c>
    </row>
    <row r="945" spans="1:11" x14ac:dyDescent="0.3">
      <c r="A945" t="s">
        <v>962</v>
      </c>
      <c r="B945" t="s">
        <v>14</v>
      </c>
      <c r="C945" t="s">
        <v>10</v>
      </c>
      <c r="D945" t="s">
        <v>16</v>
      </c>
      <c r="E945">
        <v>20.5</v>
      </c>
      <c r="F945">
        <v>4</v>
      </c>
      <c r="G945">
        <v>82</v>
      </c>
      <c r="H945" t="s">
        <v>12</v>
      </c>
      <c r="I945" t="str">
        <f t="shared" si="43"/>
        <v>Low Value</v>
      </c>
      <c r="J945" t="str">
        <f t="shared" si="44"/>
        <v>High Risk</v>
      </c>
      <c r="K945" s="3" t="str">
        <f t="shared" si="42"/>
        <v>0-1 Year</v>
      </c>
    </row>
    <row r="946" spans="1:11" x14ac:dyDescent="0.3">
      <c r="A946" t="s">
        <v>963</v>
      </c>
      <c r="B946" t="s">
        <v>9</v>
      </c>
      <c r="C946" t="s">
        <v>10</v>
      </c>
      <c r="D946" t="s">
        <v>16</v>
      </c>
      <c r="E946">
        <v>91.35</v>
      </c>
      <c r="F946">
        <v>32</v>
      </c>
      <c r="G946">
        <v>2923.2</v>
      </c>
      <c r="H946" t="s">
        <v>12</v>
      </c>
      <c r="I946" t="str">
        <f t="shared" si="43"/>
        <v>Medium Value</v>
      </c>
      <c r="J946" t="str">
        <f t="shared" si="44"/>
        <v>Low Risk</v>
      </c>
      <c r="K946" s="3" t="str">
        <f t="shared" si="42"/>
        <v>2-4 Years</v>
      </c>
    </row>
    <row r="947" spans="1:11" x14ac:dyDescent="0.3">
      <c r="A947" t="s">
        <v>964</v>
      </c>
      <c r="B947" t="s">
        <v>14</v>
      </c>
      <c r="C947" t="s">
        <v>10</v>
      </c>
      <c r="D947" t="s">
        <v>11</v>
      </c>
      <c r="E947">
        <v>99.05</v>
      </c>
      <c r="F947">
        <v>35</v>
      </c>
      <c r="G947">
        <v>3466.75</v>
      </c>
      <c r="H947" t="s">
        <v>18</v>
      </c>
      <c r="I947" t="str">
        <f t="shared" si="43"/>
        <v>Medium Value</v>
      </c>
      <c r="J947" t="str">
        <f t="shared" si="44"/>
        <v>Low Risk</v>
      </c>
      <c r="K947" s="3" t="str">
        <f t="shared" si="42"/>
        <v>2-4 Years</v>
      </c>
    </row>
    <row r="948" spans="1:11" x14ac:dyDescent="0.3">
      <c r="A948" t="s">
        <v>965</v>
      </c>
      <c r="B948" t="s">
        <v>14</v>
      </c>
      <c r="C948" t="s">
        <v>30</v>
      </c>
      <c r="D948" t="s">
        <v>20</v>
      </c>
      <c r="E948">
        <v>20.5</v>
      </c>
      <c r="F948">
        <v>35</v>
      </c>
      <c r="G948">
        <v>717.5</v>
      </c>
      <c r="H948" t="s">
        <v>12</v>
      </c>
      <c r="I948" t="str">
        <f t="shared" si="43"/>
        <v>Low Value</v>
      </c>
      <c r="J948" t="str">
        <f t="shared" si="44"/>
        <v>Low Risk</v>
      </c>
      <c r="K948" s="3" t="str">
        <f t="shared" si="42"/>
        <v>2-4 Years</v>
      </c>
    </row>
    <row r="949" spans="1:11" x14ac:dyDescent="0.3">
      <c r="A949" t="s">
        <v>966</v>
      </c>
      <c r="B949" t="s">
        <v>14</v>
      </c>
      <c r="C949" t="s">
        <v>10</v>
      </c>
      <c r="D949" t="s">
        <v>16</v>
      </c>
      <c r="E949">
        <v>44.95</v>
      </c>
      <c r="F949">
        <v>2</v>
      </c>
      <c r="G949">
        <v>89.9</v>
      </c>
      <c r="H949" t="s">
        <v>18</v>
      </c>
      <c r="I949" t="str">
        <f t="shared" si="43"/>
        <v>Low Value</v>
      </c>
      <c r="J949" t="str">
        <f t="shared" si="44"/>
        <v>High Risk</v>
      </c>
      <c r="K949" s="3" t="str">
        <f t="shared" si="42"/>
        <v>0-1 Year</v>
      </c>
    </row>
    <row r="950" spans="1:11" x14ac:dyDescent="0.3">
      <c r="A950" t="s">
        <v>967</v>
      </c>
      <c r="B950" t="s">
        <v>9</v>
      </c>
      <c r="C950" t="s">
        <v>10</v>
      </c>
      <c r="D950" t="s">
        <v>11</v>
      </c>
      <c r="E950">
        <v>75.599999999999994</v>
      </c>
      <c r="F950">
        <v>8</v>
      </c>
      <c r="G950">
        <v>604.79999999999995</v>
      </c>
      <c r="H950" t="s">
        <v>12</v>
      </c>
      <c r="I950" t="str">
        <f t="shared" si="43"/>
        <v>Low Value</v>
      </c>
      <c r="J950" t="str">
        <f t="shared" si="44"/>
        <v>High Risk</v>
      </c>
      <c r="K950" s="3" t="str">
        <f t="shared" si="42"/>
        <v>0-1 Year</v>
      </c>
    </row>
    <row r="951" spans="1:11" x14ac:dyDescent="0.3">
      <c r="A951" t="s">
        <v>968</v>
      </c>
      <c r="B951" t="s">
        <v>14</v>
      </c>
      <c r="C951" t="s">
        <v>10</v>
      </c>
      <c r="D951" t="s">
        <v>16</v>
      </c>
      <c r="E951">
        <v>55.1</v>
      </c>
      <c r="F951">
        <v>22</v>
      </c>
      <c r="G951">
        <v>1212.2</v>
      </c>
      <c r="H951" t="s">
        <v>12</v>
      </c>
      <c r="I951" t="str">
        <f t="shared" si="43"/>
        <v>Low Value</v>
      </c>
      <c r="J951" t="str">
        <f t="shared" si="44"/>
        <v>Medium Risk</v>
      </c>
      <c r="K951" s="3" t="str">
        <f t="shared" si="42"/>
        <v>1-2 Years</v>
      </c>
    </row>
    <row r="952" spans="1:11" x14ac:dyDescent="0.3">
      <c r="A952" t="s">
        <v>969</v>
      </c>
      <c r="B952" t="s">
        <v>9</v>
      </c>
      <c r="C952" t="s">
        <v>10</v>
      </c>
      <c r="D952" t="s">
        <v>11</v>
      </c>
      <c r="E952">
        <v>58.95</v>
      </c>
      <c r="F952">
        <v>15</v>
      </c>
      <c r="G952">
        <v>884.25</v>
      </c>
      <c r="H952" t="s">
        <v>12</v>
      </c>
      <c r="I952" t="str">
        <f t="shared" si="43"/>
        <v>Low Value</v>
      </c>
      <c r="J952" t="str">
        <f t="shared" si="44"/>
        <v>Medium Risk</v>
      </c>
      <c r="K952" s="3" t="str">
        <f t="shared" si="42"/>
        <v>1-2 Years</v>
      </c>
    </row>
    <row r="953" spans="1:11" x14ac:dyDescent="0.3">
      <c r="A953" t="s">
        <v>970</v>
      </c>
      <c r="B953" t="s">
        <v>14</v>
      </c>
      <c r="C953" t="s">
        <v>10</v>
      </c>
      <c r="D953" t="s">
        <v>11</v>
      </c>
      <c r="E953">
        <v>95.1</v>
      </c>
      <c r="F953">
        <v>22</v>
      </c>
      <c r="G953">
        <v>2092.1999999999998</v>
      </c>
      <c r="H953" t="s">
        <v>12</v>
      </c>
      <c r="I953" t="str">
        <f t="shared" si="43"/>
        <v>Medium Value</v>
      </c>
      <c r="J953" t="str">
        <f t="shared" si="44"/>
        <v>Medium Risk</v>
      </c>
      <c r="K953" s="3" t="str">
        <f t="shared" si="42"/>
        <v>1-2 Years</v>
      </c>
    </row>
    <row r="954" spans="1:11" x14ac:dyDescent="0.3">
      <c r="A954" t="s">
        <v>971</v>
      </c>
      <c r="B954" t="s">
        <v>14</v>
      </c>
      <c r="C954" t="s">
        <v>10</v>
      </c>
      <c r="D954" t="s">
        <v>24</v>
      </c>
      <c r="E954">
        <v>44.7</v>
      </c>
      <c r="F954">
        <v>1</v>
      </c>
      <c r="G954">
        <v>44.7</v>
      </c>
      <c r="H954" t="s">
        <v>18</v>
      </c>
      <c r="I954" t="str">
        <f t="shared" si="43"/>
        <v>Low Value</v>
      </c>
      <c r="J954" t="str">
        <f t="shared" si="44"/>
        <v>High Risk</v>
      </c>
      <c r="K954" s="3" t="str">
        <f t="shared" si="42"/>
        <v>0-1 Year</v>
      </c>
    </row>
    <row r="955" spans="1:11" x14ac:dyDescent="0.3">
      <c r="A955" t="s">
        <v>972</v>
      </c>
      <c r="B955" t="s">
        <v>9</v>
      </c>
      <c r="C955" t="s">
        <v>30</v>
      </c>
      <c r="D955" t="s">
        <v>20</v>
      </c>
      <c r="E955">
        <v>25.45</v>
      </c>
      <c r="F955">
        <v>71</v>
      </c>
      <c r="G955">
        <v>1806.95</v>
      </c>
      <c r="H955" t="s">
        <v>12</v>
      </c>
      <c r="I955" t="str">
        <f t="shared" si="43"/>
        <v>Low Value</v>
      </c>
      <c r="J955" t="str">
        <f t="shared" si="44"/>
        <v>Low Risk</v>
      </c>
      <c r="K955" s="3" t="str">
        <f t="shared" si="42"/>
        <v>4+ Years</v>
      </c>
    </row>
    <row r="956" spans="1:11" x14ac:dyDescent="0.3">
      <c r="A956" t="s">
        <v>973</v>
      </c>
      <c r="B956" t="s">
        <v>14</v>
      </c>
      <c r="C956" t="s">
        <v>10</v>
      </c>
      <c r="D956" t="s">
        <v>11</v>
      </c>
      <c r="E956">
        <v>56.75</v>
      </c>
      <c r="F956">
        <v>4</v>
      </c>
      <c r="G956">
        <v>227</v>
      </c>
      <c r="H956" t="s">
        <v>12</v>
      </c>
      <c r="I956" t="str">
        <f t="shared" si="43"/>
        <v>Low Value</v>
      </c>
      <c r="J956" t="str">
        <f t="shared" si="44"/>
        <v>High Risk</v>
      </c>
      <c r="K956" s="3" t="str">
        <f t="shared" si="42"/>
        <v>0-1 Year</v>
      </c>
    </row>
    <row r="957" spans="1:11" x14ac:dyDescent="0.3">
      <c r="A957" t="s">
        <v>974</v>
      </c>
      <c r="B957" t="s">
        <v>14</v>
      </c>
      <c r="C957" t="s">
        <v>10</v>
      </c>
      <c r="D957" t="s">
        <v>20</v>
      </c>
      <c r="E957">
        <v>81.75</v>
      </c>
      <c r="F957">
        <v>25</v>
      </c>
      <c r="G957">
        <v>2043.75</v>
      </c>
      <c r="H957" t="s">
        <v>12</v>
      </c>
      <c r="I957" t="str">
        <f t="shared" si="43"/>
        <v>Medium Value</v>
      </c>
      <c r="J957" t="str">
        <f t="shared" si="44"/>
        <v>Low Risk</v>
      </c>
      <c r="K957" s="3" t="str">
        <f t="shared" si="42"/>
        <v>2-4 Years</v>
      </c>
    </row>
    <row r="958" spans="1:11" x14ac:dyDescent="0.3">
      <c r="A958" t="s">
        <v>975</v>
      </c>
      <c r="B958" t="s">
        <v>9</v>
      </c>
      <c r="C958" t="s">
        <v>10</v>
      </c>
      <c r="D958" t="s">
        <v>11</v>
      </c>
      <c r="E958">
        <v>86.1</v>
      </c>
      <c r="F958">
        <v>32</v>
      </c>
      <c r="G958">
        <v>2755.2</v>
      </c>
      <c r="H958" t="s">
        <v>12</v>
      </c>
      <c r="I958" t="str">
        <f t="shared" si="43"/>
        <v>Medium Value</v>
      </c>
      <c r="J958" t="str">
        <f t="shared" si="44"/>
        <v>Low Risk</v>
      </c>
      <c r="K958" s="3" t="str">
        <f t="shared" si="42"/>
        <v>2-4 Years</v>
      </c>
    </row>
    <row r="959" spans="1:11" x14ac:dyDescent="0.3">
      <c r="A959" t="s">
        <v>976</v>
      </c>
      <c r="B959" t="s">
        <v>14</v>
      </c>
      <c r="C959" t="s">
        <v>10</v>
      </c>
      <c r="D959" t="s">
        <v>20</v>
      </c>
      <c r="E959">
        <v>29.8</v>
      </c>
      <c r="F959">
        <v>7</v>
      </c>
      <c r="G959">
        <v>208.6</v>
      </c>
      <c r="H959" t="s">
        <v>12</v>
      </c>
      <c r="I959" t="str">
        <f t="shared" si="43"/>
        <v>Low Value</v>
      </c>
      <c r="J959" t="str">
        <f t="shared" si="44"/>
        <v>High Risk</v>
      </c>
      <c r="K959" s="3" t="str">
        <f t="shared" si="42"/>
        <v>0-1 Year</v>
      </c>
    </row>
    <row r="960" spans="1:11" x14ac:dyDescent="0.3">
      <c r="A960" t="s">
        <v>977</v>
      </c>
      <c r="B960" t="s">
        <v>14</v>
      </c>
      <c r="C960" t="s">
        <v>15</v>
      </c>
      <c r="D960" t="s">
        <v>16</v>
      </c>
      <c r="E960">
        <v>20.5</v>
      </c>
      <c r="F960">
        <v>17</v>
      </c>
      <c r="G960">
        <v>348.5</v>
      </c>
      <c r="H960" t="s">
        <v>12</v>
      </c>
      <c r="I960" t="str">
        <f t="shared" si="43"/>
        <v>Low Value</v>
      </c>
      <c r="J960" t="str">
        <f t="shared" si="44"/>
        <v>Medium Risk</v>
      </c>
      <c r="K960" s="3" t="str">
        <f t="shared" si="42"/>
        <v>1-2 Years</v>
      </c>
    </row>
    <row r="961" spans="1:11" x14ac:dyDescent="0.3">
      <c r="A961" t="s">
        <v>978</v>
      </c>
      <c r="B961" t="s">
        <v>14</v>
      </c>
      <c r="C961" t="s">
        <v>10</v>
      </c>
      <c r="D961" t="s">
        <v>20</v>
      </c>
      <c r="E961">
        <v>60.9</v>
      </c>
      <c r="F961">
        <v>8</v>
      </c>
      <c r="G961">
        <v>487.2</v>
      </c>
      <c r="H961" t="s">
        <v>12</v>
      </c>
      <c r="I961" t="str">
        <f t="shared" si="43"/>
        <v>Low Value</v>
      </c>
      <c r="J961" t="str">
        <f t="shared" si="44"/>
        <v>High Risk</v>
      </c>
      <c r="K961" s="3" t="str">
        <f t="shared" si="42"/>
        <v>0-1 Year</v>
      </c>
    </row>
    <row r="962" spans="1:11" x14ac:dyDescent="0.3">
      <c r="A962" t="s">
        <v>979</v>
      </c>
      <c r="B962" t="s">
        <v>9</v>
      </c>
      <c r="C962" t="s">
        <v>30</v>
      </c>
      <c r="D962" t="s">
        <v>20</v>
      </c>
      <c r="E962">
        <v>73.25</v>
      </c>
      <c r="F962">
        <v>56</v>
      </c>
      <c r="G962">
        <v>4102</v>
      </c>
      <c r="H962" t="s">
        <v>12</v>
      </c>
      <c r="I962" t="str">
        <f t="shared" si="43"/>
        <v>Medium Value</v>
      </c>
      <c r="J962" t="str">
        <f t="shared" si="44"/>
        <v>Low Risk</v>
      </c>
      <c r="K962" s="3" t="str">
        <f t="shared" si="42"/>
        <v>4+ Years</v>
      </c>
    </row>
    <row r="963" spans="1:11" x14ac:dyDescent="0.3">
      <c r="A963" t="s">
        <v>980</v>
      </c>
      <c r="B963" t="s">
        <v>14</v>
      </c>
      <c r="C963" t="s">
        <v>10</v>
      </c>
      <c r="D963" t="s">
        <v>16</v>
      </c>
      <c r="E963">
        <v>45.7</v>
      </c>
      <c r="F963">
        <v>1</v>
      </c>
      <c r="G963">
        <v>45.7</v>
      </c>
      <c r="H963" t="s">
        <v>18</v>
      </c>
      <c r="I963" t="str">
        <f t="shared" si="43"/>
        <v>Low Value</v>
      </c>
      <c r="J963" t="str">
        <f t="shared" si="44"/>
        <v>High Risk</v>
      </c>
      <c r="K963" s="3" t="str">
        <f t="shared" ref="K963:K1026" si="45">IF(F963&lt;=12,"0-1 Year",
IF(F963&lt;=24,"1-2 Years",
IF(F963&lt;=48,"2-4 Years","4+ Years")))</f>
        <v>0-1 Year</v>
      </c>
    </row>
    <row r="964" spans="1:11" x14ac:dyDescent="0.3">
      <c r="A964" t="s">
        <v>981</v>
      </c>
      <c r="B964" t="s">
        <v>14</v>
      </c>
      <c r="C964" t="s">
        <v>10</v>
      </c>
      <c r="D964" t="s">
        <v>24</v>
      </c>
      <c r="E964">
        <v>100.3</v>
      </c>
      <c r="F964">
        <v>8</v>
      </c>
      <c r="G964">
        <v>802.4</v>
      </c>
      <c r="H964" t="s">
        <v>18</v>
      </c>
      <c r="I964" t="str">
        <f t="shared" ref="I964:I1027" si="46">IF(G964&gt;5000,"High Value",
IF(G964&gt;2000,"Medium Value","Low Value"))</f>
        <v>Low Value</v>
      </c>
      <c r="J964" t="str">
        <f t="shared" ref="J964:J1027" si="47">IF(F964&lt;12,"High Risk",
IF(F964&lt;24,"Medium Risk","Low Risk"))</f>
        <v>High Risk</v>
      </c>
      <c r="K964" s="3" t="str">
        <f t="shared" si="45"/>
        <v>0-1 Year</v>
      </c>
    </row>
    <row r="965" spans="1:11" x14ac:dyDescent="0.3">
      <c r="A965" t="s">
        <v>982</v>
      </c>
      <c r="B965" t="s">
        <v>14</v>
      </c>
      <c r="C965" t="s">
        <v>10</v>
      </c>
      <c r="D965" t="s">
        <v>11</v>
      </c>
      <c r="E965">
        <v>19.25</v>
      </c>
      <c r="F965">
        <v>7</v>
      </c>
      <c r="G965">
        <v>134.75</v>
      </c>
      <c r="H965" t="s">
        <v>18</v>
      </c>
      <c r="I965" t="str">
        <f t="shared" si="46"/>
        <v>Low Value</v>
      </c>
      <c r="J965" t="str">
        <f t="shared" si="47"/>
        <v>High Risk</v>
      </c>
      <c r="K965" s="3" t="str">
        <f t="shared" si="45"/>
        <v>0-1 Year</v>
      </c>
    </row>
    <row r="966" spans="1:11" x14ac:dyDescent="0.3">
      <c r="A966" t="s">
        <v>983</v>
      </c>
      <c r="B966" t="s">
        <v>14</v>
      </c>
      <c r="C966" t="s">
        <v>10</v>
      </c>
      <c r="D966" t="s">
        <v>16</v>
      </c>
      <c r="E966">
        <v>20.85</v>
      </c>
      <c r="F966">
        <v>3</v>
      </c>
      <c r="G966">
        <v>62.55</v>
      </c>
      <c r="H966" t="s">
        <v>12</v>
      </c>
      <c r="I966" t="str">
        <f t="shared" si="46"/>
        <v>Low Value</v>
      </c>
      <c r="J966" t="str">
        <f t="shared" si="47"/>
        <v>High Risk</v>
      </c>
      <c r="K966" s="3" t="str">
        <f t="shared" si="45"/>
        <v>0-1 Year</v>
      </c>
    </row>
    <row r="967" spans="1:11" x14ac:dyDescent="0.3">
      <c r="A967" t="s">
        <v>984</v>
      </c>
      <c r="B967" t="s">
        <v>9</v>
      </c>
      <c r="C967" t="s">
        <v>30</v>
      </c>
      <c r="D967" t="s">
        <v>24</v>
      </c>
      <c r="E967">
        <v>77.349999999999994</v>
      </c>
      <c r="F967">
        <v>71</v>
      </c>
      <c r="G967">
        <v>5491.8499999999904</v>
      </c>
      <c r="H967" t="s">
        <v>12</v>
      </c>
      <c r="I967" t="str">
        <f t="shared" si="46"/>
        <v>High Value</v>
      </c>
      <c r="J967" t="str">
        <f t="shared" si="47"/>
        <v>Low Risk</v>
      </c>
      <c r="K967" s="3" t="str">
        <f t="shared" si="45"/>
        <v>4+ Years</v>
      </c>
    </row>
    <row r="968" spans="1:11" x14ac:dyDescent="0.3">
      <c r="A968" t="s">
        <v>985</v>
      </c>
      <c r="B968" t="s">
        <v>9</v>
      </c>
      <c r="C968" t="s">
        <v>10</v>
      </c>
      <c r="D968" t="s">
        <v>11</v>
      </c>
      <c r="E968">
        <v>96</v>
      </c>
      <c r="F968">
        <v>2</v>
      </c>
      <c r="G968">
        <v>192</v>
      </c>
      <c r="H968" t="s">
        <v>18</v>
      </c>
      <c r="I968" t="str">
        <f t="shared" si="46"/>
        <v>Low Value</v>
      </c>
      <c r="J968" t="str">
        <f t="shared" si="47"/>
        <v>High Risk</v>
      </c>
      <c r="K968" s="3" t="str">
        <f t="shared" si="45"/>
        <v>0-1 Year</v>
      </c>
    </row>
    <row r="969" spans="1:11" x14ac:dyDescent="0.3">
      <c r="A969" t="s">
        <v>986</v>
      </c>
      <c r="B969" t="s">
        <v>9</v>
      </c>
      <c r="C969" t="s">
        <v>10</v>
      </c>
      <c r="D969" t="s">
        <v>11</v>
      </c>
      <c r="E969">
        <v>90.55</v>
      </c>
      <c r="F969">
        <v>1</v>
      </c>
      <c r="G969">
        <v>90.55</v>
      </c>
      <c r="H969" t="s">
        <v>18</v>
      </c>
      <c r="I969" t="str">
        <f t="shared" si="46"/>
        <v>Low Value</v>
      </c>
      <c r="J969" t="str">
        <f t="shared" si="47"/>
        <v>High Risk</v>
      </c>
      <c r="K969" s="3" t="str">
        <f t="shared" si="45"/>
        <v>0-1 Year</v>
      </c>
    </row>
    <row r="970" spans="1:11" x14ac:dyDescent="0.3">
      <c r="A970" t="s">
        <v>987</v>
      </c>
      <c r="B970" t="s">
        <v>14</v>
      </c>
      <c r="C970" t="s">
        <v>10</v>
      </c>
      <c r="D970" t="s">
        <v>20</v>
      </c>
      <c r="E970">
        <v>93.85</v>
      </c>
      <c r="F970">
        <v>49</v>
      </c>
      <c r="G970">
        <v>4598.6499999999996</v>
      </c>
      <c r="H970" t="s">
        <v>12</v>
      </c>
      <c r="I970" t="str">
        <f t="shared" si="46"/>
        <v>Medium Value</v>
      </c>
      <c r="J970" t="str">
        <f t="shared" si="47"/>
        <v>Low Risk</v>
      </c>
      <c r="K970" s="3" t="str">
        <f t="shared" si="45"/>
        <v>4+ Years</v>
      </c>
    </row>
    <row r="971" spans="1:11" x14ac:dyDescent="0.3">
      <c r="A971" t="s">
        <v>988</v>
      </c>
      <c r="B971" t="s">
        <v>14</v>
      </c>
      <c r="C971" t="s">
        <v>30</v>
      </c>
      <c r="D971" t="s">
        <v>20</v>
      </c>
      <c r="E971">
        <v>70.099999999999994</v>
      </c>
      <c r="F971">
        <v>58</v>
      </c>
      <c r="G971">
        <v>4065.7999999999902</v>
      </c>
      <c r="H971" t="s">
        <v>12</v>
      </c>
      <c r="I971" t="str">
        <f t="shared" si="46"/>
        <v>Medium Value</v>
      </c>
      <c r="J971" t="str">
        <f t="shared" si="47"/>
        <v>Low Risk</v>
      </c>
      <c r="K971" s="3" t="str">
        <f t="shared" si="45"/>
        <v>4+ Years</v>
      </c>
    </row>
    <row r="972" spans="1:11" x14ac:dyDescent="0.3">
      <c r="A972" t="s">
        <v>989</v>
      </c>
      <c r="B972" t="s">
        <v>14</v>
      </c>
      <c r="C972" t="s">
        <v>10</v>
      </c>
      <c r="D972" t="s">
        <v>11</v>
      </c>
      <c r="E972">
        <v>30.35</v>
      </c>
      <c r="F972">
        <v>44</v>
      </c>
      <c r="G972">
        <v>1335.4</v>
      </c>
      <c r="H972" t="s">
        <v>18</v>
      </c>
      <c r="I972" t="str">
        <f t="shared" si="46"/>
        <v>Low Value</v>
      </c>
      <c r="J972" t="str">
        <f t="shared" si="47"/>
        <v>Low Risk</v>
      </c>
      <c r="K972" s="3" t="str">
        <f t="shared" si="45"/>
        <v>2-4 Years</v>
      </c>
    </row>
    <row r="973" spans="1:11" x14ac:dyDescent="0.3">
      <c r="A973" t="s">
        <v>990</v>
      </c>
      <c r="B973" t="s">
        <v>9</v>
      </c>
      <c r="C973" t="s">
        <v>30</v>
      </c>
      <c r="D973" t="s">
        <v>24</v>
      </c>
      <c r="E973">
        <v>75.95</v>
      </c>
      <c r="F973">
        <v>59</v>
      </c>
      <c r="G973">
        <v>4481.05</v>
      </c>
      <c r="H973" t="s">
        <v>12</v>
      </c>
      <c r="I973" t="str">
        <f t="shared" si="46"/>
        <v>Medium Value</v>
      </c>
      <c r="J973" t="str">
        <f t="shared" si="47"/>
        <v>Low Risk</v>
      </c>
      <c r="K973" s="3" t="str">
        <f t="shared" si="45"/>
        <v>4+ Years</v>
      </c>
    </row>
    <row r="974" spans="1:11" x14ac:dyDescent="0.3">
      <c r="A974" t="s">
        <v>991</v>
      </c>
      <c r="B974" t="s">
        <v>14</v>
      </c>
      <c r="C974" t="s">
        <v>30</v>
      </c>
      <c r="D974" t="s">
        <v>11</v>
      </c>
      <c r="E974">
        <v>108.05</v>
      </c>
      <c r="F974">
        <v>71</v>
      </c>
      <c r="G974">
        <v>7671.55</v>
      </c>
      <c r="H974" t="s">
        <v>18</v>
      </c>
      <c r="I974" t="str">
        <f t="shared" si="46"/>
        <v>High Value</v>
      </c>
      <c r="J974" t="str">
        <f t="shared" si="47"/>
        <v>Low Risk</v>
      </c>
      <c r="K974" s="3" t="str">
        <f t="shared" si="45"/>
        <v>4+ Years</v>
      </c>
    </row>
    <row r="975" spans="1:11" x14ac:dyDescent="0.3">
      <c r="A975" t="s">
        <v>992</v>
      </c>
      <c r="B975" t="s">
        <v>14</v>
      </c>
      <c r="C975" t="s">
        <v>10</v>
      </c>
      <c r="D975" t="s">
        <v>11</v>
      </c>
      <c r="E975">
        <v>69.900000000000006</v>
      </c>
      <c r="F975">
        <v>1</v>
      </c>
      <c r="G975">
        <v>69.900000000000006</v>
      </c>
      <c r="H975" t="s">
        <v>18</v>
      </c>
      <c r="I975" t="str">
        <f t="shared" si="46"/>
        <v>Low Value</v>
      </c>
      <c r="J975" t="str">
        <f t="shared" si="47"/>
        <v>High Risk</v>
      </c>
      <c r="K975" s="3" t="str">
        <f t="shared" si="45"/>
        <v>0-1 Year</v>
      </c>
    </row>
    <row r="976" spans="1:11" x14ac:dyDescent="0.3">
      <c r="A976" t="s">
        <v>993</v>
      </c>
      <c r="B976" t="s">
        <v>9</v>
      </c>
      <c r="C976" t="s">
        <v>10</v>
      </c>
      <c r="D976" t="s">
        <v>11</v>
      </c>
      <c r="E976">
        <v>75.25</v>
      </c>
      <c r="F976">
        <v>11</v>
      </c>
      <c r="G976">
        <v>827.75</v>
      </c>
      <c r="H976" t="s">
        <v>12</v>
      </c>
      <c r="I976" t="str">
        <f t="shared" si="46"/>
        <v>Low Value</v>
      </c>
      <c r="J976" t="str">
        <f t="shared" si="47"/>
        <v>High Risk</v>
      </c>
      <c r="K976" s="3" t="str">
        <f t="shared" si="45"/>
        <v>0-1 Year</v>
      </c>
    </row>
    <row r="977" spans="1:11" x14ac:dyDescent="0.3">
      <c r="A977" t="s">
        <v>994</v>
      </c>
      <c r="B977" t="s">
        <v>14</v>
      </c>
      <c r="C977" t="s">
        <v>15</v>
      </c>
      <c r="D977" t="s">
        <v>11</v>
      </c>
      <c r="E977">
        <v>103.75</v>
      </c>
      <c r="F977">
        <v>62</v>
      </c>
      <c r="G977">
        <v>6432.5</v>
      </c>
      <c r="H977" t="s">
        <v>18</v>
      </c>
      <c r="I977" t="str">
        <f t="shared" si="46"/>
        <v>High Value</v>
      </c>
      <c r="J977" t="str">
        <f t="shared" si="47"/>
        <v>Low Risk</v>
      </c>
      <c r="K977" s="3" t="str">
        <f t="shared" si="45"/>
        <v>4+ Years</v>
      </c>
    </row>
    <row r="978" spans="1:11" x14ac:dyDescent="0.3">
      <c r="A978" t="s">
        <v>995</v>
      </c>
      <c r="B978" t="s">
        <v>9</v>
      </c>
      <c r="C978" t="s">
        <v>15</v>
      </c>
      <c r="D978" t="s">
        <v>20</v>
      </c>
      <c r="E978">
        <v>54.95</v>
      </c>
      <c r="F978">
        <v>35</v>
      </c>
      <c r="G978">
        <v>1923.25</v>
      </c>
      <c r="H978" t="s">
        <v>12</v>
      </c>
      <c r="I978" t="str">
        <f t="shared" si="46"/>
        <v>Low Value</v>
      </c>
      <c r="J978" t="str">
        <f t="shared" si="47"/>
        <v>Low Risk</v>
      </c>
      <c r="K978" s="3" t="str">
        <f t="shared" si="45"/>
        <v>2-4 Years</v>
      </c>
    </row>
    <row r="979" spans="1:11" x14ac:dyDescent="0.3">
      <c r="A979" t="s">
        <v>996</v>
      </c>
      <c r="B979" t="s">
        <v>9</v>
      </c>
      <c r="C979" t="s">
        <v>10</v>
      </c>
      <c r="D979" t="s">
        <v>20</v>
      </c>
      <c r="E979">
        <v>19.5</v>
      </c>
      <c r="F979">
        <v>20</v>
      </c>
      <c r="G979">
        <v>390</v>
      </c>
      <c r="H979" t="s">
        <v>12</v>
      </c>
      <c r="I979" t="str">
        <f t="shared" si="46"/>
        <v>Low Value</v>
      </c>
      <c r="J979" t="str">
        <f t="shared" si="47"/>
        <v>Medium Risk</v>
      </c>
      <c r="K979" s="3" t="str">
        <f t="shared" si="45"/>
        <v>1-2 Years</v>
      </c>
    </row>
    <row r="980" spans="1:11" x14ac:dyDescent="0.3">
      <c r="A980" t="s">
        <v>997</v>
      </c>
      <c r="B980" t="s">
        <v>14</v>
      </c>
      <c r="C980" t="s">
        <v>30</v>
      </c>
      <c r="D980" t="s">
        <v>16</v>
      </c>
      <c r="E980">
        <v>19.600000000000001</v>
      </c>
      <c r="F980">
        <v>40</v>
      </c>
      <c r="G980">
        <v>784</v>
      </c>
      <c r="H980" t="s">
        <v>12</v>
      </c>
      <c r="I980" t="str">
        <f t="shared" si="46"/>
        <v>Low Value</v>
      </c>
      <c r="J980" t="str">
        <f t="shared" si="47"/>
        <v>Low Risk</v>
      </c>
      <c r="K980" s="3" t="str">
        <f t="shared" si="45"/>
        <v>2-4 Years</v>
      </c>
    </row>
    <row r="981" spans="1:11" x14ac:dyDescent="0.3">
      <c r="A981" t="s">
        <v>998</v>
      </c>
      <c r="B981" t="s">
        <v>9</v>
      </c>
      <c r="C981" t="s">
        <v>15</v>
      </c>
      <c r="D981" t="s">
        <v>11</v>
      </c>
      <c r="E981">
        <v>47.85</v>
      </c>
      <c r="F981">
        <v>39</v>
      </c>
      <c r="G981">
        <v>1866.15</v>
      </c>
      <c r="H981" t="s">
        <v>12</v>
      </c>
      <c r="I981" t="str">
        <f t="shared" si="46"/>
        <v>Low Value</v>
      </c>
      <c r="J981" t="str">
        <f t="shared" si="47"/>
        <v>Low Risk</v>
      </c>
      <c r="K981" s="3" t="str">
        <f t="shared" si="45"/>
        <v>2-4 Years</v>
      </c>
    </row>
    <row r="982" spans="1:11" x14ac:dyDescent="0.3">
      <c r="A982" t="s">
        <v>999</v>
      </c>
      <c r="B982" t="s">
        <v>14</v>
      </c>
      <c r="C982" t="s">
        <v>10</v>
      </c>
      <c r="D982" t="s">
        <v>11</v>
      </c>
      <c r="E982">
        <v>86.6</v>
      </c>
      <c r="F982">
        <v>1</v>
      </c>
      <c r="G982">
        <v>86.6</v>
      </c>
      <c r="H982" t="s">
        <v>18</v>
      </c>
      <c r="I982" t="str">
        <f t="shared" si="46"/>
        <v>Low Value</v>
      </c>
      <c r="J982" t="str">
        <f t="shared" si="47"/>
        <v>High Risk</v>
      </c>
      <c r="K982" s="3" t="str">
        <f t="shared" si="45"/>
        <v>0-1 Year</v>
      </c>
    </row>
    <row r="983" spans="1:11" x14ac:dyDescent="0.3">
      <c r="A983" t="s">
        <v>1000</v>
      </c>
      <c r="B983" t="s">
        <v>9</v>
      </c>
      <c r="C983" t="s">
        <v>30</v>
      </c>
      <c r="D983" t="s">
        <v>20</v>
      </c>
      <c r="E983">
        <v>23.75</v>
      </c>
      <c r="F983">
        <v>72</v>
      </c>
      <c r="G983">
        <v>1710</v>
      </c>
      <c r="H983" t="s">
        <v>12</v>
      </c>
      <c r="I983" t="str">
        <f t="shared" si="46"/>
        <v>Low Value</v>
      </c>
      <c r="J983" t="str">
        <f t="shared" si="47"/>
        <v>Low Risk</v>
      </c>
      <c r="K983" s="3" t="str">
        <f t="shared" si="45"/>
        <v>4+ Years</v>
      </c>
    </row>
    <row r="984" spans="1:11" x14ac:dyDescent="0.3">
      <c r="A984" t="s">
        <v>1001</v>
      </c>
      <c r="B984" t="s">
        <v>9</v>
      </c>
      <c r="C984" t="s">
        <v>10</v>
      </c>
      <c r="D984" t="s">
        <v>20</v>
      </c>
      <c r="E984">
        <v>80.599999999999994</v>
      </c>
      <c r="F984">
        <v>33</v>
      </c>
      <c r="G984">
        <v>2659.7999999999902</v>
      </c>
      <c r="H984" t="s">
        <v>18</v>
      </c>
      <c r="I984" t="str">
        <f t="shared" si="46"/>
        <v>Medium Value</v>
      </c>
      <c r="J984" t="str">
        <f t="shared" si="47"/>
        <v>Low Risk</v>
      </c>
      <c r="K984" s="3" t="str">
        <f t="shared" si="45"/>
        <v>2-4 Years</v>
      </c>
    </row>
    <row r="985" spans="1:11" x14ac:dyDescent="0.3">
      <c r="A985" t="s">
        <v>1002</v>
      </c>
      <c r="B985" t="s">
        <v>9</v>
      </c>
      <c r="C985" t="s">
        <v>10</v>
      </c>
      <c r="D985" t="s">
        <v>20</v>
      </c>
      <c r="E985">
        <v>43.8</v>
      </c>
      <c r="F985">
        <v>12</v>
      </c>
      <c r="G985">
        <v>525.599999999999</v>
      </c>
      <c r="H985" t="s">
        <v>12</v>
      </c>
      <c r="I985" t="str">
        <f t="shared" si="46"/>
        <v>Low Value</v>
      </c>
      <c r="J985" t="str">
        <f t="shared" si="47"/>
        <v>Medium Risk</v>
      </c>
      <c r="K985" s="3" t="str">
        <f t="shared" si="45"/>
        <v>0-1 Year</v>
      </c>
    </row>
    <row r="986" spans="1:11" x14ac:dyDescent="0.3">
      <c r="A986" t="s">
        <v>1003</v>
      </c>
      <c r="B986" t="s">
        <v>14</v>
      </c>
      <c r="C986" t="s">
        <v>10</v>
      </c>
      <c r="D986" t="s">
        <v>20</v>
      </c>
      <c r="E986">
        <v>19.75</v>
      </c>
      <c r="F986">
        <v>1</v>
      </c>
      <c r="G986">
        <v>19.75</v>
      </c>
      <c r="H986" t="s">
        <v>12</v>
      </c>
      <c r="I986" t="str">
        <f t="shared" si="46"/>
        <v>Low Value</v>
      </c>
      <c r="J986" t="str">
        <f t="shared" si="47"/>
        <v>High Risk</v>
      </c>
      <c r="K986" s="3" t="str">
        <f t="shared" si="45"/>
        <v>0-1 Year</v>
      </c>
    </row>
    <row r="987" spans="1:11" x14ac:dyDescent="0.3">
      <c r="A987" t="s">
        <v>1004</v>
      </c>
      <c r="B987" t="s">
        <v>14</v>
      </c>
      <c r="C987" t="s">
        <v>10</v>
      </c>
      <c r="D987" t="s">
        <v>16</v>
      </c>
      <c r="E987">
        <v>19.149999999999999</v>
      </c>
      <c r="F987">
        <v>27</v>
      </c>
      <c r="G987">
        <v>517.04999999999995</v>
      </c>
      <c r="H987" t="s">
        <v>12</v>
      </c>
      <c r="I987" t="str">
        <f t="shared" si="46"/>
        <v>Low Value</v>
      </c>
      <c r="J987" t="str">
        <f t="shared" si="47"/>
        <v>Low Risk</v>
      </c>
      <c r="K987" s="3" t="str">
        <f t="shared" si="45"/>
        <v>2-4 Years</v>
      </c>
    </row>
    <row r="988" spans="1:11" x14ac:dyDescent="0.3">
      <c r="A988" t="s">
        <v>1005</v>
      </c>
      <c r="B988" t="s">
        <v>14</v>
      </c>
      <c r="C988" t="s">
        <v>15</v>
      </c>
      <c r="D988" t="s">
        <v>24</v>
      </c>
      <c r="E988">
        <v>19.600000000000001</v>
      </c>
      <c r="F988">
        <v>34</v>
      </c>
      <c r="G988">
        <v>666.4</v>
      </c>
      <c r="H988" t="s">
        <v>12</v>
      </c>
      <c r="I988" t="str">
        <f t="shared" si="46"/>
        <v>Low Value</v>
      </c>
      <c r="J988" t="str">
        <f t="shared" si="47"/>
        <v>Low Risk</v>
      </c>
      <c r="K988" s="3" t="str">
        <f t="shared" si="45"/>
        <v>2-4 Years</v>
      </c>
    </row>
    <row r="989" spans="1:11" x14ac:dyDescent="0.3">
      <c r="A989" t="s">
        <v>1006</v>
      </c>
      <c r="B989" t="s">
        <v>9</v>
      </c>
      <c r="C989" t="s">
        <v>30</v>
      </c>
      <c r="D989" t="s">
        <v>20</v>
      </c>
      <c r="E989">
        <v>80.3</v>
      </c>
      <c r="F989">
        <v>56</v>
      </c>
      <c r="G989">
        <v>4496.8</v>
      </c>
      <c r="H989" t="s">
        <v>12</v>
      </c>
      <c r="I989" t="str">
        <f t="shared" si="46"/>
        <v>Medium Value</v>
      </c>
      <c r="J989" t="str">
        <f t="shared" si="47"/>
        <v>Low Risk</v>
      </c>
      <c r="K989" s="3" t="str">
        <f t="shared" si="45"/>
        <v>4+ Years</v>
      </c>
    </row>
    <row r="990" spans="1:11" x14ac:dyDescent="0.3">
      <c r="A990" t="s">
        <v>1007</v>
      </c>
      <c r="B990" t="s">
        <v>9</v>
      </c>
      <c r="C990" t="s">
        <v>30</v>
      </c>
      <c r="D990" t="s">
        <v>24</v>
      </c>
      <c r="E990">
        <v>24.35</v>
      </c>
      <c r="F990">
        <v>58</v>
      </c>
      <c r="G990">
        <v>1412.3</v>
      </c>
      <c r="H990" t="s">
        <v>12</v>
      </c>
      <c r="I990" t="str">
        <f t="shared" si="46"/>
        <v>Low Value</v>
      </c>
      <c r="J990" t="str">
        <f t="shared" si="47"/>
        <v>Low Risk</v>
      </c>
      <c r="K990" s="3" t="str">
        <f t="shared" si="45"/>
        <v>4+ Years</v>
      </c>
    </row>
    <row r="991" spans="1:11" x14ac:dyDescent="0.3">
      <c r="A991" t="s">
        <v>1008</v>
      </c>
      <c r="B991" t="s">
        <v>9</v>
      </c>
      <c r="C991" t="s">
        <v>30</v>
      </c>
      <c r="D991" t="s">
        <v>24</v>
      </c>
      <c r="E991">
        <v>25.25</v>
      </c>
      <c r="F991">
        <v>22</v>
      </c>
      <c r="G991">
        <v>555.5</v>
      </c>
      <c r="H991" t="s">
        <v>12</v>
      </c>
      <c r="I991" t="str">
        <f t="shared" si="46"/>
        <v>Low Value</v>
      </c>
      <c r="J991" t="str">
        <f t="shared" si="47"/>
        <v>Medium Risk</v>
      </c>
      <c r="K991" s="3" t="str">
        <f t="shared" si="45"/>
        <v>1-2 Years</v>
      </c>
    </row>
    <row r="992" spans="1:11" x14ac:dyDescent="0.3">
      <c r="A992" t="s">
        <v>1009</v>
      </c>
      <c r="B992" t="s">
        <v>9</v>
      </c>
      <c r="C992" t="s">
        <v>30</v>
      </c>
      <c r="D992" t="s">
        <v>24</v>
      </c>
      <c r="E992">
        <v>26.1</v>
      </c>
      <c r="F992">
        <v>10</v>
      </c>
      <c r="G992">
        <v>261</v>
      </c>
      <c r="H992" t="s">
        <v>12</v>
      </c>
      <c r="I992" t="str">
        <f t="shared" si="46"/>
        <v>Low Value</v>
      </c>
      <c r="J992" t="str">
        <f t="shared" si="47"/>
        <v>High Risk</v>
      </c>
      <c r="K992" s="3" t="str">
        <f t="shared" si="45"/>
        <v>0-1 Year</v>
      </c>
    </row>
    <row r="993" spans="1:11" x14ac:dyDescent="0.3">
      <c r="A993" t="s">
        <v>1010</v>
      </c>
      <c r="B993" t="s">
        <v>14</v>
      </c>
      <c r="C993" t="s">
        <v>30</v>
      </c>
      <c r="D993" t="s">
        <v>24</v>
      </c>
      <c r="E993">
        <v>20</v>
      </c>
      <c r="F993">
        <v>13</v>
      </c>
      <c r="G993">
        <v>260</v>
      </c>
      <c r="H993" t="s">
        <v>12</v>
      </c>
      <c r="I993" t="str">
        <f t="shared" si="46"/>
        <v>Low Value</v>
      </c>
      <c r="J993" t="str">
        <f t="shared" si="47"/>
        <v>Medium Risk</v>
      </c>
      <c r="K993" s="3" t="str">
        <f t="shared" si="45"/>
        <v>1-2 Years</v>
      </c>
    </row>
    <row r="994" spans="1:11" x14ac:dyDescent="0.3">
      <c r="A994" t="s">
        <v>1011</v>
      </c>
      <c r="B994" t="s">
        <v>9</v>
      </c>
      <c r="C994" t="s">
        <v>10</v>
      </c>
      <c r="D994" t="s">
        <v>24</v>
      </c>
      <c r="E994">
        <v>85.3</v>
      </c>
      <c r="F994">
        <v>35</v>
      </c>
      <c r="G994">
        <v>2985.5</v>
      </c>
      <c r="H994" t="s">
        <v>18</v>
      </c>
      <c r="I994" t="str">
        <f t="shared" si="46"/>
        <v>Medium Value</v>
      </c>
      <c r="J994" t="str">
        <f t="shared" si="47"/>
        <v>Low Risk</v>
      </c>
      <c r="K994" s="3" t="str">
        <f t="shared" si="45"/>
        <v>2-4 Years</v>
      </c>
    </row>
    <row r="995" spans="1:11" x14ac:dyDescent="0.3">
      <c r="A995" t="s">
        <v>1012</v>
      </c>
      <c r="B995" t="s">
        <v>9</v>
      </c>
      <c r="C995" t="s">
        <v>10</v>
      </c>
      <c r="D995" t="s">
        <v>24</v>
      </c>
      <c r="E995">
        <v>70</v>
      </c>
      <c r="F995">
        <v>34</v>
      </c>
      <c r="G995">
        <v>2380</v>
      </c>
      <c r="H995" t="s">
        <v>18</v>
      </c>
      <c r="I995" t="str">
        <f t="shared" si="46"/>
        <v>Medium Value</v>
      </c>
      <c r="J995" t="str">
        <f t="shared" si="47"/>
        <v>Low Risk</v>
      </c>
      <c r="K995" s="3" t="str">
        <f t="shared" si="45"/>
        <v>2-4 Years</v>
      </c>
    </row>
    <row r="996" spans="1:11" x14ac:dyDescent="0.3">
      <c r="A996" t="s">
        <v>1013</v>
      </c>
      <c r="B996" t="s">
        <v>9</v>
      </c>
      <c r="C996" t="s">
        <v>10</v>
      </c>
      <c r="D996" t="s">
        <v>11</v>
      </c>
      <c r="E996">
        <v>94.3</v>
      </c>
      <c r="F996">
        <v>4</v>
      </c>
      <c r="G996">
        <v>377.2</v>
      </c>
      <c r="H996" t="s">
        <v>18</v>
      </c>
      <c r="I996" t="str">
        <f t="shared" si="46"/>
        <v>Low Value</v>
      </c>
      <c r="J996" t="str">
        <f t="shared" si="47"/>
        <v>High Risk</v>
      </c>
      <c r="K996" s="3" t="str">
        <f t="shared" si="45"/>
        <v>0-1 Year</v>
      </c>
    </row>
    <row r="997" spans="1:11" x14ac:dyDescent="0.3">
      <c r="A997" t="s">
        <v>1014</v>
      </c>
      <c r="B997" t="s">
        <v>14</v>
      </c>
      <c r="C997" t="s">
        <v>30</v>
      </c>
      <c r="D997" t="s">
        <v>20</v>
      </c>
      <c r="E997">
        <v>20.7</v>
      </c>
      <c r="F997">
        <v>72</v>
      </c>
      <c r="G997">
        <v>1490.3999999999901</v>
      </c>
      <c r="H997" t="s">
        <v>12</v>
      </c>
      <c r="I997" t="str">
        <f t="shared" si="46"/>
        <v>Low Value</v>
      </c>
      <c r="J997" t="str">
        <f t="shared" si="47"/>
        <v>Low Risk</v>
      </c>
      <c r="K997" s="3" t="str">
        <f t="shared" si="45"/>
        <v>4+ Years</v>
      </c>
    </row>
    <row r="998" spans="1:11" x14ac:dyDescent="0.3">
      <c r="A998" t="s">
        <v>1015</v>
      </c>
      <c r="B998" t="s">
        <v>14</v>
      </c>
      <c r="C998" t="s">
        <v>10</v>
      </c>
      <c r="D998" t="s">
        <v>11</v>
      </c>
      <c r="E998">
        <v>70.3</v>
      </c>
      <c r="F998">
        <v>2</v>
      </c>
      <c r="G998">
        <v>140.6</v>
      </c>
      <c r="H998" t="s">
        <v>12</v>
      </c>
      <c r="I998" t="str">
        <f t="shared" si="46"/>
        <v>Low Value</v>
      </c>
      <c r="J998" t="str">
        <f t="shared" si="47"/>
        <v>High Risk</v>
      </c>
      <c r="K998" s="3" t="str">
        <f t="shared" si="45"/>
        <v>0-1 Year</v>
      </c>
    </row>
    <row r="999" spans="1:11" x14ac:dyDescent="0.3">
      <c r="A999" t="s">
        <v>1016</v>
      </c>
      <c r="B999" t="s">
        <v>9</v>
      </c>
      <c r="C999" t="s">
        <v>10</v>
      </c>
      <c r="D999" t="s">
        <v>11</v>
      </c>
      <c r="E999">
        <v>95.35</v>
      </c>
      <c r="F999">
        <v>7</v>
      </c>
      <c r="G999">
        <v>667.44999999999902</v>
      </c>
      <c r="H999" t="s">
        <v>18</v>
      </c>
      <c r="I999" t="str">
        <f t="shared" si="46"/>
        <v>Low Value</v>
      </c>
      <c r="J999" t="str">
        <f t="shared" si="47"/>
        <v>High Risk</v>
      </c>
      <c r="K999" s="3" t="str">
        <f t="shared" si="45"/>
        <v>0-1 Year</v>
      </c>
    </row>
    <row r="1000" spans="1:11" x14ac:dyDescent="0.3">
      <c r="A1000" t="s">
        <v>1017</v>
      </c>
      <c r="B1000" t="s">
        <v>14</v>
      </c>
      <c r="C1000" t="s">
        <v>10</v>
      </c>
      <c r="D1000" t="s">
        <v>11</v>
      </c>
      <c r="E1000">
        <v>75.5</v>
      </c>
      <c r="F1000">
        <v>27</v>
      </c>
      <c r="G1000">
        <v>2038.5</v>
      </c>
      <c r="H1000" t="s">
        <v>18</v>
      </c>
      <c r="I1000" t="str">
        <f t="shared" si="46"/>
        <v>Medium Value</v>
      </c>
      <c r="J1000" t="str">
        <f t="shared" si="47"/>
        <v>Low Risk</v>
      </c>
      <c r="K1000" s="3" t="str">
        <f t="shared" si="45"/>
        <v>2-4 Years</v>
      </c>
    </row>
    <row r="1001" spans="1:11" x14ac:dyDescent="0.3">
      <c r="A1001" t="s">
        <v>1018</v>
      </c>
      <c r="B1001" t="s">
        <v>14</v>
      </c>
      <c r="C1001" t="s">
        <v>10</v>
      </c>
      <c r="D1001" t="s">
        <v>16</v>
      </c>
      <c r="E1001">
        <v>69.55</v>
      </c>
      <c r="F1001">
        <v>4</v>
      </c>
      <c r="G1001">
        <v>278.2</v>
      </c>
      <c r="H1001" t="s">
        <v>12</v>
      </c>
      <c r="I1001" t="str">
        <f t="shared" si="46"/>
        <v>Low Value</v>
      </c>
      <c r="J1001" t="str">
        <f t="shared" si="47"/>
        <v>High Risk</v>
      </c>
      <c r="K1001" s="3" t="str">
        <f t="shared" si="45"/>
        <v>0-1 Year</v>
      </c>
    </row>
    <row r="1002" spans="1:11" x14ac:dyDescent="0.3">
      <c r="A1002" t="s">
        <v>1019</v>
      </c>
      <c r="B1002" t="s">
        <v>9</v>
      </c>
      <c r="C1002" t="s">
        <v>30</v>
      </c>
      <c r="D1002" t="s">
        <v>16</v>
      </c>
      <c r="E1002">
        <v>19.850000000000001</v>
      </c>
      <c r="F1002">
        <v>37</v>
      </c>
      <c r="G1002">
        <v>734.45</v>
      </c>
      <c r="H1002" t="s">
        <v>12</v>
      </c>
      <c r="I1002" t="str">
        <f t="shared" si="46"/>
        <v>Low Value</v>
      </c>
      <c r="J1002" t="str">
        <f t="shared" si="47"/>
        <v>Low Risk</v>
      </c>
      <c r="K1002" s="3" t="str">
        <f t="shared" si="45"/>
        <v>2-4 Years</v>
      </c>
    </row>
    <row r="1003" spans="1:11" x14ac:dyDescent="0.3">
      <c r="A1003" t="s">
        <v>1020</v>
      </c>
      <c r="B1003" t="s">
        <v>14</v>
      </c>
      <c r="C1003" t="s">
        <v>10</v>
      </c>
      <c r="D1003" t="s">
        <v>16</v>
      </c>
      <c r="E1003">
        <v>20</v>
      </c>
      <c r="F1003">
        <v>21</v>
      </c>
      <c r="G1003">
        <v>420</v>
      </c>
      <c r="H1003" t="s">
        <v>12</v>
      </c>
      <c r="I1003" t="str">
        <f t="shared" si="46"/>
        <v>Low Value</v>
      </c>
      <c r="J1003" t="str">
        <f t="shared" si="47"/>
        <v>Medium Risk</v>
      </c>
      <c r="K1003" s="3" t="str">
        <f t="shared" si="45"/>
        <v>1-2 Years</v>
      </c>
    </row>
    <row r="1004" spans="1:11" x14ac:dyDescent="0.3">
      <c r="A1004" t="s">
        <v>1021</v>
      </c>
      <c r="B1004" t="s">
        <v>9</v>
      </c>
      <c r="C1004" t="s">
        <v>15</v>
      </c>
      <c r="D1004" t="s">
        <v>24</v>
      </c>
      <c r="E1004">
        <v>95.85</v>
      </c>
      <c r="F1004">
        <v>53</v>
      </c>
      <c r="G1004">
        <v>5080.0499999999902</v>
      </c>
      <c r="H1004" t="s">
        <v>12</v>
      </c>
      <c r="I1004" t="str">
        <f t="shared" si="46"/>
        <v>High Value</v>
      </c>
      <c r="J1004" t="str">
        <f t="shared" si="47"/>
        <v>Low Risk</v>
      </c>
      <c r="K1004" s="3" t="str">
        <f t="shared" si="45"/>
        <v>4+ Years</v>
      </c>
    </row>
    <row r="1005" spans="1:11" x14ac:dyDescent="0.3">
      <c r="A1005" t="s">
        <v>1022</v>
      </c>
      <c r="B1005" t="s">
        <v>9</v>
      </c>
      <c r="C1005" t="s">
        <v>10</v>
      </c>
      <c r="D1005" t="s">
        <v>11</v>
      </c>
      <c r="E1005">
        <v>90.1</v>
      </c>
      <c r="F1005">
        <v>18</v>
      </c>
      <c r="G1005">
        <v>1621.8</v>
      </c>
      <c r="H1005" t="s">
        <v>18</v>
      </c>
      <c r="I1005" t="str">
        <f t="shared" si="46"/>
        <v>Low Value</v>
      </c>
      <c r="J1005" t="str">
        <f t="shared" si="47"/>
        <v>Medium Risk</v>
      </c>
      <c r="K1005" s="3" t="str">
        <f t="shared" si="45"/>
        <v>1-2 Years</v>
      </c>
    </row>
    <row r="1006" spans="1:11" x14ac:dyDescent="0.3">
      <c r="A1006" t="s">
        <v>1023</v>
      </c>
      <c r="B1006" t="s">
        <v>9</v>
      </c>
      <c r="C1006" t="s">
        <v>10</v>
      </c>
      <c r="D1006" t="s">
        <v>11</v>
      </c>
      <c r="E1006">
        <v>68.95</v>
      </c>
      <c r="F1006">
        <v>2</v>
      </c>
      <c r="G1006">
        <v>137.9</v>
      </c>
      <c r="H1006" t="s">
        <v>18</v>
      </c>
      <c r="I1006" t="str">
        <f t="shared" si="46"/>
        <v>Low Value</v>
      </c>
      <c r="J1006" t="str">
        <f t="shared" si="47"/>
        <v>High Risk</v>
      </c>
      <c r="K1006" s="3" t="str">
        <f t="shared" si="45"/>
        <v>0-1 Year</v>
      </c>
    </row>
    <row r="1007" spans="1:11" x14ac:dyDescent="0.3">
      <c r="A1007" t="s">
        <v>1024</v>
      </c>
      <c r="B1007" t="s">
        <v>14</v>
      </c>
      <c r="C1007" t="s">
        <v>10</v>
      </c>
      <c r="D1007" t="s">
        <v>24</v>
      </c>
      <c r="E1007">
        <v>99.55</v>
      </c>
      <c r="F1007">
        <v>32</v>
      </c>
      <c r="G1007">
        <v>3185.6</v>
      </c>
      <c r="H1007" t="s">
        <v>18</v>
      </c>
      <c r="I1007" t="str">
        <f t="shared" si="46"/>
        <v>Medium Value</v>
      </c>
      <c r="J1007" t="str">
        <f t="shared" si="47"/>
        <v>Low Risk</v>
      </c>
      <c r="K1007" s="3" t="str">
        <f t="shared" si="45"/>
        <v>2-4 Years</v>
      </c>
    </row>
    <row r="1008" spans="1:11" x14ac:dyDescent="0.3">
      <c r="A1008" t="s">
        <v>1025</v>
      </c>
      <c r="B1008" t="s">
        <v>14</v>
      </c>
      <c r="C1008" t="s">
        <v>15</v>
      </c>
      <c r="D1008" t="s">
        <v>11</v>
      </c>
      <c r="E1008">
        <v>20.75</v>
      </c>
      <c r="F1008">
        <v>23</v>
      </c>
      <c r="G1008">
        <v>477.25</v>
      </c>
      <c r="H1008" t="s">
        <v>12</v>
      </c>
      <c r="I1008" t="str">
        <f t="shared" si="46"/>
        <v>Low Value</v>
      </c>
      <c r="J1008" t="str">
        <f t="shared" si="47"/>
        <v>Medium Risk</v>
      </c>
      <c r="K1008" s="3" t="str">
        <f t="shared" si="45"/>
        <v>1-2 Years</v>
      </c>
    </row>
    <row r="1009" spans="1:11" x14ac:dyDescent="0.3">
      <c r="A1009" t="s">
        <v>1026</v>
      </c>
      <c r="B1009" t="s">
        <v>14</v>
      </c>
      <c r="C1009" t="s">
        <v>10</v>
      </c>
      <c r="D1009" t="s">
        <v>16</v>
      </c>
      <c r="E1009">
        <v>50.15</v>
      </c>
      <c r="F1009">
        <v>3</v>
      </c>
      <c r="G1009">
        <v>150.44999999999999</v>
      </c>
      <c r="H1009" t="s">
        <v>12</v>
      </c>
      <c r="I1009" t="str">
        <f t="shared" si="46"/>
        <v>Low Value</v>
      </c>
      <c r="J1009" t="str">
        <f t="shared" si="47"/>
        <v>High Risk</v>
      </c>
      <c r="K1009" s="3" t="str">
        <f t="shared" si="45"/>
        <v>0-1 Year</v>
      </c>
    </row>
    <row r="1010" spans="1:11" x14ac:dyDescent="0.3">
      <c r="A1010" t="s">
        <v>1027</v>
      </c>
      <c r="B1010" t="s">
        <v>9</v>
      </c>
      <c r="C1010" t="s">
        <v>30</v>
      </c>
      <c r="D1010" t="s">
        <v>16</v>
      </c>
      <c r="E1010">
        <v>58.65</v>
      </c>
      <c r="F1010">
        <v>71</v>
      </c>
      <c r="G1010">
        <v>4164.1499999999996</v>
      </c>
      <c r="H1010" t="s">
        <v>12</v>
      </c>
      <c r="I1010" t="str">
        <f t="shared" si="46"/>
        <v>Medium Value</v>
      </c>
      <c r="J1010" t="str">
        <f t="shared" si="47"/>
        <v>Low Risk</v>
      </c>
      <c r="K1010" s="3" t="str">
        <f t="shared" si="45"/>
        <v>4+ Years</v>
      </c>
    </row>
    <row r="1011" spans="1:11" x14ac:dyDescent="0.3">
      <c r="A1011" t="s">
        <v>1028</v>
      </c>
      <c r="B1011" t="s">
        <v>14</v>
      </c>
      <c r="C1011" t="s">
        <v>10</v>
      </c>
      <c r="D1011" t="s">
        <v>20</v>
      </c>
      <c r="E1011">
        <v>95.9</v>
      </c>
      <c r="F1011">
        <v>9</v>
      </c>
      <c r="G1011">
        <v>863.1</v>
      </c>
      <c r="H1011" t="s">
        <v>12</v>
      </c>
      <c r="I1011" t="str">
        <f t="shared" si="46"/>
        <v>Low Value</v>
      </c>
      <c r="J1011" t="str">
        <f t="shared" si="47"/>
        <v>High Risk</v>
      </c>
      <c r="K1011" s="3" t="str">
        <f t="shared" si="45"/>
        <v>0-1 Year</v>
      </c>
    </row>
    <row r="1012" spans="1:11" x14ac:dyDescent="0.3">
      <c r="A1012" t="s">
        <v>1029</v>
      </c>
      <c r="B1012" t="s">
        <v>9</v>
      </c>
      <c r="C1012" t="s">
        <v>10</v>
      </c>
      <c r="D1012" t="s">
        <v>11</v>
      </c>
      <c r="E1012">
        <v>49.5</v>
      </c>
      <c r="F1012">
        <v>1</v>
      </c>
      <c r="G1012">
        <v>49.5</v>
      </c>
      <c r="H1012" t="s">
        <v>12</v>
      </c>
      <c r="I1012" t="str">
        <f t="shared" si="46"/>
        <v>Low Value</v>
      </c>
      <c r="J1012" t="str">
        <f t="shared" si="47"/>
        <v>High Risk</v>
      </c>
      <c r="K1012" s="3" t="str">
        <f t="shared" si="45"/>
        <v>0-1 Year</v>
      </c>
    </row>
    <row r="1013" spans="1:11" x14ac:dyDescent="0.3">
      <c r="A1013" t="s">
        <v>1030</v>
      </c>
      <c r="B1013" t="s">
        <v>14</v>
      </c>
      <c r="C1013" t="s">
        <v>10</v>
      </c>
      <c r="D1013" t="s">
        <v>11</v>
      </c>
      <c r="E1013">
        <v>57.45</v>
      </c>
      <c r="F1013">
        <v>18</v>
      </c>
      <c r="G1013">
        <v>1034.0999999999999</v>
      </c>
      <c r="H1013" t="s">
        <v>18</v>
      </c>
      <c r="I1013" t="str">
        <f t="shared" si="46"/>
        <v>Low Value</v>
      </c>
      <c r="J1013" t="str">
        <f t="shared" si="47"/>
        <v>Medium Risk</v>
      </c>
      <c r="K1013" s="3" t="str">
        <f t="shared" si="45"/>
        <v>1-2 Years</v>
      </c>
    </row>
    <row r="1014" spans="1:11" x14ac:dyDescent="0.3">
      <c r="A1014" t="s">
        <v>1031</v>
      </c>
      <c r="B1014" t="s">
        <v>14</v>
      </c>
      <c r="C1014" t="s">
        <v>15</v>
      </c>
      <c r="D1014" t="s">
        <v>24</v>
      </c>
      <c r="E1014">
        <v>53.65</v>
      </c>
      <c r="F1014">
        <v>12</v>
      </c>
      <c r="G1014">
        <v>643.79999999999995</v>
      </c>
      <c r="H1014" t="s">
        <v>18</v>
      </c>
      <c r="I1014" t="str">
        <f t="shared" si="46"/>
        <v>Low Value</v>
      </c>
      <c r="J1014" t="str">
        <f t="shared" si="47"/>
        <v>Medium Risk</v>
      </c>
      <c r="K1014" s="3" t="str">
        <f t="shared" si="45"/>
        <v>0-1 Year</v>
      </c>
    </row>
    <row r="1015" spans="1:11" x14ac:dyDescent="0.3">
      <c r="A1015" t="s">
        <v>1032</v>
      </c>
      <c r="B1015" t="s">
        <v>14</v>
      </c>
      <c r="C1015" t="s">
        <v>30</v>
      </c>
      <c r="D1015" t="s">
        <v>16</v>
      </c>
      <c r="E1015">
        <v>80.099999999999994</v>
      </c>
      <c r="F1015">
        <v>71</v>
      </c>
      <c r="G1015">
        <v>5687.0999999999904</v>
      </c>
      <c r="H1015" t="s">
        <v>12</v>
      </c>
      <c r="I1015" t="str">
        <f t="shared" si="46"/>
        <v>High Value</v>
      </c>
      <c r="J1015" t="str">
        <f t="shared" si="47"/>
        <v>Low Risk</v>
      </c>
      <c r="K1015" s="3" t="str">
        <f t="shared" si="45"/>
        <v>4+ Years</v>
      </c>
    </row>
    <row r="1016" spans="1:11" x14ac:dyDescent="0.3">
      <c r="A1016" t="s">
        <v>1033</v>
      </c>
      <c r="B1016" t="s">
        <v>9</v>
      </c>
      <c r="C1016" t="s">
        <v>15</v>
      </c>
      <c r="D1016" t="s">
        <v>20</v>
      </c>
      <c r="E1016">
        <v>24.4</v>
      </c>
      <c r="F1016">
        <v>64</v>
      </c>
      <c r="G1016">
        <v>1561.6</v>
      </c>
      <c r="H1016" t="s">
        <v>12</v>
      </c>
      <c r="I1016" t="str">
        <f t="shared" si="46"/>
        <v>Low Value</v>
      </c>
      <c r="J1016" t="str">
        <f t="shared" si="47"/>
        <v>Low Risk</v>
      </c>
      <c r="K1016" s="3" t="str">
        <f t="shared" si="45"/>
        <v>4+ Years</v>
      </c>
    </row>
    <row r="1017" spans="1:11" x14ac:dyDescent="0.3">
      <c r="A1017" t="s">
        <v>1034</v>
      </c>
      <c r="B1017" t="s">
        <v>14</v>
      </c>
      <c r="C1017" t="s">
        <v>10</v>
      </c>
      <c r="D1017" t="s">
        <v>11</v>
      </c>
      <c r="E1017">
        <v>40.049999999999997</v>
      </c>
      <c r="F1017">
        <v>4</v>
      </c>
      <c r="G1017">
        <v>160.19999999999999</v>
      </c>
      <c r="H1017" t="s">
        <v>12</v>
      </c>
      <c r="I1017" t="str">
        <f t="shared" si="46"/>
        <v>Low Value</v>
      </c>
      <c r="J1017" t="str">
        <f t="shared" si="47"/>
        <v>High Risk</v>
      </c>
      <c r="K1017" s="3" t="str">
        <f t="shared" si="45"/>
        <v>0-1 Year</v>
      </c>
    </row>
    <row r="1018" spans="1:11" x14ac:dyDescent="0.3">
      <c r="A1018" t="s">
        <v>1035</v>
      </c>
      <c r="B1018" t="s">
        <v>9</v>
      </c>
      <c r="C1018" t="s">
        <v>10</v>
      </c>
      <c r="D1018" t="s">
        <v>16</v>
      </c>
      <c r="E1018">
        <v>19.5</v>
      </c>
      <c r="F1018">
        <v>23</v>
      </c>
      <c r="G1018">
        <v>448.5</v>
      </c>
      <c r="H1018" t="s">
        <v>12</v>
      </c>
      <c r="I1018" t="str">
        <f t="shared" si="46"/>
        <v>Low Value</v>
      </c>
      <c r="J1018" t="str">
        <f t="shared" si="47"/>
        <v>Medium Risk</v>
      </c>
      <c r="K1018" s="3" t="str">
        <f t="shared" si="45"/>
        <v>1-2 Years</v>
      </c>
    </row>
    <row r="1019" spans="1:11" x14ac:dyDescent="0.3">
      <c r="A1019" t="s">
        <v>1036</v>
      </c>
      <c r="B1019" t="s">
        <v>9</v>
      </c>
      <c r="C1019" t="s">
        <v>10</v>
      </c>
      <c r="D1019" t="s">
        <v>24</v>
      </c>
      <c r="E1019">
        <v>51.05</v>
      </c>
      <c r="F1019">
        <v>39</v>
      </c>
      <c r="G1019">
        <v>1990.94999999999</v>
      </c>
      <c r="H1019" t="s">
        <v>12</v>
      </c>
      <c r="I1019" t="str">
        <f t="shared" si="46"/>
        <v>Low Value</v>
      </c>
      <c r="J1019" t="str">
        <f t="shared" si="47"/>
        <v>Low Risk</v>
      </c>
      <c r="K1019" s="3" t="str">
        <f t="shared" si="45"/>
        <v>2-4 Years</v>
      </c>
    </row>
    <row r="1020" spans="1:11" x14ac:dyDescent="0.3">
      <c r="A1020" t="s">
        <v>1037</v>
      </c>
      <c r="B1020" t="s">
        <v>14</v>
      </c>
      <c r="C1020" t="s">
        <v>15</v>
      </c>
      <c r="D1020" t="s">
        <v>16</v>
      </c>
      <c r="E1020">
        <v>54.35</v>
      </c>
      <c r="F1020">
        <v>28</v>
      </c>
      <c r="G1020">
        <v>1521.8</v>
      </c>
      <c r="H1020" t="s">
        <v>12</v>
      </c>
      <c r="I1020" t="str">
        <f t="shared" si="46"/>
        <v>Low Value</v>
      </c>
      <c r="J1020" t="str">
        <f t="shared" si="47"/>
        <v>Low Risk</v>
      </c>
      <c r="K1020" s="3" t="str">
        <f t="shared" si="45"/>
        <v>2-4 Years</v>
      </c>
    </row>
    <row r="1021" spans="1:11" x14ac:dyDescent="0.3">
      <c r="A1021" t="s">
        <v>1038</v>
      </c>
      <c r="B1021" t="s">
        <v>9</v>
      </c>
      <c r="C1021" t="s">
        <v>10</v>
      </c>
      <c r="D1021" t="s">
        <v>11</v>
      </c>
      <c r="E1021">
        <v>84.7</v>
      </c>
      <c r="F1021">
        <v>5</v>
      </c>
      <c r="G1021">
        <v>423.5</v>
      </c>
      <c r="H1021" t="s">
        <v>12</v>
      </c>
      <c r="I1021" t="str">
        <f t="shared" si="46"/>
        <v>Low Value</v>
      </c>
      <c r="J1021" t="str">
        <f t="shared" si="47"/>
        <v>High Risk</v>
      </c>
      <c r="K1021" s="3" t="str">
        <f t="shared" si="45"/>
        <v>0-1 Year</v>
      </c>
    </row>
    <row r="1022" spans="1:11" x14ac:dyDescent="0.3">
      <c r="A1022" t="s">
        <v>1039</v>
      </c>
      <c r="B1022" t="s">
        <v>9</v>
      </c>
      <c r="C1022" t="s">
        <v>10</v>
      </c>
      <c r="D1022" t="s">
        <v>11</v>
      </c>
      <c r="E1022">
        <v>86.1</v>
      </c>
      <c r="F1022">
        <v>45</v>
      </c>
      <c r="G1022">
        <v>3874.49999999999</v>
      </c>
      <c r="H1022" t="s">
        <v>12</v>
      </c>
      <c r="I1022" t="str">
        <f t="shared" si="46"/>
        <v>Medium Value</v>
      </c>
      <c r="J1022" t="str">
        <f t="shared" si="47"/>
        <v>Low Risk</v>
      </c>
      <c r="K1022" s="3" t="str">
        <f t="shared" si="45"/>
        <v>2-4 Years</v>
      </c>
    </row>
    <row r="1023" spans="1:11" x14ac:dyDescent="0.3">
      <c r="A1023" t="s">
        <v>1040</v>
      </c>
      <c r="B1023" t="s">
        <v>14</v>
      </c>
      <c r="C1023" t="s">
        <v>10</v>
      </c>
      <c r="D1023" t="s">
        <v>16</v>
      </c>
      <c r="E1023">
        <v>70.349999999999994</v>
      </c>
      <c r="F1023">
        <v>37</v>
      </c>
      <c r="G1023">
        <v>2602.9499999999998</v>
      </c>
      <c r="H1023" t="s">
        <v>12</v>
      </c>
      <c r="I1023" t="str">
        <f t="shared" si="46"/>
        <v>Medium Value</v>
      </c>
      <c r="J1023" t="str">
        <f t="shared" si="47"/>
        <v>Low Risk</v>
      </c>
      <c r="K1023" s="3" t="str">
        <f t="shared" si="45"/>
        <v>2-4 Years</v>
      </c>
    </row>
    <row r="1024" spans="1:11" x14ac:dyDescent="0.3">
      <c r="A1024" t="s">
        <v>1041</v>
      </c>
      <c r="B1024" t="s">
        <v>9</v>
      </c>
      <c r="C1024" t="s">
        <v>30</v>
      </c>
      <c r="D1024" t="s">
        <v>20</v>
      </c>
      <c r="E1024">
        <v>110</v>
      </c>
      <c r="F1024">
        <v>60</v>
      </c>
      <c r="G1024">
        <v>6600</v>
      </c>
      <c r="H1024" t="s">
        <v>12</v>
      </c>
      <c r="I1024" t="str">
        <f t="shared" si="46"/>
        <v>High Value</v>
      </c>
      <c r="J1024" t="str">
        <f t="shared" si="47"/>
        <v>Low Risk</v>
      </c>
      <c r="K1024" s="3" t="str">
        <f t="shared" si="45"/>
        <v>4+ Years</v>
      </c>
    </row>
    <row r="1025" spans="1:11" x14ac:dyDescent="0.3">
      <c r="A1025" t="s">
        <v>1042</v>
      </c>
      <c r="B1025" t="s">
        <v>14</v>
      </c>
      <c r="C1025" t="s">
        <v>10</v>
      </c>
      <c r="D1025" t="s">
        <v>11</v>
      </c>
      <c r="E1025">
        <v>100.6</v>
      </c>
      <c r="F1025">
        <v>8</v>
      </c>
      <c r="G1025">
        <v>804.8</v>
      </c>
      <c r="H1025" t="s">
        <v>18</v>
      </c>
      <c r="I1025" t="str">
        <f t="shared" si="46"/>
        <v>Low Value</v>
      </c>
      <c r="J1025" t="str">
        <f t="shared" si="47"/>
        <v>High Risk</v>
      </c>
      <c r="K1025" s="3" t="str">
        <f t="shared" si="45"/>
        <v>0-1 Year</v>
      </c>
    </row>
    <row r="1026" spans="1:11" x14ac:dyDescent="0.3">
      <c r="A1026" t="s">
        <v>1043</v>
      </c>
      <c r="B1026" t="s">
        <v>9</v>
      </c>
      <c r="C1026" t="s">
        <v>15</v>
      </c>
      <c r="D1026" t="s">
        <v>24</v>
      </c>
      <c r="E1026">
        <v>94.9</v>
      </c>
      <c r="F1026">
        <v>47</v>
      </c>
      <c r="G1026">
        <v>4460.3</v>
      </c>
      <c r="H1026" t="s">
        <v>12</v>
      </c>
      <c r="I1026" t="str">
        <f t="shared" si="46"/>
        <v>Medium Value</v>
      </c>
      <c r="J1026" t="str">
        <f t="shared" si="47"/>
        <v>Low Risk</v>
      </c>
      <c r="K1026" s="3" t="str">
        <f t="shared" si="45"/>
        <v>2-4 Years</v>
      </c>
    </row>
    <row r="1027" spans="1:11" x14ac:dyDescent="0.3">
      <c r="A1027" t="s">
        <v>1044</v>
      </c>
      <c r="B1027" t="s">
        <v>14</v>
      </c>
      <c r="C1027" t="s">
        <v>10</v>
      </c>
      <c r="D1027" t="s">
        <v>11</v>
      </c>
      <c r="E1027">
        <v>83.75</v>
      </c>
      <c r="F1027">
        <v>26</v>
      </c>
      <c r="G1027">
        <v>2177.5</v>
      </c>
      <c r="H1027" t="s">
        <v>18</v>
      </c>
      <c r="I1027" t="str">
        <f t="shared" si="46"/>
        <v>Medium Value</v>
      </c>
      <c r="J1027" t="str">
        <f t="shared" si="47"/>
        <v>Low Risk</v>
      </c>
      <c r="K1027" s="3" t="str">
        <f t="shared" ref="K1027:K1090" si="48">IF(F1027&lt;=12,"0-1 Year",
IF(F1027&lt;=24,"1-2 Years",
IF(F1027&lt;=48,"2-4 Years","4+ Years")))</f>
        <v>2-4 Years</v>
      </c>
    </row>
    <row r="1028" spans="1:11" x14ac:dyDescent="0.3">
      <c r="A1028" t="s">
        <v>1045</v>
      </c>
      <c r="B1028" t="s">
        <v>9</v>
      </c>
      <c r="C1028" t="s">
        <v>10</v>
      </c>
      <c r="D1028" t="s">
        <v>16</v>
      </c>
      <c r="E1028">
        <v>88.3</v>
      </c>
      <c r="F1028">
        <v>3</v>
      </c>
      <c r="G1028">
        <v>264.89999999999998</v>
      </c>
      <c r="H1028" t="s">
        <v>18</v>
      </c>
      <c r="I1028" t="str">
        <f t="shared" ref="I1028:I1091" si="49">IF(G1028&gt;5000,"High Value",
IF(G1028&gt;2000,"Medium Value","Low Value"))</f>
        <v>Low Value</v>
      </c>
      <c r="J1028" t="str">
        <f t="shared" ref="J1028:J1091" si="50">IF(F1028&lt;12,"High Risk",
IF(F1028&lt;24,"Medium Risk","Low Risk"))</f>
        <v>High Risk</v>
      </c>
      <c r="K1028" s="3" t="str">
        <f t="shared" si="48"/>
        <v>0-1 Year</v>
      </c>
    </row>
    <row r="1029" spans="1:11" x14ac:dyDescent="0.3">
      <c r="A1029" t="s">
        <v>1046</v>
      </c>
      <c r="B1029" t="s">
        <v>9</v>
      </c>
      <c r="C1029" t="s">
        <v>10</v>
      </c>
      <c r="D1029" t="s">
        <v>20</v>
      </c>
      <c r="E1029">
        <v>69.75</v>
      </c>
      <c r="F1029">
        <v>50</v>
      </c>
      <c r="G1029">
        <v>3487.5</v>
      </c>
      <c r="H1029" t="s">
        <v>12</v>
      </c>
      <c r="I1029" t="str">
        <f t="shared" si="49"/>
        <v>Medium Value</v>
      </c>
      <c r="J1029" t="str">
        <f t="shared" si="50"/>
        <v>Low Risk</v>
      </c>
      <c r="K1029" s="3" t="str">
        <f t="shared" si="48"/>
        <v>4+ Years</v>
      </c>
    </row>
    <row r="1030" spans="1:11" x14ac:dyDescent="0.3">
      <c r="A1030" t="s">
        <v>1047</v>
      </c>
      <c r="B1030" t="s">
        <v>14</v>
      </c>
      <c r="C1030" t="s">
        <v>10</v>
      </c>
      <c r="D1030" t="s">
        <v>20</v>
      </c>
      <c r="E1030">
        <v>71.599999999999994</v>
      </c>
      <c r="F1030">
        <v>27</v>
      </c>
      <c r="G1030">
        <v>1933.19999999999</v>
      </c>
      <c r="H1030" t="s">
        <v>12</v>
      </c>
      <c r="I1030" t="str">
        <f t="shared" si="49"/>
        <v>Low Value</v>
      </c>
      <c r="J1030" t="str">
        <f t="shared" si="50"/>
        <v>Low Risk</v>
      </c>
      <c r="K1030" s="3" t="str">
        <f t="shared" si="48"/>
        <v>2-4 Years</v>
      </c>
    </row>
    <row r="1031" spans="1:11" x14ac:dyDescent="0.3">
      <c r="A1031" t="s">
        <v>1048</v>
      </c>
      <c r="B1031" t="s">
        <v>9</v>
      </c>
      <c r="C1031" t="s">
        <v>10</v>
      </c>
      <c r="D1031" t="s">
        <v>11</v>
      </c>
      <c r="E1031">
        <v>92.1</v>
      </c>
      <c r="F1031">
        <v>8</v>
      </c>
      <c r="G1031">
        <v>736.8</v>
      </c>
      <c r="H1031" t="s">
        <v>18</v>
      </c>
      <c r="I1031" t="str">
        <f t="shared" si="49"/>
        <v>Low Value</v>
      </c>
      <c r="J1031" t="str">
        <f t="shared" si="50"/>
        <v>High Risk</v>
      </c>
      <c r="K1031" s="3" t="str">
        <f t="shared" si="48"/>
        <v>0-1 Year</v>
      </c>
    </row>
    <row r="1032" spans="1:11" x14ac:dyDescent="0.3">
      <c r="A1032" t="s">
        <v>1049</v>
      </c>
      <c r="B1032" t="s">
        <v>9</v>
      </c>
      <c r="C1032" t="s">
        <v>30</v>
      </c>
      <c r="D1032" t="s">
        <v>20</v>
      </c>
      <c r="E1032">
        <v>23.65</v>
      </c>
      <c r="F1032">
        <v>62</v>
      </c>
      <c r="G1032">
        <v>1466.3</v>
      </c>
      <c r="H1032" t="s">
        <v>12</v>
      </c>
      <c r="I1032" t="str">
        <f t="shared" si="49"/>
        <v>Low Value</v>
      </c>
      <c r="J1032" t="str">
        <f t="shared" si="50"/>
        <v>Low Risk</v>
      </c>
      <c r="K1032" s="3" t="str">
        <f t="shared" si="48"/>
        <v>4+ Years</v>
      </c>
    </row>
    <row r="1033" spans="1:11" x14ac:dyDescent="0.3">
      <c r="A1033" t="s">
        <v>1050</v>
      </c>
      <c r="B1033" t="s">
        <v>9</v>
      </c>
      <c r="C1033" t="s">
        <v>30</v>
      </c>
      <c r="D1033" t="s">
        <v>20</v>
      </c>
      <c r="E1033">
        <v>81.849999999999994</v>
      </c>
      <c r="F1033">
        <v>71</v>
      </c>
      <c r="G1033">
        <v>5811.3499999999904</v>
      </c>
      <c r="H1033" t="s">
        <v>12</v>
      </c>
      <c r="I1033" t="str">
        <f t="shared" si="49"/>
        <v>High Value</v>
      </c>
      <c r="J1033" t="str">
        <f t="shared" si="50"/>
        <v>Low Risk</v>
      </c>
      <c r="K1033" s="3" t="str">
        <f t="shared" si="48"/>
        <v>4+ Years</v>
      </c>
    </row>
    <row r="1034" spans="1:11" x14ac:dyDescent="0.3">
      <c r="A1034" t="s">
        <v>1051</v>
      </c>
      <c r="B1034" t="s">
        <v>14</v>
      </c>
      <c r="C1034" t="s">
        <v>30</v>
      </c>
      <c r="D1034" t="s">
        <v>16</v>
      </c>
      <c r="E1034">
        <v>25.1</v>
      </c>
      <c r="F1034">
        <v>66</v>
      </c>
      <c r="G1034">
        <v>1656.6</v>
      </c>
      <c r="H1034" t="s">
        <v>12</v>
      </c>
      <c r="I1034" t="str">
        <f t="shared" si="49"/>
        <v>Low Value</v>
      </c>
      <c r="J1034" t="str">
        <f t="shared" si="50"/>
        <v>Low Risk</v>
      </c>
      <c r="K1034" s="3" t="str">
        <f t="shared" si="48"/>
        <v>4+ Years</v>
      </c>
    </row>
    <row r="1035" spans="1:11" x14ac:dyDescent="0.3">
      <c r="A1035" t="s">
        <v>1052</v>
      </c>
      <c r="B1035" t="s">
        <v>14</v>
      </c>
      <c r="C1035" t="s">
        <v>30</v>
      </c>
      <c r="D1035" t="s">
        <v>20</v>
      </c>
      <c r="E1035">
        <v>114.7</v>
      </c>
      <c r="F1035">
        <v>68</v>
      </c>
      <c r="G1035">
        <v>7799.6</v>
      </c>
      <c r="H1035" t="s">
        <v>12</v>
      </c>
      <c r="I1035" t="str">
        <f t="shared" si="49"/>
        <v>High Value</v>
      </c>
      <c r="J1035" t="str">
        <f t="shared" si="50"/>
        <v>Low Risk</v>
      </c>
      <c r="K1035" s="3" t="str">
        <f t="shared" si="48"/>
        <v>4+ Years</v>
      </c>
    </row>
    <row r="1036" spans="1:11" x14ac:dyDescent="0.3">
      <c r="A1036" t="s">
        <v>1053</v>
      </c>
      <c r="B1036" t="s">
        <v>9</v>
      </c>
      <c r="C1036" t="s">
        <v>10</v>
      </c>
      <c r="D1036" t="s">
        <v>11</v>
      </c>
      <c r="E1036">
        <v>49.15</v>
      </c>
      <c r="F1036">
        <v>13</v>
      </c>
      <c r="G1036">
        <v>638.94999999999902</v>
      </c>
      <c r="H1036" t="s">
        <v>12</v>
      </c>
      <c r="I1036" t="str">
        <f t="shared" si="49"/>
        <v>Low Value</v>
      </c>
      <c r="J1036" t="str">
        <f t="shared" si="50"/>
        <v>Medium Risk</v>
      </c>
      <c r="K1036" s="3" t="str">
        <f t="shared" si="48"/>
        <v>1-2 Years</v>
      </c>
    </row>
    <row r="1037" spans="1:11" x14ac:dyDescent="0.3">
      <c r="A1037" t="s">
        <v>1054</v>
      </c>
      <c r="B1037" t="s">
        <v>14</v>
      </c>
      <c r="C1037" t="s">
        <v>15</v>
      </c>
      <c r="D1037" t="s">
        <v>11</v>
      </c>
      <c r="E1037">
        <v>80.900000000000006</v>
      </c>
      <c r="F1037">
        <v>56</v>
      </c>
      <c r="G1037">
        <v>4530.3999999999996</v>
      </c>
      <c r="H1037" t="s">
        <v>12</v>
      </c>
      <c r="I1037" t="str">
        <f t="shared" si="49"/>
        <v>Medium Value</v>
      </c>
      <c r="J1037" t="str">
        <f t="shared" si="50"/>
        <v>Low Risk</v>
      </c>
      <c r="K1037" s="3" t="str">
        <f t="shared" si="48"/>
        <v>4+ Years</v>
      </c>
    </row>
    <row r="1038" spans="1:11" x14ac:dyDescent="0.3">
      <c r="A1038" t="s">
        <v>1055</v>
      </c>
      <c r="B1038" t="s">
        <v>14</v>
      </c>
      <c r="C1038" t="s">
        <v>10</v>
      </c>
      <c r="D1038" t="s">
        <v>11</v>
      </c>
      <c r="E1038">
        <v>79.45</v>
      </c>
      <c r="F1038">
        <v>38</v>
      </c>
      <c r="G1038">
        <v>3019.1</v>
      </c>
      <c r="H1038" t="s">
        <v>18</v>
      </c>
      <c r="I1038" t="str">
        <f t="shared" si="49"/>
        <v>Medium Value</v>
      </c>
      <c r="J1038" t="str">
        <f t="shared" si="50"/>
        <v>Low Risk</v>
      </c>
      <c r="K1038" s="3" t="str">
        <f t="shared" si="48"/>
        <v>2-4 Years</v>
      </c>
    </row>
    <row r="1039" spans="1:11" x14ac:dyDescent="0.3">
      <c r="A1039" t="s">
        <v>1056</v>
      </c>
      <c r="B1039" t="s">
        <v>14</v>
      </c>
      <c r="C1039" t="s">
        <v>10</v>
      </c>
      <c r="D1039" t="s">
        <v>24</v>
      </c>
      <c r="E1039">
        <v>90.45</v>
      </c>
      <c r="F1039">
        <v>14</v>
      </c>
      <c r="G1039">
        <v>1266.3</v>
      </c>
      <c r="H1039" t="s">
        <v>18</v>
      </c>
      <c r="I1039" t="str">
        <f t="shared" si="49"/>
        <v>Low Value</v>
      </c>
      <c r="J1039" t="str">
        <f t="shared" si="50"/>
        <v>Medium Risk</v>
      </c>
      <c r="K1039" s="3" t="str">
        <f t="shared" si="48"/>
        <v>1-2 Years</v>
      </c>
    </row>
    <row r="1040" spans="1:11" x14ac:dyDescent="0.3">
      <c r="A1040" t="s">
        <v>1057</v>
      </c>
      <c r="B1040" t="s">
        <v>9</v>
      </c>
      <c r="C1040" t="s">
        <v>15</v>
      </c>
      <c r="D1040" t="s">
        <v>20</v>
      </c>
      <c r="E1040">
        <v>19.3</v>
      </c>
      <c r="F1040">
        <v>16</v>
      </c>
      <c r="G1040">
        <v>308.8</v>
      </c>
      <c r="H1040" t="s">
        <v>12</v>
      </c>
      <c r="I1040" t="str">
        <f t="shared" si="49"/>
        <v>Low Value</v>
      </c>
      <c r="J1040" t="str">
        <f t="shared" si="50"/>
        <v>Medium Risk</v>
      </c>
      <c r="K1040" s="3" t="str">
        <f t="shared" si="48"/>
        <v>1-2 Years</v>
      </c>
    </row>
    <row r="1041" spans="1:11" x14ac:dyDescent="0.3">
      <c r="A1041" t="s">
        <v>1058</v>
      </c>
      <c r="B1041" t="s">
        <v>9</v>
      </c>
      <c r="C1041" t="s">
        <v>10</v>
      </c>
      <c r="D1041" t="s">
        <v>11</v>
      </c>
      <c r="E1041">
        <v>70.2</v>
      </c>
      <c r="F1041">
        <v>14</v>
      </c>
      <c r="G1041">
        <v>982.8</v>
      </c>
      <c r="H1041" t="s">
        <v>12</v>
      </c>
      <c r="I1041" t="str">
        <f t="shared" si="49"/>
        <v>Low Value</v>
      </c>
      <c r="J1041" t="str">
        <f t="shared" si="50"/>
        <v>Medium Risk</v>
      </c>
      <c r="K1041" s="3" t="str">
        <f t="shared" si="48"/>
        <v>1-2 Years</v>
      </c>
    </row>
    <row r="1042" spans="1:11" x14ac:dyDescent="0.3">
      <c r="A1042" t="s">
        <v>1059</v>
      </c>
      <c r="B1042" t="s">
        <v>14</v>
      </c>
      <c r="C1042" t="s">
        <v>10</v>
      </c>
      <c r="D1042" t="s">
        <v>20</v>
      </c>
      <c r="E1042">
        <v>69.75</v>
      </c>
      <c r="F1042">
        <v>32</v>
      </c>
      <c r="G1042">
        <v>2232</v>
      </c>
      <c r="H1042" t="s">
        <v>18</v>
      </c>
      <c r="I1042" t="str">
        <f t="shared" si="49"/>
        <v>Medium Value</v>
      </c>
      <c r="J1042" t="str">
        <f t="shared" si="50"/>
        <v>Low Risk</v>
      </c>
      <c r="K1042" s="3" t="str">
        <f t="shared" si="48"/>
        <v>2-4 Years</v>
      </c>
    </row>
    <row r="1043" spans="1:11" x14ac:dyDescent="0.3">
      <c r="A1043" t="s">
        <v>1060</v>
      </c>
      <c r="B1043" t="s">
        <v>9</v>
      </c>
      <c r="C1043" t="s">
        <v>15</v>
      </c>
      <c r="D1043" t="s">
        <v>20</v>
      </c>
      <c r="E1043">
        <v>54.25</v>
      </c>
      <c r="F1043">
        <v>8</v>
      </c>
      <c r="G1043">
        <v>434</v>
      </c>
      <c r="H1043" t="s">
        <v>12</v>
      </c>
      <c r="I1043" t="str">
        <f t="shared" si="49"/>
        <v>Low Value</v>
      </c>
      <c r="J1043" t="str">
        <f t="shared" si="50"/>
        <v>High Risk</v>
      </c>
      <c r="K1043" s="3" t="str">
        <f t="shared" si="48"/>
        <v>0-1 Year</v>
      </c>
    </row>
    <row r="1044" spans="1:11" x14ac:dyDescent="0.3">
      <c r="A1044" t="s">
        <v>1061</v>
      </c>
      <c r="B1044" t="s">
        <v>9</v>
      </c>
      <c r="C1044" t="s">
        <v>10</v>
      </c>
      <c r="D1044" t="s">
        <v>20</v>
      </c>
      <c r="E1044">
        <v>99.3</v>
      </c>
      <c r="F1044">
        <v>43</v>
      </c>
      <c r="G1044">
        <v>4269.8999999999996</v>
      </c>
      <c r="H1044" t="s">
        <v>12</v>
      </c>
      <c r="I1044" t="str">
        <f t="shared" si="49"/>
        <v>Medium Value</v>
      </c>
      <c r="J1044" t="str">
        <f t="shared" si="50"/>
        <v>Low Risk</v>
      </c>
      <c r="K1044" s="3" t="str">
        <f t="shared" si="48"/>
        <v>2-4 Years</v>
      </c>
    </row>
    <row r="1045" spans="1:11" x14ac:dyDescent="0.3">
      <c r="A1045" t="s">
        <v>1062</v>
      </c>
      <c r="B1045" t="s">
        <v>9</v>
      </c>
      <c r="C1045" t="s">
        <v>15</v>
      </c>
      <c r="D1045" t="s">
        <v>24</v>
      </c>
      <c r="E1045">
        <v>74</v>
      </c>
      <c r="F1045">
        <v>52</v>
      </c>
      <c r="G1045">
        <v>3848</v>
      </c>
      <c r="H1045" t="s">
        <v>12</v>
      </c>
      <c r="I1045" t="str">
        <f t="shared" si="49"/>
        <v>Medium Value</v>
      </c>
      <c r="J1045" t="str">
        <f t="shared" si="50"/>
        <v>Low Risk</v>
      </c>
      <c r="K1045" s="3" t="str">
        <f t="shared" si="48"/>
        <v>4+ Years</v>
      </c>
    </row>
    <row r="1046" spans="1:11" x14ac:dyDescent="0.3">
      <c r="A1046" t="s">
        <v>1063</v>
      </c>
      <c r="B1046" t="s">
        <v>14</v>
      </c>
      <c r="C1046" t="s">
        <v>10</v>
      </c>
      <c r="D1046" t="s">
        <v>16</v>
      </c>
      <c r="E1046">
        <v>50.25</v>
      </c>
      <c r="F1046">
        <v>3</v>
      </c>
      <c r="G1046">
        <v>150.75</v>
      </c>
      <c r="H1046" t="s">
        <v>12</v>
      </c>
      <c r="I1046" t="str">
        <f t="shared" si="49"/>
        <v>Low Value</v>
      </c>
      <c r="J1046" t="str">
        <f t="shared" si="50"/>
        <v>High Risk</v>
      </c>
      <c r="K1046" s="3" t="str">
        <f t="shared" si="48"/>
        <v>0-1 Year</v>
      </c>
    </row>
    <row r="1047" spans="1:11" x14ac:dyDescent="0.3">
      <c r="A1047" t="s">
        <v>1064</v>
      </c>
      <c r="B1047" t="s">
        <v>14</v>
      </c>
      <c r="C1047" t="s">
        <v>15</v>
      </c>
      <c r="D1047" t="s">
        <v>16</v>
      </c>
      <c r="E1047">
        <v>19.8</v>
      </c>
      <c r="F1047">
        <v>29</v>
      </c>
      <c r="G1047">
        <v>574.20000000000005</v>
      </c>
      <c r="H1047" t="s">
        <v>12</v>
      </c>
      <c r="I1047" t="str">
        <f t="shared" si="49"/>
        <v>Low Value</v>
      </c>
      <c r="J1047" t="str">
        <f t="shared" si="50"/>
        <v>Low Risk</v>
      </c>
      <c r="K1047" s="3" t="str">
        <f t="shared" si="48"/>
        <v>2-4 Years</v>
      </c>
    </row>
    <row r="1048" spans="1:11" x14ac:dyDescent="0.3">
      <c r="A1048" t="s">
        <v>1065</v>
      </c>
      <c r="B1048" t="s">
        <v>9</v>
      </c>
      <c r="C1048" t="s">
        <v>10</v>
      </c>
      <c r="D1048" t="s">
        <v>16</v>
      </c>
      <c r="E1048">
        <v>19.649999999999999</v>
      </c>
      <c r="F1048">
        <v>1</v>
      </c>
      <c r="G1048">
        <v>19.649999999999999</v>
      </c>
      <c r="H1048" t="s">
        <v>18</v>
      </c>
      <c r="I1048" t="str">
        <f t="shared" si="49"/>
        <v>Low Value</v>
      </c>
      <c r="J1048" t="str">
        <f t="shared" si="50"/>
        <v>High Risk</v>
      </c>
      <c r="K1048" s="3" t="str">
        <f t="shared" si="48"/>
        <v>0-1 Year</v>
      </c>
    </row>
    <row r="1049" spans="1:11" x14ac:dyDescent="0.3">
      <c r="A1049" t="s">
        <v>1066</v>
      </c>
      <c r="B1049" t="s">
        <v>14</v>
      </c>
      <c r="C1049" t="s">
        <v>10</v>
      </c>
      <c r="D1049" t="s">
        <v>11</v>
      </c>
      <c r="E1049">
        <v>43.65</v>
      </c>
      <c r="F1049">
        <v>12</v>
      </c>
      <c r="G1049">
        <v>523.79999999999995</v>
      </c>
      <c r="H1049" t="s">
        <v>18</v>
      </c>
      <c r="I1049" t="str">
        <f t="shared" si="49"/>
        <v>Low Value</v>
      </c>
      <c r="J1049" t="str">
        <f t="shared" si="50"/>
        <v>Medium Risk</v>
      </c>
      <c r="K1049" s="3" t="str">
        <f t="shared" si="48"/>
        <v>0-1 Year</v>
      </c>
    </row>
    <row r="1050" spans="1:11" x14ac:dyDescent="0.3">
      <c r="A1050" t="s">
        <v>1067</v>
      </c>
      <c r="B1050" t="s">
        <v>9</v>
      </c>
      <c r="C1050" t="s">
        <v>10</v>
      </c>
      <c r="D1050" t="s">
        <v>24</v>
      </c>
      <c r="E1050">
        <v>35.5</v>
      </c>
      <c r="F1050">
        <v>16</v>
      </c>
      <c r="G1050">
        <v>568</v>
      </c>
      <c r="H1050" t="s">
        <v>12</v>
      </c>
      <c r="I1050" t="str">
        <f t="shared" si="49"/>
        <v>Low Value</v>
      </c>
      <c r="J1050" t="str">
        <f t="shared" si="50"/>
        <v>Medium Risk</v>
      </c>
      <c r="K1050" s="3" t="str">
        <f t="shared" si="48"/>
        <v>1-2 Years</v>
      </c>
    </row>
    <row r="1051" spans="1:11" x14ac:dyDescent="0.3">
      <c r="A1051" t="s">
        <v>1068</v>
      </c>
      <c r="B1051" t="s">
        <v>9</v>
      </c>
      <c r="C1051" t="s">
        <v>15</v>
      </c>
      <c r="D1051" t="s">
        <v>16</v>
      </c>
      <c r="E1051">
        <v>80.75</v>
      </c>
      <c r="F1051">
        <v>40</v>
      </c>
      <c r="G1051">
        <v>3230</v>
      </c>
      <c r="H1051" t="s">
        <v>12</v>
      </c>
      <c r="I1051" t="str">
        <f t="shared" si="49"/>
        <v>Medium Value</v>
      </c>
      <c r="J1051" t="str">
        <f t="shared" si="50"/>
        <v>Low Risk</v>
      </c>
      <c r="K1051" s="3" t="str">
        <f t="shared" si="48"/>
        <v>2-4 Years</v>
      </c>
    </row>
    <row r="1052" spans="1:11" x14ac:dyDescent="0.3">
      <c r="A1052" t="s">
        <v>1069</v>
      </c>
      <c r="B1052" t="s">
        <v>9</v>
      </c>
      <c r="C1052" t="s">
        <v>10</v>
      </c>
      <c r="D1052" t="s">
        <v>11</v>
      </c>
      <c r="E1052">
        <v>39.5</v>
      </c>
      <c r="F1052">
        <v>5</v>
      </c>
      <c r="G1052">
        <v>197.5</v>
      </c>
      <c r="H1052" t="s">
        <v>18</v>
      </c>
      <c r="I1052" t="str">
        <f t="shared" si="49"/>
        <v>Low Value</v>
      </c>
      <c r="J1052" t="str">
        <f t="shared" si="50"/>
        <v>High Risk</v>
      </c>
      <c r="K1052" s="3" t="str">
        <f t="shared" si="48"/>
        <v>0-1 Year</v>
      </c>
    </row>
    <row r="1053" spans="1:11" x14ac:dyDescent="0.3">
      <c r="A1053" t="s">
        <v>1070</v>
      </c>
      <c r="B1053" t="s">
        <v>14</v>
      </c>
      <c r="C1053" t="s">
        <v>10</v>
      </c>
      <c r="D1053" t="s">
        <v>20</v>
      </c>
      <c r="E1053">
        <v>97.1</v>
      </c>
      <c r="F1053">
        <v>40</v>
      </c>
      <c r="G1053">
        <v>3884</v>
      </c>
      <c r="H1053" t="s">
        <v>18</v>
      </c>
      <c r="I1053" t="str">
        <f t="shared" si="49"/>
        <v>Medium Value</v>
      </c>
      <c r="J1053" t="str">
        <f t="shared" si="50"/>
        <v>Low Risk</v>
      </c>
      <c r="K1053" s="3" t="str">
        <f t="shared" si="48"/>
        <v>2-4 Years</v>
      </c>
    </row>
    <row r="1054" spans="1:11" x14ac:dyDescent="0.3">
      <c r="A1054" t="s">
        <v>1071</v>
      </c>
      <c r="B1054" t="s">
        <v>9</v>
      </c>
      <c r="C1054" t="s">
        <v>15</v>
      </c>
      <c r="D1054" t="s">
        <v>16</v>
      </c>
      <c r="E1054">
        <v>19.55</v>
      </c>
      <c r="F1054">
        <v>36</v>
      </c>
      <c r="G1054">
        <v>703.8</v>
      </c>
      <c r="H1054" t="s">
        <v>12</v>
      </c>
      <c r="I1054" t="str">
        <f t="shared" si="49"/>
        <v>Low Value</v>
      </c>
      <c r="J1054" t="str">
        <f t="shared" si="50"/>
        <v>Low Risk</v>
      </c>
      <c r="K1054" s="3" t="str">
        <f t="shared" si="48"/>
        <v>2-4 Years</v>
      </c>
    </row>
    <row r="1055" spans="1:11" x14ac:dyDescent="0.3">
      <c r="A1055" t="s">
        <v>1072</v>
      </c>
      <c r="B1055" t="s">
        <v>9</v>
      </c>
      <c r="C1055" t="s">
        <v>10</v>
      </c>
      <c r="D1055" t="s">
        <v>11</v>
      </c>
      <c r="E1055">
        <v>80</v>
      </c>
      <c r="F1055">
        <v>5</v>
      </c>
      <c r="G1055">
        <v>400</v>
      </c>
      <c r="H1055" t="s">
        <v>18</v>
      </c>
      <c r="I1055" t="str">
        <f t="shared" si="49"/>
        <v>Low Value</v>
      </c>
      <c r="J1055" t="str">
        <f t="shared" si="50"/>
        <v>High Risk</v>
      </c>
      <c r="K1055" s="3" t="str">
        <f t="shared" si="48"/>
        <v>0-1 Year</v>
      </c>
    </row>
    <row r="1056" spans="1:11" x14ac:dyDescent="0.3">
      <c r="A1056" t="s">
        <v>1073</v>
      </c>
      <c r="B1056" t="s">
        <v>9</v>
      </c>
      <c r="C1056" t="s">
        <v>10</v>
      </c>
      <c r="D1056" t="s">
        <v>16</v>
      </c>
      <c r="E1056">
        <v>84.7</v>
      </c>
      <c r="F1056">
        <v>10</v>
      </c>
      <c r="G1056">
        <v>847</v>
      </c>
      <c r="H1056" t="s">
        <v>18</v>
      </c>
      <c r="I1056" t="str">
        <f t="shared" si="49"/>
        <v>Low Value</v>
      </c>
      <c r="J1056" t="str">
        <f t="shared" si="50"/>
        <v>High Risk</v>
      </c>
      <c r="K1056" s="3" t="str">
        <f t="shared" si="48"/>
        <v>0-1 Year</v>
      </c>
    </row>
    <row r="1057" spans="1:11" x14ac:dyDescent="0.3">
      <c r="A1057" t="s">
        <v>1074</v>
      </c>
      <c r="B1057" t="s">
        <v>14</v>
      </c>
      <c r="C1057" t="s">
        <v>10</v>
      </c>
      <c r="D1057" t="s">
        <v>20</v>
      </c>
      <c r="E1057">
        <v>89.55</v>
      </c>
      <c r="F1057">
        <v>2</v>
      </c>
      <c r="G1057">
        <v>179.1</v>
      </c>
      <c r="H1057" t="s">
        <v>18</v>
      </c>
      <c r="I1057" t="str">
        <f t="shared" si="49"/>
        <v>Low Value</v>
      </c>
      <c r="J1057" t="str">
        <f t="shared" si="50"/>
        <v>High Risk</v>
      </c>
      <c r="K1057" s="3" t="str">
        <f t="shared" si="48"/>
        <v>0-1 Year</v>
      </c>
    </row>
    <row r="1058" spans="1:11" x14ac:dyDescent="0.3">
      <c r="A1058" t="s">
        <v>1075</v>
      </c>
      <c r="B1058" t="s">
        <v>14</v>
      </c>
      <c r="C1058" t="s">
        <v>10</v>
      </c>
      <c r="D1058" t="s">
        <v>11</v>
      </c>
      <c r="E1058">
        <v>90.6</v>
      </c>
      <c r="F1058">
        <v>23</v>
      </c>
      <c r="G1058">
        <v>2083.7999999999902</v>
      </c>
      <c r="H1058" t="s">
        <v>18</v>
      </c>
      <c r="I1058" t="str">
        <f t="shared" si="49"/>
        <v>Medium Value</v>
      </c>
      <c r="J1058" t="str">
        <f t="shared" si="50"/>
        <v>Medium Risk</v>
      </c>
      <c r="K1058" s="3" t="str">
        <f t="shared" si="48"/>
        <v>1-2 Years</v>
      </c>
    </row>
    <row r="1059" spans="1:11" x14ac:dyDescent="0.3">
      <c r="A1059" t="s">
        <v>1076</v>
      </c>
      <c r="B1059" t="s">
        <v>14</v>
      </c>
      <c r="C1059" t="s">
        <v>15</v>
      </c>
      <c r="D1059" t="s">
        <v>20</v>
      </c>
      <c r="E1059">
        <v>20.05</v>
      </c>
      <c r="F1059">
        <v>26</v>
      </c>
      <c r="G1059">
        <v>521.29999999999995</v>
      </c>
      <c r="H1059" t="s">
        <v>12</v>
      </c>
      <c r="I1059" t="str">
        <f t="shared" si="49"/>
        <v>Low Value</v>
      </c>
      <c r="J1059" t="str">
        <f t="shared" si="50"/>
        <v>Low Risk</v>
      </c>
      <c r="K1059" s="3" t="str">
        <f t="shared" si="48"/>
        <v>2-4 Years</v>
      </c>
    </row>
    <row r="1060" spans="1:11" x14ac:dyDescent="0.3">
      <c r="A1060" t="s">
        <v>1077</v>
      </c>
      <c r="B1060" t="s">
        <v>9</v>
      </c>
      <c r="C1060" t="s">
        <v>30</v>
      </c>
      <c r="D1060" t="s">
        <v>11</v>
      </c>
      <c r="E1060">
        <v>112.4</v>
      </c>
      <c r="F1060">
        <v>72</v>
      </c>
      <c r="G1060">
        <v>8092.8</v>
      </c>
      <c r="H1060" t="s">
        <v>12</v>
      </c>
      <c r="I1060" t="str">
        <f t="shared" si="49"/>
        <v>High Value</v>
      </c>
      <c r="J1060" t="str">
        <f t="shared" si="50"/>
        <v>Low Risk</v>
      </c>
      <c r="K1060" s="3" t="str">
        <f t="shared" si="48"/>
        <v>4+ Years</v>
      </c>
    </row>
    <row r="1061" spans="1:11" x14ac:dyDescent="0.3">
      <c r="A1061" t="s">
        <v>1078</v>
      </c>
      <c r="B1061" t="s">
        <v>9</v>
      </c>
      <c r="C1061" t="s">
        <v>10</v>
      </c>
      <c r="D1061" t="s">
        <v>20</v>
      </c>
      <c r="E1061">
        <v>50.2</v>
      </c>
      <c r="F1061">
        <v>34</v>
      </c>
      <c r="G1061">
        <v>1706.8</v>
      </c>
      <c r="H1061" t="s">
        <v>12</v>
      </c>
      <c r="I1061" t="str">
        <f t="shared" si="49"/>
        <v>Low Value</v>
      </c>
      <c r="J1061" t="str">
        <f t="shared" si="50"/>
        <v>Low Risk</v>
      </c>
      <c r="K1061" s="3" t="str">
        <f t="shared" si="48"/>
        <v>2-4 Years</v>
      </c>
    </row>
    <row r="1062" spans="1:11" x14ac:dyDescent="0.3">
      <c r="A1062" t="s">
        <v>1079</v>
      </c>
      <c r="B1062" t="s">
        <v>14</v>
      </c>
      <c r="C1062" t="s">
        <v>10</v>
      </c>
      <c r="D1062" t="s">
        <v>20</v>
      </c>
      <c r="E1062">
        <v>62.25</v>
      </c>
      <c r="F1062">
        <v>10</v>
      </c>
      <c r="G1062">
        <v>622.5</v>
      </c>
      <c r="H1062" t="s">
        <v>12</v>
      </c>
      <c r="I1062" t="str">
        <f t="shared" si="49"/>
        <v>Low Value</v>
      </c>
      <c r="J1062" t="str">
        <f t="shared" si="50"/>
        <v>High Risk</v>
      </c>
      <c r="K1062" s="3" t="str">
        <f t="shared" si="48"/>
        <v>0-1 Year</v>
      </c>
    </row>
    <row r="1063" spans="1:11" x14ac:dyDescent="0.3">
      <c r="A1063" t="s">
        <v>1080</v>
      </c>
      <c r="B1063" t="s">
        <v>9</v>
      </c>
      <c r="C1063" t="s">
        <v>15</v>
      </c>
      <c r="D1063" t="s">
        <v>16</v>
      </c>
      <c r="E1063">
        <v>55.7</v>
      </c>
      <c r="F1063">
        <v>14</v>
      </c>
      <c r="G1063">
        <v>779.8</v>
      </c>
      <c r="H1063" t="s">
        <v>12</v>
      </c>
      <c r="I1063" t="str">
        <f t="shared" si="49"/>
        <v>Low Value</v>
      </c>
      <c r="J1063" t="str">
        <f t="shared" si="50"/>
        <v>Medium Risk</v>
      </c>
      <c r="K1063" s="3" t="str">
        <f t="shared" si="48"/>
        <v>1-2 Years</v>
      </c>
    </row>
    <row r="1064" spans="1:11" x14ac:dyDescent="0.3">
      <c r="A1064" t="s">
        <v>1081</v>
      </c>
      <c r="B1064" t="s">
        <v>9</v>
      </c>
      <c r="C1064" t="s">
        <v>10</v>
      </c>
      <c r="D1064" t="s">
        <v>20</v>
      </c>
      <c r="E1064">
        <v>90.05</v>
      </c>
      <c r="F1064">
        <v>23</v>
      </c>
      <c r="G1064">
        <v>2071.15</v>
      </c>
      <c r="H1064" t="s">
        <v>18</v>
      </c>
      <c r="I1064" t="str">
        <f t="shared" si="49"/>
        <v>Medium Value</v>
      </c>
      <c r="J1064" t="str">
        <f t="shared" si="50"/>
        <v>Medium Risk</v>
      </c>
      <c r="K1064" s="3" t="str">
        <f t="shared" si="48"/>
        <v>1-2 Years</v>
      </c>
    </row>
    <row r="1065" spans="1:11" x14ac:dyDescent="0.3">
      <c r="A1065" t="s">
        <v>1082</v>
      </c>
      <c r="B1065" t="s">
        <v>14</v>
      </c>
      <c r="C1065" t="s">
        <v>30</v>
      </c>
      <c r="D1065" t="s">
        <v>16</v>
      </c>
      <c r="E1065">
        <v>19.649999999999999</v>
      </c>
      <c r="F1065">
        <v>47</v>
      </c>
      <c r="G1065">
        <v>923.55</v>
      </c>
      <c r="H1065" t="s">
        <v>12</v>
      </c>
      <c r="I1065" t="str">
        <f t="shared" si="49"/>
        <v>Low Value</v>
      </c>
      <c r="J1065" t="str">
        <f t="shared" si="50"/>
        <v>Low Risk</v>
      </c>
      <c r="K1065" s="3" t="str">
        <f t="shared" si="48"/>
        <v>2-4 Years</v>
      </c>
    </row>
    <row r="1066" spans="1:11" x14ac:dyDescent="0.3">
      <c r="A1066" t="s">
        <v>1083</v>
      </c>
      <c r="B1066" t="s">
        <v>14</v>
      </c>
      <c r="C1066" t="s">
        <v>10</v>
      </c>
      <c r="D1066" t="s">
        <v>11</v>
      </c>
      <c r="E1066">
        <v>89.25</v>
      </c>
      <c r="F1066">
        <v>24</v>
      </c>
      <c r="G1066">
        <v>2142</v>
      </c>
      <c r="H1066" t="s">
        <v>12</v>
      </c>
      <c r="I1066" t="str">
        <f t="shared" si="49"/>
        <v>Medium Value</v>
      </c>
      <c r="J1066" t="str">
        <f t="shared" si="50"/>
        <v>Low Risk</v>
      </c>
      <c r="K1066" s="3" t="str">
        <f t="shared" si="48"/>
        <v>1-2 Years</v>
      </c>
    </row>
    <row r="1067" spans="1:11" x14ac:dyDescent="0.3">
      <c r="A1067" t="s">
        <v>1084</v>
      </c>
      <c r="B1067" t="s">
        <v>14</v>
      </c>
      <c r="C1067" t="s">
        <v>10</v>
      </c>
      <c r="D1067" t="s">
        <v>20</v>
      </c>
      <c r="E1067">
        <v>99.05</v>
      </c>
      <c r="F1067">
        <v>49</v>
      </c>
      <c r="G1067">
        <v>4853.45</v>
      </c>
      <c r="H1067" t="s">
        <v>18</v>
      </c>
      <c r="I1067" t="str">
        <f t="shared" si="49"/>
        <v>Medium Value</v>
      </c>
      <c r="J1067" t="str">
        <f t="shared" si="50"/>
        <v>Low Risk</v>
      </c>
      <c r="K1067" s="3" t="str">
        <f t="shared" si="48"/>
        <v>4+ Years</v>
      </c>
    </row>
    <row r="1068" spans="1:11" x14ac:dyDescent="0.3">
      <c r="A1068" t="s">
        <v>1085</v>
      </c>
      <c r="B1068" t="s">
        <v>14</v>
      </c>
      <c r="C1068" t="s">
        <v>15</v>
      </c>
      <c r="D1068" t="s">
        <v>16</v>
      </c>
      <c r="E1068">
        <v>54</v>
      </c>
      <c r="F1068">
        <v>20</v>
      </c>
      <c r="G1068">
        <v>1080</v>
      </c>
      <c r="H1068" t="s">
        <v>12</v>
      </c>
      <c r="I1068" t="str">
        <f t="shared" si="49"/>
        <v>Low Value</v>
      </c>
      <c r="J1068" t="str">
        <f t="shared" si="50"/>
        <v>Medium Risk</v>
      </c>
      <c r="K1068" s="3" t="str">
        <f t="shared" si="48"/>
        <v>1-2 Years</v>
      </c>
    </row>
    <row r="1069" spans="1:11" x14ac:dyDescent="0.3">
      <c r="A1069" t="s">
        <v>1086</v>
      </c>
      <c r="B1069" t="s">
        <v>9</v>
      </c>
      <c r="C1069" t="s">
        <v>10</v>
      </c>
      <c r="D1069" t="s">
        <v>20</v>
      </c>
      <c r="E1069">
        <v>69.75</v>
      </c>
      <c r="F1069">
        <v>2</v>
      </c>
      <c r="G1069">
        <v>139.5</v>
      </c>
      <c r="H1069" t="s">
        <v>18</v>
      </c>
      <c r="I1069" t="str">
        <f t="shared" si="49"/>
        <v>Low Value</v>
      </c>
      <c r="J1069" t="str">
        <f t="shared" si="50"/>
        <v>High Risk</v>
      </c>
      <c r="K1069" s="3" t="str">
        <f t="shared" si="48"/>
        <v>0-1 Year</v>
      </c>
    </row>
    <row r="1070" spans="1:11" x14ac:dyDescent="0.3">
      <c r="A1070" t="s">
        <v>1087</v>
      </c>
      <c r="B1070" t="s">
        <v>9</v>
      </c>
      <c r="C1070" t="s">
        <v>10</v>
      </c>
      <c r="D1070" t="s">
        <v>24</v>
      </c>
      <c r="E1070">
        <v>49.05</v>
      </c>
      <c r="F1070">
        <v>2</v>
      </c>
      <c r="G1070">
        <v>98.1</v>
      </c>
      <c r="H1070" t="s">
        <v>18</v>
      </c>
      <c r="I1070" t="str">
        <f t="shared" si="49"/>
        <v>Low Value</v>
      </c>
      <c r="J1070" t="str">
        <f t="shared" si="50"/>
        <v>High Risk</v>
      </c>
      <c r="K1070" s="3" t="str">
        <f t="shared" si="48"/>
        <v>0-1 Year</v>
      </c>
    </row>
    <row r="1071" spans="1:11" x14ac:dyDescent="0.3">
      <c r="A1071" t="s">
        <v>1088</v>
      </c>
      <c r="B1071" t="s">
        <v>14</v>
      </c>
      <c r="C1071" t="s">
        <v>30</v>
      </c>
      <c r="D1071" t="s">
        <v>20</v>
      </c>
      <c r="E1071">
        <v>56.75</v>
      </c>
      <c r="F1071">
        <v>22</v>
      </c>
      <c r="G1071">
        <v>1248.5</v>
      </c>
      <c r="H1071" t="s">
        <v>12</v>
      </c>
      <c r="I1071" t="str">
        <f t="shared" si="49"/>
        <v>Low Value</v>
      </c>
      <c r="J1071" t="str">
        <f t="shared" si="50"/>
        <v>Medium Risk</v>
      </c>
      <c r="K1071" s="3" t="str">
        <f t="shared" si="48"/>
        <v>1-2 Years</v>
      </c>
    </row>
    <row r="1072" spans="1:11" x14ac:dyDescent="0.3">
      <c r="A1072" t="s">
        <v>1089</v>
      </c>
      <c r="B1072" t="s">
        <v>14</v>
      </c>
      <c r="C1072" t="s">
        <v>10</v>
      </c>
      <c r="D1072" t="s">
        <v>20</v>
      </c>
      <c r="E1072">
        <v>98.05</v>
      </c>
      <c r="F1072">
        <v>7</v>
      </c>
      <c r="G1072">
        <v>686.35</v>
      </c>
      <c r="H1072" t="s">
        <v>18</v>
      </c>
      <c r="I1072" t="str">
        <f t="shared" si="49"/>
        <v>Low Value</v>
      </c>
      <c r="J1072" t="str">
        <f t="shared" si="50"/>
        <v>High Risk</v>
      </c>
      <c r="K1072" s="3" t="str">
        <f t="shared" si="48"/>
        <v>0-1 Year</v>
      </c>
    </row>
    <row r="1073" spans="1:11" x14ac:dyDescent="0.3">
      <c r="A1073" t="s">
        <v>1090</v>
      </c>
      <c r="B1073" t="s">
        <v>14</v>
      </c>
      <c r="C1073" t="s">
        <v>10</v>
      </c>
      <c r="D1073" t="s">
        <v>16</v>
      </c>
      <c r="E1073">
        <v>21.1</v>
      </c>
      <c r="F1073">
        <v>1</v>
      </c>
      <c r="G1073">
        <v>21.1</v>
      </c>
      <c r="H1073" t="s">
        <v>12</v>
      </c>
      <c r="I1073" t="str">
        <f t="shared" si="49"/>
        <v>Low Value</v>
      </c>
      <c r="J1073" t="str">
        <f t="shared" si="50"/>
        <v>High Risk</v>
      </c>
      <c r="K1073" s="3" t="str">
        <f t="shared" si="48"/>
        <v>0-1 Year</v>
      </c>
    </row>
    <row r="1074" spans="1:11" x14ac:dyDescent="0.3">
      <c r="A1074" t="s">
        <v>1091</v>
      </c>
      <c r="B1074" t="s">
        <v>9</v>
      </c>
      <c r="C1074" t="s">
        <v>10</v>
      </c>
      <c r="D1074" t="s">
        <v>20</v>
      </c>
      <c r="E1074">
        <v>96.65</v>
      </c>
      <c r="F1074">
        <v>59</v>
      </c>
      <c r="G1074">
        <v>5702.35</v>
      </c>
      <c r="H1074" t="s">
        <v>12</v>
      </c>
      <c r="I1074" t="str">
        <f t="shared" si="49"/>
        <v>High Value</v>
      </c>
      <c r="J1074" t="str">
        <f t="shared" si="50"/>
        <v>Low Risk</v>
      </c>
      <c r="K1074" s="3" t="str">
        <f t="shared" si="48"/>
        <v>4+ Years</v>
      </c>
    </row>
    <row r="1075" spans="1:11" x14ac:dyDescent="0.3">
      <c r="A1075" t="s">
        <v>1092</v>
      </c>
      <c r="B1075" t="s">
        <v>9</v>
      </c>
      <c r="C1075" t="s">
        <v>15</v>
      </c>
      <c r="D1075" t="s">
        <v>24</v>
      </c>
      <c r="E1075">
        <v>24.5</v>
      </c>
      <c r="F1075">
        <v>58</v>
      </c>
      <c r="G1075">
        <v>1421</v>
      </c>
      <c r="H1075" t="s">
        <v>12</v>
      </c>
      <c r="I1075" t="str">
        <f t="shared" si="49"/>
        <v>Low Value</v>
      </c>
      <c r="J1075" t="str">
        <f t="shared" si="50"/>
        <v>Low Risk</v>
      </c>
      <c r="K1075" s="3" t="str">
        <f t="shared" si="48"/>
        <v>4+ Years</v>
      </c>
    </row>
    <row r="1076" spans="1:11" x14ac:dyDescent="0.3">
      <c r="A1076" t="s">
        <v>1093</v>
      </c>
      <c r="B1076" t="s">
        <v>9</v>
      </c>
      <c r="C1076" t="s">
        <v>10</v>
      </c>
      <c r="D1076" t="s">
        <v>20</v>
      </c>
      <c r="E1076">
        <v>114.5</v>
      </c>
      <c r="F1076">
        <v>41</v>
      </c>
      <c r="G1076">
        <v>4694.5</v>
      </c>
      <c r="H1076" t="s">
        <v>18</v>
      </c>
      <c r="I1076" t="str">
        <f t="shared" si="49"/>
        <v>Medium Value</v>
      </c>
      <c r="J1076" t="str">
        <f t="shared" si="50"/>
        <v>Low Risk</v>
      </c>
      <c r="K1076" s="3" t="str">
        <f t="shared" si="48"/>
        <v>2-4 Years</v>
      </c>
    </row>
    <row r="1077" spans="1:11" x14ac:dyDescent="0.3">
      <c r="A1077" t="s">
        <v>1094</v>
      </c>
      <c r="B1077" t="s">
        <v>9</v>
      </c>
      <c r="C1077" t="s">
        <v>30</v>
      </c>
      <c r="D1077" t="s">
        <v>24</v>
      </c>
      <c r="E1077">
        <v>79.2</v>
      </c>
      <c r="F1077">
        <v>59</v>
      </c>
      <c r="G1077">
        <v>4672.8</v>
      </c>
      <c r="H1077" t="s">
        <v>12</v>
      </c>
      <c r="I1077" t="str">
        <f t="shared" si="49"/>
        <v>Medium Value</v>
      </c>
      <c r="J1077" t="str">
        <f t="shared" si="50"/>
        <v>Low Risk</v>
      </c>
      <c r="K1077" s="3" t="str">
        <f t="shared" si="48"/>
        <v>4+ Years</v>
      </c>
    </row>
    <row r="1078" spans="1:11" x14ac:dyDescent="0.3">
      <c r="A1078" t="s">
        <v>1095</v>
      </c>
      <c r="B1078" t="s">
        <v>9</v>
      </c>
      <c r="C1078" t="s">
        <v>10</v>
      </c>
      <c r="D1078" t="s">
        <v>11</v>
      </c>
      <c r="E1078">
        <v>69.55</v>
      </c>
      <c r="F1078">
        <v>3</v>
      </c>
      <c r="G1078">
        <v>208.64999999999901</v>
      </c>
      <c r="H1078" t="s">
        <v>12</v>
      </c>
      <c r="I1078" t="str">
        <f t="shared" si="49"/>
        <v>Low Value</v>
      </c>
      <c r="J1078" t="str">
        <f t="shared" si="50"/>
        <v>High Risk</v>
      </c>
      <c r="K1078" s="3" t="str">
        <f t="shared" si="48"/>
        <v>0-1 Year</v>
      </c>
    </row>
    <row r="1079" spans="1:11" x14ac:dyDescent="0.3">
      <c r="A1079" t="s">
        <v>1096</v>
      </c>
      <c r="B1079" t="s">
        <v>14</v>
      </c>
      <c r="C1079" t="s">
        <v>30</v>
      </c>
      <c r="D1079" t="s">
        <v>20</v>
      </c>
      <c r="E1079">
        <v>20.05</v>
      </c>
      <c r="F1079">
        <v>32</v>
      </c>
      <c r="G1079">
        <v>641.6</v>
      </c>
      <c r="H1079" t="s">
        <v>12</v>
      </c>
      <c r="I1079" t="str">
        <f t="shared" si="49"/>
        <v>Low Value</v>
      </c>
      <c r="J1079" t="str">
        <f t="shared" si="50"/>
        <v>Low Risk</v>
      </c>
      <c r="K1079" s="3" t="str">
        <f t="shared" si="48"/>
        <v>2-4 Years</v>
      </c>
    </row>
    <row r="1080" spans="1:11" x14ac:dyDescent="0.3">
      <c r="A1080" t="s">
        <v>1097</v>
      </c>
      <c r="B1080" t="s">
        <v>14</v>
      </c>
      <c r="C1080" t="s">
        <v>10</v>
      </c>
      <c r="D1080" t="s">
        <v>11</v>
      </c>
      <c r="E1080">
        <v>98.85</v>
      </c>
      <c r="F1080">
        <v>46</v>
      </c>
      <c r="G1080">
        <v>4547.0999999999904</v>
      </c>
      <c r="H1080" t="s">
        <v>12</v>
      </c>
      <c r="I1080" t="str">
        <f t="shared" si="49"/>
        <v>Medium Value</v>
      </c>
      <c r="J1080" t="str">
        <f t="shared" si="50"/>
        <v>Low Risk</v>
      </c>
      <c r="K1080" s="3" t="str">
        <f t="shared" si="48"/>
        <v>2-4 Years</v>
      </c>
    </row>
    <row r="1081" spans="1:11" x14ac:dyDescent="0.3">
      <c r="A1081" t="s">
        <v>1098</v>
      </c>
      <c r="B1081" t="s">
        <v>14</v>
      </c>
      <c r="C1081" t="s">
        <v>10</v>
      </c>
      <c r="D1081" t="s">
        <v>11</v>
      </c>
      <c r="E1081">
        <v>80.95</v>
      </c>
      <c r="F1081">
        <v>2</v>
      </c>
      <c r="G1081">
        <v>161.9</v>
      </c>
      <c r="H1081" t="s">
        <v>18</v>
      </c>
      <c r="I1081" t="str">
        <f t="shared" si="49"/>
        <v>Low Value</v>
      </c>
      <c r="J1081" t="str">
        <f t="shared" si="50"/>
        <v>High Risk</v>
      </c>
      <c r="K1081" s="3" t="str">
        <f t="shared" si="48"/>
        <v>0-1 Year</v>
      </c>
    </row>
    <row r="1082" spans="1:11" x14ac:dyDescent="0.3">
      <c r="A1082" t="s">
        <v>1099</v>
      </c>
      <c r="B1082" t="s">
        <v>9</v>
      </c>
      <c r="C1082" t="s">
        <v>15</v>
      </c>
      <c r="D1082" t="s">
        <v>24</v>
      </c>
      <c r="E1082">
        <v>19.600000000000001</v>
      </c>
      <c r="F1082">
        <v>52</v>
      </c>
      <c r="G1082">
        <v>1019.2</v>
      </c>
      <c r="H1082" t="s">
        <v>12</v>
      </c>
      <c r="I1082" t="str">
        <f t="shared" si="49"/>
        <v>Low Value</v>
      </c>
      <c r="J1082" t="str">
        <f t="shared" si="50"/>
        <v>Low Risk</v>
      </c>
      <c r="K1082" s="3" t="str">
        <f t="shared" si="48"/>
        <v>4+ Years</v>
      </c>
    </row>
    <row r="1083" spans="1:11" x14ac:dyDescent="0.3">
      <c r="A1083" t="s">
        <v>1100</v>
      </c>
      <c r="B1083" t="s">
        <v>9</v>
      </c>
      <c r="C1083" t="s">
        <v>10</v>
      </c>
      <c r="D1083" t="s">
        <v>11</v>
      </c>
      <c r="E1083">
        <v>74.3</v>
      </c>
      <c r="F1083">
        <v>13</v>
      </c>
      <c r="G1083">
        <v>965.9</v>
      </c>
      <c r="H1083" t="s">
        <v>18</v>
      </c>
      <c r="I1083" t="str">
        <f t="shared" si="49"/>
        <v>Low Value</v>
      </c>
      <c r="J1083" t="str">
        <f t="shared" si="50"/>
        <v>Medium Risk</v>
      </c>
      <c r="K1083" s="3" t="str">
        <f t="shared" si="48"/>
        <v>1-2 Years</v>
      </c>
    </row>
    <row r="1084" spans="1:11" x14ac:dyDescent="0.3">
      <c r="A1084" t="s">
        <v>1101</v>
      </c>
      <c r="B1084" t="s">
        <v>9</v>
      </c>
      <c r="C1084" t="s">
        <v>10</v>
      </c>
      <c r="D1084" t="s">
        <v>20</v>
      </c>
      <c r="E1084">
        <v>89.7</v>
      </c>
      <c r="F1084">
        <v>11</v>
      </c>
      <c r="G1084">
        <v>986.7</v>
      </c>
      <c r="H1084" t="s">
        <v>18</v>
      </c>
      <c r="I1084" t="str">
        <f t="shared" si="49"/>
        <v>Low Value</v>
      </c>
      <c r="J1084" t="str">
        <f t="shared" si="50"/>
        <v>High Risk</v>
      </c>
      <c r="K1084" s="3" t="str">
        <f t="shared" si="48"/>
        <v>0-1 Year</v>
      </c>
    </row>
    <row r="1085" spans="1:11" x14ac:dyDescent="0.3">
      <c r="A1085" t="s">
        <v>1102</v>
      </c>
      <c r="B1085" t="s">
        <v>14</v>
      </c>
      <c r="C1085" t="s">
        <v>10</v>
      </c>
      <c r="D1085" t="s">
        <v>20</v>
      </c>
      <c r="E1085">
        <v>87.65</v>
      </c>
      <c r="F1085">
        <v>32</v>
      </c>
      <c r="G1085">
        <v>2804.8</v>
      </c>
      <c r="H1085" t="s">
        <v>12</v>
      </c>
      <c r="I1085" t="str">
        <f t="shared" si="49"/>
        <v>Medium Value</v>
      </c>
      <c r="J1085" t="str">
        <f t="shared" si="50"/>
        <v>Low Risk</v>
      </c>
      <c r="K1085" s="3" t="str">
        <f t="shared" si="48"/>
        <v>2-4 Years</v>
      </c>
    </row>
    <row r="1086" spans="1:11" x14ac:dyDescent="0.3">
      <c r="A1086" t="s">
        <v>1103</v>
      </c>
      <c r="B1086" t="s">
        <v>14</v>
      </c>
      <c r="C1086" t="s">
        <v>10</v>
      </c>
      <c r="D1086" t="s">
        <v>24</v>
      </c>
      <c r="E1086">
        <v>100.45</v>
      </c>
      <c r="F1086">
        <v>17</v>
      </c>
      <c r="G1086">
        <v>1707.65</v>
      </c>
      <c r="H1086" t="s">
        <v>18</v>
      </c>
      <c r="I1086" t="str">
        <f t="shared" si="49"/>
        <v>Low Value</v>
      </c>
      <c r="J1086" t="str">
        <f t="shared" si="50"/>
        <v>Medium Risk</v>
      </c>
      <c r="K1086" s="3" t="str">
        <f t="shared" si="48"/>
        <v>1-2 Years</v>
      </c>
    </row>
    <row r="1087" spans="1:11" x14ac:dyDescent="0.3">
      <c r="A1087" t="s">
        <v>1104</v>
      </c>
      <c r="B1087" t="s">
        <v>9</v>
      </c>
      <c r="C1087" t="s">
        <v>10</v>
      </c>
      <c r="D1087" t="s">
        <v>24</v>
      </c>
      <c r="E1087">
        <v>74.75</v>
      </c>
      <c r="F1087">
        <v>16</v>
      </c>
      <c r="G1087">
        <v>1196</v>
      </c>
      <c r="H1087" t="s">
        <v>12</v>
      </c>
      <c r="I1087" t="str">
        <f t="shared" si="49"/>
        <v>Low Value</v>
      </c>
      <c r="J1087" t="str">
        <f t="shared" si="50"/>
        <v>Medium Risk</v>
      </c>
      <c r="K1087" s="3" t="str">
        <f t="shared" si="48"/>
        <v>1-2 Years</v>
      </c>
    </row>
    <row r="1088" spans="1:11" x14ac:dyDescent="0.3">
      <c r="A1088" t="s">
        <v>1105</v>
      </c>
      <c r="B1088" t="s">
        <v>9</v>
      </c>
      <c r="C1088" t="s">
        <v>15</v>
      </c>
      <c r="D1088" t="s">
        <v>20</v>
      </c>
      <c r="E1088">
        <v>107.45</v>
      </c>
      <c r="F1088">
        <v>51</v>
      </c>
      <c r="G1088">
        <v>5479.95</v>
      </c>
      <c r="H1088" t="s">
        <v>12</v>
      </c>
      <c r="I1088" t="str">
        <f t="shared" si="49"/>
        <v>High Value</v>
      </c>
      <c r="J1088" t="str">
        <f t="shared" si="50"/>
        <v>Low Risk</v>
      </c>
      <c r="K1088" s="3" t="str">
        <f t="shared" si="48"/>
        <v>4+ Years</v>
      </c>
    </row>
    <row r="1089" spans="1:11" x14ac:dyDescent="0.3">
      <c r="A1089" t="s">
        <v>1106</v>
      </c>
      <c r="B1089" t="s">
        <v>14</v>
      </c>
      <c r="C1089" t="s">
        <v>15</v>
      </c>
      <c r="D1089" t="s">
        <v>20</v>
      </c>
      <c r="E1089">
        <v>75.349999999999994</v>
      </c>
      <c r="F1089">
        <v>29</v>
      </c>
      <c r="G1089">
        <v>2185.1499999999901</v>
      </c>
      <c r="H1089" t="s">
        <v>12</v>
      </c>
      <c r="I1089" t="str">
        <f t="shared" si="49"/>
        <v>Medium Value</v>
      </c>
      <c r="J1089" t="str">
        <f t="shared" si="50"/>
        <v>Low Risk</v>
      </c>
      <c r="K1089" s="3" t="str">
        <f t="shared" si="48"/>
        <v>2-4 Years</v>
      </c>
    </row>
    <row r="1090" spans="1:11" x14ac:dyDescent="0.3">
      <c r="A1090" t="s">
        <v>1107</v>
      </c>
      <c r="B1090" t="s">
        <v>14</v>
      </c>
      <c r="C1090" t="s">
        <v>30</v>
      </c>
      <c r="D1090" t="s">
        <v>24</v>
      </c>
      <c r="E1090">
        <v>64.95</v>
      </c>
      <c r="F1090">
        <v>70</v>
      </c>
      <c r="G1090">
        <v>4546.5</v>
      </c>
      <c r="H1090" t="s">
        <v>12</v>
      </c>
      <c r="I1090" t="str">
        <f t="shared" si="49"/>
        <v>Medium Value</v>
      </c>
      <c r="J1090" t="str">
        <f t="shared" si="50"/>
        <v>Low Risk</v>
      </c>
      <c r="K1090" s="3" t="str">
        <f t="shared" si="48"/>
        <v>4+ Years</v>
      </c>
    </row>
    <row r="1091" spans="1:11" x14ac:dyDescent="0.3">
      <c r="A1091" t="s">
        <v>1108</v>
      </c>
      <c r="B1091" t="s">
        <v>9</v>
      </c>
      <c r="C1091" t="s">
        <v>30</v>
      </c>
      <c r="D1091" t="s">
        <v>11</v>
      </c>
      <c r="E1091">
        <v>100.45</v>
      </c>
      <c r="F1091">
        <v>71</v>
      </c>
      <c r="G1091">
        <v>7131.95</v>
      </c>
      <c r="H1091" t="s">
        <v>12</v>
      </c>
      <c r="I1091" t="str">
        <f t="shared" si="49"/>
        <v>High Value</v>
      </c>
      <c r="J1091" t="str">
        <f t="shared" si="50"/>
        <v>Low Risk</v>
      </c>
      <c r="K1091" s="3" t="str">
        <f t="shared" ref="K1091:K1154" si="51">IF(F1091&lt;=12,"0-1 Year",
IF(F1091&lt;=24,"1-2 Years",
IF(F1091&lt;=48,"2-4 Years","4+ Years")))</f>
        <v>4+ Years</v>
      </c>
    </row>
    <row r="1092" spans="1:11" x14ac:dyDescent="0.3">
      <c r="A1092" t="s">
        <v>1109</v>
      </c>
      <c r="B1092" t="s">
        <v>14</v>
      </c>
      <c r="C1092" t="s">
        <v>15</v>
      </c>
      <c r="D1092" t="s">
        <v>20</v>
      </c>
      <c r="E1092">
        <v>68.5</v>
      </c>
      <c r="F1092">
        <v>41</v>
      </c>
      <c r="G1092">
        <v>2808.5</v>
      </c>
      <c r="H1092" t="s">
        <v>12</v>
      </c>
      <c r="I1092" t="str">
        <f t="shared" ref="I1092:I1155" si="52">IF(G1092&gt;5000,"High Value",
IF(G1092&gt;2000,"Medium Value","Low Value"))</f>
        <v>Medium Value</v>
      </c>
      <c r="J1092" t="str">
        <f t="shared" ref="J1092:J1155" si="53">IF(F1092&lt;12,"High Risk",
IF(F1092&lt;24,"Medium Risk","Low Risk"))</f>
        <v>Low Risk</v>
      </c>
      <c r="K1092" s="3" t="str">
        <f t="shared" si="51"/>
        <v>2-4 Years</v>
      </c>
    </row>
    <row r="1093" spans="1:11" x14ac:dyDescent="0.3">
      <c r="A1093" t="s">
        <v>1110</v>
      </c>
      <c r="B1093" t="s">
        <v>14</v>
      </c>
      <c r="C1093" t="s">
        <v>10</v>
      </c>
      <c r="D1093" t="s">
        <v>11</v>
      </c>
      <c r="E1093">
        <v>80.55</v>
      </c>
      <c r="F1093">
        <v>1</v>
      </c>
      <c r="G1093">
        <v>80.55</v>
      </c>
      <c r="H1093" t="s">
        <v>12</v>
      </c>
      <c r="I1093" t="str">
        <f t="shared" si="52"/>
        <v>Low Value</v>
      </c>
      <c r="J1093" t="str">
        <f t="shared" si="53"/>
        <v>High Risk</v>
      </c>
      <c r="K1093" s="3" t="str">
        <f t="shared" si="51"/>
        <v>0-1 Year</v>
      </c>
    </row>
    <row r="1094" spans="1:11" x14ac:dyDescent="0.3">
      <c r="A1094" t="s">
        <v>1111</v>
      </c>
      <c r="B1094" t="s">
        <v>9</v>
      </c>
      <c r="C1094" t="s">
        <v>10</v>
      </c>
      <c r="D1094" t="s">
        <v>20</v>
      </c>
      <c r="E1094">
        <v>81.25</v>
      </c>
      <c r="F1094">
        <v>7</v>
      </c>
      <c r="G1094">
        <v>568.75</v>
      </c>
      <c r="H1094" t="s">
        <v>12</v>
      </c>
      <c r="I1094" t="str">
        <f t="shared" si="52"/>
        <v>Low Value</v>
      </c>
      <c r="J1094" t="str">
        <f t="shared" si="53"/>
        <v>High Risk</v>
      </c>
      <c r="K1094" s="3" t="str">
        <f t="shared" si="51"/>
        <v>0-1 Year</v>
      </c>
    </row>
    <row r="1095" spans="1:11" x14ac:dyDescent="0.3">
      <c r="A1095" t="s">
        <v>1112</v>
      </c>
      <c r="B1095" t="s">
        <v>14</v>
      </c>
      <c r="C1095" t="s">
        <v>15</v>
      </c>
      <c r="D1095" t="s">
        <v>11</v>
      </c>
      <c r="E1095">
        <v>90.4</v>
      </c>
      <c r="F1095">
        <v>25</v>
      </c>
      <c r="G1095">
        <v>2260</v>
      </c>
      <c r="H1095" t="s">
        <v>18</v>
      </c>
      <c r="I1095" t="str">
        <f t="shared" si="52"/>
        <v>Medium Value</v>
      </c>
      <c r="J1095" t="str">
        <f t="shared" si="53"/>
        <v>Low Risk</v>
      </c>
      <c r="K1095" s="3" t="str">
        <f t="shared" si="51"/>
        <v>2-4 Years</v>
      </c>
    </row>
    <row r="1096" spans="1:11" x14ac:dyDescent="0.3">
      <c r="A1096" t="s">
        <v>1113</v>
      </c>
      <c r="B1096" t="s">
        <v>14</v>
      </c>
      <c r="C1096" t="s">
        <v>15</v>
      </c>
      <c r="D1096" t="s">
        <v>11</v>
      </c>
      <c r="E1096">
        <v>89.55</v>
      </c>
      <c r="F1096">
        <v>67</v>
      </c>
      <c r="G1096">
        <v>5999.8499999999904</v>
      </c>
      <c r="H1096" t="s">
        <v>12</v>
      </c>
      <c r="I1096" t="str">
        <f t="shared" si="52"/>
        <v>High Value</v>
      </c>
      <c r="J1096" t="str">
        <f t="shared" si="53"/>
        <v>Low Risk</v>
      </c>
      <c r="K1096" s="3" t="str">
        <f t="shared" si="51"/>
        <v>4+ Years</v>
      </c>
    </row>
    <row r="1097" spans="1:11" x14ac:dyDescent="0.3">
      <c r="A1097" t="s">
        <v>1114</v>
      </c>
      <c r="B1097" t="s">
        <v>14</v>
      </c>
      <c r="C1097" t="s">
        <v>10</v>
      </c>
      <c r="D1097" t="s">
        <v>16</v>
      </c>
      <c r="E1097">
        <v>55.7</v>
      </c>
      <c r="F1097">
        <v>5</v>
      </c>
      <c r="G1097">
        <v>278.5</v>
      </c>
      <c r="H1097" t="s">
        <v>12</v>
      </c>
      <c r="I1097" t="str">
        <f t="shared" si="52"/>
        <v>Low Value</v>
      </c>
      <c r="J1097" t="str">
        <f t="shared" si="53"/>
        <v>High Risk</v>
      </c>
      <c r="K1097" s="3" t="str">
        <f t="shared" si="51"/>
        <v>0-1 Year</v>
      </c>
    </row>
    <row r="1098" spans="1:11" x14ac:dyDescent="0.3">
      <c r="A1098" t="s">
        <v>1115</v>
      </c>
      <c r="B1098" t="s">
        <v>14</v>
      </c>
      <c r="C1098" t="s">
        <v>10</v>
      </c>
      <c r="D1098" t="s">
        <v>11</v>
      </c>
      <c r="E1098">
        <v>24.8</v>
      </c>
      <c r="F1098">
        <v>15</v>
      </c>
      <c r="G1098">
        <v>372</v>
      </c>
      <c r="H1098" t="s">
        <v>12</v>
      </c>
      <c r="I1098" t="str">
        <f t="shared" si="52"/>
        <v>Low Value</v>
      </c>
      <c r="J1098" t="str">
        <f t="shared" si="53"/>
        <v>Medium Risk</v>
      </c>
      <c r="K1098" s="3" t="str">
        <f t="shared" si="51"/>
        <v>1-2 Years</v>
      </c>
    </row>
    <row r="1099" spans="1:11" x14ac:dyDescent="0.3">
      <c r="A1099" t="s">
        <v>1116</v>
      </c>
      <c r="B1099" t="s">
        <v>9</v>
      </c>
      <c r="C1099" t="s">
        <v>10</v>
      </c>
      <c r="D1099" t="s">
        <v>11</v>
      </c>
      <c r="E1099">
        <v>20</v>
      </c>
      <c r="F1099">
        <v>20</v>
      </c>
      <c r="G1099">
        <v>400</v>
      </c>
      <c r="H1099" t="s">
        <v>12</v>
      </c>
      <c r="I1099" t="str">
        <f t="shared" si="52"/>
        <v>Low Value</v>
      </c>
      <c r="J1099" t="str">
        <f t="shared" si="53"/>
        <v>Medium Risk</v>
      </c>
      <c r="K1099" s="3" t="str">
        <f t="shared" si="51"/>
        <v>1-2 Years</v>
      </c>
    </row>
    <row r="1100" spans="1:11" x14ac:dyDescent="0.3">
      <c r="A1100" t="s">
        <v>1117</v>
      </c>
      <c r="B1100" t="s">
        <v>14</v>
      </c>
      <c r="C1100" t="s">
        <v>10</v>
      </c>
      <c r="D1100" t="s">
        <v>16</v>
      </c>
      <c r="E1100">
        <v>56.15</v>
      </c>
      <c r="F1100">
        <v>3</v>
      </c>
      <c r="G1100">
        <v>168.45</v>
      </c>
      <c r="H1100" t="s">
        <v>18</v>
      </c>
      <c r="I1100" t="str">
        <f t="shared" si="52"/>
        <v>Low Value</v>
      </c>
      <c r="J1100" t="str">
        <f t="shared" si="53"/>
        <v>High Risk</v>
      </c>
      <c r="K1100" s="3" t="str">
        <f t="shared" si="51"/>
        <v>0-1 Year</v>
      </c>
    </row>
    <row r="1101" spans="1:11" x14ac:dyDescent="0.3">
      <c r="A1101" t="s">
        <v>1118</v>
      </c>
      <c r="B1101" t="s">
        <v>14</v>
      </c>
      <c r="C1101" t="s">
        <v>15</v>
      </c>
      <c r="D1101" t="s">
        <v>11</v>
      </c>
      <c r="E1101">
        <v>105.2</v>
      </c>
      <c r="F1101">
        <v>54</v>
      </c>
      <c r="G1101">
        <v>5680.8</v>
      </c>
      <c r="H1101" t="s">
        <v>12</v>
      </c>
      <c r="I1101" t="str">
        <f t="shared" si="52"/>
        <v>High Value</v>
      </c>
      <c r="J1101" t="str">
        <f t="shared" si="53"/>
        <v>Low Risk</v>
      </c>
      <c r="K1101" s="3" t="str">
        <f t="shared" si="51"/>
        <v>4+ Years</v>
      </c>
    </row>
    <row r="1102" spans="1:11" x14ac:dyDescent="0.3">
      <c r="A1102" t="s">
        <v>1119</v>
      </c>
      <c r="B1102" t="s">
        <v>14</v>
      </c>
      <c r="C1102" t="s">
        <v>15</v>
      </c>
      <c r="D1102" t="s">
        <v>16</v>
      </c>
      <c r="E1102">
        <v>19.55</v>
      </c>
      <c r="F1102">
        <v>42</v>
      </c>
      <c r="G1102">
        <v>821.1</v>
      </c>
      <c r="H1102" t="s">
        <v>12</v>
      </c>
      <c r="I1102" t="str">
        <f t="shared" si="52"/>
        <v>Low Value</v>
      </c>
      <c r="J1102" t="str">
        <f t="shared" si="53"/>
        <v>Low Risk</v>
      </c>
      <c r="K1102" s="3" t="str">
        <f t="shared" si="51"/>
        <v>2-4 Years</v>
      </c>
    </row>
    <row r="1103" spans="1:11" x14ac:dyDescent="0.3">
      <c r="A1103" t="s">
        <v>1120</v>
      </c>
      <c r="B1103" t="s">
        <v>9</v>
      </c>
      <c r="C1103" t="s">
        <v>10</v>
      </c>
      <c r="D1103" t="s">
        <v>11</v>
      </c>
      <c r="E1103">
        <v>79.75</v>
      </c>
      <c r="F1103">
        <v>9</v>
      </c>
      <c r="G1103">
        <v>717.75</v>
      </c>
      <c r="H1103" t="s">
        <v>12</v>
      </c>
      <c r="I1103" t="str">
        <f t="shared" si="52"/>
        <v>Low Value</v>
      </c>
      <c r="J1103" t="str">
        <f t="shared" si="53"/>
        <v>High Risk</v>
      </c>
      <c r="K1103" s="3" t="str">
        <f t="shared" si="51"/>
        <v>0-1 Year</v>
      </c>
    </row>
    <row r="1104" spans="1:11" x14ac:dyDescent="0.3">
      <c r="A1104" t="s">
        <v>1121</v>
      </c>
      <c r="B1104" t="s">
        <v>9</v>
      </c>
      <c r="C1104" t="s">
        <v>30</v>
      </c>
      <c r="D1104" t="s">
        <v>20</v>
      </c>
      <c r="E1104">
        <v>97.45</v>
      </c>
      <c r="F1104">
        <v>63</v>
      </c>
      <c r="G1104">
        <v>6139.35</v>
      </c>
      <c r="H1104" t="s">
        <v>12</v>
      </c>
      <c r="I1104" t="str">
        <f t="shared" si="52"/>
        <v>High Value</v>
      </c>
      <c r="J1104" t="str">
        <f t="shared" si="53"/>
        <v>Low Risk</v>
      </c>
      <c r="K1104" s="3" t="str">
        <f t="shared" si="51"/>
        <v>4+ Years</v>
      </c>
    </row>
    <row r="1105" spans="1:11" x14ac:dyDescent="0.3">
      <c r="A1105" t="s">
        <v>1122</v>
      </c>
      <c r="B1105" t="s">
        <v>9</v>
      </c>
      <c r="C1105" t="s">
        <v>30</v>
      </c>
      <c r="D1105" t="s">
        <v>20</v>
      </c>
      <c r="E1105">
        <v>24.25</v>
      </c>
      <c r="F1105">
        <v>69</v>
      </c>
      <c r="G1105">
        <v>1673.25</v>
      </c>
      <c r="H1105" t="s">
        <v>12</v>
      </c>
      <c r="I1105" t="str">
        <f t="shared" si="52"/>
        <v>Low Value</v>
      </c>
      <c r="J1105" t="str">
        <f t="shared" si="53"/>
        <v>Low Risk</v>
      </c>
      <c r="K1105" s="3" t="str">
        <f t="shared" si="51"/>
        <v>4+ Years</v>
      </c>
    </row>
    <row r="1106" spans="1:11" x14ac:dyDescent="0.3">
      <c r="A1106" t="s">
        <v>1123</v>
      </c>
      <c r="B1106" t="s">
        <v>9</v>
      </c>
      <c r="C1106" t="s">
        <v>30</v>
      </c>
      <c r="D1106" t="s">
        <v>24</v>
      </c>
      <c r="E1106">
        <v>24.6</v>
      </c>
      <c r="F1106">
        <v>69</v>
      </c>
      <c r="G1106">
        <v>1697.4</v>
      </c>
      <c r="H1106" t="s">
        <v>12</v>
      </c>
      <c r="I1106" t="str">
        <f t="shared" si="52"/>
        <v>Low Value</v>
      </c>
      <c r="J1106" t="str">
        <f t="shared" si="53"/>
        <v>Low Risk</v>
      </c>
      <c r="K1106" s="3" t="str">
        <f t="shared" si="51"/>
        <v>4+ Years</v>
      </c>
    </row>
    <row r="1107" spans="1:11" x14ac:dyDescent="0.3">
      <c r="A1107" t="s">
        <v>1124</v>
      </c>
      <c r="B1107" t="s">
        <v>14</v>
      </c>
      <c r="C1107" t="s">
        <v>10</v>
      </c>
      <c r="D1107" t="s">
        <v>16</v>
      </c>
      <c r="E1107">
        <v>50.15</v>
      </c>
      <c r="F1107">
        <v>40</v>
      </c>
      <c r="G1107">
        <v>2006</v>
      </c>
      <c r="H1107" t="s">
        <v>12</v>
      </c>
      <c r="I1107" t="str">
        <f t="shared" si="52"/>
        <v>Medium Value</v>
      </c>
      <c r="J1107" t="str">
        <f t="shared" si="53"/>
        <v>Low Risk</v>
      </c>
      <c r="K1107" s="3" t="str">
        <f t="shared" si="51"/>
        <v>2-4 Years</v>
      </c>
    </row>
    <row r="1108" spans="1:11" x14ac:dyDescent="0.3">
      <c r="A1108" t="s">
        <v>1125</v>
      </c>
      <c r="B1108" t="s">
        <v>14</v>
      </c>
      <c r="C1108" t="s">
        <v>30</v>
      </c>
      <c r="D1108" t="s">
        <v>20</v>
      </c>
      <c r="E1108">
        <v>39.6</v>
      </c>
      <c r="F1108">
        <v>60</v>
      </c>
      <c r="G1108">
        <v>2376</v>
      </c>
      <c r="H1108" t="s">
        <v>12</v>
      </c>
      <c r="I1108" t="str">
        <f t="shared" si="52"/>
        <v>Medium Value</v>
      </c>
      <c r="J1108" t="str">
        <f t="shared" si="53"/>
        <v>Low Risk</v>
      </c>
      <c r="K1108" s="3" t="str">
        <f t="shared" si="51"/>
        <v>4+ Years</v>
      </c>
    </row>
    <row r="1109" spans="1:11" x14ac:dyDescent="0.3">
      <c r="A1109" t="s">
        <v>1126</v>
      </c>
      <c r="B1109" t="s">
        <v>9</v>
      </c>
      <c r="C1109" t="s">
        <v>10</v>
      </c>
      <c r="D1109" t="s">
        <v>20</v>
      </c>
      <c r="E1109">
        <v>94.4</v>
      </c>
      <c r="F1109">
        <v>4</v>
      </c>
      <c r="G1109">
        <v>377.6</v>
      </c>
      <c r="H1109" t="s">
        <v>18</v>
      </c>
      <c r="I1109" t="str">
        <f t="shared" si="52"/>
        <v>Low Value</v>
      </c>
      <c r="J1109" t="str">
        <f t="shared" si="53"/>
        <v>High Risk</v>
      </c>
      <c r="K1109" s="3" t="str">
        <f t="shared" si="51"/>
        <v>0-1 Year</v>
      </c>
    </row>
    <row r="1110" spans="1:11" x14ac:dyDescent="0.3">
      <c r="A1110" t="s">
        <v>1127</v>
      </c>
      <c r="B1110" t="s">
        <v>9</v>
      </c>
      <c r="C1110" t="s">
        <v>30</v>
      </c>
      <c r="D1110" t="s">
        <v>16</v>
      </c>
      <c r="E1110">
        <v>89.85</v>
      </c>
      <c r="F1110">
        <v>71</v>
      </c>
      <c r="G1110">
        <v>6379.3499999999904</v>
      </c>
      <c r="H1110" t="s">
        <v>12</v>
      </c>
      <c r="I1110" t="str">
        <f t="shared" si="52"/>
        <v>High Value</v>
      </c>
      <c r="J1110" t="str">
        <f t="shared" si="53"/>
        <v>Low Risk</v>
      </c>
      <c r="K1110" s="3" t="str">
        <f t="shared" si="51"/>
        <v>4+ Years</v>
      </c>
    </row>
    <row r="1111" spans="1:11" x14ac:dyDescent="0.3">
      <c r="A1111" t="s">
        <v>1128</v>
      </c>
      <c r="B1111" t="s">
        <v>9</v>
      </c>
      <c r="C1111" t="s">
        <v>10</v>
      </c>
      <c r="D1111" t="s">
        <v>24</v>
      </c>
      <c r="E1111">
        <v>78.95</v>
      </c>
      <c r="F1111">
        <v>37</v>
      </c>
      <c r="G1111">
        <v>2921.15</v>
      </c>
      <c r="H1111" t="s">
        <v>18</v>
      </c>
      <c r="I1111" t="str">
        <f t="shared" si="52"/>
        <v>Medium Value</v>
      </c>
      <c r="J1111" t="str">
        <f t="shared" si="53"/>
        <v>Low Risk</v>
      </c>
      <c r="K1111" s="3" t="str">
        <f t="shared" si="51"/>
        <v>2-4 Years</v>
      </c>
    </row>
    <row r="1112" spans="1:11" x14ac:dyDescent="0.3">
      <c r="A1112" t="s">
        <v>1129</v>
      </c>
      <c r="B1112" t="s">
        <v>14</v>
      </c>
      <c r="C1112" t="s">
        <v>10</v>
      </c>
      <c r="D1112" t="s">
        <v>24</v>
      </c>
      <c r="E1112">
        <v>98.85</v>
      </c>
      <c r="F1112">
        <v>32</v>
      </c>
      <c r="G1112">
        <v>3163.2</v>
      </c>
      <c r="H1112" t="s">
        <v>12</v>
      </c>
      <c r="I1112" t="str">
        <f t="shared" si="52"/>
        <v>Medium Value</v>
      </c>
      <c r="J1112" t="str">
        <f t="shared" si="53"/>
        <v>Low Risk</v>
      </c>
      <c r="K1112" s="3" t="str">
        <f t="shared" si="51"/>
        <v>2-4 Years</v>
      </c>
    </row>
    <row r="1113" spans="1:11" x14ac:dyDescent="0.3">
      <c r="A1113" t="s">
        <v>1130</v>
      </c>
      <c r="B1113" t="s">
        <v>14</v>
      </c>
      <c r="C1113" t="s">
        <v>30</v>
      </c>
      <c r="D1113" t="s">
        <v>24</v>
      </c>
      <c r="E1113">
        <v>53.85</v>
      </c>
      <c r="F1113">
        <v>39</v>
      </c>
      <c r="G1113">
        <v>2100.15</v>
      </c>
      <c r="H1113" t="s">
        <v>12</v>
      </c>
      <c r="I1113" t="str">
        <f t="shared" si="52"/>
        <v>Medium Value</v>
      </c>
      <c r="J1113" t="str">
        <f t="shared" si="53"/>
        <v>Low Risk</v>
      </c>
      <c r="K1113" s="3" t="str">
        <f t="shared" si="51"/>
        <v>2-4 Years</v>
      </c>
    </row>
    <row r="1114" spans="1:11" x14ac:dyDescent="0.3">
      <c r="A1114" t="s">
        <v>1131</v>
      </c>
      <c r="B1114" t="s">
        <v>9</v>
      </c>
      <c r="C1114" t="s">
        <v>15</v>
      </c>
      <c r="D1114" t="s">
        <v>11</v>
      </c>
      <c r="E1114">
        <v>24.25</v>
      </c>
      <c r="F1114">
        <v>38</v>
      </c>
      <c r="G1114">
        <v>921.5</v>
      </c>
      <c r="H1114" t="s">
        <v>12</v>
      </c>
      <c r="I1114" t="str">
        <f t="shared" si="52"/>
        <v>Low Value</v>
      </c>
      <c r="J1114" t="str">
        <f t="shared" si="53"/>
        <v>Low Risk</v>
      </c>
      <c r="K1114" s="3" t="str">
        <f t="shared" si="51"/>
        <v>2-4 Years</v>
      </c>
    </row>
    <row r="1115" spans="1:11" x14ac:dyDescent="0.3">
      <c r="A1115" t="s">
        <v>1132</v>
      </c>
      <c r="B1115" t="s">
        <v>14</v>
      </c>
      <c r="C1115" t="s">
        <v>30</v>
      </c>
      <c r="D1115" t="s">
        <v>24</v>
      </c>
      <c r="E1115">
        <v>89.45</v>
      </c>
      <c r="F1115">
        <v>52</v>
      </c>
      <c r="G1115">
        <v>4651.3999999999996</v>
      </c>
      <c r="H1115" t="s">
        <v>12</v>
      </c>
      <c r="I1115" t="str">
        <f t="shared" si="52"/>
        <v>Medium Value</v>
      </c>
      <c r="J1115" t="str">
        <f t="shared" si="53"/>
        <v>Low Risk</v>
      </c>
      <c r="K1115" s="3" t="str">
        <f t="shared" si="51"/>
        <v>4+ Years</v>
      </c>
    </row>
    <row r="1116" spans="1:11" x14ac:dyDescent="0.3">
      <c r="A1116" t="s">
        <v>1133</v>
      </c>
      <c r="B1116" t="s">
        <v>9</v>
      </c>
      <c r="C1116" t="s">
        <v>10</v>
      </c>
      <c r="D1116" t="s">
        <v>24</v>
      </c>
      <c r="E1116">
        <v>105.25</v>
      </c>
      <c r="F1116">
        <v>48</v>
      </c>
      <c r="G1116">
        <v>5052</v>
      </c>
      <c r="H1116" t="s">
        <v>12</v>
      </c>
      <c r="I1116" t="str">
        <f t="shared" si="52"/>
        <v>High Value</v>
      </c>
      <c r="J1116" t="str">
        <f t="shared" si="53"/>
        <v>Low Risk</v>
      </c>
      <c r="K1116" s="3" t="str">
        <f t="shared" si="51"/>
        <v>2-4 Years</v>
      </c>
    </row>
    <row r="1117" spans="1:11" x14ac:dyDescent="0.3">
      <c r="A1117" t="s">
        <v>1134</v>
      </c>
      <c r="B1117" t="s">
        <v>14</v>
      </c>
      <c r="C1117" t="s">
        <v>30</v>
      </c>
      <c r="D1117" t="s">
        <v>20</v>
      </c>
      <c r="E1117">
        <v>59.5</v>
      </c>
      <c r="F1117">
        <v>70</v>
      </c>
      <c r="G1117">
        <v>4165</v>
      </c>
      <c r="H1117" t="s">
        <v>12</v>
      </c>
      <c r="I1117" t="str">
        <f t="shared" si="52"/>
        <v>Medium Value</v>
      </c>
      <c r="J1117" t="str">
        <f t="shared" si="53"/>
        <v>Low Risk</v>
      </c>
      <c r="K1117" s="3" t="str">
        <f t="shared" si="51"/>
        <v>4+ Years</v>
      </c>
    </row>
    <row r="1118" spans="1:11" x14ac:dyDescent="0.3">
      <c r="A1118" t="s">
        <v>1135</v>
      </c>
      <c r="B1118" t="s">
        <v>14</v>
      </c>
      <c r="C1118" t="s">
        <v>10</v>
      </c>
      <c r="D1118" t="s">
        <v>24</v>
      </c>
      <c r="E1118">
        <v>70.55</v>
      </c>
      <c r="F1118">
        <v>20</v>
      </c>
      <c r="G1118">
        <v>1411</v>
      </c>
      <c r="H1118" t="s">
        <v>12</v>
      </c>
      <c r="I1118" t="str">
        <f t="shared" si="52"/>
        <v>Low Value</v>
      </c>
      <c r="J1118" t="str">
        <f t="shared" si="53"/>
        <v>Medium Risk</v>
      </c>
      <c r="K1118" s="3" t="str">
        <f t="shared" si="51"/>
        <v>1-2 Years</v>
      </c>
    </row>
    <row r="1119" spans="1:11" x14ac:dyDescent="0.3">
      <c r="A1119" t="s">
        <v>1136</v>
      </c>
      <c r="B1119" t="s">
        <v>9</v>
      </c>
      <c r="C1119" t="s">
        <v>15</v>
      </c>
      <c r="D1119" t="s">
        <v>24</v>
      </c>
      <c r="E1119">
        <v>82.5</v>
      </c>
      <c r="F1119">
        <v>50</v>
      </c>
      <c r="G1119">
        <v>4125</v>
      </c>
      <c r="H1119" t="s">
        <v>12</v>
      </c>
      <c r="I1119" t="str">
        <f t="shared" si="52"/>
        <v>Medium Value</v>
      </c>
      <c r="J1119" t="str">
        <f t="shared" si="53"/>
        <v>Low Risk</v>
      </c>
      <c r="K1119" s="3" t="str">
        <f t="shared" si="51"/>
        <v>4+ Years</v>
      </c>
    </row>
    <row r="1120" spans="1:11" x14ac:dyDescent="0.3">
      <c r="A1120" t="s">
        <v>1137</v>
      </c>
      <c r="B1120" t="s">
        <v>9</v>
      </c>
      <c r="C1120" t="s">
        <v>15</v>
      </c>
      <c r="D1120" t="s">
        <v>24</v>
      </c>
      <c r="E1120">
        <v>44.85</v>
      </c>
      <c r="F1120">
        <v>19</v>
      </c>
      <c r="G1120">
        <v>852.15</v>
      </c>
      <c r="H1120" t="s">
        <v>18</v>
      </c>
      <c r="I1120" t="str">
        <f t="shared" si="52"/>
        <v>Low Value</v>
      </c>
      <c r="J1120" t="str">
        <f t="shared" si="53"/>
        <v>Medium Risk</v>
      </c>
      <c r="K1120" s="3" t="str">
        <f t="shared" si="51"/>
        <v>1-2 Years</v>
      </c>
    </row>
    <row r="1121" spans="1:11" x14ac:dyDescent="0.3">
      <c r="A1121" t="s">
        <v>1138</v>
      </c>
      <c r="B1121" t="s">
        <v>14</v>
      </c>
      <c r="C1121" t="s">
        <v>15</v>
      </c>
      <c r="D1121" t="s">
        <v>20</v>
      </c>
      <c r="E1121">
        <v>61.6</v>
      </c>
      <c r="F1121">
        <v>25</v>
      </c>
      <c r="G1121">
        <v>1540</v>
      </c>
      <c r="H1121" t="s">
        <v>12</v>
      </c>
      <c r="I1121" t="str">
        <f t="shared" si="52"/>
        <v>Low Value</v>
      </c>
      <c r="J1121" t="str">
        <f t="shared" si="53"/>
        <v>Low Risk</v>
      </c>
      <c r="K1121" s="3" t="str">
        <f t="shared" si="51"/>
        <v>2-4 Years</v>
      </c>
    </row>
    <row r="1122" spans="1:11" x14ac:dyDescent="0.3">
      <c r="A1122" t="s">
        <v>1139</v>
      </c>
      <c r="B1122" t="s">
        <v>14</v>
      </c>
      <c r="C1122" t="s">
        <v>10</v>
      </c>
      <c r="D1122" t="s">
        <v>20</v>
      </c>
      <c r="E1122">
        <v>49.05</v>
      </c>
      <c r="F1122">
        <v>12</v>
      </c>
      <c r="G1122">
        <v>588.599999999999</v>
      </c>
      <c r="H1122" t="s">
        <v>12</v>
      </c>
      <c r="I1122" t="str">
        <f t="shared" si="52"/>
        <v>Low Value</v>
      </c>
      <c r="J1122" t="str">
        <f t="shared" si="53"/>
        <v>Medium Risk</v>
      </c>
      <c r="K1122" s="3" t="str">
        <f t="shared" si="51"/>
        <v>0-1 Year</v>
      </c>
    </row>
    <row r="1123" spans="1:11" x14ac:dyDescent="0.3">
      <c r="A1123" t="s">
        <v>1140</v>
      </c>
      <c r="B1123" t="s">
        <v>14</v>
      </c>
      <c r="C1123" t="s">
        <v>10</v>
      </c>
      <c r="D1123" t="s">
        <v>11</v>
      </c>
      <c r="E1123">
        <v>105.65</v>
      </c>
      <c r="F1123">
        <v>39</v>
      </c>
      <c r="G1123">
        <v>4120.3500000000004</v>
      </c>
      <c r="H1123" t="s">
        <v>18</v>
      </c>
      <c r="I1123" t="str">
        <f t="shared" si="52"/>
        <v>Medium Value</v>
      </c>
      <c r="J1123" t="str">
        <f t="shared" si="53"/>
        <v>Low Risk</v>
      </c>
      <c r="K1123" s="3" t="str">
        <f t="shared" si="51"/>
        <v>2-4 Years</v>
      </c>
    </row>
    <row r="1124" spans="1:11" x14ac:dyDescent="0.3">
      <c r="A1124" t="s">
        <v>1141</v>
      </c>
      <c r="B1124" t="s">
        <v>14</v>
      </c>
      <c r="C1124" t="s">
        <v>10</v>
      </c>
      <c r="D1124" t="s">
        <v>16</v>
      </c>
      <c r="E1124">
        <v>74.650000000000006</v>
      </c>
      <c r="F1124">
        <v>7</v>
      </c>
      <c r="G1124">
        <v>522.54999999999995</v>
      </c>
      <c r="H1124" t="s">
        <v>18</v>
      </c>
      <c r="I1124" t="str">
        <f t="shared" si="52"/>
        <v>Low Value</v>
      </c>
      <c r="J1124" t="str">
        <f t="shared" si="53"/>
        <v>High Risk</v>
      </c>
      <c r="K1124" s="3" t="str">
        <f t="shared" si="51"/>
        <v>0-1 Year</v>
      </c>
    </row>
    <row r="1125" spans="1:11" x14ac:dyDescent="0.3">
      <c r="A1125" t="s">
        <v>1142</v>
      </c>
      <c r="B1125" t="s">
        <v>9</v>
      </c>
      <c r="C1125" t="s">
        <v>15</v>
      </c>
      <c r="D1125" t="s">
        <v>16</v>
      </c>
      <c r="E1125">
        <v>66.25</v>
      </c>
      <c r="F1125">
        <v>23</v>
      </c>
      <c r="G1125">
        <v>1523.75</v>
      </c>
      <c r="H1125" t="s">
        <v>12</v>
      </c>
      <c r="I1125" t="str">
        <f t="shared" si="52"/>
        <v>Low Value</v>
      </c>
      <c r="J1125" t="str">
        <f t="shared" si="53"/>
        <v>Medium Risk</v>
      </c>
      <c r="K1125" s="3" t="str">
        <f t="shared" si="51"/>
        <v>1-2 Years</v>
      </c>
    </row>
    <row r="1126" spans="1:11" x14ac:dyDescent="0.3">
      <c r="A1126" t="s">
        <v>1143</v>
      </c>
      <c r="B1126" t="s">
        <v>14</v>
      </c>
      <c r="C1126" t="s">
        <v>10</v>
      </c>
      <c r="D1126" t="s">
        <v>11</v>
      </c>
      <c r="E1126">
        <v>19.399999999999999</v>
      </c>
      <c r="F1126">
        <v>27</v>
      </c>
      <c r="G1126">
        <v>523.79999999999995</v>
      </c>
      <c r="H1126" t="s">
        <v>12</v>
      </c>
      <c r="I1126" t="str">
        <f t="shared" si="52"/>
        <v>Low Value</v>
      </c>
      <c r="J1126" t="str">
        <f t="shared" si="53"/>
        <v>Low Risk</v>
      </c>
      <c r="K1126" s="3" t="str">
        <f t="shared" si="51"/>
        <v>2-4 Years</v>
      </c>
    </row>
    <row r="1127" spans="1:11" x14ac:dyDescent="0.3">
      <c r="A1127" t="s">
        <v>1144</v>
      </c>
      <c r="B1127" t="s">
        <v>14</v>
      </c>
      <c r="C1127" t="s">
        <v>10</v>
      </c>
      <c r="D1127" t="s">
        <v>24</v>
      </c>
      <c r="E1127">
        <v>86.05</v>
      </c>
      <c r="F1127">
        <v>47</v>
      </c>
      <c r="G1127">
        <v>4044.35</v>
      </c>
      <c r="H1127" t="s">
        <v>12</v>
      </c>
      <c r="I1127" t="str">
        <f t="shared" si="52"/>
        <v>Medium Value</v>
      </c>
      <c r="J1127" t="str">
        <f t="shared" si="53"/>
        <v>Low Risk</v>
      </c>
      <c r="K1127" s="3" t="str">
        <f t="shared" si="51"/>
        <v>2-4 Years</v>
      </c>
    </row>
    <row r="1128" spans="1:11" x14ac:dyDescent="0.3">
      <c r="A1128" t="s">
        <v>1145</v>
      </c>
      <c r="B1128" t="s">
        <v>14</v>
      </c>
      <c r="C1128" t="s">
        <v>30</v>
      </c>
      <c r="D1128" t="s">
        <v>24</v>
      </c>
      <c r="E1128">
        <v>19.149999999999999</v>
      </c>
      <c r="F1128">
        <v>26</v>
      </c>
      <c r="G1128">
        <v>497.9</v>
      </c>
      <c r="H1128" t="s">
        <v>12</v>
      </c>
      <c r="I1128" t="str">
        <f t="shared" si="52"/>
        <v>Low Value</v>
      </c>
      <c r="J1128" t="str">
        <f t="shared" si="53"/>
        <v>Low Risk</v>
      </c>
      <c r="K1128" s="3" t="str">
        <f t="shared" si="51"/>
        <v>2-4 Years</v>
      </c>
    </row>
    <row r="1129" spans="1:11" x14ac:dyDescent="0.3">
      <c r="A1129" t="s">
        <v>1146</v>
      </c>
      <c r="B1129" t="s">
        <v>9</v>
      </c>
      <c r="C1129" t="s">
        <v>10</v>
      </c>
      <c r="D1129" t="s">
        <v>20</v>
      </c>
      <c r="E1129">
        <v>64.7</v>
      </c>
      <c r="F1129">
        <v>14</v>
      </c>
      <c r="G1129">
        <v>905.8</v>
      </c>
      <c r="H1129" t="s">
        <v>18</v>
      </c>
      <c r="I1129" t="str">
        <f t="shared" si="52"/>
        <v>Low Value</v>
      </c>
      <c r="J1129" t="str">
        <f t="shared" si="53"/>
        <v>Medium Risk</v>
      </c>
      <c r="K1129" s="3" t="str">
        <f t="shared" si="51"/>
        <v>1-2 Years</v>
      </c>
    </row>
    <row r="1130" spans="1:11" x14ac:dyDescent="0.3">
      <c r="A1130" t="s">
        <v>1147</v>
      </c>
      <c r="B1130" t="s">
        <v>9</v>
      </c>
      <c r="C1130" t="s">
        <v>10</v>
      </c>
      <c r="D1130" t="s">
        <v>20</v>
      </c>
      <c r="E1130">
        <v>104.05</v>
      </c>
      <c r="F1130">
        <v>11</v>
      </c>
      <c r="G1130">
        <v>1144.55</v>
      </c>
      <c r="H1130" t="s">
        <v>18</v>
      </c>
      <c r="I1130" t="str">
        <f t="shared" si="52"/>
        <v>Low Value</v>
      </c>
      <c r="J1130" t="str">
        <f t="shared" si="53"/>
        <v>High Risk</v>
      </c>
      <c r="K1130" s="3" t="str">
        <f t="shared" si="51"/>
        <v>0-1 Year</v>
      </c>
    </row>
    <row r="1131" spans="1:11" x14ac:dyDescent="0.3">
      <c r="A1131" t="s">
        <v>1148</v>
      </c>
      <c r="B1131" t="s">
        <v>14</v>
      </c>
      <c r="C1131" t="s">
        <v>10</v>
      </c>
      <c r="D1131" t="s">
        <v>16</v>
      </c>
      <c r="E1131">
        <v>19.25</v>
      </c>
      <c r="F1131">
        <v>2</v>
      </c>
      <c r="G1131">
        <v>38.5</v>
      </c>
      <c r="H1131" t="s">
        <v>12</v>
      </c>
      <c r="I1131" t="str">
        <f t="shared" si="52"/>
        <v>Low Value</v>
      </c>
      <c r="J1131" t="str">
        <f t="shared" si="53"/>
        <v>High Risk</v>
      </c>
      <c r="K1131" s="3" t="str">
        <f t="shared" si="51"/>
        <v>0-1 Year</v>
      </c>
    </row>
    <row r="1132" spans="1:11" x14ac:dyDescent="0.3">
      <c r="A1132" t="s">
        <v>1149</v>
      </c>
      <c r="B1132" t="s">
        <v>9</v>
      </c>
      <c r="C1132" t="s">
        <v>10</v>
      </c>
      <c r="D1132" t="s">
        <v>11</v>
      </c>
      <c r="E1132">
        <v>81.95</v>
      </c>
      <c r="F1132">
        <v>26</v>
      </c>
      <c r="G1132">
        <v>2130.6999999999998</v>
      </c>
      <c r="H1132" t="s">
        <v>12</v>
      </c>
      <c r="I1132" t="str">
        <f t="shared" si="52"/>
        <v>Medium Value</v>
      </c>
      <c r="J1132" t="str">
        <f t="shared" si="53"/>
        <v>Low Risk</v>
      </c>
      <c r="K1132" s="3" t="str">
        <f t="shared" si="51"/>
        <v>2-4 Years</v>
      </c>
    </row>
    <row r="1133" spans="1:11" x14ac:dyDescent="0.3">
      <c r="A1133" t="s">
        <v>1150</v>
      </c>
      <c r="B1133" t="s">
        <v>9</v>
      </c>
      <c r="C1133" t="s">
        <v>30</v>
      </c>
      <c r="D1133" t="s">
        <v>20</v>
      </c>
      <c r="E1133">
        <v>114.65</v>
      </c>
      <c r="F1133">
        <v>72</v>
      </c>
      <c r="G1133">
        <v>8254.7999999999993</v>
      </c>
      <c r="H1133" t="s">
        <v>12</v>
      </c>
      <c r="I1133" t="str">
        <f t="shared" si="52"/>
        <v>High Value</v>
      </c>
      <c r="J1133" t="str">
        <f t="shared" si="53"/>
        <v>Low Risk</v>
      </c>
      <c r="K1133" s="3" t="str">
        <f t="shared" si="51"/>
        <v>4+ Years</v>
      </c>
    </row>
    <row r="1134" spans="1:11" x14ac:dyDescent="0.3">
      <c r="A1134" t="s">
        <v>1151</v>
      </c>
      <c r="B1134" t="s">
        <v>9</v>
      </c>
      <c r="C1134" t="s">
        <v>30</v>
      </c>
      <c r="D1134" t="s">
        <v>24</v>
      </c>
      <c r="E1134">
        <v>20</v>
      </c>
      <c r="F1134">
        <v>63</v>
      </c>
      <c r="G1134">
        <v>1260</v>
      </c>
      <c r="H1134" t="s">
        <v>12</v>
      </c>
      <c r="I1134" t="str">
        <f t="shared" si="52"/>
        <v>Low Value</v>
      </c>
      <c r="J1134" t="str">
        <f t="shared" si="53"/>
        <v>Low Risk</v>
      </c>
      <c r="K1134" s="3" t="str">
        <f t="shared" si="51"/>
        <v>4+ Years</v>
      </c>
    </row>
    <row r="1135" spans="1:11" x14ac:dyDescent="0.3">
      <c r="A1135" t="s">
        <v>1152</v>
      </c>
      <c r="B1135" t="s">
        <v>14</v>
      </c>
      <c r="C1135" t="s">
        <v>30</v>
      </c>
      <c r="D1135" t="s">
        <v>16</v>
      </c>
      <c r="E1135">
        <v>19.8</v>
      </c>
      <c r="F1135">
        <v>71</v>
      </c>
      <c r="G1135">
        <v>1405.8</v>
      </c>
      <c r="H1135" t="s">
        <v>12</v>
      </c>
      <c r="I1135" t="str">
        <f t="shared" si="52"/>
        <v>Low Value</v>
      </c>
      <c r="J1135" t="str">
        <f t="shared" si="53"/>
        <v>Low Risk</v>
      </c>
      <c r="K1135" s="3" t="str">
        <f t="shared" si="51"/>
        <v>4+ Years</v>
      </c>
    </row>
    <row r="1136" spans="1:11" x14ac:dyDescent="0.3">
      <c r="A1136" t="s">
        <v>1153</v>
      </c>
      <c r="B1136" t="s">
        <v>14</v>
      </c>
      <c r="C1136" t="s">
        <v>10</v>
      </c>
      <c r="D1136" t="s">
        <v>20</v>
      </c>
      <c r="E1136">
        <v>65.150000000000006</v>
      </c>
      <c r="F1136">
        <v>11</v>
      </c>
      <c r="G1136">
        <v>716.65</v>
      </c>
      <c r="H1136" t="s">
        <v>12</v>
      </c>
      <c r="I1136" t="str">
        <f t="shared" si="52"/>
        <v>Low Value</v>
      </c>
      <c r="J1136" t="str">
        <f t="shared" si="53"/>
        <v>High Risk</v>
      </c>
      <c r="K1136" s="3" t="str">
        <f t="shared" si="51"/>
        <v>0-1 Year</v>
      </c>
    </row>
    <row r="1137" spans="1:11" x14ac:dyDescent="0.3">
      <c r="A1137" t="s">
        <v>1154</v>
      </c>
      <c r="B1137" t="s">
        <v>14</v>
      </c>
      <c r="C1137" t="s">
        <v>15</v>
      </c>
      <c r="D1137" t="s">
        <v>16</v>
      </c>
      <c r="E1137">
        <v>19.649999999999999</v>
      </c>
      <c r="F1137">
        <v>14</v>
      </c>
      <c r="G1137">
        <v>275.099999999999</v>
      </c>
      <c r="H1137" t="s">
        <v>12</v>
      </c>
      <c r="I1137" t="str">
        <f t="shared" si="52"/>
        <v>Low Value</v>
      </c>
      <c r="J1137" t="str">
        <f t="shared" si="53"/>
        <v>Medium Risk</v>
      </c>
      <c r="K1137" s="3" t="str">
        <f t="shared" si="51"/>
        <v>1-2 Years</v>
      </c>
    </row>
    <row r="1138" spans="1:11" x14ac:dyDescent="0.3">
      <c r="A1138" t="s">
        <v>1155</v>
      </c>
      <c r="B1138" t="s">
        <v>9</v>
      </c>
      <c r="C1138" t="s">
        <v>30</v>
      </c>
      <c r="D1138" t="s">
        <v>24</v>
      </c>
      <c r="E1138">
        <v>88.95</v>
      </c>
      <c r="F1138">
        <v>13</v>
      </c>
      <c r="G1138">
        <v>1156.3499999999999</v>
      </c>
      <c r="H1138" t="s">
        <v>12</v>
      </c>
      <c r="I1138" t="str">
        <f t="shared" si="52"/>
        <v>Low Value</v>
      </c>
      <c r="J1138" t="str">
        <f t="shared" si="53"/>
        <v>Medium Risk</v>
      </c>
      <c r="K1138" s="3" t="str">
        <f t="shared" si="51"/>
        <v>1-2 Years</v>
      </c>
    </row>
    <row r="1139" spans="1:11" x14ac:dyDescent="0.3">
      <c r="A1139" t="s">
        <v>1156</v>
      </c>
      <c r="B1139" t="s">
        <v>14</v>
      </c>
      <c r="C1139" t="s">
        <v>10</v>
      </c>
      <c r="D1139" t="s">
        <v>16</v>
      </c>
      <c r="E1139">
        <v>20.2</v>
      </c>
      <c r="F1139">
        <v>6</v>
      </c>
      <c r="G1139">
        <v>121.19999999999899</v>
      </c>
      <c r="H1139" t="s">
        <v>12</v>
      </c>
      <c r="I1139" t="str">
        <f t="shared" si="52"/>
        <v>Low Value</v>
      </c>
      <c r="J1139" t="str">
        <f t="shared" si="53"/>
        <v>High Risk</v>
      </c>
      <c r="K1139" s="3" t="str">
        <f t="shared" si="51"/>
        <v>0-1 Year</v>
      </c>
    </row>
    <row r="1140" spans="1:11" x14ac:dyDescent="0.3">
      <c r="A1140" t="s">
        <v>1157</v>
      </c>
      <c r="B1140" t="s">
        <v>14</v>
      </c>
      <c r="C1140" t="s">
        <v>10</v>
      </c>
      <c r="D1140" t="s">
        <v>24</v>
      </c>
      <c r="E1140">
        <v>75.2</v>
      </c>
      <c r="F1140">
        <v>11</v>
      </c>
      <c r="G1140">
        <v>827.2</v>
      </c>
      <c r="H1140" t="s">
        <v>12</v>
      </c>
      <c r="I1140" t="str">
        <f t="shared" si="52"/>
        <v>Low Value</v>
      </c>
      <c r="J1140" t="str">
        <f t="shared" si="53"/>
        <v>High Risk</v>
      </c>
      <c r="K1140" s="3" t="str">
        <f t="shared" si="51"/>
        <v>0-1 Year</v>
      </c>
    </row>
    <row r="1141" spans="1:11" x14ac:dyDescent="0.3">
      <c r="A1141" t="s">
        <v>1158</v>
      </c>
      <c r="B1141" t="s">
        <v>14</v>
      </c>
      <c r="C1141" t="s">
        <v>10</v>
      </c>
      <c r="D1141" t="s">
        <v>24</v>
      </c>
      <c r="E1141">
        <v>56.8</v>
      </c>
      <c r="F1141">
        <v>18</v>
      </c>
      <c r="G1141">
        <v>1022.4</v>
      </c>
      <c r="H1141" t="s">
        <v>12</v>
      </c>
      <c r="I1141" t="str">
        <f t="shared" si="52"/>
        <v>Low Value</v>
      </c>
      <c r="J1141" t="str">
        <f t="shared" si="53"/>
        <v>Medium Risk</v>
      </c>
      <c r="K1141" s="3" t="str">
        <f t="shared" si="51"/>
        <v>1-2 Years</v>
      </c>
    </row>
    <row r="1142" spans="1:11" x14ac:dyDescent="0.3">
      <c r="A1142" t="s">
        <v>1159</v>
      </c>
      <c r="B1142" t="s">
        <v>14</v>
      </c>
      <c r="C1142" t="s">
        <v>10</v>
      </c>
      <c r="D1142" t="s">
        <v>11</v>
      </c>
      <c r="E1142">
        <v>35.549999999999997</v>
      </c>
      <c r="F1142">
        <v>1</v>
      </c>
      <c r="G1142">
        <v>35.549999999999997</v>
      </c>
      <c r="H1142" t="s">
        <v>18</v>
      </c>
      <c r="I1142" t="str">
        <f t="shared" si="52"/>
        <v>Low Value</v>
      </c>
      <c r="J1142" t="str">
        <f t="shared" si="53"/>
        <v>High Risk</v>
      </c>
      <c r="K1142" s="3" t="str">
        <f t="shared" si="51"/>
        <v>0-1 Year</v>
      </c>
    </row>
    <row r="1143" spans="1:11" x14ac:dyDescent="0.3">
      <c r="A1143" t="s">
        <v>1160</v>
      </c>
      <c r="B1143" t="s">
        <v>9</v>
      </c>
      <c r="C1143" t="s">
        <v>10</v>
      </c>
      <c r="D1143" t="s">
        <v>20</v>
      </c>
      <c r="E1143">
        <v>75.5</v>
      </c>
      <c r="F1143">
        <v>32</v>
      </c>
      <c r="G1143">
        <v>2416</v>
      </c>
      <c r="H1143" t="s">
        <v>12</v>
      </c>
      <c r="I1143" t="str">
        <f t="shared" si="52"/>
        <v>Medium Value</v>
      </c>
      <c r="J1143" t="str">
        <f t="shared" si="53"/>
        <v>Low Risk</v>
      </c>
      <c r="K1143" s="3" t="str">
        <f t="shared" si="51"/>
        <v>2-4 Years</v>
      </c>
    </row>
    <row r="1144" spans="1:11" x14ac:dyDescent="0.3">
      <c r="A1144" t="s">
        <v>1161</v>
      </c>
      <c r="B1144" t="s">
        <v>14</v>
      </c>
      <c r="C1144" t="s">
        <v>15</v>
      </c>
      <c r="D1144" t="s">
        <v>16</v>
      </c>
      <c r="E1144">
        <v>35.6</v>
      </c>
      <c r="F1144">
        <v>29</v>
      </c>
      <c r="G1144">
        <v>1032.4000000000001</v>
      </c>
      <c r="H1144" t="s">
        <v>12</v>
      </c>
      <c r="I1144" t="str">
        <f t="shared" si="52"/>
        <v>Low Value</v>
      </c>
      <c r="J1144" t="str">
        <f t="shared" si="53"/>
        <v>Low Risk</v>
      </c>
      <c r="K1144" s="3" t="str">
        <f t="shared" si="51"/>
        <v>2-4 Years</v>
      </c>
    </row>
    <row r="1145" spans="1:11" x14ac:dyDescent="0.3">
      <c r="A1145" t="s">
        <v>1162</v>
      </c>
      <c r="B1145" t="s">
        <v>9</v>
      </c>
      <c r="C1145" t="s">
        <v>10</v>
      </c>
      <c r="D1145" t="s">
        <v>11</v>
      </c>
      <c r="E1145">
        <v>60.25</v>
      </c>
      <c r="F1145">
        <v>3</v>
      </c>
      <c r="G1145">
        <v>180.75</v>
      </c>
      <c r="H1145" t="s">
        <v>12</v>
      </c>
      <c r="I1145" t="str">
        <f t="shared" si="52"/>
        <v>Low Value</v>
      </c>
      <c r="J1145" t="str">
        <f t="shared" si="53"/>
        <v>High Risk</v>
      </c>
      <c r="K1145" s="3" t="str">
        <f t="shared" si="51"/>
        <v>0-1 Year</v>
      </c>
    </row>
    <row r="1146" spans="1:11" x14ac:dyDescent="0.3">
      <c r="A1146" t="s">
        <v>1163</v>
      </c>
      <c r="B1146" t="s">
        <v>9</v>
      </c>
      <c r="C1146" t="s">
        <v>10</v>
      </c>
      <c r="D1146" t="s">
        <v>11</v>
      </c>
      <c r="E1146">
        <v>95.15</v>
      </c>
      <c r="F1146">
        <v>2</v>
      </c>
      <c r="G1146">
        <v>190.3</v>
      </c>
      <c r="H1146" t="s">
        <v>18</v>
      </c>
      <c r="I1146" t="str">
        <f t="shared" si="52"/>
        <v>Low Value</v>
      </c>
      <c r="J1146" t="str">
        <f t="shared" si="53"/>
        <v>High Risk</v>
      </c>
      <c r="K1146" s="3" t="str">
        <f t="shared" si="51"/>
        <v>0-1 Year</v>
      </c>
    </row>
    <row r="1147" spans="1:11" x14ac:dyDescent="0.3">
      <c r="A1147" t="s">
        <v>1164</v>
      </c>
      <c r="B1147" t="s">
        <v>14</v>
      </c>
      <c r="C1147" t="s">
        <v>10</v>
      </c>
      <c r="D1147" t="s">
        <v>16</v>
      </c>
      <c r="E1147">
        <v>96.65</v>
      </c>
      <c r="F1147">
        <v>13</v>
      </c>
      <c r="G1147">
        <v>1256.45</v>
      </c>
      <c r="H1147" t="s">
        <v>18</v>
      </c>
      <c r="I1147" t="str">
        <f t="shared" si="52"/>
        <v>Low Value</v>
      </c>
      <c r="J1147" t="str">
        <f t="shared" si="53"/>
        <v>Medium Risk</v>
      </c>
      <c r="K1147" s="3" t="str">
        <f t="shared" si="51"/>
        <v>1-2 Years</v>
      </c>
    </row>
    <row r="1148" spans="1:11" x14ac:dyDescent="0.3">
      <c r="A1148" t="s">
        <v>1165</v>
      </c>
      <c r="B1148" t="s">
        <v>9</v>
      </c>
      <c r="C1148" t="s">
        <v>10</v>
      </c>
      <c r="D1148" t="s">
        <v>11</v>
      </c>
      <c r="E1148">
        <v>40.35</v>
      </c>
      <c r="F1148">
        <v>41</v>
      </c>
      <c r="G1148">
        <v>1654.35</v>
      </c>
      <c r="H1148" t="s">
        <v>12</v>
      </c>
      <c r="I1148" t="str">
        <f t="shared" si="52"/>
        <v>Low Value</v>
      </c>
      <c r="J1148" t="str">
        <f t="shared" si="53"/>
        <v>Low Risk</v>
      </c>
      <c r="K1148" s="3" t="str">
        <f t="shared" si="51"/>
        <v>2-4 Years</v>
      </c>
    </row>
    <row r="1149" spans="1:11" x14ac:dyDescent="0.3">
      <c r="A1149" t="s">
        <v>1166</v>
      </c>
      <c r="B1149" t="s">
        <v>9</v>
      </c>
      <c r="C1149" t="s">
        <v>10</v>
      </c>
      <c r="D1149" t="s">
        <v>11</v>
      </c>
      <c r="E1149">
        <v>18.850000000000001</v>
      </c>
      <c r="F1149">
        <v>1</v>
      </c>
      <c r="G1149">
        <v>18.850000000000001</v>
      </c>
      <c r="H1149" t="s">
        <v>12</v>
      </c>
      <c r="I1149" t="str">
        <f t="shared" si="52"/>
        <v>Low Value</v>
      </c>
      <c r="J1149" t="str">
        <f t="shared" si="53"/>
        <v>High Risk</v>
      </c>
      <c r="K1149" s="3" t="str">
        <f t="shared" si="51"/>
        <v>0-1 Year</v>
      </c>
    </row>
    <row r="1150" spans="1:11" x14ac:dyDescent="0.3">
      <c r="A1150" t="s">
        <v>1167</v>
      </c>
      <c r="B1150" t="s">
        <v>14</v>
      </c>
      <c r="C1150" t="s">
        <v>10</v>
      </c>
      <c r="D1150" t="s">
        <v>16</v>
      </c>
      <c r="E1150">
        <v>54.85</v>
      </c>
      <c r="F1150">
        <v>7</v>
      </c>
      <c r="G1150">
        <v>383.95</v>
      </c>
      <c r="H1150" t="s">
        <v>12</v>
      </c>
      <c r="I1150" t="str">
        <f t="shared" si="52"/>
        <v>Low Value</v>
      </c>
      <c r="J1150" t="str">
        <f t="shared" si="53"/>
        <v>High Risk</v>
      </c>
      <c r="K1150" s="3" t="str">
        <f t="shared" si="51"/>
        <v>0-1 Year</v>
      </c>
    </row>
    <row r="1151" spans="1:11" x14ac:dyDescent="0.3">
      <c r="A1151" t="s">
        <v>1168</v>
      </c>
      <c r="B1151" t="s">
        <v>9</v>
      </c>
      <c r="C1151" t="s">
        <v>15</v>
      </c>
      <c r="D1151" t="s">
        <v>16</v>
      </c>
      <c r="E1151">
        <v>64.3</v>
      </c>
      <c r="F1151">
        <v>52</v>
      </c>
      <c r="G1151">
        <v>3343.6</v>
      </c>
      <c r="H1151" t="s">
        <v>12</v>
      </c>
      <c r="I1151" t="str">
        <f t="shared" si="52"/>
        <v>Medium Value</v>
      </c>
      <c r="J1151" t="str">
        <f t="shared" si="53"/>
        <v>Low Risk</v>
      </c>
      <c r="K1151" s="3" t="str">
        <f t="shared" si="51"/>
        <v>4+ Years</v>
      </c>
    </row>
    <row r="1152" spans="1:11" x14ac:dyDescent="0.3">
      <c r="A1152" t="s">
        <v>1169</v>
      </c>
      <c r="B1152" t="s">
        <v>9</v>
      </c>
      <c r="C1152" t="s">
        <v>30</v>
      </c>
      <c r="D1152" t="s">
        <v>20</v>
      </c>
      <c r="E1152">
        <v>24.65</v>
      </c>
      <c r="F1152">
        <v>45</v>
      </c>
      <c r="G1152">
        <v>1109.25</v>
      </c>
      <c r="H1152" t="s">
        <v>12</v>
      </c>
      <c r="I1152" t="str">
        <f t="shared" si="52"/>
        <v>Low Value</v>
      </c>
      <c r="J1152" t="str">
        <f t="shared" si="53"/>
        <v>Low Risk</v>
      </c>
      <c r="K1152" s="3" t="str">
        <f t="shared" si="51"/>
        <v>2-4 Years</v>
      </c>
    </row>
    <row r="1153" spans="1:11" x14ac:dyDescent="0.3">
      <c r="A1153" t="s">
        <v>1170</v>
      </c>
      <c r="B1153" t="s">
        <v>14</v>
      </c>
      <c r="C1153" t="s">
        <v>30</v>
      </c>
      <c r="D1153" t="s">
        <v>24</v>
      </c>
      <c r="E1153">
        <v>76.099999999999994</v>
      </c>
      <c r="F1153">
        <v>70</v>
      </c>
      <c r="G1153">
        <v>5327</v>
      </c>
      <c r="H1153" t="s">
        <v>12</v>
      </c>
      <c r="I1153" t="str">
        <f t="shared" si="52"/>
        <v>High Value</v>
      </c>
      <c r="J1153" t="str">
        <f t="shared" si="53"/>
        <v>Low Risk</v>
      </c>
      <c r="K1153" s="3" t="str">
        <f t="shared" si="51"/>
        <v>4+ Years</v>
      </c>
    </row>
    <row r="1154" spans="1:11" x14ac:dyDescent="0.3">
      <c r="A1154" t="s">
        <v>1171</v>
      </c>
      <c r="B1154" t="s">
        <v>9</v>
      </c>
      <c r="C1154" t="s">
        <v>30</v>
      </c>
      <c r="D1154" t="s">
        <v>16</v>
      </c>
      <c r="E1154">
        <v>18.7</v>
      </c>
      <c r="F1154">
        <v>53</v>
      </c>
      <c r="G1154">
        <v>991.099999999999</v>
      </c>
      <c r="H1154" t="s">
        <v>12</v>
      </c>
      <c r="I1154" t="str">
        <f t="shared" si="52"/>
        <v>Low Value</v>
      </c>
      <c r="J1154" t="str">
        <f t="shared" si="53"/>
        <v>Low Risk</v>
      </c>
      <c r="K1154" s="3" t="str">
        <f t="shared" si="51"/>
        <v>4+ Years</v>
      </c>
    </row>
    <row r="1155" spans="1:11" x14ac:dyDescent="0.3">
      <c r="A1155" t="s">
        <v>1172</v>
      </c>
      <c r="B1155" t="s">
        <v>9</v>
      </c>
      <c r="C1155" t="s">
        <v>15</v>
      </c>
      <c r="D1155" t="s">
        <v>24</v>
      </c>
      <c r="E1155">
        <v>97.95</v>
      </c>
      <c r="F1155">
        <v>62</v>
      </c>
      <c r="G1155">
        <v>6072.9</v>
      </c>
      <c r="H1155" t="s">
        <v>12</v>
      </c>
      <c r="I1155" t="str">
        <f t="shared" si="52"/>
        <v>High Value</v>
      </c>
      <c r="J1155" t="str">
        <f t="shared" si="53"/>
        <v>Low Risk</v>
      </c>
      <c r="K1155" s="3" t="str">
        <f t="shared" ref="K1155:K1218" si="54">IF(F1155&lt;=12,"0-1 Year",
IF(F1155&lt;=24,"1-2 Years",
IF(F1155&lt;=48,"2-4 Years","4+ Years")))</f>
        <v>4+ Years</v>
      </c>
    </row>
    <row r="1156" spans="1:11" x14ac:dyDescent="0.3">
      <c r="A1156" t="s">
        <v>1173</v>
      </c>
      <c r="B1156" t="s">
        <v>9</v>
      </c>
      <c r="C1156" t="s">
        <v>10</v>
      </c>
      <c r="D1156" t="s">
        <v>24</v>
      </c>
      <c r="E1156">
        <v>94.1</v>
      </c>
      <c r="F1156">
        <v>60</v>
      </c>
      <c r="G1156">
        <v>5646</v>
      </c>
      <c r="H1156" t="s">
        <v>12</v>
      </c>
      <c r="I1156" t="str">
        <f t="shared" ref="I1156:I1219" si="55">IF(G1156&gt;5000,"High Value",
IF(G1156&gt;2000,"Medium Value","Low Value"))</f>
        <v>High Value</v>
      </c>
      <c r="J1156" t="str">
        <f t="shared" ref="J1156:J1219" si="56">IF(F1156&lt;12,"High Risk",
IF(F1156&lt;24,"Medium Risk","Low Risk"))</f>
        <v>Low Risk</v>
      </c>
      <c r="K1156" s="3" t="str">
        <f t="shared" si="54"/>
        <v>4+ Years</v>
      </c>
    </row>
    <row r="1157" spans="1:11" x14ac:dyDescent="0.3">
      <c r="A1157" t="s">
        <v>1174</v>
      </c>
      <c r="B1157" t="s">
        <v>9</v>
      </c>
      <c r="C1157" t="s">
        <v>10</v>
      </c>
      <c r="D1157" t="s">
        <v>11</v>
      </c>
      <c r="E1157">
        <v>80.400000000000006</v>
      </c>
      <c r="F1157">
        <v>3</v>
      </c>
      <c r="G1157">
        <v>241.2</v>
      </c>
      <c r="H1157" t="s">
        <v>18</v>
      </c>
      <c r="I1157" t="str">
        <f t="shared" si="55"/>
        <v>Low Value</v>
      </c>
      <c r="J1157" t="str">
        <f t="shared" si="56"/>
        <v>High Risk</v>
      </c>
      <c r="K1157" s="3" t="str">
        <f t="shared" si="54"/>
        <v>0-1 Year</v>
      </c>
    </row>
    <row r="1158" spans="1:11" x14ac:dyDescent="0.3">
      <c r="A1158" t="s">
        <v>1175</v>
      </c>
      <c r="B1158" t="s">
        <v>9</v>
      </c>
      <c r="C1158" t="s">
        <v>10</v>
      </c>
      <c r="D1158" t="s">
        <v>11</v>
      </c>
      <c r="E1158">
        <v>95.1</v>
      </c>
      <c r="F1158">
        <v>23</v>
      </c>
      <c r="G1158">
        <v>2187.2999999999902</v>
      </c>
      <c r="H1158" t="s">
        <v>12</v>
      </c>
      <c r="I1158" t="str">
        <f t="shared" si="55"/>
        <v>Medium Value</v>
      </c>
      <c r="J1158" t="str">
        <f t="shared" si="56"/>
        <v>Medium Risk</v>
      </c>
      <c r="K1158" s="3" t="str">
        <f t="shared" si="54"/>
        <v>1-2 Years</v>
      </c>
    </row>
    <row r="1159" spans="1:11" x14ac:dyDescent="0.3">
      <c r="A1159" t="s">
        <v>1176</v>
      </c>
      <c r="B1159" t="s">
        <v>14</v>
      </c>
      <c r="C1159" t="s">
        <v>10</v>
      </c>
      <c r="D1159" t="s">
        <v>16</v>
      </c>
      <c r="E1159">
        <v>31.35</v>
      </c>
      <c r="F1159">
        <v>1</v>
      </c>
      <c r="G1159">
        <v>31.35</v>
      </c>
      <c r="H1159" t="s">
        <v>18</v>
      </c>
      <c r="I1159" t="str">
        <f t="shared" si="55"/>
        <v>Low Value</v>
      </c>
      <c r="J1159" t="str">
        <f t="shared" si="56"/>
        <v>High Risk</v>
      </c>
      <c r="K1159" s="3" t="str">
        <f t="shared" si="54"/>
        <v>0-1 Year</v>
      </c>
    </row>
    <row r="1160" spans="1:11" x14ac:dyDescent="0.3">
      <c r="A1160" t="s">
        <v>1177</v>
      </c>
      <c r="B1160" t="s">
        <v>9</v>
      </c>
      <c r="C1160" t="s">
        <v>15</v>
      </c>
      <c r="D1160" t="s">
        <v>20</v>
      </c>
      <c r="E1160">
        <v>72.349999999999994</v>
      </c>
      <c r="F1160">
        <v>67</v>
      </c>
      <c r="G1160">
        <v>4847.45</v>
      </c>
      <c r="H1160" t="s">
        <v>12</v>
      </c>
      <c r="I1160" t="str">
        <f t="shared" si="55"/>
        <v>Medium Value</v>
      </c>
      <c r="J1160" t="str">
        <f t="shared" si="56"/>
        <v>Low Risk</v>
      </c>
      <c r="K1160" s="3" t="str">
        <f t="shared" si="54"/>
        <v>4+ Years</v>
      </c>
    </row>
    <row r="1161" spans="1:11" x14ac:dyDescent="0.3">
      <c r="A1161" t="s">
        <v>1178</v>
      </c>
      <c r="B1161" t="s">
        <v>9</v>
      </c>
      <c r="C1161" t="s">
        <v>10</v>
      </c>
      <c r="D1161" t="s">
        <v>20</v>
      </c>
      <c r="E1161">
        <v>89.75</v>
      </c>
      <c r="F1161">
        <v>12</v>
      </c>
      <c r="G1161">
        <v>1077</v>
      </c>
      <c r="H1161" t="s">
        <v>18</v>
      </c>
      <c r="I1161" t="str">
        <f t="shared" si="55"/>
        <v>Low Value</v>
      </c>
      <c r="J1161" t="str">
        <f t="shared" si="56"/>
        <v>Medium Risk</v>
      </c>
      <c r="K1161" s="3" t="str">
        <f t="shared" si="54"/>
        <v>0-1 Year</v>
      </c>
    </row>
    <row r="1162" spans="1:11" x14ac:dyDescent="0.3">
      <c r="A1162" t="s">
        <v>1179</v>
      </c>
      <c r="B1162" t="s">
        <v>9</v>
      </c>
      <c r="C1162" t="s">
        <v>30</v>
      </c>
      <c r="D1162" t="s">
        <v>20</v>
      </c>
      <c r="E1162">
        <v>82.7</v>
      </c>
      <c r="F1162">
        <v>71</v>
      </c>
      <c r="G1162">
        <v>5871.7</v>
      </c>
      <c r="H1162" t="s">
        <v>12</v>
      </c>
      <c r="I1162" t="str">
        <f t="shared" si="55"/>
        <v>High Value</v>
      </c>
      <c r="J1162" t="str">
        <f t="shared" si="56"/>
        <v>Low Risk</v>
      </c>
      <c r="K1162" s="3" t="str">
        <f t="shared" si="54"/>
        <v>4+ Years</v>
      </c>
    </row>
    <row r="1163" spans="1:11" x14ac:dyDescent="0.3">
      <c r="A1163" t="s">
        <v>1180</v>
      </c>
      <c r="B1163" t="s">
        <v>14</v>
      </c>
      <c r="C1163" t="s">
        <v>15</v>
      </c>
      <c r="D1163" t="s">
        <v>24</v>
      </c>
      <c r="E1163">
        <v>19.899999999999999</v>
      </c>
      <c r="F1163">
        <v>25</v>
      </c>
      <c r="G1163">
        <v>497.49999999999898</v>
      </c>
      <c r="H1163" t="s">
        <v>12</v>
      </c>
      <c r="I1163" t="str">
        <f t="shared" si="55"/>
        <v>Low Value</v>
      </c>
      <c r="J1163" t="str">
        <f t="shared" si="56"/>
        <v>Low Risk</v>
      </c>
      <c r="K1163" s="3" t="str">
        <f t="shared" si="54"/>
        <v>2-4 Years</v>
      </c>
    </row>
    <row r="1164" spans="1:11" x14ac:dyDescent="0.3">
      <c r="A1164" t="s">
        <v>1181</v>
      </c>
      <c r="B1164" t="s">
        <v>9</v>
      </c>
      <c r="C1164" t="s">
        <v>10</v>
      </c>
      <c r="D1164" t="s">
        <v>11</v>
      </c>
      <c r="E1164">
        <v>53.8</v>
      </c>
      <c r="F1164">
        <v>5</v>
      </c>
      <c r="G1164">
        <v>269</v>
      </c>
      <c r="H1164" t="s">
        <v>12</v>
      </c>
      <c r="I1164" t="str">
        <f t="shared" si="55"/>
        <v>Low Value</v>
      </c>
      <c r="J1164" t="str">
        <f t="shared" si="56"/>
        <v>High Risk</v>
      </c>
      <c r="K1164" s="3" t="str">
        <f t="shared" si="54"/>
        <v>0-1 Year</v>
      </c>
    </row>
    <row r="1165" spans="1:11" x14ac:dyDescent="0.3">
      <c r="A1165" t="s">
        <v>1182</v>
      </c>
      <c r="B1165" t="s">
        <v>14</v>
      </c>
      <c r="C1165" t="s">
        <v>15</v>
      </c>
      <c r="D1165" t="s">
        <v>24</v>
      </c>
      <c r="E1165">
        <v>51.55</v>
      </c>
      <c r="F1165">
        <v>26</v>
      </c>
      <c r="G1165">
        <v>1340.3</v>
      </c>
      <c r="H1165" t="s">
        <v>12</v>
      </c>
      <c r="I1165" t="str">
        <f t="shared" si="55"/>
        <v>Low Value</v>
      </c>
      <c r="J1165" t="str">
        <f t="shared" si="56"/>
        <v>Low Risk</v>
      </c>
      <c r="K1165" s="3" t="str">
        <f t="shared" si="54"/>
        <v>2-4 Years</v>
      </c>
    </row>
    <row r="1166" spans="1:11" x14ac:dyDescent="0.3">
      <c r="A1166" t="s">
        <v>1183</v>
      </c>
      <c r="B1166" t="s">
        <v>14</v>
      </c>
      <c r="C1166" t="s">
        <v>15</v>
      </c>
      <c r="D1166" t="s">
        <v>16</v>
      </c>
      <c r="E1166">
        <v>19.649999999999999</v>
      </c>
      <c r="F1166">
        <v>1</v>
      </c>
      <c r="G1166">
        <v>19.649999999999999</v>
      </c>
      <c r="H1166" t="s">
        <v>12</v>
      </c>
      <c r="I1166" t="str">
        <f t="shared" si="55"/>
        <v>Low Value</v>
      </c>
      <c r="J1166" t="str">
        <f t="shared" si="56"/>
        <v>High Risk</v>
      </c>
      <c r="K1166" s="3" t="str">
        <f t="shared" si="54"/>
        <v>0-1 Year</v>
      </c>
    </row>
    <row r="1167" spans="1:11" x14ac:dyDescent="0.3">
      <c r="A1167" t="s">
        <v>1184</v>
      </c>
      <c r="B1167" t="s">
        <v>14</v>
      </c>
      <c r="C1167" t="s">
        <v>15</v>
      </c>
      <c r="D1167" t="s">
        <v>24</v>
      </c>
      <c r="E1167">
        <v>44.05</v>
      </c>
      <c r="F1167">
        <v>70</v>
      </c>
      <c r="G1167">
        <v>3083.5</v>
      </c>
      <c r="H1167" t="s">
        <v>12</v>
      </c>
      <c r="I1167" t="str">
        <f t="shared" si="55"/>
        <v>Medium Value</v>
      </c>
      <c r="J1167" t="str">
        <f t="shared" si="56"/>
        <v>Low Risk</v>
      </c>
      <c r="K1167" s="3" t="str">
        <f t="shared" si="54"/>
        <v>4+ Years</v>
      </c>
    </row>
    <row r="1168" spans="1:11" x14ac:dyDescent="0.3">
      <c r="A1168" t="s">
        <v>1185</v>
      </c>
      <c r="B1168" t="s">
        <v>14</v>
      </c>
      <c r="C1168" t="s">
        <v>30</v>
      </c>
      <c r="D1168" t="s">
        <v>11</v>
      </c>
      <c r="E1168">
        <v>114</v>
      </c>
      <c r="F1168">
        <v>72</v>
      </c>
      <c r="G1168">
        <v>8208</v>
      </c>
      <c r="H1168" t="s">
        <v>12</v>
      </c>
      <c r="I1168" t="str">
        <f t="shared" si="55"/>
        <v>High Value</v>
      </c>
      <c r="J1168" t="str">
        <f t="shared" si="56"/>
        <v>Low Risk</v>
      </c>
      <c r="K1168" s="3" t="str">
        <f t="shared" si="54"/>
        <v>4+ Years</v>
      </c>
    </row>
    <row r="1169" spans="1:11" x14ac:dyDescent="0.3">
      <c r="A1169" t="s">
        <v>1186</v>
      </c>
      <c r="B1169" t="s">
        <v>14</v>
      </c>
      <c r="C1169" t="s">
        <v>15</v>
      </c>
      <c r="D1169" t="s">
        <v>11</v>
      </c>
      <c r="E1169">
        <v>94.4</v>
      </c>
      <c r="F1169">
        <v>60</v>
      </c>
      <c r="G1169">
        <v>5664</v>
      </c>
      <c r="H1169" t="s">
        <v>18</v>
      </c>
      <c r="I1169" t="str">
        <f t="shared" si="55"/>
        <v>High Value</v>
      </c>
      <c r="J1169" t="str">
        <f t="shared" si="56"/>
        <v>Low Risk</v>
      </c>
      <c r="K1169" s="3" t="str">
        <f t="shared" si="54"/>
        <v>4+ Years</v>
      </c>
    </row>
    <row r="1170" spans="1:11" x14ac:dyDescent="0.3">
      <c r="A1170" t="s">
        <v>1187</v>
      </c>
      <c r="B1170" t="s">
        <v>9</v>
      </c>
      <c r="C1170" t="s">
        <v>10</v>
      </c>
      <c r="D1170" t="s">
        <v>11</v>
      </c>
      <c r="E1170">
        <v>100.4</v>
      </c>
      <c r="F1170">
        <v>32</v>
      </c>
      <c r="G1170">
        <v>3212.8</v>
      </c>
      <c r="H1170" t="s">
        <v>12</v>
      </c>
      <c r="I1170" t="str">
        <f t="shared" si="55"/>
        <v>Medium Value</v>
      </c>
      <c r="J1170" t="str">
        <f t="shared" si="56"/>
        <v>Low Risk</v>
      </c>
      <c r="K1170" s="3" t="str">
        <f t="shared" si="54"/>
        <v>2-4 Years</v>
      </c>
    </row>
    <row r="1171" spans="1:11" x14ac:dyDescent="0.3">
      <c r="A1171" t="s">
        <v>1188</v>
      </c>
      <c r="B1171" t="s">
        <v>14</v>
      </c>
      <c r="C1171" t="s">
        <v>10</v>
      </c>
      <c r="D1171" t="s">
        <v>11</v>
      </c>
      <c r="E1171">
        <v>19.850000000000001</v>
      </c>
      <c r="F1171">
        <v>1</v>
      </c>
      <c r="G1171">
        <v>19.850000000000001</v>
      </c>
      <c r="H1171" t="s">
        <v>18</v>
      </c>
      <c r="I1171" t="str">
        <f t="shared" si="55"/>
        <v>Low Value</v>
      </c>
      <c r="J1171" t="str">
        <f t="shared" si="56"/>
        <v>High Risk</v>
      </c>
      <c r="K1171" s="3" t="str">
        <f t="shared" si="54"/>
        <v>0-1 Year</v>
      </c>
    </row>
    <row r="1172" spans="1:11" x14ac:dyDescent="0.3">
      <c r="A1172" t="s">
        <v>1189</v>
      </c>
      <c r="B1172" t="s">
        <v>9</v>
      </c>
      <c r="C1172" t="s">
        <v>15</v>
      </c>
      <c r="D1172" t="s">
        <v>16</v>
      </c>
      <c r="E1172">
        <v>54.25</v>
      </c>
      <c r="F1172">
        <v>14</v>
      </c>
      <c r="G1172">
        <v>759.5</v>
      </c>
      <c r="H1172" t="s">
        <v>12</v>
      </c>
      <c r="I1172" t="str">
        <f t="shared" si="55"/>
        <v>Low Value</v>
      </c>
      <c r="J1172" t="str">
        <f t="shared" si="56"/>
        <v>Medium Risk</v>
      </c>
      <c r="K1172" s="3" t="str">
        <f t="shared" si="54"/>
        <v>1-2 Years</v>
      </c>
    </row>
    <row r="1173" spans="1:11" x14ac:dyDescent="0.3">
      <c r="A1173" t="s">
        <v>1190</v>
      </c>
      <c r="B1173" t="s">
        <v>9</v>
      </c>
      <c r="C1173" t="s">
        <v>10</v>
      </c>
      <c r="D1173" t="s">
        <v>24</v>
      </c>
      <c r="E1173">
        <v>80</v>
      </c>
      <c r="F1173">
        <v>13</v>
      </c>
      <c r="G1173">
        <v>1040</v>
      </c>
      <c r="H1173" t="s">
        <v>12</v>
      </c>
      <c r="I1173" t="str">
        <f t="shared" si="55"/>
        <v>Low Value</v>
      </c>
      <c r="J1173" t="str">
        <f t="shared" si="56"/>
        <v>Medium Risk</v>
      </c>
      <c r="K1173" s="3" t="str">
        <f t="shared" si="54"/>
        <v>1-2 Years</v>
      </c>
    </row>
    <row r="1174" spans="1:11" x14ac:dyDescent="0.3">
      <c r="A1174" t="s">
        <v>1191</v>
      </c>
      <c r="B1174" t="s">
        <v>9</v>
      </c>
      <c r="C1174" t="s">
        <v>10</v>
      </c>
      <c r="D1174" t="s">
        <v>24</v>
      </c>
      <c r="E1174">
        <v>109.9</v>
      </c>
      <c r="F1174">
        <v>6</v>
      </c>
      <c r="G1174">
        <v>659.4</v>
      </c>
      <c r="H1174" t="s">
        <v>18</v>
      </c>
      <c r="I1174" t="str">
        <f t="shared" si="55"/>
        <v>Low Value</v>
      </c>
      <c r="J1174" t="str">
        <f t="shared" si="56"/>
        <v>High Risk</v>
      </c>
      <c r="K1174" s="3" t="str">
        <f t="shared" si="54"/>
        <v>0-1 Year</v>
      </c>
    </row>
    <row r="1175" spans="1:11" x14ac:dyDescent="0.3">
      <c r="A1175" t="s">
        <v>1192</v>
      </c>
      <c r="B1175" t="s">
        <v>9</v>
      </c>
      <c r="C1175" t="s">
        <v>30</v>
      </c>
      <c r="D1175" t="s">
        <v>16</v>
      </c>
      <c r="E1175">
        <v>79.2</v>
      </c>
      <c r="F1175">
        <v>46</v>
      </c>
      <c r="G1175">
        <v>3643.2</v>
      </c>
      <c r="H1175" t="s">
        <v>12</v>
      </c>
      <c r="I1175" t="str">
        <f t="shared" si="55"/>
        <v>Medium Value</v>
      </c>
      <c r="J1175" t="str">
        <f t="shared" si="56"/>
        <v>Low Risk</v>
      </c>
      <c r="K1175" s="3" t="str">
        <f t="shared" si="54"/>
        <v>2-4 Years</v>
      </c>
    </row>
    <row r="1176" spans="1:11" x14ac:dyDescent="0.3">
      <c r="A1176" t="s">
        <v>1193</v>
      </c>
      <c r="B1176" t="s">
        <v>14</v>
      </c>
      <c r="C1176" t="s">
        <v>10</v>
      </c>
      <c r="D1176" t="s">
        <v>11</v>
      </c>
      <c r="E1176">
        <v>101.35</v>
      </c>
      <c r="F1176">
        <v>15</v>
      </c>
      <c r="G1176">
        <v>1520.25</v>
      </c>
      <c r="H1176" t="s">
        <v>18</v>
      </c>
      <c r="I1176" t="str">
        <f t="shared" si="55"/>
        <v>Low Value</v>
      </c>
      <c r="J1176" t="str">
        <f t="shared" si="56"/>
        <v>Medium Risk</v>
      </c>
      <c r="K1176" s="3" t="str">
        <f t="shared" si="54"/>
        <v>1-2 Years</v>
      </c>
    </row>
    <row r="1177" spans="1:11" x14ac:dyDescent="0.3">
      <c r="A1177" t="s">
        <v>1194</v>
      </c>
      <c r="B1177" t="s">
        <v>14</v>
      </c>
      <c r="C1177" t="s">
        <v>10</v>
      </c>
      <c r="D1177" t="s">
        <v>11</v>
      </c>
      <c r="E1177">
        <v>94.3</v>
      </c>
      <c r="F1177">
        <v>43</v>
      </c>
      <c r="G1177">
        <v>4054.9</v>
      </c>
      <c r="H1177" t="s">
        <v>12</v>
      </c>
      <c r="I1177" t="str">
        <f t="shared" si="55"/>
        <v>Medium Value</v>
      </c>
      <c r="J1177" t="str">
        <f t="shared" si="56"/>
        <v>Low Risk</v>
      </c>
      <c r="K1177" s="3" t="str">
        <f t="shared" si="54"/>
        <v>2-4 Years</v>
      </c>
    </row>
    <row r="1178" spans="1:11" x14ac:dyDescent="0.3">
      <c r="A1178" t="s">
        <v>1195</v>
      </c>
      <c r="B1178" t="s">
        <v>14</v>
      </c>
      <c r="C1178" t="s">
        <v>30</v>
      </c>
      <c r="D1178" t="s">
        <v>20</v>
      </c>
      <c r="E1178">
        <v>49.8</v>
      </c>
      <c r="F1178">
        <v>39</v>
      </c>
      <c r="G1178">
        <v>1942.19999999999</v>
      </c>
      <c r="H1178" t="s">
        <v>12</v>
      </c>
      <c r="I1178" t="str">
        <f t="shared" si="55"/>
        <v>Low Value</v>
      </c>
      <c r="J1178" t="str">
        <f t="shared" si="56"/>
        <v>Low Risk</v>
      </c>
      <c r="K1178" s="3" t="str">
        <f t="shared" si="54"/>
        <v>2-4 Years</v>
      </c>
    </row>
    <row r="1179" spans="1:11" x14ac:dyDescent="0.3">
      <c r="A1179" t="s">
        <v>1196</v>
      </c>
      <c r="B1179" t="s">
        <v>14</v>
      </c>
      <c r="C1179" t="s">
        <v>10</v>
      </c>
      <c r="D1179" t="s">
        <v>20</v>
      </c>
      <c r="E1179">
        <v>60.05</v>
      </c>
      <c r="F1179">
        <v>21</v>
      </c>
      <c r="G1179">
        <v>1261.05</v>
      </c>
      <c r="H1179" t="s">
        <v>18</v>
      </c>
      <c r="I1179" t="str">
        <f t="shared" si="55"/>
        <v>Low Value</v>
      </c>
      <c r="J1179" t="str">
        <f t="shared" si="56"/>
        <v>Medium Risk</v>
      </c>
      <c r="K1179" s="3" t="str">
        <f t="shared" si="54"/>
        <v>1-2 Years</v>
      </c>
    </row>
    <row r="1180" spans="1:11" x14ac:dyDescent="0.3">
      <c r="A1180" t="s">
        <v>1197</v>
      </c>
      <c r="B1180" t="s">
        <v>14</v>
      </c>
      <c r="C1180" t="s">
        <v>10</v>
      </c>
      <c r="D1180" t="s">
        <v>11</v>
      </c>
      <c r="E1180">
        <v>53.75</v>
      </c>
      <c r="F1180">
        <v>57</v>
      </c>
      <c r="G1180">
        <v>3063.75</v>
      </c>
      <c r="H1180" t="s">
        <v>12</v>
      </c>
      <c r="I1180" t="str">
        <f t="shared" si="55"/>
        <v>Medium Value</v>
      </c>
      <c r="J1180" t="str">
        <f t="shared" si="56"/>
        <v>Low Risk</v>
      </c>
      <c r="K1180" s="3" t="str">
        <f t="shared" si="54"/>
        <v>4+ Years</v>
      </c>
    </row>
    <row r="1181" spans="1:11" x14ac:dyDescent="0.3">
      <c r="A1181" t="s">
        <v>1198</v>
      </c>
      <c r="B1181" t="s">
        <v>9</v>
      </c>
      <c r="C1181" t="s">
        <v>15</v>
      </c>
      <c r="D1181" t="s">
        <v>11</v>
      </c>
      <c r="E1181">
        <v>93.45</v>
      </c>
      <c r="F1181">
        <v>53</v>
      </c>
      <c r="G1181">
        <v>4952.8500000000004</v>
      </c>
      <c r="H1181" t="s">
        <v>12</v>
      </c>
      <c r="I1181" t="str">
        <f t="shared" si="55"/>
        <v>Medium Value</v>
      </c>
      <c r="J1181" t="str">
        <f t="shared" si="56"/>
        <v>Low Risk</v>
      </c>
      <c r="K1181" s="3" t="str">
        <f t="shared" si="54"/>
        <v>4+ Years</v>
      </c>
    </row>
    <row r="1182" spans="1:11" x14ac:dyDescent="0.3">
      <c r="A1182" t="s">
        <v>1199</v>
      </c>
      <c r="B1182" t="s">
        <v>14</v>
      </c>
      <c r="C1182" t="s">
        <v>10</v>
      </c>
      <c r="D1182" t="s">
        <v>16</v>
      </c>
      <c r="E1182">
        <v>87.9</v>
      </c>
      <c r="F1182">
        <v>18</v>
      </c>
      <c r="G1182">
        <v>1582.2</v>
      </c>
      <c r="H1182" t="s">
        <v>12</v>
      </c>
      <c r="I1182" t="str">
        <f t="shared" si="55"/>
        <v>Low Value</v>
      </c>
      <c r="J1182" t="str">
        <f t="shared" si="56"/>
        <v>Medium Risk</v>
      </c>
      <c r="K1182" s="3" t="str">
        <f t="shared" si="54"/>
        <v>1-2 Years</v>
      </c>
    </row>
    <row r="1183" spans="1:11" x14ac:dyDescent="0.3">
      <c r="A1183" t="s">
        <v>1200</v>
      </c>
      <c r="B1183" t="s">
        <v>9</v>
      </c>
      <c r="C1183" t="s">
        <v>10</v>
      </c>
      <c r="D1183" t="s">
        <v>11</v>
      </c>
      <c r="E1183">
        <v>60.15</v>
      </c>
      <c r="F1183">
        <v>1</v>
      </c>
      <c r="G1183">
        <v>60.15</v>
      </c>
      <c r="H1183" t="s">
        <v>18</v>
      </c>
      <c r="I1183" t="str">
        <f t="shared" si="55"/>
        <v>Low Value</v>
      </c>
      <c r="J1183" t="str">
        <f t="shared" si="56"/>
        <v>High Risk</v>
      </c>
      <c r="K1183" s="3" t="str">
        <f t="shared" si="54"/>
        <v>0-1 Year</v>
      </c>
    </row>
    <row r="1184" spans="1:11" x14ac:dyDescent="0.3">
      <c r="A1184" t="s">
        <v>1201</v>
      </c>
      <c r="B1184" t="s">
        <v>9</v>
      </c>
      <c r="C1184" t="s">
        <v>15</v>
      </c>
      <c r="D1184" t="s">
        <v>20</v>
      </c>
      <c r="E1184">
        <v>61.05</v>
      </c>
      <c r="F1184">
        <v>58</v>
      </c>
      <c r="G1184">
        <v>3540.8999999999901</v>
      </c>
      <c r="H1184" t="s">
        <v>12</v>
      </c>
      <c r="I1184" t="str">
        <f t="shared" si="55"/>
        <v>Medium Value</v>
      </c>
      <c r="J1184" t="str">
        <f t="shared" si="56"/>
        <v>Low Risk</v>
      </c>
      <c r="K1184" s="3" t="str">
        <f t="shared" si="54"/>
        <v>4+ Years</v>
      </c>
    </row>
    <row r="1185" spans="1:11" x14ac:dyDescent="0.3">
      <c r="A1185" t="s">
        <v>1202</v>
      </c>
      <c r="B1185" t="s">
        <v>9</v>
      </c>
      <c r="C1185" t="s">
        <v>30</v>
      </c>
      <c r="D1185" t="s">
        <v>20</v>
      </c>
      <c r="E1185">
        <v>104.05</v>
      </c>
      <c r="F1185">
        <v>71</v>
      </c>
      <c r="G1185">
        <v>7387.55</v>
      </c>
      <c r="H1185" t="s">
        <v>12</v>
      </c>
      <c r="I1185" t="str">
        <f t="shared" si="55"/>
        <v>High Value</v>
      </c>
      <c r="J1185" t="str">
        <f t="shared" si="56"/>
        <v>Low Risk</v>
      </c>
      <c r="K1185" s="3" t="str">
        <f t="shared" si="54"/>
        <v>4+ Years</v>
      </c>
    </row>
    <row r="1186" spans="1:11" x14ac:dyDescent="0.3">
      <c r="A1186" t="s">
        <v>1203</v>
      </c>
      <c r="B1186" t="s">
        <v>9</v>
      </c>
      <c r="C1186" t="s">
        <v>15</v>
      </c>
      <c r="D1186" t="s">
        <v>11</v>
      </c>
      <c r="E1186">
        <v>99.25</v>
      </c>
      <c r="F1186">
        <v>35</v>
      </c>
      <c r="G1186">
        <v>3473.75</v>
      </c>
      <c r="H1186" t="s">
        <v>12</v>
      </c>
      <c r="I1186" t="str">
        <f t="shared" si="55"/>
        <v>Medium Value</v>
      </c>
      <c r="J1186" t="str">
        <f t="shared" si="56"/>
        <v>Low Risk</v>
      </c>
      <c r="K1186" s="3" t="str">
        <f t="shared" si="54"/>
        <v>2-4 Years</v>
      </c>
    </row>
    <row r="1187" spans="1:11" x14ac:dyDescent="0.3">
      <c r="A1187" t="s">
        <v>1204</v>
      </c>
      <c r="B1187" t="s">
        <v>14</v>
      </c>
      <c r="C1187" t="s">
        <v>10</v>
      </c>
      <c r="D1187" t="s">
        <v>24</v>
      </c>
      <c r="E1187">
        <v>85.7</v>
      </c>
      <c r="F1187">
        <v>3</v>
      </c>
      <c r="G1187">
        <v>257.10000000000002</v>
      </c>
      <c r="H1187" t="s">
        <v>12</v>
      </c>
      <c r="I1187" t="str">
        <f t="shared" si="55"/>
        <v>Low Value</v>
      </c>
      <c r="J1187" t="str">
        <f t="shared" si="56"/>
        <v>High Risk</v>
      </c>
      <c r="K1187" s="3" t="str">
        <f t="shared" si="54"/>
        <v>0-1 Year</v>
      </c>
    </row>
    <row r="1188" spans="1:11" x14ac:dyDescent="0.3">
      <c r="A1188" t="s">
        <v>1205</v>
      </c>
      <c r="B1188" t="s">
        <v>14</v>
      </c>
      <c r="C1188" t="s">
        <v>15</v>
      </c>
      <c r="D1188" t="s">
        <v>11</v>
      </c>
      <c r="E1188">
        <v>104.85</v>
      </c>
      <c r="F1188">
        <v>38</v>
      </c>
      <c r="G1188">
        <v>3984.2999999999902</v>
      </c>
      <c r="H1188" t="s">
        <v>12</v>
      </c>
      <c r="I1188" t="str">
        <f t="shared" si="55"/>
        <v>Medium Value</v>
      </c>
      <c r="J1188" t="str">
        <f t="shared" si="56"/>
        <v>Low Risk</v>
      </c>
      <c r="K1188" s="3" t="str">
        <f t="shared" si="54"/>
        <v>2-4 Years</v>
      </c>
    </row>
    <row r="1189" spans="1:11" x14ac:dyDescent="0.3">
      <c r="A1189" t="s">
        <v>1206</v>
      </c>
      <c r="B1189" t="s">
        <v>14</v>
      </c>
      <c r="C1189" t="s">
        <v>30</v>
      </c>
      <c r="D1189" t="s">
        <v>24</v>
      </c>
      <c r="E1189">
        <v>69.150000000000006</v>
      </c>
      <c r="F1189">
        <v>35</v>
      </c>
      <c r="G1189">
        <v>2420.25</v>
      </c>
      <c r="H1189" t="s">
        <v>12</v>
      </c>
      <c r="I1189" t="str">
        <f t="shared" si="55"/>
        <v>Medium Value</v>
      </c>
      <c r="J1189" t="str">
        <f t="shared" si="56"/>
        <v>Low Risk</v>
      </c>
      <c r="K1189" s="3" t="str">
        <f t="shared" si="54"/>
        <v>2-4 Years</v>
      </c>
    </row>
    <row r="1190" spans="1:11" x14ac:dyDescent="0.3">
      <c r="A1190" t="s">
        <v>1207</v>
      </c>
      <c r="B1190" t="s">
        <v>14</v>
      </c>
      <c r="C1190" t="s">
        <v>10</v>
      </c>
      <c r="D1190" t="s">
        <v>11</v>
      </c>
      <c r="E1190">
        <v>90.45</v>
      </c>
      <c r="F1190">
        <v>7</v>
      </c>
      <c r="G1190">
        <v>633.15</v>
      </c>
      <c r="H1190" t="s">
        <v>18</v>
      </c>
      <c r="I1190" t="str">
        <f t="shared" si="55"/>
        <v>Low Value</v>
      </c>
      <c r="J1190" t="str">
        <f t="shared" si="56"/>
        <v>High Risk</v>
      </c>
      <c r="K1190" s="3" t="str">
        <f t="shared" si="54"/>
        <v>0-1 Year</v>
      </c>
    </row>
    <row r="1191" spans="1:11" x14ac:dyDescent="0.3">
      <c r="A1191" t="s">
        <v>1208</v>
      </c>
      <c r="B1191" t="s">
        <v>9</v>
      </c>
      <c r="C1191" t="s">
        <v>30</v>
      </c>
      <c r="D1191" t="s">
        <v>16</v>
      </c>
      <c r="E1191">
        <v>74.45</v>
      </c>
      <c r="F1191">
        <v>47</v>
      </c>
      <c r="G1191">
        <v>3499.15</v>
      </c>
      <c r="H1191" t="s">
        <v>12</v>
      </c>
      <c r="I1191" t="str">
        <f t="shared" si="55"/>
        <v>Medium Value</v>
      </c>
      <c r="J1191" t="str">
        <f t="shared" si="56"/>
        <v>Low Risk</v>
      </c>
      <c r="K1191" s="3" t="str">
        <f t="shared" si="54"/>
        <v>2-4 Years</v>
      </c>
    </row>
    <row r="1192" spans="1:11" x14ac:dyDescent="0.3">
      <c r="A1192" t="s">
        <v>1209</v>
      </c>
      <c r="B1192" t="s">
        <v>9</v>
      </c>
      <c r="C1192" t="s">
        <v>10</v>
      </c>
      <c r="D1192" t="s">
        <v>11</v>
      </c>
      <c r="E1192">
        <v>50.45</v>
      </c>
      <c r="F1192">
        <v>14</v>
      </c>
      <c r="G1192">
        <v>706.3</v>
      </c>
      <c r="H1192" t="s">
        <v>12</v>
      </c>
      <c r="I1192" t="str">
        <f t="shared" si="55"/>
        <v>Low Value</v>
      </c>
      <c r="J1192" t="str">
        <f t="shared" si="56"/>
        <v>Medium Risk</v>
      </c>
      <c r="K1192" s="3" t="str">
        <f t="shared" si="54"/>
        <v>1-2 Years</v>
      </c>
    </row>
    <row r="1193" spans="1:11" x14ac:dyDescent="0.3">
      <c r="A1193" t="s">
        <v>1210</v>
      </c>
      <c r="B1193" t="s">
        <v>9</v>
      </c>
      <c r="C1193" t="s">
        <v>10</v>
      </c>
      <c r="D1193" t="s">
        <v>11</v>
      </c>
      <c r="E1193">
        <v>60</v>
      </c>
      <c r="F1193">
        <v>20</v>
      </c>
      <c r="G1193">
        <v>1200</v>
      </c>
      <c r="H1193" t="s">
        <v>12</v>
      </c>
      <c r="I1193" t="str">
        <f t="shared" si="55"/>
        <v>Low Value</v>
      </c>
      <c r="J1193" t="str">
        <f t="shared" si="56"/>
        <v>Medium Risk</v>
      </c>
      <c r="K1193" s="3" t="str">
        <f t="shared" si="54"/>
        <v>1-2 Years</v>
      </c>
    </row>
    <row r="1194" spans="1:11" x14ac:dyDescent="0.3">
      <c r="A1194" t="s">
        <v>1211</v>
      </c>
      <c r="B1194" t="s">
        <v>14</v>
      </c>
      <c r="C1194" t="s">
        <v>30</v>
      </c>
      <c r="D1194" t="s">
        <v>11</v>
      </c>
      <c r="E1194">
        <v>85.25</v>
      </c>
      <c r="F1194">
        <v>66</v>
      </c>
      <c r="G1194">
        <v>5626.5</v>
      </c>
      <c r="H1194" t="s">
        <v>12</v>
      </c>
      <c r="I1194" t="str">
        <f t="shared" si="55"/>
        <v>High Value</v>
      </c>
      <c r="J1194" t="str">
        <f t="shared" si="56"/>
        <v>Low Risk</v>
      </c>
      <c r="K1194" s="3" t="str">
        <f t="shared" si="54"/>
        <v>4+ Years</v>
      </c>
    </row>
    <row r="1195" spans="1:11" x14ac:dyDescent="0.3">
      <c r="A1195" t="s">
        <v>1212</v>
      </c>
      <c r="B1195" t="s">
        <v>14</v>
      </c>
      <c r="C1195" t="s">
        <v>10</v>
      </c>
      <c r="D1195" t="s">
        <v>24</v>
      </c>
      <c r="E1195">
        <v>19.45</v>
      </c>
      <c r="F1195">
        <v>15</v>
      </c>
      <c r="G1195">
        <v>291.75</v>
      </c>
      <c r="H1195" t="s">
        <v>12</v>
      </c>
      <c r="I1195" t="str">
        <f t="shared" si="55"/>
        <v>Low Value</v>
      </c>
      <c r="J1195" t="str">
        <f t="shared" si="56"/>
        <v>Medium Risk</v>
      </c>
      <c r="K1195" s="3" t="str">
        <f t="shared" si="54"/>
        <v>1-2 Years</v>
      </c>
    </row>
    <row r="1196" spans="1:11" x14ac:dyDescent="0.3">
      <c r="A1196" t="s">
        <v>1213</v>
      </c>
      <c r="B1196" t="s">
        <v>9</v>
      </c>
      <c r="C1196" t="s">
        <v>30</v>
      </c>
      <c r="D1196" t="s">
        <v>20</v>
      </c>
      <c r="E1196">
        <v>20.75</v>
      </c>
      <c r="F1196">
        <v>42</v>
      </c>
      <c r="G1196">
        <v>871.5</v>
      </c>
      <c r="H1196" t="s">
        <v>12</v>
      </c>
      <c r="I1196" t="str">
        <f t="shared" si="55"/>
        <v>Low Value</v>
      </c>
      <c r="J1196" t="str">
        <f t="shared" si="56"/>
        <v>Low Risk</v>
      </c>
      <c r="K1196" s="3" t="str">
        <f t="shared" si="54"/>
        <v>2-4 Years</v>
      </c>
    </row>
    <row r="1197" spans="1:11" x14ac:dyDescent="0.3">
      <c r="A1197" t="s">
        <v>1214</v>
      </c>
      <c r="B1197" t="s">
        <v>9</v>
      </c>
      <c r="C1197" t="s">
        <v>10</v>
      </c>
      <c r="D1197" t="s">
        <v>11</v>
      </c>
      <c r="E1197">
        <v>78.900000000000006</v>
      </c>
      <c r="F1197">
        <v>17</v>
      </c>
      <c r="G1197">
        <v>1341.3</v>
      </c>
      <c r="H1197" t="s">
        <v>12</v>
      </c>
      <c r="I1197" t="str">
        <f t="shared" si="55"/>
        <v>Low Value</v>
      </c>
      <c r="J1197" t="str">
        <f t="shared" si="56"/>
        <v>Medium Risk</v>
      </c>
      <c r="K1197" s="3" t="str">
        <f t="shared" si="54"/>
        <v>1-2 Years</v>
      </c>
    </row>
    <row r="1198" spans="1:11" x14ac:dyDescent="0.3">
      <c r="A1198" t="s">
        <v>1215</v>
      </c>
      <c r="B1198" t="s">
        <v>14</v>
      </c>
      <c r="C1198" t="s">
        <v>15</v>
      </c>
      <c r="D1198" t="s">
        <v>24</v>
      </c>
      <c r="E1198">
        <v>104.5</v>
      </c>
      <c r="F1198">
        <v>37</v>
      </c>
      <c r="G1198">
        <v>3866.5</v>
      </c>
      <c r="H1198" t="s">
        <v>12</v>
      </c>
      <c r="I1198" t="str">
        <f t="shared" si="55"/>
        <v>Medium Value</v>
      </c>
      <c r="J1198" t="str">
        <f t="shared" si="56"/>
        <v>Low Risk</v>
      </c>
      <c r="K1198" s="3" t="str">
        <f t="shared" si="54"/>
        <v>2-4 Years</v>
      </c>
    </row>
    <row r="1199" spans="1:11" x14ac:dyDescent="0.3">
      <c r="A1199" t="s">
        <v>1216</v>
      </c>
      <c r="B1199" t="s">
        <v>9</v>
      </c>
      <c r="C1199" t="s">
        <v>10</v>
      </c>
      <c r="D1199" t="s">
        <v>11</v>
      </c>
      <c r="E1199">
        <v>49.4</v>
      </c>
      <c r="F1199">
        <v>12</v>
      </c>
      <c r="G1199">
        <v>592.79999999999995</v>
      </c>
      <c r="H1199" t="s">
        <v>12</v>
      </c>
      <c r="I1199" t="str">
        <f t="shared" si="55"/>
        <v>Low Value</v>
      </c>
      <c r="J1199" t="str">
        <f t="shared" si="56"/>
        <v>Medium Risk</v>
      </c>
      <c r="K1199" s="3" t="str">
        <f t="shared" si="54"/>
        <v>0-1 Year</v>
      </c>
    </row>
    <row r="1200" spans="1:11" x14ac:dyDescent="0.3">
      <c r="A1200" t="s">
        <v>1217</v>
      </c>
      <c r="B1200" t="s">
        <v>14</v>
      </c>
      <c r="C1200" t="s">
        <v>15</v>
      </c>
      <c r="D1200" t="s">
        <v>20</v>
      </c>
      <c r="E1200">
        <v>94.25</v>
      </c>
      <c r="F1200">
        <v>53</v>
      </c>
      <c r="G1200">
        <v>4995.25</v>
      </c>
      <c r="H1200" t="s">
        <v>18</v>
      </c>
      <c r="I1200" t="str">
        <f t="shared" si="55"/>
        <v>Medium Value</v>
      </c>
      <c r="J1200" t="str">
        <f t="shared" si="56"/>
        <v>Low Risk</v>
      </c>
      <c r="K1200" s="3" t="str">
        <f t="shared" si="54"/>
        <v>4+ Years</v>
      </c>
    </row>
    <row r="1201" spans="1:11" x14ac:dyDescent="0.3">
      <c r="A1201" t="s">
        <v>1218</v>
      </c>
      <c r="B1201" t="s">
        <v>9</v>
      </c>
      <c r="C1201" t="s">
        <v>30</v>
      </c>
      <c r="D1201" t="s">
        <v>16</v>
      </c>
      <c r="E1201">
        <v>25</v>
      </c>
      <c r="F1201">
        <v>60</v>
      </c>
      <c r="G1201">
        <v>1500</v>
      </c>
      <c r="H1201" t="s">
        <v>12</v>
      </c>
      <c r="I1201" t="str">
        <f t="shared" si="55"/>
        <v>Low Value</v>
      </c>
      <c r="J1201" t="str">
        <f t="shared" si="56"/>
        <v>Low Risk</v>
      </c>
      <c r="K1201" s="3" t="str">
        <f t="shared" si="54"/>
        <v>4+ Years</v>
      </c>
    </row>
    <row r="1202" spans="1:11" x14ac:dyDescent="0.3">
      <c r="A1202" t="s">
        <v>1219</v>
      </c>
      <c r="B1202" t="s">
        <v>14</v>
      </c>
      <c r="C1202" t="s">
        <v>10</v>
      </c>
      <c r="D1202" t="s">
        <v>24</v>
      </c>
      <c r="E1202">
        <v>25.55</v>
      </c>
      <c r="F1202">
        <v>18</v>
      </c>
      <c r="G1202">
        <v>459.9</v>
      </c>
      <c r="H1202" t="s">
        <v>12</v>
      </c>
      <c r="I1202" t="str">
        <f t="shared" si="55"/>
        <v>Low Value</v>
      </c>
      <c r="J1202" t="str">
        <f t="shared" si="56"/>
        <v>Medium Risk</v>
      </c>
      <c r="K1202" s="3" t="str">
        <f t="shared" si="54"/>
        <v>1-2 Years</v>
      </c>
    </row>
    <row r="1203" spans="1:11" x14ac:dyDescent="0.3">
      <c r="A1203" t="s">
        <v>1220</v>
      </c>
      <c r="B1203" t="s">
        <v>14</v>
      </c>
      <c r="C1203" t="s">
        <v>10</v>
      </c>
      <c r="D1203" t="s">
        <v>11</v>
      </c>
      <c r="E1203">
        <v>74.900000000000006</v>
      </c>
      <c r="F1203">
        <v>1</v>
      </c>
      <c r="G1203">
        <v>74.900000000000006</v>
      </c>
      <c r="H1203" t="s">
        <v>18</v>
      </c>
      <c r="I1203" t="str">
        <f t="shared" si="55"/>
        <v>Low Value</v>
      </c>
      <c r="J1203" t="str">
        <f t="shared" si="56"/>
        <v>High Risk</v>
      </c>
      <c r="K1203" s="3" t="str">
        <f t="shared" si="54"/>
        <v>0-1 Year</v>
      </c>
    </row>
    <row r="1204" spans="1:11" x14ac:dyDescent="0.3">
      <c r="A1204" t="s">
        <v>1221</v>
      </c>
      <c r="B1204" t="s">
        <v>9</v>
      </c>
      <c r="C1204" t="s">
        <v>10</v>
      </c>
      <c r="D1204" t="s">
        <v>11</v>
      </c>
      <c r="E1204">
        <v>70.150000000000006</v>
      </c>
      <c r="F1204">
        <v>3</v>
      </c>
      <c r="G1204">
        <v>210.45</v>
      </c>
      <c r="H1204" t="s">
        <v>12</v>
      </c>
      <c r="I1204" t="str">
        <f t="shared" si="55"/>
        <v>Low Value</v>
      </c>
      <c r="J1204" t="str">
        <f t="shared" si="56"/>
        <v>High Risk</v>
      </c>
      <c r="K1204" s="3" t="str">
        <f t="shared" si="54"/>
        <v>0-1 Year</v>
      </c>
    </row>
    <row r="1205" spans="1:11" x14ac:dyDescent="0.3">
      <c r="A1205" t="s">
        <v>1222</v>
      </c>
      <c r="B1205" t="s">
        <v>9</v>
      </c>
      <c r="C1205" t="s">
        <v>10</v>
      </c>
      <c r="D1205" t="s">
        <v>24</v>
      </c>
      <c r="E1205">
        <v>69.400000000000006</v>
      </c>
      <c r="F1205">
        <v>9</v>
      </c>
      <c r="G1205">
        <v>624.6</v>
      </c>
      <c r="H1205" t="s">
        <v>12</v>
      </c>
      <c r="I1205" t="str">
        <f t="shared" si="55"/>
        <v>Low Value</v>
      </c>
      <c r="J1205" t="str">
        <f t="shared" si="56"/>
        <v>High Risk</v>
      </c>
      <c r="K1205" s="3" t="str">
        <f t="shared" si="54"/>
        <v>0-1 Year</v>
      </c>
    </row>
    <row r="1206" spans="1:11" x14ac:dyDescent="0.3">
      <c r="A1206" t="s">
        <v>1223</v>
      </c>
      <c r="B1206" t="s">
        <v>9</v>
      </c>
      <c r="C1206" t="s">
        <v>10</v>
      </c>
      <c r="D1206" t="s">
        <v>11</v>
      </c>
      <c r="E1206">
        <v>80.25</v>
      </c>
      <c r="F1206">
        <v>1</v>
      </c>
      <c r="G1206">
        <v>80.25</v>
      </c>
      <c r="H1206" t="s">
        <v>18</v>
      </c>
      <c r="I1206" t="str">
        <f t="shared" si="55"/>
        <v>Low Value</v>
      </c>
      <c r="J1206" t="str">
        <f t="shared" si="56"/>
        <v>High Risk</v>
      </c>
      <c r="K1206" s="3" t="str">
        <f t="shared" si="54"/>
        <v>0-1 Year</v>
      </c>
    </row>
    <row r="1207" spans="1:11" x14ac:dyDescent="0.3">
      <c r="A1207" t="s">
        <v>1224</v>
      </c>
      <c r="B1207" t="s">
        <v>14</v>
      </c>
      <c r="C1207" t="s">
        <v>15</v>
      </c>
      <c r="D1207" t="s">
        <v>11</v>
      </c>
      <c r="E1207">
        <v>93.15</v>
      </c>
      <c r="F1207">
        <v>56</v>
      </c>
      <c r="G1207">
        <v>5216.3999999999996</v>
      </c>
      <c r="H1207" t="s">
        <v>12</v>
      </c>
      <c r="I1207" t="str">
        <f t="shared" si="55"/>
        <v>High Value</v>
      </c>
      <c r="J1207" t="str">
        <f t="shared" si="56"/>
        <v>Low Risk</v>
      </c>
      <c r="K1207" s="3" t="str">
        <f t="shared" si="54"/>
        <v>4+ Years</v>
      </c>
    </row>
    <row r="1208" spans="1:11" x14ac:dyDescent="0.3">
      <c r="A1208" t="s">
        <v>1225</v>
      </c>
      <c r="B1208" t="s">
        <v>14</v>
      </c>
      <c r="C1208" t="s">
        <v>10</v>
      </c>
      <c r="D1208" t="s">
        <v>11</v>
      </c>
      <c r="E1208">
        <v>69</v>
      </c>
      <c r="F1208">
        <v>17</v>
      </c>
      <c r="G1208">
        <v>1173</v>
      </c>
      <c r="H1208" t="s">
        <v>18</v>
      </c>
      <c r="I1208" t="str">
        <f t="shared" si="55"/>
        <v>Low Value</v>
      </c>
      <c r="J1208" t="str">
        <f t="shared" si="56"/>
        <v>Medium Risk</v>
      </c>
      <c r="K1208" s="3" t="str">
        <f t="shared" si="54"/>
        <v>1-2 Years</v>
      </c>
    </row>
    <row r="1209" spans="1:11" x14ac:dyDescent="0.3">
      <c r="A1209" t="s">
        <v>1226</v>
      </c>
      <c r="B1209" t="s">
        <v>9</v>
      </c>
      <c r="C1209" t="s">
        <v>10</v>
      </c>
      <c r="D1209" t="s">
        <v>11</v>
      </c>
      <c r="E1209">
        <v>66.349999999999994</v>
      </c>
      <c r="F1209">
        <v>11</v>
      </c>
      <c r="G1209">
        <v>729.849999999999</v>
      </c>
      <c r="H1209" t="s">
        <v>18</v>
      </c>
      <c r="I1209" t="str">
        <f t="shared" si="55"/>
        <v>Low Value</v>
      </c>
      <c r="J1209" t="str">
        <f t="shared" si="56"/>
        <v>High Risk</v>
      </c>
      <c r="K1209" s="3" t="str">
        <f t="shared" si="54"/>
        <v>0-1 Year</v>
      </c>
    </row>
    <row r="1210" spans="1:11" x14ac:dyDescent="0.3">
      <c r="A1210" t="s">
        <v>1227</v>
      </c>
      <c r="B1210" t="s">
        <v>14</v>
      </c>
      <c r="C1210" t="s">
        <v>10</v>
      </c>
      <c r="D1210" t="s">
        <v>11</v>
      </c>
      <c r="E1210">
        <v>69.55</v>
      </c>
      <c r="F1210">
        <v>7</v>
      </c>
      <c r="G1210">
        <v>486.849999999999</v>
      </c>
      <c r="H1210" t="s">
        <v>12</v>
      </c>
      <c r="I1210" t="str">
        <f t="shared" si="55"/>
        <v>Low Value</v>
      </c>
      <c r="J1210" t="str">
        <f t="shared" si="56"/>
        <v>High Risk</v>
      </c>
      <c r="K1210" s="3" t="str">
        <f t="shared" si="54"/>
        <v>0-1 Year</v>
      </c>
    </row>
    <row r="1211" spans="1:11" x14ac:dyDescent="0.3">
      <c r="A1211" t="s">
        <v>1228</v>
      </c>
      <c r="B1211" t="s">
        <v>9</v>
      </c>
      <c r="C1211" t="s">
        <v>30</v>
      </c>
      <c r="D1211" t="s">
        <v>20</v>
      </c>
      <c r="E1211">
        <v>20.2</v>
      </c>
      <c r="F1211">
        <v>69</v>
      </c>
      <c r="G1211">
        <v>1393.8</v>
      </c>
      <c r="H1211" t="s">
        <v>12</v>
      </c>
      <c r="I1211" t="str">
        <f t="shared" si="55"/>
        <v>Low Value</v>
      </c>
      <c r="J1211" t="str">
        <f t="shared" si="56"/>
        <v>Low Risk</v>
      </c>
      <c r="K1211" s="3" t="str">
        <f t="shared" si="54"/>
        <v>4+ Years</v>
      </c>
    </row>
    <row r="1212" spans="1:11" x14ac:dyDescent="0.3">
      <c r="A1212" t="s">
        <v>1229</v>
      </c>
      <c r="B1212" t="s">
        <v>14</v>
      </c>
      <c r="C1212" t="s">
        <v>10</v>
      </c>
      <c r="D1212" t="s">
        <v>20</v>
      </c>
      <c r="E1212">
        <v>86</v>
      </c>
      <c r="F1212">
        <v>19</v>
      </c>
      <c r="G1212">
        <v>1634</v>
      </c>
      <c r="H1212" t="s">
        <v>18</v>
      </c>
      <c r="I1212" t="str">
        <f t="shared" si="55"/>
        <v>Low Value</v>
      </c>
      <c r="J1212" t="str">
        <f t="shared" si="56"/>
        <v>Medium Risk</v>
      </c>
      <c r="K1212" s="3" t="str">
        <f t="shared" si="54"/>
        <v>1-2 Years</v>
      </c>
    </row>
    <row r="1213" spans="1:11" x14ac:dyDescent="0.3">
      <c r="A1213" t="s">
        <v>1230</v>
      </c>
      <c r="B1213" t="s">
        <v>9</v>
      </c>
      <c r="C1213" t="s">
        <v>10</v>
      </c>
      <c r="D1213" t="s">
        <v>11</v>
      </c>
      <c r="E1213">
        <v>80.3</v>
      </c>
      <c r="F1213">
        <v>3</v>
      </c>
      <c r="G1213">
        <v>240.89999999999901</v>
      </c>
      <c r="H1213" t="s">
        <v>18</v>
      </c>
      <c r="I1213" t="str">
        <f t="shared" si="55"/>
        <v>Low Value</v>
      </c>
      <c r="J1213" t="str">
        <f t="shared" si="56"/>
        <v>High Risk</v>
      </c>
      <c r="K1213" s="3" t="str">
        <f t="shared" si="54"/>
        <v>0-1 Year</v>
      </c>
    </row>
    <row r="1214" spans="1:11" x14ac:dyDescent="0.3">
      <c r="A1214" t="s">
        <v>1231</v>
      </c>
      <c r="B1214" t="s">
        <v>14</v>
      </c>
      <c r="C1214" t="s">
        <v>30</v>
      </c>
      <c r="D1214" t="s">
        <v>24</v>
      </c>
      <c r="E1214">
        <v>20.399999999999999</v>
      </c>
      <c r="F1214">
        <v>54</v>
      </c>
      <c r="G1214">
        <v>1101.5999999999999</v>
      </c>
      <c r="H1214" t="s">
        <v>12</v>
      </c>
      <c r="I1214" t="str">
        <f t="shared" si="55"/>
        <v>Low Value</v>
      </c>
      <c r="J1214" t="str">
        <f t="shared" si="56"/>
        <v>Low Risk</v>
      </c>
      <c r="K1214" s="3" t="str">
        <f t="shared" si="54"/>
        <v>4+ Years</v>
      </c>
    </row>
    <row r="1215" spans="1:11" x14ac:dyDescent="0.3">
      <c r="A1215" t="s">
        <v>1232</v>
      </c>
      <c r="B1215" t="s">
        <v>14</v>
      </c>
      <c r="C1215" t="s">
        <v>15</v>
      </c>
      <c r="D1215" t="s">
        <v>24</v>
      </c>
      <c r="E1215">
        <v>23.75</v>
      </c>
      <c r="F1215">
        <v>62</v>
      </c>
      <c r="G1215">
        <v>1472.5</v>
      </c>
      <c r="H1215" t="s">
        <v>12</v>
      </c>
      <c r="I1215" t="str">
        <f t="shared" si="55"/>
        <v>Low Value</v>
      </c>
      <c r="J1215" t="str">
        <f t="shared" si="56"/>
        <v>Low Risk</v>
      </c>
      <c r="K1215" s="3" t="str">
        <f t="shared" si="54"/>
        <v>4+ Years</v>
      </c>
    </row>
    <row r="1216" spans="1:11" x14ac:dyDescent="0.3">
      <c r="A1216" t="s">
        <v>1233</v>
      </c>
      <c r="B1216" t="s">
        <v>14</v>
      </c>
      <c r="C1216" t="s">
        <v>10</v>
      </c>
      <c r="D1216" t="s">
        <v>24</v>
      </c>
      <c r="E1216">
        <v>90.55</v>
      </c>
      <c r="F1216">
        <v>24</v>
      </c>
      <c r="G1216">
        <v>2173.1999999999998</v>
      </c>
      <c r="H1216" t="s">
        <v>18</v>
      </c>
      <c r="I1216" t="str">
        <f t="shared" si="55"/>
        <v>Medium Value</v>
      </c>
      <c r="J1216" t="str">
        <f t="shared" si="56"/>
        <v>Low Risk</v>
      </c>
      <c r="K1216" s="3" t="str">
        <f t="shared" si="54"/>
        <v>1-2 Years</v>
      </c>
    </row>
    <row r="1217" spans="1:11" x14ac:dyDescent="0.3">
      <c r="A1217" t="s">
        <v>1234</v>
      </c>
      <c r="B1217" t="s">
        <v>9</v>
      </c>
      <c r="C1217" t="s">
        <v>10</v>
      </c>
      <c r="D1217" t="s">
        <v>24</v>
      </c>
      <c r="E1217">
        <v>70.45</v>
      </c>
      <c r="F1217">
        <v>62</v>
      </c>
      <c r="G1217">
        <v>4367.8999999999996</v>
      </c>
      <c r="H1217" t="s">
        <v>12</v>
      </c>
      <c r="I1217" t="str">
        <f t="shared" si="55"/>
        <v>Medium Value</v>
      </c>
      <c r="J1217" t="str">
        <f t="shared" si="56"/>
        <v>Low Risk</v>
      </c>
      <c r="K1217" s="3" t="str">
        <f t="shared" si="54"/>
        <v>4+ Years</v>
      </c>
    </row>
    <row r="1218" spans="1:11" x14ac:dyDescent="0.3">
      <c r="A1218" t="s">
        <v>1235</v>
      </c>
      <c r="B1218" t="s">
        <v>14</v>
      </c>
      <c r="C1218" t="s">
        <v>10</v>
      </c>
      <c r="D1218" t="s">
        <v>20</v>
      </c>
      <c r="E1218">
        <v>65.75</v>
      </c>
      <c r="F1218">
        <v>17</v>
      </c>
      <c r="G1218">
        <v>1117.75</v>
      </c>
      <c r="H1218" t="s">
        <v>12</v>
      </c>
      <c r="I1218" t="str">
        <f t="shared" si="55"/>
        <v>Low Value</v>
      </c>
      <c r="J1218" t="str">
        <f t="shared" si="56"/>
        <v>Medium Risk</v>
      </c>
      <c r="K1218" s="3" t="str">
        <f t="shared" si="54"/>
        <v>1-2 Years</v>
      </c>
    </row>
    <row r="1219" spans="1:11" x14ac:dyDescent="0.3">
      <c r="A1219" t="s">
        <v>1236</v>
      </c>
      <c r="B1219" t="s">
        <v>14</v>
      </c>
      <c r="C1219" t="s">
        <v>10</v>
      </c>
      <c r="D1219" t="s">
        <v>16</v>
      </c>
      <c r="E1219">
        <v>24.6</v>
      </c>
      <c r="F1219">
        <v>9</v>
      </c>
      <c r="G1219">
        <v>221.4</v>
      </c>
      <c r="H1219" t="s">
        <v>12</v>
      </c>
      <c r="I1219" t="str">
        <f t="shared" si="55"/>
        <v>Low Value</v>
      </c>
      <c r="J1219" t="str">
        <f t="shared" si="56"/>
        <v>High Risk</v>
      </c>
      <c r="K1219" s="3" t="str">
        <f t="shared" ref="K1219:K1282" si="57">IF(F1219&lt;=12,"0-1 Year",
IF(F1219&lt;=24,"1-2 Years",
IF(F1219&lt;=48,"2-4 Years","4+ Years")))</f>
        <v>0-1 Year</v>
      </c>
    </row>
    <row r="1220" spans="1:11" x14ac:dyDescent="0.3">
      <c r="A1220" t="s">
        <v>1237</v>
      </c>
      <c r="B1220" t="s">
        <v>14</v>
      </c>
      <c r="C1220" t="s">
        <v>30</v>
      </c>
      <c r="D1220" t="s">
        <v>16</v>
      </c>
      <c r="E1220">
        <v>69.25</v>
      </c>
      <c r="F1220">
        <v>64</v>
      </c>
      <c r="G1220">
        <v>4432</v>
      </c>
      <c r="H1220" t="s">
        <v>12</v>
      </c>
      <c r="I1220" t="str">
        <f t="shared" ref="I1220:I1283" si="58">IF(G1220&gt;5000,"High Value",
IF(G1220&gt;2000,"Medium Value","Low Value"))</f>
        <v>Medium Value</v>
      </c>
      <c r="J1220" t="str">
        <f t="shared" ref="J1220:J1283" si="59">IF(F1220&lt;12,"High Risk",
IF(F1220&lt;24,"Medium Risk","Low Risk"))</f>
        <v>Low Risk</v>
      </c>
      <c r="K1220" s="3" t="str">
        <f t="shared" si="57"/>
        <v>4+ Years</v>
      </c>
    </row>
    <row r="1221" spans="1:11" x14ac:dyDescent="0.3">
      <c r="A1221" t="s">
        <v>1238</v>
      </c>
      <c r="B1221" t="s">
        <v>9</v>
      </c>
      <c r="C1221" t="s">
        <v>10</v>
      </c>
      <c r="D1221" t="s">
        <v>11</v>
      </c>
      <c r="E1221">
        <v>75.900000000000006</v>
      </c>
      <c r="F1221">
        <v>2</v>
      </c>
      <c r="G1221">
        <v>151.80000000000001</v>
      </c>
      <c r="H1221" t="s">
        <v>18</v>
      </c>
      <c r="I1221" t="str">
        <f t="shared" si="58"/>
        <v>Low Value</v>
      </c>
      <c r="J1221" t="str">
        <f t="shared" si="59"/>
        <v>High Risk</v>
      </c>
      <c r="K1221" s="3" t="str">
        <f t="shared" si="57"/>
        <v>0-1 Year</v>
      </c>
    </row>
    <row r="1222" spans="1:11" x14ac:dyDescent="0.3">
      <c r="A1222" t="s">
        <v>1239</v>
      </c>
      <c r="B1222" t="s">
        <v>14</v>
      </c>
      <c r="C1222" t="s">
        <v>10</v>
      </c>
      <c r="D1222" t="s">
        <v>16</v>
      </c>
      <c r="E1222">
        <v>45.85</v>
      </c>
      <c r="F1222">
        <v>1</v>
      </c>
      <c r="G1222">
        <v>45.85</v>
      </c>
      <c r="H1222" t="s">
        <v>18</v>
      </c>
      <c r="I1222" t="str">
        <f t="shared" si="58"/>
        <v>Low Value</v>
      </c>
      <c r="J1222" t="str">
        <f t="shared" si="59"/>
        <v>High Risk</v>
      </c>
      <c r="K1222" s="3" t="str">
        <f t="shared" si="57"/>
        <v>0-1 Year</v>
      </c>
    </row>
    <row r="1223" spans="1:11" x14ac:dyDescent="0.3">
      <c r="A1223" t="s">
        <v>1240</v>
      </c>
      <c r="B1223" t="s">
        <v>9</v>
      </c>
      <c r="C1223" t="s">
        <v>10</v>
      </c>
      <c r="D1223" t="s">
        <v>11</v>
      </c>
      <c r="E1223">
        <v>49.95</v>
      </c>
      <c r="F1223">
        <v>16</v>
      </c>
      <c r="G1223">
        <v>799.2</v>
      </c>
      <c r="H1223" t="s">
        <v>18</v>
      </c>
      <c r="I1223" t="str">
        <f t="shared" si="58"/>
        <v>Low Value</v>
      </c>
      <c r="J1223" t="str">
        <f t="shared" si="59"/>
        <v>Medium Risk</v>
      </c>
      <c r="K1223" s="3" t="str">
        <f t="shared" si="57"/>
        <v>1-2 Years</v>
      </c>
    </row>
    <row r="1224" spans="1:11" x14ac:dyDescent="0.3">
      <c r="A1224" t="s">
        <v>1241</v>
      </c>
      <c r="B1224" t="s">
        <v>9</v>
      </c>
      <c r="C1224" t="s">
        <v>30</v>
      </c>
      <c r="D1224" t="s">
        <v>20</v>
      </c>
      <c r="E1224">
        <v>24.65</v>
      </c>
      <c r="F1224">
        <v>72</v>
      </c>
      <c r="G1224">
        <v>1774.8</v>
      </c>
      <c r="H1224" t="s">
        <v>12</v>
      </c>
      <c r="I1224" t="str">
        <f t="shared" si="58"/>
        <v>Low Value</v>
      </c>
      <c r="J1224" t="str">
        <f t="shared" si="59"/>
        <v>Low Risk</v>
      </c>
      <c r="K1224" s="3" t="str">
        <f t="shared" si="57"/>
        <v>4+ Years</v>
      </c>
    </row>
    <row r="1225" spans="1:11" x14ac:dyDescent="0.3">
      <c r="A1225" t="s">
        <v>1242</v>
      </c>
      <c r="B1225" t="s">
        <v>14</v>
      </c>
      <c r="C1225" t="s">
        <v>15</v>
      </c>
      <c r="D1225" t="s">
        <v>20</v>
      </c>
      <c r="E1225">
        <v>90.4</v>
      </c>
      <c r="F1225">
        <v>30</v>
      </c>
      <c r="G1225">
        <v>2712</v>
      </c>
      <c r="H1225" t="s">
        <v>12</v>
      </c>
      <c r="I1225" t="str">
        <f t="shared" si="58"/>
        <v>Medium Value</v>
      </c>
      <c r="J1225" t="str">
        <f t="shared" si="59"/>
        <v>Low Risk</v>
      </c>
      <c r="K1225" s="3" t="str">
        <f t="shared" si="57"/>
        <v>2-4 Years</v>
      </c>
    </row>
    <row r="1226" spans="1:11" x14ac:dyDescent="0.3">
      <c r="A1226" t="s">
        <v>1243</v>
      </c>
      <c r="B1226" t="s">
        <v>9</v>
      </c>
      <c r="C1226" t="s">
        <v>10</v>
      </c>
      <c r="D1226" t="s">
        <v>16</v>
      </c>
      <c r="E1226">
        <v>100.85</v>
      </c>
      <c r="F1226">
        <v>49</v>
      </c>
      <c r="G1226">
        <v>4941.6499999999996</v>
      </c>
      <c r="H1226" t="s">
        <v>12</v>
      </c>
      <c r="I1226" t="str">
        <f t="shared" si="58"/>
        <v>Medium Value</v>
      </c>
      <c r="J1226" t="str">
        <f t="shared" si="59"/>
        <v>Low Risk</v>
      </c>
      <c r="K1226" s="3" t="str">
        <f t="shared" si="57"/>
        <v>4+ Years</v>
      </c>
    </row>
    <row r="1227" spans="1:11" x14ac:dyDescent="0.3">
      <c r="A1227" t="s">
        <v>1244</v>
      </c>
      <c r="B1227" t="s">
        <v>14</v>
      </c>
      <c r="C1227" t="s">
        <v>30</v>
      </c>
      <c r="D1227" t="s">
        <v>24</v>
      </c>
      <c r="E1227">
        <v>75.349999999999994</v>
      </c>
      <c r="F1227">
        <v>61</v>
      </c>
      <c r="G1227">
        <v>4596.3499999999904</v>
      </c>
      <c r="H1227" t="s">
        <v>12</v>
      </c>
      <c r="I1227" t="str">
        <f t="shared" si="58"/>
        <v>Medium Value</v>
      </c>
      <c r="J1227" t="str">
        <f t="shared" si="59"/>
        <v>Low Risk</v>
      </c>
      <c r="K1227" s="3" t="str">
        <f t="shared" si="57"/>
        <v>4+ Years</v>
      </c>
    </row>
    <row r="1228" spans="1:11" x14ac:dyDescent="0.3">
      <c r="A1228" t="s">
        <v>1245</v>
      </c>
      <c r="B1228" t="s">
        <v>14</v>
      </c>
      <c r="C1228" t="s">
        <v>10</v>
      </c>
      <c r="D1228" t="s">
        <v>11</v>
      </c>
      <c r="E1228">
        <v>87.2</v>
      </c>
      <c r="F1228">
        <v>47</v>
      </c>
      <c r="G1228">
        <v>4098.3999999999996</v>
      </c>
      <c r="H1228" t="s">
        <v>12</v>
      </c>
      <c r="I1228" t="str">
        <f t="shared" si="58"/>
        <v>Medium Value</v>
      </c>
      <c r="J1228" t="str">
        <f t="shared" si="59"/>
        <v>Low Risk</v>
      </c>
      <c r="K1228" s="3" t="str">
        <f t="shared" si="57"/>
        <v>2-4 Years</v>
      </c>
    </row>
    <row r="1229" spans="1:11" x14ac:dyDescent="0.3">
      <c r="A1229" t="s">
        <v>1246</v>
      </c>
      <c r="B1229" t="s">
        <v>14</v>
      </c>
      <c r="C1229" t="s">
        <v>10</v>
      </c>
      <c r="D1229" t="s">
        <v>24</v>
      </c>
      <c r="E1229">
        <v>64.400000000000006</v>
      </c>
      <c r="F1229">
        <v>20</v>
      </c>
      <c r="G1229">
        <v>1288</v>
      </c>
      <c r="H1229" t="s">
        <v>12</v>
      </c>
      <c r="I1229" t="str">
        <f t="shared" si="58"/>
        <v>Low Value</v>
      </c>
      <c r="J1229" t="str">
        <f t="shared" si="59"/>
        <v>Medium Risk</v>
      </c>
      <c r="K1229" s="3" t="str">
        <f t="shared" si="57"/>
        <v>1-2 Years</v>
      </c>
    </row>
    <row r="1230" spans="1:11" x14ac:dyDescent="0.3">
      <c r="A1230" t="s">
        <v>1247</v>
      </c>
      <c r="B1230" t="s">
        <v>14</v>
      </c>
      <c r="C1230" t="s">
        <v>10</v>
      </c>
      <c r="D1230" t="s">
        <v>11</v>
      </c>
      <c r="E1230">
        <v>78.3</v>
      </c>
      <c r="F1230">
        <v>34</v>
      </c>
      <c r="G1230">
        <v>2662.2</v>
      </c>
      <c r="H1230" t="s">
        <v>18</v>
      </c>
      <c r="I1230" t="str">
        <f t="shared" si="58"/>
        <v>Medium Value</v>
      </c>
      <c r="J1230" t="str">
        <f t="shared" si="59"/>
        <v>Low Risk</v>
      </c>
      <c r="K1230" s="3" t="str">
        <f t="shared" si="57"/>
        <v>2-4 Years</v>
      </c>
    </row>
    <row r="1231" spans="1:11" x14ac:dyDescent="0.3">
      <c r="A1231" t="s">
        <v>1248</v>
      </c>
      <c r="B1231" t="s">
        <v>9</v>
      </c>
      <c r="C1231" t="s">
        <v>30</v>
      </c>
      <c r="D1231" t="s">
        <v>20</v>
      </c>
      <c r="E1231">
        <v>24.7</v>
      </c>
      <c r="F1231">
        <v>70</v>
      </c>
      <c r="G1231">
        <v>1729</v>
      </c>
      <c r="H1231" t="s">
        <v>12</v>
      </c>
      <c r="I1231" t="str">
        <f t="shared" si="58"/>
        <v>Low Value</v>
      </c>
      <c r="J1231" t="str">
        <f t="shared" si="59"/>
        <v>Low Risk</v>
      </c>
      <c r="K1231" s="3" t="str">
        <f t="shared" si="57"/>
        <v>4+ Years</v>
      </c>
    </row>
    <row r="1232" spans="1:11" x14ac:dyDescent="0.3">
      <c r="A1232" t="s">
        <v>1249</v>
      </c>
      <c r="B1232" t="s">
        <v>14</v>
      </c>
      <c r="C1232" t="s">
        <v>15</v>
      </c>
      <c r="D1232" t="s">
        <v>11</v>
      </c>
      <c r="E1232">
        <v>105.85</v>
      </c>
      <c r="F1232">
        <v>54</v>
      </c>
      <c r="G1232">
        <v>5715.9</v>
      </c>
      <c r="H1232" t="s">
        <v>12</v>
      </c>
      <c r="I1232" t="str">
        <f t="shared" si="58"/>
        <v>High Value</v>
      </c>
      <c r="J1232" t="str">
        <f t="shared" si="59"/>
        <v>Low Risk</v>
      </c>
      <c r="K1232" s="3" t="str">
        <f t="shared" si="57"/>
        <v>4+ Years</v>
      </c>
    </row>
    <row r="1233" spans="1:11" x14ac:dyDescent="0.3">
      <c r="A1233" t="s">
        <v>1250</v>
      </c>
      <c r="B1233" t="s">
        <v>14</v>
      </c>
      <c r="C1233" t="s">
        <v>15</v>
      </c>
      <c r="D1233" t="s">
        <v>16</v>
      </c>
      <c r="E1233">
        <v>98.3</v>
      </c>
      <c r="F1233">
        <v>61</v>
      </c>
      <c r="G1233">
        <v>5996.3</v>
      </c>
      <c r="H1233" t="s">
        <v>12</v>
      </c>
      <c r="I1233" t="str">
        <f t="shared" si="58"/>
        <v>High Value</v>
      </c>
      <c r="J1233" t="str">
        <f t="shared" si="59"/>
        <v>Low Risk</v>
      </c>
      <c r="K1233" s="3" t="str">
        <f t="shared" si="57"/>
        <v>4+ Years</v>
      </c>
    </row>
    <row r="1234" spans="1:11" x14ac:dyDescent="0.3">
      <c r="A1234" t="s">
        <v>1251</v>
      </c>
      <c r="B1234" t="s">
        <v>14</v>
      </c>
      <c r="C1234" t="s">
        <v>10</v>
      </c>
      <c r="D1234" t="s">
        <v>11</v>
      </c>
      <c r="E1234">
        <v>76.95</v>
      </c>
      <c r="F1234">
        <v>3</v>
      </c>
      <c r="G1234">
        <v>230.85</v>
      </c>
      <c r="H1234" t="s">
        <v>18</v>
      </c>
      <c r="I1234" t="str">
        <f t="shared" si="58"/>
        <v>Low Value</v>
      </c>
      <c r="J1234" t="str">
        <f t="shared" si="59"/>
        <v>High Risk</v>
      </c>
      <c r="K1234" s="3" t="str">
        <f t="shared" si="57"/>
        <v>0-1 Year</v>
      </c>
    </row>
    <row r="1235" spans="1:11" x14ac:dyDescent="0.3">
      <c r="A1235" t="s">
        <v>1252</v>
      </c>
      <c r="B1235" t="s">
        <v>14</v>
      </c>
      <c r="C1235" t="s">
        <v>15</v>
      </c>
      <c r="D1235" t="s">
        <v>16</v>
      </c>
      <c r="E1235">
        <v>19.45</v>
      </c>
      <c r="F1235">
        <v>13</v>
      </c>
      <c r="G1235">
        <v>252.85</v>
      </c>
      <c r="H1235" t="s">
        <v>12</v>
      </c>
      <c r="I1235" t="str">
        <f t="shared" si="58"/>
        <v>Low Value</v>
      </c>
      <c r="J1235" t="str">
        <f t="shared" si="59"/>
        <v>Medium Risk</v>
      </c>
      <c r="K1235" s="3" t="str">
        <f t="shared" si="57"/>
        <v>1-2 Years</v>
      </c>
    </row>
    <row r="1236" spans="1:11" x14ac:dyDescent="0.3">
      <c r="A1236" t="s">
        <v>1253</v>
      </c>
      <c r="B1236" t="s">
        <v>9</v>
      </c>
      <c r="C1236" t="s">
        <v>10</v>
      </c>
      <c r="D1236" t="s">
        <v>11</v>
      </c>
      <c r="E1236">
        <v>96.15</v>
      </c>
      <c r="F1236">
        <v>16</v>
      </c>
      <c r="G1236">
        <v>1538.4</v>
      </c>
      <c r="H1236" t="s">
        <v>18</v>
      </c>
      <c r="I1236" t="str">
        <f t="shared" si="58"/>
        <v>Low Value</v>
      </c>
      <c r="J1236" t="str">
        <f t="shared" si="59"/>
        <v>Medium Risk</v>
      </c>
      <c r="K1236" s="3" t="str">
        <f t="shared" si="57"/>
        <v>1-2 Years</v>
      </c>
    </row>
    <row r="1237" spans="1:11" x14ac:dyDescent="0.3">
      <c r="A1237" t="s">
        <v>1254</v>
      </c>
      <c r="B1237" t="s">
        <v>9</v>
      </c>
      <c r="C1237" t="s">
        <v>10</v>
      </c>
      <c r="D1237" t="s">
        <v>24</v>
      </c>
      <c r="E1237">
        <v>58.7</v>
      </c>
      <c r="F1237">
        <v>3</v>
      </c>
      <c r="G1237">
        <v>176.1</v>
      </c>
      <c r="H1237" t="s">
        <v>12</v>
      </c>
      <c r="I1237" t="str">
        <f t="shared" si="58"/>
        <v>Low Value</v>
      </c>
      <c r="J1237" t="str">
        <f t="shared" si="59"/>
        <v>High Risk</v>
      </c>
      <c r="K1237" s="3" t="str">
        <f t="shared" si="57"/>
        <v>0-1 Year</v>
      </c>
    </row>
    <row r="1238" spans="1:11" x14ac:dyDescent="0.3">
      <c r="A1238" t="s">
        <v>1255</v>
      </c>
      <c r="B1238" t="s">
        <v>14</v>
      </c>
      <c r="C1238" t="s">
        <v>10</v>
      </c>
      <c r="D1238" t="s">
        <v>16</v>
      </c>
      <c r="E1238">
        <v>20.149999999999999</v>
      </c>
      <c r="F1238">
        <v>25</v>
      </c>
      <c r="G1238">
        <v>503.74999999999898</v>
      </c>
      <c r="H1238" t="s">
        <v>12</v>
      </c>
      <c r="I1238" t="str">
        <f t="shared" si="58"/>
        <v>Low Value</v>
      </c>
      <c r="J1238" t="str">
        <f t="shared" si="59"/>
        <v>Low Risk</v>
      </c>
      <c r="K1238" s="3" t="str">
        <f t="shared" si="57"/>
        <v>2-4 Years</v>
      </c>
    </row>
    <row r="1239" spans="1:11" x14ac:dyDescent="0.3">
      <c r="A1239" t="s">
        <v>1256</v>
      </c>
      <c r="B1239" t="s">
        <v>14</v>
      </c>
      <c r="C1239" t="s">
        <v>10</v>
      </c>
      <c r="D1239" t="s">
        <v>16</v>
      </c>
      <c r="E1239">
        <v>64.5</v>
      </c>
      <c r="F1239">
        <v>30</v>
      </c>
      <c r="G1239">
        <v>1935</v>
      </c>
      <c r="H1239" t="s">
        <v>12</v>
      </c>
      <c r="I1239" t="str">
        <f t="shared" si="58"/>
        <v>Low Value</v>
      </c>
      <c r="J1239" t="str">
        <f t="shared" si="59"/>
        <v>Low Risk</v>
      </c>
      <c r="K1239" s="3" t="str">
        <f t="shared" si="57"/>
        <v>2-4 Years</v>
      </c>
    </row>
    <row r="1240" spans="1:11" x14ac:dyDescent="0.3">
      <c r="A1240" t="s">
        <v>1257</v>
      </c>
      <c r="B1240" t="s">
        <v>9</v>
      </c>
      <c r="C1240" t="s">
        <v>10</v>
      </c>
      <c r="D1240" t="s">
        <v>11</v>
      </c>
      <c r="E1240">
        <v>28.5</v>
      </c>
      <c r="F1240">
        <v>21</v>
      </c>
      <c r="G1240">
        <v>598.5</v>
      </c>
      <c r="H1240" t="s">
        <v>12</v>
      </c>
      <c r="I1240" t="str">
        <f t="shared" si="58"/>
        <v>Low Value</v>
      </c>
      <c r="J1240" t="str">
        <f t="shared" si="59"/>
        <v>Medium Risk</v>
      </c>
      <c r="K1240" s="3" t="str">
        <f t="shared" si="57"/>
        <v>1-2 Years</v>
      </c>
    </row>
    <row r="1241" spans="1:11" x14ac:dyDescent="0.3">
      <c r="A1241" t="s">
        <v>1258</v>
      </c>
      <c r="B1241" t="s">
        <v>14</v>
      </c>
      <c r="C1241" t="s">
        <v>10</v>
      </c>
      <c r="D1241" t="s">
        <v>11</v>
      </c>
      <c r="E1241">
        <v>45.3</v>
      </c>
      <c r="F1241">
        <v>1</v>
      </c>
      <c r="G1241">
        <v>45.3</v>
      </c>
      <c r="H1241" t="s">
        <v>18</v>
      </c>
      <c r="I1241" t="str">
        <f t="shared" si="58"/>
        <v>Low Value</v>
      </c>
      <c r="J1241" t="str">
        <f t="shared" si="59"/>
        <v>High Risk</v>
      </c>
      <c r="K1241" s="3" t="str">
        <f t="shared" si="57"/>
        <v>0-1 Year</v>
      </c>
    </row>
    <row r="1242" spans="1:11" x14ac:dyDescent="0.3">
      <c r="A1242" t="s">
        <v>1259</v>
      </c>
      <c r="B1242" t="s">
        <v>9</v>
      </c>
      <c r="C1242" t="s">
        <v>10</v>
      </c>
      <c r="D1242" t="s">
        <v>20</v>
      </c>
      <c r="E1242">
        <v>19.399999999999999</v>
      </c>
      <c r="F1242">
        <v>15</v>
      </c>
      <c r="G1242">
        <v>291</v>
      </c>
      <c r="H1242" t="s">
        <v>18</v>
      </c>
      <c r="I1242" t="str">
        <f t="shared" si="58"/>
        <v>Low Value</v>
      </c>
      <c r="J1242" t="str">
        <f t="shared" si="59"/>
        <v>Medium Risk</v>
      </c>
      <c r="K1242" s="3" t="str">
        <f t="shared" si="57"/>
        <v>1-2 Years</v>
      </c>
    </row>
    <row r="1243" spans="1:11" x14ac:dyDescent="0.3">
      <c r="A1243" t="s">
        <v>1260</v>
      </c>
      <c r="B1243" t="s">
        <v>14</v>
      </c>
      <c r="C1243" t="s">
        <v>10</v>
      </c>
      <c r="D1243" t="s">
        <v>11</v>
      </c>
      <c r="E1243">
        <v>90.45</v>
      </c>
      <c r="F1243">
        <v>23</v>
      </c>
      <c r="G1243">
        <v>2080.35</v>
      </c>
      <c r="H1243" t="s">
        <v>12</v>
      </c>
      <c r="I1243" t="str">
        <f t="shared" si="58"/>
        <v>Medium Value</v>
      </c>
      <c r="J1243" t="str">
        <f t="shared" si="59"/>
        <v>Medium Risk</v>
      </c>
      <c r="K1243" s="3" t="str">
        <f t="shared" si="57"/>
        <v>1-2 Years</v>
      </c>
    </row>
    <row r="1244" spans="1:11" x14ac:dyDescent="0.3">
      <c r="A1244" t="s">
        <v>1261</v>
      </c>
      <c r="B1244" t="s">
        <v>9</v>
      </c>
      <c r="C1244" t="s">
        <v>10</v>
      </c>
      <c r="D1244" t="s">
        <v>11</v>
      </c>
      <c r="E1244">
        <v>105.15</v>
      </c>
      <c r="F1244">
        <v>45</v>
      </c>
      <c r="G1244">
        <v>4731.75</v>
      </c>
      <c r="H1244" t="s">
        <v>12</v>
      </c>
      <c r="I1244" t="str">
        <f t="shared" si="58"/>
        <v>Medium Value</v>
      </c>
      <c r="J1244" t="str">
        <f t="shared" si="59"/>
        <v>Low Risk</v>
      </c>
      <c r="K1244" s="3" t="str">
        <f t="shared" si="57"/>
        <v>2-4 Years</v>
      </c>
    </row>
    <row r="1245" spans="1:11" x14ac:dyDescent="0.3">
      <c r="A1245" t="s">
        <v>1262</v>
      </c>
      <c r="B1245" t="s">
        <v>9</v>
      </c>
      <c r="C1245" t="s">
        <v>15</v>
      </c>
      <c r="D1245" t="s">
        <v>20</v>
      </c>
      <c r="E1245">
        <v>83.15</v>
      </c>
      <c r="F1245">
        <v>24</v>
      </c>
      <c r="G1245">
        <v>1995.6</v>
      </c>
      <c r="H1245" t="s">
        <v>12</v>
      </c>
      <c r="I1245" t="str">
        <f t="shared" si="58"/>
        <v>Low Value</v>
      </c>
      <c r="J1245" t="str">
        <f t="shared" si="59"/>
        <v>Low Risk</v>
      </c>
      <c r="K1245" s="3" t="str">
        <f t="shared" si="57"/>
        <v>1-2 Years</v>
      </c>
    </row>
    <row r="1246" spans="1:11" x14ac:dyDescent="0.3">
      <c r="A1246" t="s">
        <v>1263</v>
      </c>
      <c r="B1246" t="s">
        <v>9</v>
      </c>
      <c r="C1246" t="s">
        <v>10</v>
      </c>
      <c r="D1246" t="s">
        <v>11</v>
      </c>
      <c r="E1246">
        <v>90.15</v>
      </c>
      <c r="F1246">
        <v>11</v>
      </c>
      <c r="G1246">
        <v>991.65</v>
      </c>
      <c r="H1246" t="s">
        <v>18</v>
      </c>
      <c r="I1246" t="str">
        <f t="shared" si="58"/>
        <v>Low Value</v>
      </c>
      <c r="J1246" t="str">
        <f t="shared" si="59"/>
        <v>High Risk</v>
      </c>
      <c r="K1246" s="3" t="str">
        <f t="shared" si="57"/>
        <v>0-1 Year</v>
      </c>
    </row>
    <row r="1247" spans="1:11" x14ac:dyDescent="0.3">
      <c r="A1247" t="s">
        <v>1264</v>
      </c>
      <c r="B1247" t="s">
        <v>14</v>
      </c>
      <c r="C1247" t="s">
        <v>10</v>
      </c>
      <c r="D1247" t="s">
        <v>16</v>
      </c>
      <c r="E1247">
        <v>45.05</v>
      </c>
      <c r="F1247">
        <v>1</v>
      </c>
      <c r="G1247">
        <v>45.05</v>
      </c>
      <c r="H1247" t="s">
        <v>18</v>
      </c>
      <c r="I1247" t="str">
        <f t="shared" si="58"/>
        <v>Low Value</v>
      </c>
      <c r="J1247" t="str">
        <f t="shared" si="59"/>
        <v>High Risk</v>
      </c>
      <c r="K1247" s="3" t="str">
        <f t="shared" si="57"/>
        <v>0-1 Year</v>
      </c>
    </row>
    <row r="1248" spans="1:11" x14ac:dyDescent="0.3">
      <c r="A1248" t="s">
        <v>1265</v>
      </c>
      <c r="B1248" t="s">
        <v>9</v>
      </c>
      <c r="C1248" t="s">
        <v>30</v>
      </c>
      <c r="D1248" t="s">
        <v>20</v>
      </c>
      <c r="E1248">
        <v>103.2</v>
      </c>
      <c r="F1248">
        <v>56</v>
      </c>
      <c r="G1248">
        <v>5779.2</v>
      </c>
      <c r="H1248" t="s">
        <v>12</v>
      </c>
      <c r="I1248" t="str">
        <f t="shared" si="58"/>
        <v>High Value</v>
      </c>
      <c r="J1248" t="str">
        <f t="shared" si="59"/>
        <v>Low Risk</v>
      </c>
      <c r="K1248" s="3" t="str">
        <f t="shared" si="57"/>
        <v>4+ Years</v>
      </c>
    </row>
    <row r="1249" spans="1:11" x14ac:dyDescent="0.3">
      <c r="A1249" t="s">
        <v>1266</v>
      </c>
      <c r="B1249" t="s">
        <v>9</v>
      </c>
      <c r="C1249" t="s">
        <v>10</v>
      </c>
      <c r="D1249" t="s">
        <v>11</v>
      </c>
      <c r="E1249">
        <v>75.8</v>
      </c>
      <c r="F1249">
        <v>1</v>
      </c>
      <c r="G1249">
        <v>75.8</v>
      </c>
      <c r="H1249" t="s">
        <v>18</v>
      </c>
      <c r="I1249" t="str">
        <f t="shared" si="58"/>
        <v>Low Value</v>
      </c>
      <c r="J1249" t="str">
        <f t="shared" si="59"/>
        <v>High Risk</v>
      </c>
      <c r="K1249" s="3" t="str">
        <f t="shared" si="57"/>
        <v>0-1 Year</v>
      </c>
    </row>
    <row r="1250" spans="1:11" x14ac:dyDescent="0.3">
      <c r="A1250" t="s">
        <v>1267</v>
      </c>
      <c r="B1250" t="s">
        <v>14</v>
      </c>
      <c r="C1250" t="s">
        <v>10</v>
      </c>
      <c r="D1250" t="s">
        <v>11</v>
      </c>
      <c r="E1250">
        <v>19.45</v>
      </c>
      <c r="F1250">
        <v>1</v>
      </c>
      <c r="G1250">
        <v>19.45</v>
      </c>
      <c r="H1250" t="s">
        <v>12</v>
      </c>
      <c r="I1250" t="str">
        <f t="shared" si="58"/>
        <v>Low Value</v>
      </c>
      <c r="J1250" t="str">
        <f t="shared" si="59"/>
        <v>High Risk</v>
      </c>
      <c r="K1250" s="3" t="str">
        <f t="shared" si="57"/>
        <v>0-1 Year</v>
      </c>
    </row>
    <row r="1251" spans="1:11" x14ac:dyDescent="0.3">
      <c r="A1251" t="s">
        <v>1268</v>
      </c>
      <c r="B1251" t="s">
        <v>9</v>
      </c>
      <c r="C1251" t="s">
        <v>10</v>
      </c>
      <c r="D1251" t="s">
        <v>11</v>
      </c>
      <c r="E1251">
        <v>79.3</v>
      </c>
      <c r="F1251">
        <v>7</v>
      </c>
      <c r="G1251">
        <v>555.1</v>
      </c>
      <c r="H1251" t="s">
        <v>18</v>
      </c>
      <c r="I1251" t="str">
        <f t="shared" si="58"/>
        <v>Low Value</v>
      </c>
      <c r="J1251" t="str">
        <f t="shared" si="59"/>
        <v>High Risk</v>
      </c>
      <c r="K1251" s="3" t="str">
        <f t="shared" si="57"/>
        <v>0-1 Year</v>
      </c>
    </row>
    <row r="1252" spans="1:11" x14ac:dyDescent="0.3">
      <c r="A1252" t="s">
        <v>1269</v>
      </c>
      <c r="B1252" t="s">
        <v>9</v>
      </c>
      <c r="C1252" t="s">
        <v>30</v>
      </c>
      <c r="D1252" t="s">
        <v>24</v>
      </c>
      <c r="E1252">
        <v>88.8</v>
      </c>
      <c r="F1252">
        <v>55</v>
      </c>
      <c r="G1252">
        <v>4884</v>
      </c>
      <c r="H1252" t="s">
        <v>12</v>
      </c>
      <c r="I1252" t="str">
        <f t="shared" si="58"/>
        <v>Medium Value</v>
      </c>
      <c r="J1252" t="str">
        <f t="shared" si="59"/>
        <v>Low Risk</v>
      </c>
      <c r="K1252" s="3" t="str">
        <f t="shared" si="57"/>
        <v>4+ Years</v>
      </c>
    </row>
    <row r="1253" spans="1:11" x14ac:dyDescent="0.3">
      <c r="A1253" t="s">
        <v>1270</v>
      </c>
      <c r="B1253" t="s">
        <v>9</v>
      </c>
      <c r="C1253" t="s">
        <v>10</v>
      </c>
      <c r="D1253" t="s">
        <v>11</v>
      </c>
      <c r="E1253">
        <v>30.9</v>
      </c>
      <c r="F1253">
        <v>2</v>
      </c>
      <c r="G1253">
        <v>61.8</v>
      </c>
      <c r="H1253" t="s">
        <v>18</v>
      </c>
      <c r="I1253" t="str">
        <f t="shared" si="58"/>
        <v>Low Value</v>
      </c>
      <c r="J1253" t="str">
        <f t="shared" si="59"/>
        <v>High Risk</v>
      </c>
      <c r="K1253" s="3" t="str">
        <f t="shared" si="57"/>
        <v>0-1 Year</v>
      </c>
    </row>
    <row r="1254" spans="1:11" x14ac:dyDescent="0.3">
      <c r="A1254" t="s">
        <v>1271</v>
      </c>
      <c r="B1254" t="s">
        <v>9</v>
      </c>
      <c r="C1254" t="s">
        <v>30</v>
      </c>
      <c r="D1254" t="s">
        <v>24</v>
      </c>
      <c r="E1254">
        <v>85.9</v>
      </c>
      <c r="F1254">
        <v>72</v>
      </c>
      <c r="G1254">
        <v>6184.8</v>
      </c>
      <c r="H1254" t="s">
        <v>12</v>
      </c>
      <c r="I1254" t="str">
        <f t="shared" si="58"/>
        <v>High Value</v>
      </c>
      <c r="J1254" t="str">
        <f t="shared" si="59"/>
        <v>Low Risk</v>
      </c>
      <c r="K1254" s="3" t="str">
        <f t="shared" si="57"/>
        <v>4+ Years</v>
      </c>
    </row>
    <row r="1255" spans="1:11" x14ac:dyDescent="0.3">
      <c r="A1255" t="s">
        <v>1272</v>
      </c>
      <c r="B1255" t="s">
        <v>9</v>
      </c>
      <c r="C1255" t="s">
        <v>15</v>
      </c>
      <c r="D1255" t="s">
        <v>11</v>
      </c>
      <c r="E1255">
        <v>34.200000000000003</v>
      </c>
      <c r="F1255">
        <v>45</v>
      </c>
      <c r="G1255">
        <v>1539</v>
      </c>
      <c r="H1255" t="s">
        <v>12</v>
      </c>
      <c r="I1255" t="str">
        <f t="shared" si="58"/>
        <v>Low Value</v>
      </c>
      <c r="J1255" t="str">
        <f t="shared" si="59"/>
        <v>Low Risk</v>
      </c>
      <c r="K1255" s="3" t="str">
        <f t="shared" si="57"/>
        <v>2-4 Years</v>
      </c>
    </row>
    <row r="1256" spans="1:11" x14ac:dyDescent="0.3">
      <c r="A1256" t="s">
        <v>1273</v>
      </c>
      <c r="B1256" t="s">
        <v>9</v>
      </c>
      <c r="C1256" t="s">
        <v>30</v>
      </c>
      <c r="D1256" t="s">
        <v>16</v>
      </c>
      <c r="E1256">
        <v>20.149999999999999</v>
      </c>
      <c r="F1256">
        <v>47</v>
      </c>
      <c r="G1256">
        <v>947.05</v>
      </c>
      <c r="H1256" t="s">
        <v>12</v>
      </c>
      <c r="I1256" t="str">
        <f t="shared" si="58"/>
        <v>Low Value</v>
      </c>
      <c r="J1256" t="str">
        <f t="shared" si="59"/>
        <v>Low Risk</v>
      </c>
      <c r="K1256" s="3" t="str">
        <f t="shared" si="57"/>
        <v>2-4 Years</v>
      </c>
    </row>
    <row r="1257" spans="1:11" x14ac:dyDescent="0.3">
      <c r="A1257" t="s">
        <v>1274</v>
      </c>
      <c r="B1257" t="s">
        <v>9</v>
      </c>
      <c r="C1257" t="s">
        <v>15</v>
      </c>
      <c r="D1257" t="s">
        <v>24</v>
      </c>
      <c r="E1257">
        <v>95.25</v>
      </c>
      <c r="F1257">
        <v>46</v>
      </c>
      <c r="G1257">
        <v>4381.5</v>
      </c>
      <c r="H1257" t="s">
        <v>18</v>
      </c>
      <c r="I1257" t="str">
        <f t="shared" si="58"/>
        <v>Medium Value</v>
      </c>
      <c r="J1257" t="str">
        <f t="shared" si="59"/>
        <v>Low Risk</v>
      </c>
      <c r="K1257" s="3" t="str">
        <f t="shared" si="57"/>
        <v>2-4 Years</v>
      </c>
    </row>
    <row r="1258" spans="1:11" x14ac:dyDescent="0.3">
      <c r="A1258" t="s">
        <v>1275</v>
      </c>
      <c r="B1258" t="s">
        <v>14</v>
      </c>
      <c r="C1258" t="s">
        <v>10</v>
      </c>
      <c r="D1258" t="s">
        <v>16</v>
      </c>
      <c r="E1258">
        <v>50.3</v>
      </c>
      <c r="F1258">
        <v>2</v>
      </c>
      <c r="G1258">
        <v>100.6</v>
      </c>
      <c r="H1258" t="s">
        <v>12</v>
      </c>
      <c r="I1258" t="str">
        <f t="shared" si="58"/>
        <v>Low Value</v>
      </c>
      <c r="J1258" t="str">
        <f t="shared" si="59"/>
        <v>High Risk</v>
      </c>
      <c r="K1258" s="3" t="str">
        <f t="shared" si="57"/>
        <v>0-1 Year</v>
      </c>
    </row>
    <row r="1259" spans="1:11" x14ac:dyDescent="0.3">
      <c r="A1259" t="s">
        <v>1276</v>
      </c>
      <c r="B1259" t="s">
        <v>9</v>
      </c>
      <c r="C1259" t="s">
        <v>10</v>
      </c>
      <c r="D1259" t="s">
        <v>11</v>
      </c>
      <c r="E1259">
        <v>80.150000000000006</v>
      </c>
      <c r="F1259">
        <v>2</v>
      </c>
      <c r="G1259">
        <v>160.30000000000001</v>
      </c>
      <c r="H1259" t="s">
        <v>12</v>
      </c>
      <c r="I1259" t="str">
        <f t="shared" si="58"/>
        <v>Low Value</v>
      </c>
      <c r="J1259" t="str">
        <f t="shared" si="59"/>
        <v>High Risk</v>
      </c>
      <c r="K1259" s="3" t="str">
        <f t="shared" si="57"/>
        <v>0-1 Year</v>
      </c>
    </row>
    <row r="1260" spans="1:11" x14ac:dyDescent="0.3">
      <c r="A1260" t="s">
        <v>1277</v>
      </c>
      <c r="B1260" t="s">
        <v>9</v>
      </c>
      <c r="C1260" t="s">
        <v>10</v>
      </c>
      <c r="D1260" t="s">
        <v>11</v>
      </c>
      <c r="E1260">
        <v>51.25</v>
      </c>
      <c r="F1260">
        <v>12</v>
      </c>
      <c r="G1260">
        <v>615</v>
      </c>
      <c r="H1260" t="s">
        <v>12</v>
      </c>
      <c r="I1260" t="str">
        <f t="shared" si="58"/>
        <v>Low Value</v>
      </c>
      <c r="J1260" t="str">
        <f t="shared" si="59"/>
        <v>Medium Risk</v>
      </c>
      <c r="K1260" s="3" t="str">
        <f t="shared" si="57"/>
        <v>0-1 Year</v>
      </c>
    </row>
    <row r="1261" spans="1:11" x14ac:dyDescent="0.3">
      <c r="A1261" t="s">
        <v>1278</v>
      </c>
      <c r="B1261" t="s">
        <v>9</v>
      </c>
      <c r="C1261" t="s">
        <v>10</v>
      </c>
      <c r="D1261" t="s">
        <v>20</v>
      </c>
      <c r="E1261">
        <v>89.6</v>
      </c>
      <c r="F1261">
        <v>68</v>
      </c>
      <c r="G1261">
        <v>6092.7999999999902</v>
      </c>
      <c r="H1261" t="s">
        <v>18</v>
      </c>
      <c r="I1261" t="str">
        <f t="shared" si="58"/>
        <v>High Value</v>
      </c>
      <c r="J1261" t="str">
        <f t="shared" si="59"/>
        <v>Low Risk</v>
      </c>
      <c r="K1261" s="3" t="str">
        <f t="shared" si="57"/>
        <v>4+ Years</v>
      </c>
    </row>
    <row r="1262" spans="1:11" x14ac:dyDescent="0.3">
      <c r="A1262" t="s">
        <v>1279</v>
      </c>
      <c r="B1262" t="s">
        <v>14</v>
      </c>
      <c r="C1262" t="s">
        <v>30</v>
      </c>
      <c r="D1262" t="s">
        <v>24</v>
      </c>
      <c r="E1262">
        <v>95.2</v>
      </c>
      <c r="F1262">
        <v>69</v>
      </c>
      <c r="G1262">
        <v>6568.8</v>
      </c>
      <c r="H1262" t="s">
        <v>12</v>
      </c>
      <c r="I1262" t="str">
        <f t="shared" si="58"/>
        <v>High Value</v>
      </c>
      <c r="J1262" t="str">
        <f t="shared" si="59"/>
        <v>Low Risk</v>
      </c>
      <c r="K1262" s="3" t="str">
        <f t="shared" si="57"/>
        <v>4+ Years</v>
      </c>
    </row>
    <row r="1263" spans="1:11" x14ac:dyDescent="0.3">
      <c r="A1263" t="s">
        <v>1280</v>
      </c>
      <c r="B1263" t="s">
        <v>14</v>
      </c>
      <c r="C1263" t="s">
        <v>15</v>
      </c>
      <c r="D1263" t="s">
        <v>24</v>
      </c>
      <c r="E1263">
        <v>94.8</v>
      </c>
      <c r="F1263">
        <v>56</v>
      </c>
      <c r="G1263">
        <v>5308.8</v>
      </c>
      <c r="H1263" t="s">
        <v>12</v>
      </c>
      <c r="I1263" t="str">
        <f t="shared" si="58"/>
        <v>High Value</v>
      </c>
      <c r="J1263" t="str">
        <f t="shared" si="59"/>
        <v>Low Risk</v>
      </c>
      <c r="K1263" s="3" t="str">
        <f t="shared" si="57"/>
        <v>4+ Years</v>
      </c>
    </row>
    <row r="1264" spans="1:11" x14ac:dyDescent="0.3">
      <c r="A1264" t="s">
        <v>1281</v>
      </c>
      <c r="B1264" t="s">
        <v>9</v>
      </c>
      <c r="C1264" t="s">
        <v>10</v>
      </c>
      <c r="D1264" t="s">
        <v>11</v>
      </c>
      <c r="E1264">
        <v>80.25</v>
      </c>
      <c r="F1264">
        <v>4</v>
      </c>
      <c r="G1264">
        <v>321</v>
      </c>
      <c r="H1264" t="s">
        <v>12</v>
      </c>
      <c r="I1264" t="str">
        <f t="shared" si="58"/>
        <v>Low Value</v>
      </c>
      <c r="J1264" t="str">
        <f t="shared" si="59"/>
        <v>High Risk</v>
      </c>
      <c r="K1264" s="3" t="str">
        <f t="shared" si="57"/>
        <v>0-1 Year</v>
      </c>
    </row>
    <row r="1265" spans="1:11" x14ac:dyDescent="0.3">
      <c r="A1265" t="s">
        <v>1282</v>
      </c>
      <c r="B1265" t="s">
        <v>14</v>
      </c>
      <c r="C1265" t="s">
        <v>30</v>
      </c>
      <c r="D1265" t="s">
        <v>20</v>
      </c>
      <c r="E1265">
        <v>76.099999999999994</v>
      </c>
      <c r="F1265">
        <v>64</v>
      </c>
      <c r="G1265">
        <v>4870.3999999999996</v>
      </c>
      <c r="H1265" t="s">
        <v>12</v>
      </c>
      <c r="I1265" t="str">
        <f t="shared" si="58"/>
        <v>Medium Value</v>
      </c>
      <c r="J1265" t="str">
        <f t="shared" si="59"/>
        <v>Low Risk</v>
      </c>
      <c r="K1265" s="3" t="str">
        <f t="shared" si="57"/>
        <v>4+ Years</v>
      </c>
    </row>
    <row r="1266" spans="1:11" x14ac:dyDescent="0.3">
      <c r="A1266" t="s">
        <v>1283</v>
      </c>
      <c r="B1266" t="s">
        <v>14</v>
      </c>
      <c r="C1266" t="s">
        <v>15</v>
      </c>
      <c r="D1266" t="s">
        <v>11</v>
      </c>
      <c r="E1266">
        <v>110.15</v>
      </c>
      <c r="F1266">
        <v>59</v>
      </c>
      <c r="G1266">
        <v>6498.85</v>
      </c>
      <c r="H1266" t="s">
        <v>18</v>
      </c>
      <c r="I1266" t="str">
        <f t="shared" si="58"/>
        <v>High Value</v>
      </c>
      <c r="J1266" t="str">
        <f t="shared" si="59"/>
        <v>Low Risk</v>
      </c>
      <c r="K1266" s="3" t="str">
        <f t="shared" si="57"/>
        <v>4+ Years</v>
      </c>
    </row>
    <row r="1267" spans="1:11" x14ac:dyDescent="0.3">
      <c r="A1267" t="s">
        <v>1284</v>
      </c>
      <c r="B1267" t="s">
        <v>14</v>
      </c>
      <c r="C1267" t="s">
        <v>30</v>
      </c>
      <c r="D1267" t="s">
        <v>20</v>
      </c>
      <c r="E1267">
        <v>115.55</v>
      </c>
      <c r="F1267">
        <v>62</v>
      </c>
      <c r="G1267">
        <v>7164.0999999999904</v>
      </c>
      <c r="H1267" t="s">
        <v>12</v>
      </c>
      <c r="I1267" t="str">
        <f t="shared" si="58"/>
        <v>High Value</v>
      </c>
      <c r="J1267" t="str">
        <f t="shared" si="59"/>
        <v>Low Risk</v>
      </c>
      <c r="K1267" s="3" t="str">
        <f t="shared" si="57"/>
        <v>4+ Years</v>
      </c>
    </row>
    <row r="1268" spans="1:11" x14ac:dyDescent="0.3">
      <c r="A1268" t="s">
        <v>1285</v>
      </c>
      <c r="B1268" t="s">
        <v>14</v>
      </c>
      <c r="C1268" t="s">
        <v>30</v>
      </c>
      <c r="D1268" t="s">
        <v>24</v>
      </c>
      <c r="E1268">
        <v>24.65</v>
      </c>
      <c r="F1268">
        <v>63</v>
      </c>
      <c r="G1268">
        <v>1552.94999999999</v>
      </c>
      <c r="H1268" t="s">
        <v>12</v>
      </c>
      <c r="I1268" t="str">
        <f t="shared" si="58"/>
        <v>Low Value</v>
      </c>
      <c r="J1268" t="str">
        <f t="shared" si="59"/>
        <v>Low Risk</v>
      </c>
      <c r="K1268" s="3" t="str">
        <f t="shared" si="57"/>
        <v>4+ Years</v>
      </c>
    </row>
    <row r="1269" spans="1:11" x14ac:dyDescent="0.3">
      <c r="A1269" t="s">
        <v>1286</v>
      </c>
      <c r="B1269" t="s">
        <v>9</v>
      </c>
      <c r="C1269" t="s">
        <v>15</v>
      </c>
      <c r="D1269" t="s">
        <v>11</v>
      </c>
      <c r="E1269">
        <v>53.6</v>
      </c>
      <c r="F1269">
        <v>53</v>
      </c>
      <c r="G1269">
        <v>2840.8</v>
      </c>
      <c r="H1269" t="s">
        <v>12</v>
      </c>
      <c r="I1269" t="str">
        <f t="shared" si="58"/>
        <v>Medium Value</v>
      </c>
      <c r="J1269" t="str">
        <f t="shared" si="59"/>
        <v>Low Risk</v>
      </c>
      <c r="K1269" s="3" t="str">
        <f t="shared" si="57"/>
        <v>4+ Years</v>
      </c>
    </row>
    <row r="1270" spans="1:11" x14ac:dyDescent="0.3">
      <c r="A1270" t="s">
        <v>1287</v>
      </c>
      <c r="B1270" t="s">
        <v>14</v>
      </c>
      <c r="C1270" t="s">
        <v>10</v>
      </c>
      <c r="D1270" t="s">
        <v>16</v>
      </c>
      <c r="E1270">
        <v>19.45</v>
      </c>
      <c r="F1270">
        <v>5</v>
      </c>
      <c r="G1270">
        <v>97.25</v>
      </c>
      <c r="H1270" t="s">
        <v>12</v>
      </c>
      <c r="I1270" t="str">
        <f t="shared" si="58"/>
        <v>Low Value</v>
      </c>
      <c r="J1270" t="str">
        <f t="shared" si="59"/>
        <v>High Risk</v>
      </c>
      <c r="K1270" s="3" t="str">
        <f t="shared" si="57"/>
        <v>0-1 Year</v>
      </c>
    </row>
    <row r="1271" spans="1:11" x14ac:dyDescent="0.3">
      <c r="A1271" t="s">
        <v>1288</v>
      </c>
      <c r="B1271" t="s">
        <v>14</v>
      </c>
      <c r="C1271" t="s">
        <v>10</v>
      </c>
      <c r="D1271" t="s">
        <v>11</v>
      </c>
      <c r="E1271">
        <v>88.2</v>
      </c>
      <c r="F1271">
        <v>49</v>
      </c>
      <c r="G1271">
        <v>4321.8</v>
      </c>
      <c r="H1271" t="s">
        <v>12</v>
      </c>
      <c r="I1271" t="str">
        <f t="shared" si="58"/>
        <v>Medium Value</v>
      </c>
      <c r="J1271" t="str">
        <f t="shared" si="59"/>
        <v>Low Risk</v>
      </c>
      <c r="K1271" s="3" t="str">
        <f t="shared" si="57"/>
        <v>4+ Years</v>
      </c>
    </row>
    <row r="1272" spans="1:11" x14ac:dyDescent="0.3">
      <c r="A1272" t="s">
        <v>1289</v>
      </c>
      <c r="B1272" t="s">
        <v>9</v>
      </c>
      <c r="C1272" t="s">
        <v>30</v>
      </c>
      <c r="D1272" t="s">
        <v>20</v>
      </c>
      <c r="E1272">
        <v>101.15</v>
      </c>
      <c r="F1272">
        <v>62</v>
      </c>
      <c r="G1272">
        <v>6271.3</v>
      </c>
      <c r="H1272" t="s">
        <v>12</v>
      </c>
      <c r="I1272" t="str">
        <f t="shared" si="58"/>
        <v>High Value</v>
      </c>
      <c r="J1272" t="str">
        <f t="shared" si="59"/>
        <v>Low Risk</v>
      </c>
      <c r="K1272" s="3" t="str">
        <f t="shared" si="57"/>
        <v>4+ Years</v>
      </c>
    </row>
    <row r="1273" spans="1:11" x14ac:dyDescent="0.3">
      <c r="A1273" t="s">
        <v>1290</v>
      </c>
      <c r="B1273" t="s">
        <v>9</v>
      </c>
      <c r="C1273" t="s">
        <v>30</v>
      </c>
      <c r="D1273" t="s">
        <v>16</v>
      </c>
      <c r="E1273">
        <v>56.8</v>
      </c>
      <c r="F1273">
        <v>55</v>
      </c>
      <c r="G1273">
        <v>3124</v>
      </c>
      <c r="H1273" t="s">
        <v>12</v>
      </c>
      <c r="I1273" t="str">
        <f t="shared" si="58"/>
        <v>Medium Value</v>
      </c>
      <c r="J1273" t="str">
        <f t="shared" si="59"/>
        <v>Low Risk</v>
      </c>
      <c r="K1273" s="3" t="str">
        <f t="shared" si="57"/>
        <v>4+ Years</v>
      </c>
    </row>
    <row r="1274" spans="1:11" x14ac:dyDescent="0.3">
      <c r="A1274" t="s">
        <v>1291</v>
      </c>
      <c r="B1274" t="s">
        <v>9</v>
      </c>
      <c r="C1274" t="s">
        <v>30</v>
      </c>
      <c r="D1274" t="s">
        <v>11</v>
      </c>
      <c r="E1274">
        <v>99.4</v>
      </c>
      <c r="F1274">
        <v>71</v>
      </c>
      <c r="G1274">
        <v>7057.4</v>
      </c>
      <c r="H1274" t="s">
        <v>12</v>
      </c>
      <c r="I1274" t="str">
        <f t="shared" si="58"/>
        <v>High Value</v>
      </c>
      <c r="J1274" t="str">
        <f t="shared" si="59"/>
        <v>Low Risk</v>
      </c>
      <c r="K1274" s="3" t="str">
        <f t="shared" si="57"/>
        <v>4+ Years</v>
      </c>
    </row>
    <row r="1275" spans="1:11" x14ac:dyDescent="0.3">
      <c r="A1275" t="s">
        <v>1292</v>
      </c>
      <c r="B1275" t="s">
        <v>9</v>
      </c>
      <c r="C1275" t="s">
        <v>30</v>
      </c>
      <c r="D1275" t="s">
        <v>24</v>
      </c>
      <c r="E1275">
        <v>20.100000000000001</v>
      </c>
      <c r="F1275">
        <v>72</v>
      </c>
      <c r="G1275">
        <v>1447.2</v>
      </c>
      <c r="H1275" t="s">
        <v>12</v>
      </c>
      <c r="I1275" t="str">
        <f t="shared" si="58"/>
        <v>Low Value</v>
      </c>
      <c r="J1275" t="str">
        <f t="shared" si="59"/>
        <v>Low Risk</v>
      </c>
      <c r="K1275" s="3" t="str">
        <f t="shared" si="57"/>
        <v>4+ Years</v>
      </c>
    </row>
    <row r="1276" spans="1:11" x14ac:dyDescent="0.3">
      <c r="A1276" t="s">
        <v>1293</v>
      </c>
      <c r="B1276" t="s">
        <v>14</v>
      </c>
      <c r="C1276" t="s">
        <v>15</v>
      </c>
      <c r="D1276" t="s">
        <v>24</v>
      </c>
      <c r="E1276">
        <v>60.7</v>
      </c>
      <c r="F1276">
        <v>36</v>
      </c>
      <c r="G1276">
        <v>2185.1999999999998</v>
      </c>
      <c r="H1276" t="s">
        <v>12</v>
      </c>
      <c r="I1276" t="str">
        <f t="shared" si="58"/>
        <v>Medium Value</v>
      </c>
      <c r="J1276" t="str">
        <f t="shared" si="59"/>
        <v>Low Risk</v>
      </c>
      <c r="K1276" s="3" t="str">
        <f t="shared" si="57"/>
        <v>2-4 Years</v>
      </c>
    </row>
    <row r="1277" spans="1:11" x14ac:dyDescent="0.3">
      <c r="A1277" t="s">
        <v>1294</v>
      </c>
      <c r="B1277" t="s">
        <v>14</v>
      </c>
      <c r="C1277" t="s">
        <v>15</v>
      </c>
      <c r="D1277" t="s">
        <v>20</v>
      </c>
      <c r="E1277">
        <v>20.95</v>
      </c>
      <c r="F1277">
        <v>25</v>
      </c>
      <c r="G1277">
        <v>523.75</v>
      </c>
      <c r="H1277" t="s">
        <v>12</v>
      </c>
      <c r="I1277" t="str">
        <f t="shared" si="58"/>
        <v>Low Value</v>
      </c>
      <c r="J1277" t="str">
        <f t="shared" si="59"/>
        <v>Low Risk</v>
      </c>
      <c r="K1277" s="3" t="str">
        <f t="shared" si="57"/>
        <v>2-4 Years</v>
      </c>
    </row>
    <row r="1278" spans="1:11" x14ac:dyDescent="0.3">
      <c r="A1278" t="s">
        <v>1295</v>
      </c>
      <c r="B1278" t="s">
        <v>9</v>
      </c>
      <c r="C1278" t="s">
        <v>30</v>
      </c>
      <c r="D1278" t="s">
        <v>20</v>
      </c>
      <c r="E1278">
        <v>114.85</v>
      </c>
      <c r="F1278">
        <v>72</v>
      </c>
      <c r="G1278">
        <v>8269.1999999999898</v>
      </c>
      <c r="H1278" t="s">
        <v>12</v>
      </c>
      <c r="I1278" t="str">
        <f t="shared" si="58"/>
        <v>High Value</v>
      </c>
      <c r="J1278" t="str">
        <f t="shared" si="59"/>
        <v>Low Risk</v>
      </c>
      <c r="K1278" s="3" t="str">
        <f t="shared" si="57"/>
        <v>4+ Years</v>
      </c>
    </row>
    <row r="1279" spans="1:11" x14ac:dyDescent="0.3">
      <c r="A1279" t="s">
        <v>1296</v>
      </c>
      <c r="B1279" t="s">
        <v>9</v>
      </c>
      <c r="C1279" t="s">
        <v>15</v>
      </c>
      <c r="D1279" t="s">
        <v>20</v>
      </c>
      <c r="E1279">
        <v>19.25</v>
      </c>
      <c r="F1279">
        <v>36</v>
      </c>
      <c r="G1279">
        <v>693</v>
      </c>
      <c r="H1279" t="s">
        <v>12</v>
      </c>
      <c r="I1279" t="str">
        <f t="shared" si="58"/>
        <v>Low Value</v>
      </c>
      <c r="J1279" t="str">
        <f t="shared" si="59"/>
        <v>Low Risk</v>
      </c>
      <c r="K1279" s="3" t="str">
        <f t="shared" si="57"/>
        <v>2-4 Years</v>
      </c>
    </row>
    <row r="1280" spans="1:11" x14ac:dyDescent="0.3">
      <c r="A1280" t="s">
        <v>1297</v>
      </c>
      <c r="B1280" t="s">
        <v>14</v>
      </c>
      <c r="C1280" t="s">
        <v>10</v>
      </c>
      <c r="D1280" t="s">
        <v>16</v>
      </c>
      <c r="E1280">
        <v>62.8</v>
      </c>
      <c r="F1280">
        <v>1</v>
      </c>
      <c r="G1280">
        <v>62.8</v>
      </c>
      <c r="H1280" t="s">
        <v>12</v>
      </c>
      <c r="I1280" t="str">
        <f t="shared" si="58"/>
        <v>Low Value</v>
      </c>
      <c r="J1280" t="str">
        <f t="shared" si="59"/>
        <v>High Risk</v>
      </c>
      <c r="K1280" s="3" t="str">
        <f t="shared" si="57"/>
        <v>0-1 Year</v>
      </c>
    </row>
    <row r="1281" spans="1:11" x14ac:dyDescent="0.3">
      <c r="A1281" t="s">
        <v>1298</v>
      </c>
      <c r="B1281" t="s">
        <v>9</v>
      </c>
      <c r="C1281" t="s">
        <v>30</v>
      </c>
      <c r="D1281" t="s">
        <v>11</v>
      </c>
      <c r="E1281">
        <v>105.5</v>
      </c>
      <c r="F1281">
        <v>72</v>
      </c>
      <c r="G1281">
        <v>7596</v>
      </c>
      <c r="H1281" t="s">
        <v>12</v>
      </c>
      <c r="I1281" t="str">
        <f t="shared" si="58"/>
        <v>High Value</v>
      </c>
      <c r="J1281" t="str">
        <f t="shared" si="59"/>
        <v>Low Risk</v>
      </c>
      <c r="K1281" s="3" t="str">
        <f t="shared" si="57"/>
        <v>4+ Years</v>
      </c>
    </row>
    <row r="1282" spans="1:11" x14ac:dyDescent="0.3">
      <c r="A1282" t="s">
        <v>1299</v>
      </c>
      <c r="B1282" t="s">
        <v>14</v>
      </c>
      <c r="C1282" t="s">
        <v>30</v>
      </c>
      <c r="D1282" t="s">
        <v>16</v>
      </c>
      <c r="E1282">
        <v>19.850000000000001</v>
      </c>
      <c r="F1282">
        <v>59</v>
      </c>
      <c r="G1282">
        <v>1171.1500000000001</v>
      </c>
      <c r="H1282" t="s">
        <v>12</v>
      </c>
      <c r="I1282" t="str">
        <f t="shared" si="58"/>
        <v>Low Value</v>
      </c>
      <c r="J1282" t="str">
        <f t="shared" si="59"/>
        <v>Low Risk</v>
      </c>
      <c r="K1282" s="3" t="str">
        <f t="shared" si="57"/>
        <v>4+ Years</v>
      </c>
    </row>
    <row r="1283" spans="1:11" x14ac:dyDescent="0.3">
      <c r="A1283" t="s">
        <v>1300</v>
      </c>
      <c r="B1283" t="s">
        <v>14</v>
      </c>
      <c r="C1283" t="s">
        <v>10</v>
      </c>
      <c r="D1283" t="s">
        <v>11</v>
      </c>
      <c r="E1283">
        <v>89.5</v>
      </c>
      <c r="F1283">
        <v>7</v>
      </c>
      <c r="G1283">
        <v>626.5</v>
      </c>
      <c r="H1283" t="s">
        <v>18</v>
      </c>
      <c r="I1283" t="str">
        <f t="shared" si="58"/>
        <v>Low Value</v>
      </c>
      <c r="J1283" t="str">
        <f t="shared" si="59"/>
        <v>High Risk</v>
      </c>
      <c r="K1283" s="3" t="str">
        <f t="shared" ref="K1283:K1346" si="60">IF(F1283&lt;=12,"0-1 Year",
IF(F1283&lt;=24,"1-2 Years",
IF(F1283&lt;=48,"2-4 Years","4+ Years")))</f>
        <v>0-1 Year</v>
      </c>
    </row>
    <row r="1284" spans="1:11" x14ac:dyDescent="0.3">
      <c r="A1284" t="s">
        <v>1301</v>
      </c>
      <c r="B1284" t="s">
        <v>9</v>
      </c>
      <c r="C1284" t="s">
        <v>15</v>
      </c>
      <c r="D1284" t="s">
        <v>24</v>
      </c>
      <c r="E1284">
        <v>74.099999999999994</v>
      </c>
      <c r="F1284">
        <v>1</v>
      </c>
      <c r="G1284">
        <v>74.099999999999994</v>
      </c>
      <c r="H1284" t="s">
        <v>12</v>
      </c>
      <c r="I1284" t="str">
        <f t="shared" ref="I1284:I1347" si="61">IF(G1284&gt;5000,"High Value",
IF(G1284&gt;2000,"Medium Value","Low Value"))</f>
        <v>Low Value</v>
      </c>
      <c r="J1284" t="str">
        <f t="shared" ref="J1284:J1347" si="62">IF(F1284&lt;12,"High Risk",
IF(F1284&lt;24,"Medium Risk","Low Risk"))</f>
        <v>High Risk</v>
      </c>
      <c r="K1284" s="3" t="str">
        <f t="shared" si="60"/>
        <v>0-1 Year</v>
      </c>
    </row>
    <row r="1285" spans="1:11" x14ac:dyDescent="0.3">
      <c r="A1285" t="s">
        <v>1302</v>
      </c>
      <c r="B1285" t="s">
        <v>9</v>
      </c>
      <c r="C1285" t="s">
        <v>10</v>
      </c>
      <c r="D1285" t="s">
        <v>11</v>
      </c>
      <c r="E1285">
        <v>107.5</v>
      </c>
      <c r="F1285">
        <v>30</v>
      </c>
      <c r="G1285">
        <v>3225</v>
      </c>
      <c r="H1285" t="s">
        <v>12</v>
      </c>
      <c r="I1285" t="str">
        <f t="shared" si="61"/>
        <v>Medium Value</v>
      </c>
      <c r="J1285" t="str">
        <f t="shared" si="62"/>
        <v>Low Risk</v>
      </c>
      <c r="K1285" s="3" t="str">
        <f t="shared" si="60"/>
        <v>2-4 Years</v>
      </c>
    </row>
    <row r="1286" spans="1:11" x14ac:dyDescent="0.3">
      <c r="A1286" t="s">
        <v>1303</v>
      </c>
      <c r="B1286" t="s">
        <v>14</v>
      </c>
      <c r="C1286" t="s">
        <v>30</v>
      </c>
      <c r="D1286" t="s">
        <v>16</v>
      </c>
      <c r="E1286">
        <v>19.55</v>
      </c>
      <c r="F1286">
        <v>64</v>
      </c>
      <c r="G1286">
        <v>1251.2</v>
      </c>
      <c r="H1286" t="s">
        <v>12</v>
      </c>
      <c r="I1286" t="str">
        <f t="shared" si="61"/>
        <v>Low Value</v>
      </c>
      <c r="J1286" t="str">
        <f t="shared" si="62"/>
        <v>Low Risk</v>
      </c>
      <c r="K1286" s="3" t="str">
        <f t="shared" si="60"/>
        <v>4+ Years</v>
      </c>
    </row>
    <row r="1287" spans="1:11" x14ac:dyDescent="0.3">
      <c r="A1287" t="s">
        <v>1304</v>
      </c>
      <c r="B1287" t="s">
        <v>14</v>
      </c>
      <c r="C1287" t="s">
        <v>15</v>
      </c>
      <c r="D1287" t="s">
        <v>20</v>
      </c>
      <c r="E1287">
        <v>68.8</v>
      </c>
      <c r="F1287">
        <v>63</v>
      </c>
      <c r="G1287">
        <v>4334.3999999999996</v>
      </c>
      <c r="H1287" t="s">
        <v>12</v>
      </c>
      <c r="I1287" t="str">
        <f t="shared" si="61"/>
        <v>Medium Value</v>
      </c>
      <c r="J1287" t="str">
        <f t="shared" si="62"/>
        <v>Low Risk</v>
      </c>
      <c r="K1287" s="3" t="str">
        <f t="shared" si="60"/>
        <v>4+ Years</v>
      </c>
    </row>
    <row r="1288" spans="1:11" x14ac:dyDescent="0.3">
      <c r="A1288" t="s">
        <v>1305</v>
      </c>
      <c r="B1288" t="s">
        <v>14</v>
      </c>
      <c r="C1288" t="s">
        <v>30</v>
      </c>
      <c r="D1288" t="s">
        <v>24</v>
      </c>
      <c r="E1288">
        <v>84.45</v>
      </c>
      <c r="F1288">
        <v>72</v>
      </c>
      <c r="G1288">
        <v>6080.4</v>
      </c>
      <c r="H1288" t="s">
        <v>12</v>
      </c>
      <c r="I1288" t="str">
        <f t="shared" si="61"/>
        <v>High Value</v>
      </c>
      <c r="J1288" t="str">
        <f t="shared" si="62"/>
        <v>Low Risk</v>
      </c>
      <c r="K1288" s="3" t="str">
        <f t="shared" si="60"/>
        <v>4+ Years</v>
      </c>
    </row>
    <row r="1289" spans="1:11" x14ac:dyDescent="0.3">
      <c r="A1289" t="s">
        <v>1306</v>
      </c>
      <c r="B1289" t="s">
        <v>14</v>
      </c>
      <c r="C1289" t="s">
        <v>10</v>
      </c>
      <c r="D1289" t="s">
        <v>11</v>
      </c>
      <c r="E1289">
        <v>75</v>
      </c>
      <c r="F1289">
        <v>8</v>
      </c>
      <c r="G1289">
        <v>600</v>
      </c>
      <c r="H1289" t="s">
        <v>18</v>
      </c>
      <c r="I1289" t="str">
        <f t="shared" si="61"/>
        <v>Low Value</v>
      </c>
      <c r="J1289" t="str">
        <f t="shared" si="62"/>
        <v>High Risk</v>
      </c>
      <c r="K1289" s="3" t="str">
        <f t="shared" si="60"/>
        <v>0-1 Year</v>
      </c>
    </row>
    <row r="1290" spans="1:11" x14ac:dyDescent="0.3">
      <c r="A1290" t="s">
        <v>1307</v>
      </c>
      <c r="B1290" t="s">
        <v>9</v>
      </c>
      <c r="C1290" t="s">
        <v>30</v>
      </c>
      <c r="D1290" t="s">
        <v>20</v>
      </c>
      <c r="E1290">
        <v>84.5</v>
      </c>
      <c r="F1290">
        <v>62</v>
      </c>
      <c r="G1290">
        <v>5239</v>
      </c>
      <c r="H1290" t="s">
        <v>12</v>
      </c>
      <c r="I1290" t="str">
        <f t="shared" si="61"/>
        <v>High Value</v>
      </c>
      <c r="J1290" t="str">
        <f t="shared" si="62"/>
        <v>Low Risk</v>
      </c>
      <c r="K1290" s="3" t="str">
        <f t="shared" si="60"/>
        <v>4+ Years</v>
      </c>
    </row>
    <row r="1291" spans="1:11" x14ac:dyDescent="0.3">
      <c r="A1291" t="s">
        <v>1308</v>
      </c>
      <c r="B1291" t="s">
        <v>14</v>
      </c>
      <c r="C1291" t="s">
        <v>30</v>
      </c>
      <c r="D1291" t="s">
        <v>20</v>
      </c>
      <c r="E1291">
        <v>111.2</v>
      </c>
      <c r="F1291">
        <v>67</v>
      </c>
      <c r="G1291">
        <v>7450.4</v>
      </c>
      <c r="H1291" t="s">
        <v>12</v>
      </c>
      <c r="I1291" t="str">
        <f t="shared" si="61"/>
        <v>High Value</v>
      </c>
      <c r="J1291" t="str">
        <f t="shared" si="62"/>
        <v>Low Risk</v>
      </c>
      <c r="K1291" s="3" t="str">
        <f t="shared" si="60"/>
        <v>4+ Years</v>
      </c>
    </row>
    <row r="1292" spans="1:11" x14ac:dyDescent="0.3">
      <c r="A1292" t="s">
        <v>1309</v>
      </c>
      <c r="B1292" t="s">
        <v>14</v>
      </c>
      <c r="C1292" t="s">
        <v>10</v>
      </c>
      <c r="D1292" t="s">
        <v>11</v>
      </c>
      <c r="E1292">
        <v>44.75</v>
      </c>
      <c r="F1292">
        <v>6</v>
      </c>
      <c r="G1292">
        <v>268.5</v>
      </c>
      <c r="H1292" t="s">
        <v>18</v>
      </c>
      <c r="I1292" t="str">
        <f t="shared" si="61"/>
        <v>Low Value</v>
      </c>
      <c r="J1292" t="str">
        <f t="shared" si="62"/>
        <v>High Risk</v>
      </c>
      <c r="K1292" s="3" t="str">
        <f t="shared" si="60"/>
        <v>0-1 Year</v>
      </c>
    </row>
    <row r="1293" spans="1:11" x14ac:dyDescent="0.3">
      <c r="A1293" t="s">
        <v>1310</v>
      </c>
      <c r="B1293" t="s">
        <v>9</v>
      </c>
      <c r="C1293" t="s">
        <v>30</v>
      </c>
      <c r="D1293" t="s">
        <v>20</v>
      </c>
      <c r="E1293">
        <v>80.599999999999994</v>
      </c>
      <c r="F1293">
        <v>70</v>
      </c>
      <c r="G1293">
        <v>5642</v>
      </c>
      <c r="H1293" t="s">
        <v>12</v>
      </c>
      <c r="I1293" t="str">
        <f t="shared" si="61"/>
        <v>High Value</v>
      </c>
      <c r="J1293" t="str">
        <f t="shared" si="62"/>
        <v>Low Risk</v>
      </c>
      <c r="K1293" s="3" t="str">
        <f t="shared" si="60"/>
        <v>4+ Years</v>
      </c>
    </row>
    <row r="1294" spans="1:11" x14ac:dyDescent="0.3">
      <c r="A1294" t="s">
        <v>1311</v>
      </c>
      <c r="B1294" t="s">
        <v>9</v>
      </c>
      <c r="C1294" t="s">
        <v>10</v>
      </c>
      <c r="D1294" t="s">
        <v>20</v>
      </c>
      <c r="E1294">
        <v>80.7</v>
      </c>
      <c r="F1294">
        <v>20</v>
      </c>
      <c r="G1294">
        <v>1614</v>
      </c>
      <c r="H1294" t="s">
        <v>12</v>
      </c>
      <c r="I1294" t="str">
        <f t="shared" si="61"/>
        <v>Low Value</v>
      </c>
      <c r="J1294" t="str">
        <f t="shared" si="62"/>
        <v>Medium Risk</v>
      </c>
      <c r="K1294" s="3" t="str">
        <f t="shared" si="60"/>
        <v>1-2 Years</v>
      </c>
    </row>
    <row r="1295" spans="1:11" x14ac:dyDescent="0.3">
      <c r="A1295" t="s">
        <v>1312</v>
      </c>
      <c r="B1295" t="s">
        <v>9</v>
      </c>
      <c r="C1295" t="s">
        <v>10</v>
      </c>
      <c r="D1295" t="s">
        <v>11</v>
      </c>
      <c r="E1295">
        <v>75.599999999999994</v>
      </c>
      <c r="F1295">
        <v>5</v>
      </c>
      <c r="G1295">
        <v>378</v>
      </c>
      <c r="H1295" t="s">
        <v>12</v>
      </c>
      <c r="I1295" t="str">
        <f t="shared" si="61"/>
        <v>Low Value</v>
      </c>
      <c r="J1295" t="str">
        <f t="shared" si="62"/>
        <v>High Risk</v>
      </c>
      <c r="K1295" s="3" t="str">
        <f t="shared" si="60"/>
        <v>0-1 Year</v>
      </c>
    </row>
    <row r="1296" spans="1:11" x14ac:dyDescent="0.3">
      <c r="A1296" t="s">
        <v>1313</v>
      </c>
      <c r="B1296" t="s">
        <v>9</v>
      </c>
      <c r="C1296" t="s">
        <v>15</v>
      </c>
      <c r="D1296" t="s">
        <v>11</v>
      </c>
      <c r="E1296">
        <v>57.6</v>
      </c>
      <c r="F1296">
        <v>24</v>
      </c>
      <c r="G1296">
        <v>1382.4</v>
      </c>
      <c r="H1296" t="s">
        <v>12</v>
      </c>
      <c r="I1296" t="str">
        <f t="shared" si="61"/>
        <v>Low Value</v>
      </c>
      <c r="J1296" t="str">
        <f t="shared" si="62"/>
        <v>Low Risk</v>
      </c>
      <c r="K1296" s="3" t="str">
        <f t="shared" si="60"/>
        <v>1-2 Years</v>
      </c>
    </row>
    <row r="1297" spans="1:11" x14ac:dyDescent="0.3">
      <c r="A1297" t="s">
        <v>1314</v>
      </c>
      <c r="B1297" t="s">
        <v>9</v>
      </c>
      <c r="C1297" t="s">
        <v>10</v>
      </c>
      <c r="D1297" t="s">
        <v>11</v>
      </c>
      <c r="E1297">
        <v>44.05</v>
      </c>
      <c r="F1297">
        <v>11</v>
      </c>
      <c r="G1297">
        <v>484.54999999999899</v>
      </c>
      <c r="H1297" t="s">
        <v>18</v>
      </c>
      <c r="I1297" t="str">
        <f t="shared" si="61"/>
        <v>Low Value</v>
      </c>
      <c r="J1297" t="str">
        <f t="shared" si="62"/>
        <v>High Risk</v>
      </c>
      <c r="K1297" s="3" t="str">
        <f t="shared" si="60"/>
        <v>0-1 Year</v>
      </c>
    </row>
    <row r="1298" spans="1:11" x14ac:dyDescent="0.3">
      <c r="A1298" t="s">
        <v>1315</v>
      </c>
      <c r="B1298" t="s">
        <v>14</v>
      </c>
      <c r="C1298" t="s">
        <v>30</v>
      </c>
      <c r="D1298" t="s">
        <v>24</v>
      </c>
      <c r="E1298">
        <v>110.6</v>
      </c>
      <c r="F1298">
        <v>72</v>
      </c>
      <c r="G1298">
        <v>7963.2</v>
      </c>
      <c r="H1298" t="s">
        <v>12</v>
      </c>
      <c r="I1298" t="str">
        <f t="shared" si="61"/>
        <v>High Value</v>
      </c>
      <c r="J1298" t="str">
        <f t="shared" si="62"/>
        <v>Low Risk</v>
      </c>
      <c r="K1298" s="3" t="str">
        <f t="shared" si="60"/>
        <v>4+ Years</v>
      </c>
    </row>
    <row r="1299" spans="1:11" x14ac:dyDescent="0.3">
      <c r="A1299" t="s">
        <v>1316</v>
      </c>
      <c r="B1299" t="s">
        <v>9</v>
      </c>
      <c r="C1299" t="s">
        <v>30</v>
      </c>
      <c r="D1299" t="s">
        <v>24</v>
      </c>
      <c r="E1299">
        <v>58.2</v>
      </c>
      <c r="F1299">
        <v>66</v>
      </c>
      <c r="G1299">
        <v>3841.2</v>
      </c>
      <c r="H1299" t="s">
        <v>12</v>
      </c>
      <c r="I1299" t="str">
        <f t="shared" si="61"/>
        <v>Medium Value</v>
      </c>
      <c r="J1299" t="str">
        <f t="shared" si="62"/>
        <v>Low Risk</v>
      </c>
      <c r="K1299" s="3" t="str">
        <f t="shared" si="60"/>
        <v>4+ Years</v>
      </c>
    </row>
    <row r="1300" spans="1:11" x14ac:dyDescent="0.3">
      <c r="A1300" t="s">
        <v>1317</v>
      </c>
      <c r="B1300" t="s">
        <v>9</v>
      </c>
      <c r="C1300" t="s">
        <v>30</v>
      </c>
      <c r="D1300" t="s">
        <v>16</v>
      </c>
      <c r="E1300">
        <v>81</v>
      </c>
      <c r="F1300">
        <v>45</v>
      </c>
      <c r="G1300">
        <v>3645</v>
      </c>
      <c r="H1300" t="s">
        <v>12</v>
      </c>
      <c r="I1300" t="str">
        <f t="shared" si="61"/>
        <v>Medium Value</v>
      </c>
      <c r="J1300" t="str">
        <f t="shared" si="62"/>
        <v>Low Risk</v>
      </c>
      <c r="K1300" s="3" t="str">
        <f t="shared" si="60"/>
        <v>2-4 Years</v>
      </c>
    </row>
    <row r="1301" spans="1:11" x14ac:dyDescent="0.3">
      <c r="A1301" t="s">
        <v>1318</v>
      </c>
      <c r="B1301" t="s">
        <v>9</v>
      </c>
      <c r="C1301" t="s">
        <v>30</v>
      </c>
      <c r="D1301" t="s">
        <v>20</v>
      </c>
      <c r="E1301">
        <v>19.7</v>
      </c>
      <c r="F1301">
        <v>69</v>
      </c>
      <c r="G1301">
        <v>1359.3</v>
      </c>
      <c r="H1301" t="s">
        <v>12</v>
      </c>
      <c r="I1301" t="str">
        <f t="shared" si="61"/>
        <v>Low Value</v>
      </c>
      <c r="J1301" t="str">
        <f t="shared" si="62"/>
        <v>Low Risk</v>
      </c>
      <c r="K1301" s="3" t="str">
        <f t="shared" si="60"/>
        <v>4+ Years</v>
      </c>
    </row>
    <row r="1302" spans="1:11" x14ac:dyDescent="0.3">
      <c r="A1302" t="s">
        <v>1319</v>
      </c>
      <c r="B1302" t="s">
        <v>14</v>
      </c>
      <c r="C1302" t="s">
        <v>10</v>
      </c>
      <c r="D1302" t="s">
        <v>20</v>
      </c>
      <c r="E1302">
        <v>85.6</v>
      </c>
      <c r="F1302">
        <v>15</v>
      </c>
      <c r="G1302">
        <v>1284</v>
      </c>
      <c r="H1302" t="s">
        <v>18</v>
      </c>
      <c r="I1302" t="str">
        <f t="shared" si="61"/>
        <v>Low Value</v>
      </c>
      <c r="J1302" t="str">
        <f t="shared" si="62"/>
        <v>Medium Risk</v>
      </c>
      <c r="K1302" s="3" t="str">
        <f t="shared" si="60"/>
        <v>1-2 Years</v>
      </c>
    </row>
    <row r="1303" spans="1:11" x14ac:dyDescent="0.3">
      <c r="A1303" t="s">
        <v>1320</v>
      </c>
      <c r="B1303" t="s">
        <v>9</v>
      </c>
      <c r="C1303" t="s">
        <v>10</v>
      </c>
      <c r="D1303" t="s">
        <v>20</v>
      </c>
      <c r="E1303">
        <v>59.55</v>
      </c>
      <c r="F1303">
        <v>28</v>
      </c>
      <c r="G1303">
        <v>1667.3999999999901</v>
      </c>
      <c r="H1303" t="s">
        <v>12</v>
      </c>
      <c r="I1303" t="str">
        <f t="shared" si="61"/>
        <v>Low Value</v>
      </c>
      <c r="J1303" t="str">
        <f t="shared" si="62"/>
        <v>Low Risk</v>
      </c>
      <c r="K1303" s="3" t="str">
        <f t="shared" si="60"/>
        <v>2-4 Years</v>
      </c>
    </row>
    <row r="1304" spans="1:11" x14ac:dyDescent="0.3">
      <c r="A1304" t="s">
        <v>1321</v>
      </c>
      <c r="B1304" t="s">
        <v>9</v>
      </c>
      <c r="C1304" t="s">
        <v>15</v>
      </c>
      <c r="D1304" t="s">
        <v>24</v>
      </c>
      <c r="E1304">
        <v>115.55</v>
      </c>
      <c r="F1304">
        <v>70</v>
      </c>
      <c r="G1304">
        <v>8088.5</v>
      </c>
      <c r="H1304" t="s">
        <v>18</v>
      </c>
      <c r="I1304" t="str">
        <f t="shared" si="61"/>
        <v>High Value</v>
      </c>
      <c r="J1304" t="str">
        <f t="shared" si="62"/>
        <v>Low Risk</v>
      </c>
      <c r="K1304" s="3" t="str">
        <f t="shared" si="60"/>
        <v>4+ Years</v>
      </c>
    </row>
    <row r="1305" spans="1:11" x14ac:dyDescent="0.3">
      <c r="A1305" t="s">
        <v>1322</v>
      </c>
      <c r="B1305" t="s">
        <v>9</v>
      </c>
      <c r="C1305" t="s">
        <v>15</v>
      </c>
      <c r="D1305" t="s">
        <v>16</v>
      </c>
      <c r="E1305">
        <v>75.55</v>
      </c>
      <c r="F1305">
        <v>36</v>
      </c>
      <c r="G1305">
        <v>2719.7999999999902</v>
      </c>
      <c r="H1305" t="s">
        <v>12</v>
      </c>
      <c r="I1305" t="str">
        <f t="shared" si="61"/>
        <v>Medium Value</v>
      </c>
      <c r="J1305" t="str">
        <f t="shared" si="62"/>
        <v>Low Risk</v>
      </c>
      <c r="K1305" s="3" t="str">
        <f t="shared" si="60"/>
        <v>2-4 Years</v>
      </c>
    </row>
    <row r="1306" spans="1:11" x14ac:dyDescent="0.3">
      <c r="A1306" t="s">
        <v>1323</v>
      </c>
      <c r="B1306" t="s">
        <v>14</v>
      </c>
      <c r="C1306" t="s">
        <v>10</v>
      </c>
      <c r="D1306" t="s">
        <v>11</v>
      </c>
      <c r="E1306">
        <v>86.6</v>
      </c>
      <c r="F1306">
        <v>16</v>
      </c>
      <c r="G1306">
        <v>1385.6</v>
      </c>
      <c r="H1306" t="s">
        <v>18</v>
      </c>
      <c r="I1306" t="str">
        <f t="shared" si="61"/>
        <v>Low Value</v>
      </c>
      <c r="J1306" t="str">
        <f t="shared" si="62"/>
        <v>Medium Risk</v>
      </c>
      <c r="K1306" s="3" t="str">
        <f t="shared" si="60"/>
        <v>1-2 Years</v>
      </c>
    </row>
    <row r="1307" spans="1:11" x14ac:dyDescent="0.3">
      <c r="A1307" t="s">
        <v>1324</v>
      </c>
      <c r="B1307" t="s">
        <v>9</v>
      </c>
      <c r="C1307" t="s">
        <v>10</v>
      </c>
      <c r="D1307" t="s">
        <v>11</v>
      </c>
      <c r="E1307">
        <v>85.2</v>
      </c>
      <c r="F1307">
        <v>18</v>
      </c>
      <c r="G1307">
        <v>1533.6</v>
      </c>
      <c r="H1307" t="s">
        <v>18</v>
      </c>
      <c r="I1307" t="str">
        <f t="shared" si="61"/>
        <v>Low Value</v>
      </c>
      <c r="J1307" t="str">
        <f t="shared" si="62"/>
        <v>Medium Risk</v>
      </c>
      <c r="K1307" s="3" t="str">
        <f t="shared" si="60"/>
        <v>1-2 Years</v>
      </c>
    </row>
    <row r="1308" spans="1:11" x14ac:dyDescent="0.3">
      <c r="A1308" t="s">
        <v>1325</v>
      </c>
      <c r="B1308" t="s">
        <v>9</v>
      </c>
      <c r="C1308" t="s">
        <v>10</v>
      </c>
      <c r="D1308" t="s">
        <v>11</v>
      </c>
      <c r="E1308">
        <v>97.65</v>
      </c>
      <c r="F1308">
        <v>34</v>
      </c>
      <c r="G1308">
        <v>3320.1</v>
      </c>
      <c r="H1308" t="s">
        <v>18</v>
      </c>
      <c r="I1308" t="str">
        <f t="shared" si="61"/>
        <v>Medium Value</v>
      </c>
      <c r="J1308" t="str">
        <f t="shared" si="62"/>
        <v>Low Risk</v>
      </c>
      <c r="K1308" s="3" t="str">
        <f t="shared" si="60"/>
        <v>2-4 Years</v>
      </c>
    </row>
    <row r="1309" spans="1:11" x14ac:dyDescent="0.3">
      <c r="A1309" t="s">
        <v>1326</v>
      </c>
      <c r="B1309" t="s">
        <v>14</v>
      </c>
      <c r="C1309" t="s">
        <v>15</v>
      </c>
      <c r="D1309" t="s">
        <v>24</v>
      </c>
      <c r="E1309">
        <v>45.1</v>
      </c>
      <c r="F1309">
        <v>42</v>
      </c>
      <c r="G1309">
        <v>1894.2</v>
      </c>
      <c r="H1309" t="s">
        <v>12</v>
      </c>
      <c r="I1309" t="str">
        <f t="shared" si="61"/>
        <v>Low Value</v>
      </c>
      <c r="J1309" t="str">
        <f t="shared" si="62"/>
        <v>Low Risk</v>
      </c>
      <c r="K1309" s="3" t="str">
        <f t="shared" si="60"/>
        <v>2-4 Years</v>
      </c>
    </row>
    <row r="1310" spans="1:11" x14ac:dyDescent="0.3">
      <c r="A1310" t="s">
        <v>1327</v>
      </c>
      <c r="B1310" t="s">
        <v>14</v>
      </c>
      <c r="C1310" t="s">
        <v>15</v>
      </c>
      <c r="D1310" t="s">
        <v>20</v>
      </c>
      <c r="E1310">
        <v>70.95</v>
      </c>
      <c r="F1310">
        <v>48</v>
      </c>
      <c r="G1310">
        <v>3405.6</v>
      </c>
      <c r="H1310" t="s">
        <v>12</v>
      </c>
      <c r="I1310" t="str">
        <f t="shared" si="61"/>
        <v>Medium Value</v>
      </c>
      <c r="J1310" t="str">
        <f t="shared" si="62"/>
        <v>Low Risk</v>
      </c>
      <c r="K1310" s="3" t="str">
        <f t="shared" si="60"/>
        <v>2-4 Years</v>
      </c>
    </row>
    <row r="1311" spans="1:11" x14ac:dyDescent="0.3">
      <c r="A1311" t="s">
        <v>1328</v>
      </c>
      <c r="B1311" t="s">
        <v>14</v>
      </c>
      <c r="C1311" t="s">
        <v>10</v>
      </c>
      <c r="D1311" t="s">
        <v>11</v>
      </c>
      <c r="E1311">
        <v>109.55</v>
      </c>
      <c r="F1311">
        <v>47</v>
      </c>
      <c r="G1311">
        <v>5148.8499999999904</v>
      </c>
      <c r="H1311" t="s">
        <v>18</v>
      </c>
      <c r="I1311" t="str">
        <f t="shared" si="61"/>
        <v>High Value</v>
      </c>
      <c r="J1311" t="str">
        <f t="shared" si="62"/>
        <v>Low Risk</v>
      </c>
      <c r="K1311" s="3" t="str">
        <f t="shared" si="60"/>
        <v>2-4 Years</v>
      </c>
    </row>
    <row r="1312" spans="1:11" x14ac:dyDescent="0.3">
      <c r="A1312" t="s">
        <v>1329</v>
      </c>
      <c r="B1312" t="s">
        <v>9</v>
      </c>
      <c r="C1312" t="s">
        <v>15</v>
      </c>
      <c r="D1312" t="s">
        <v>11</v>
      </c>
      <c r="E1312">
        <v>89.55</v>
      </c>
      <c r="F1312">
        <v>39</v>
      </c>
      <c r="G1312">
        <v>3492.45</v>
      </c>
      <c r="H1312" t="s">
        <v>18</v>
      </c>
      <c r="I1312" t="str">
        <f t="shared" si="61"/>
        <v>Medium Value</v>
      </c>
      <c r="J1312" t="str">
        <f t="shared" si="62"/>
        <v>Low Risk</v>
      </c>
      <c r="K1312" s="3" t="str">
        <f t="shared" si="60"/>
        <v>2-4 Years</v>
      </c>
    </row>
    <row r="1313" spans="1:11" x14ac:dyDescent="0.3">
      <c r="A1313" t="s">
        <v>1330</v>
      </c>
      <c r="B1313" t="s">
        <v>9</v>
      </c>
      <c r="C1313" t="s">
        <v>30</v>
      </c>
      <c r="D1313" t="s">
        <v>24</v>
      </c>
      <c r="E1313">
        <v>20.9</v>
      </c>
      <c r="F1313">
        <v>11</v>
      </c>
      <c r="G1313">
        <v>229.89999999999901</v>
      </c>
      <c r="H1313" t="s">
        <v>12</v>
      </c>
      <c r="I1313" t="str">
        <f t="shared" si="61"/>
        <v>Low Value</v>
      </c>
      <c r="J1313" t="str">
        <f t="shared" si="62"/>
        <v>High Risk</v>
      </c>
      <c r="K1313" s="3" t="str">
        <f t="shared" si="60"/>
        <v>0-1 Year</v>
      </c>
    </row>
    <row r="1314" spans="1:11" x14ac:dyDescent="0.3">
      <c r="A1314" t="s">
        <v>1331</v>
      </c>
      <c r="B1314" t="s">
        <v>14</v>
      </c>
      <c r="C1314" t="s">
        <v>10</v>
      </c>
      <c r="D1314" t="s">
        <v>16</v>
      </c>
      <c r="E1314">
        <v>19.95</v>
      </c>
      <c r="F1314">
        <v>7</v>
      </c>
      <c r="G1314">
        <v>139.65</v>
      </c>
      <c r="H1314" t="s">
        <v>12</v>
      </c>
      <c r="I1314" t="str">
        <f t="shared" si="61"/>
        <v>Low Value</v>
      </c>
      <c r="J1314" t="str">
        <f t="shared" si="62"/>
        <v>High Risk</v>
      </c>
      <c r="K1314" s="3" t="str">
        <f t="shared" si="60"/>
        <v>0-1 Year</v>
      </c>
    </row>
    <row r="1315" spans="1:11" x14ac:dyDescent="0.3">
      <c r="A1315" t="s">
        <v>1332</v>
      </c>
      <c r="B1315" t="s">
        <v>9</v>
      </c>
      <c r="C1315" t="s">
        <v>10</v>
      </c>
      <c r="D1315" t="s">
        <v>16</v>
      </c>
      <c r="E1315">
        <v>24.6</v>
      </c>
      <c r="F1315">
        <v>3</v>
      </c>
      <c r="G1315">
        <v>73.8</v>
      </c>
      <c r="H1315" t="s">
        <v>12</v>
      </c>
      <c r="I1315" t="str">
        <f t="shared" si="61"/>
        <v>Low Value</v>
      </c>
      <c r="J1315" t="str">
        <f t="shared" si="62"/>
        <v>High Risk</v>
      </c>
      <c r="K1315" s="3" t="str">
        <f t="shared" si="60"/>
        <v>0-1 Year</v>
      </c>
    </row>
    <row r="1316" spans="1:11" x14ac:dyDescent="0.3">
      <c r="A1316" t="s">
        <v>1333</v>
      </c>
      <c r="B1316" t="s">
        <v>14</v>
      </c>
      <c r="C1316" t="s">
        <v>10</v>
      </c>
      <c r="D1316" t="s">
        <v>11</v>
      </c>
      <c r="E1316">
        <v>66.7</v>
      </c>
      <c r="F1316">
        <v>8</v>
      </c>
      <c r="G1316">
        <v>533.6</v>
      </c>
      <c r="H1316" t="s">
        <v>12</v>
      </c>
      <c r="I1316" t="str">
        <f t="shared" si="61"/>
        <v>Low Value</v>
      </c>
      <c r="J1316" t="str">
        <f t="shared" si="62"/>
        <v>High Risk</v>
      </c>
      <c r="K1316" s="3" t="str">
        <f t="shared" si="60"/>
        <v>0-1 Year</v>
      </c>
    </row>
    <row r="1317" spans="1:11" x14ac:dyDescent="0.3">
      <c r="A1317" t="s">
        <v>1334</v>
      </c>
      <c r="B1317" t="s">
        <v>14</v>
      </c>
      <c r="C1317" t="s">
        <v>10</v>
      </c>
      <c r="D1317" t="s">
        <v>16</v>
      </c>
      <c r="E1317">
        <v>19.45</v>
      </c>
      <c r="F1317">
        <v>1</v>
      </c>
      <c r="G1317">
        <v>19.45</v>
      </c>
      <c r="H1317" t="s">
        <v>18</v>
      </c>
      <c r="I1317" t="str">
        <f t="shared" si="61"/>
        <v>Low Value</v>
      </c>
      <c r="J1317" t="str">
        <f t="shared" si="62"/>
        <v>High Risk</v>
      </c>
      <c r="K1317" s="3" t="str">
        <f t="shared" si="60"/>
        <v>0-1 Year</v>
      </c>
    </row>
    <row r="1318" spans="1:11" x14ac:dyDescent="0.3">
      <c r="A1318" t="s">
        <v>1335</v>
      </c>
      <c r="B1318" t="s">
        <v>14</v>
      </c>
      <c r="C1318" t="s">
        <v>15</v>
      </c>
      <c r="D1318" t="s">
        <v>16</v>
      </c>
      <c r="E1318">
        <v>94.8</v>
      </c>
      <c r="F1318">
        <v>32</v>
      </c>
      <c r="G1318">
        <v>3033.6</v>
      </c>
      <c r="H1318" t="s">
        <v>12</v>
      </c>
      <c r="I1318" t="str">
        <f t="shared" si="61"/>
        <v>Medium Value</v>
      </c>
      <c r="J1318" t="str">
        <f t="shared" si="62"/>
        <v>Low Risk</v>
      </c>
      <c r="K1318" s="3" t="str">
        <f t="shared" si="60"/>
        <v>2-4 Years</v>
      </c>
    </row>
    <row r="1319" spans="1:11" x14ac:dyDescent="0.3">
      <c r="A1319" t="s">
        <v>1336</v>
      </c>
      <c r="B1319" t="s">
        <v>14</v>
      </c>
      <c r="C1319" t="s">
        <v>15</v>
      </c>
      <c r="D1319" t="s">
        <v>20</v>
      </c>
      <c r="E1319">
        <v>65.849999999999994</v>
      </c>
      <c r="F1319">
        <v>60</v>
      </c>
      <c r="G1319">
        <v>3950.99999999999</v>
      </c>
      <c r="H1319" t="s">
        <v>12</v>
      </c>
      <c r="I1319" t="str">
        <f t="shared" si="61"/>
        <v>Medium Value</v>
      </c>
      <c r="J1319" t="str">
        <f t="shared" si="62"/>
        <v>Low Risk</v>
      </c>
      <c r="K1319" s="3" t="str">
        <f t="shared" si="60"/>
        <v>4+ Years</v>
      </c>
    </row>
    <row r="1320" spans="1:11" x14ac:dyDescent="0.3">
      <c r="A1320" t="s">
        <v>1337</v>
      </c>
      <c r="B1320" t="s">
        <v>9</v>
      </c>
      <c r="C1320" t="s">
        <v>10</v>
      </c>
      <c r="D1320" t="s">
        <v>20</v>
      </c>
      <c r="E1320">
        <v>19.95</v>
      </c>
      <c r="F1320">
        <v>10</v>
      </c>
      <c r="G1320">
        <v>199.5</v>
      </c>
      <c r="H1320" t="s">
        <v>12</v>
      </c>
      <c r="I1320" t="str">
        <f t="shared" si="61"/>
        <v>Low Value</v>
      </c>
      <c r="J1320" t="str">
        <f t="shared" si="62"/>
        <v>High Risk</v>
      </c>
      <c r="K1320" s="3" t="str">
        <f t="shared" si="60"/>
        <v>0-1 Year</v>
      </c>
    </row>
    <row r="1321" spans="1:11" x14ac:dyDescent="0.3">
      <c r="A1321" t="s">
        <v>1338</v>
      </c>
      <c r="B1321" t="s">
        <v>9</v>
      </c>
      <c r="C1321" t="s">
        <v>30</v>
      </c>
      <c r="D1321" t="s">
        <v>20</v>
      </c>
      <c r="E1321">
        <v>24.65</v>
      </c>
      <c r="F1321">
        <v>71</v>
      </c>
      <c r="G1321">
        <v>1750.1499999999901</v>
      </c>
      <c r="H1321" t="s">
        <v>12</v>
      </c>
      <c r="I1321" t="str">
        <f t="shared" si="61"/>
        <v>Low Value</v>
      </c>
      <c r="J1321" t="str">
        <f t="shared" si="62"/>
        <v>Low Risk</v>
      </c>
      <c r="K1321" s="3" t="str">
        <f t="shared" si="60"/>
        <v>4+ Years</v>
      </c>
    </row>
    <row r="1322" spans="1:11" x14ac:dyDescent="0.3">
      <c r="A1322" t="s">
        <v>1339</v>
      </c>
      <c r="B1322" t="s">
        <v>9</v>
      </c>
      <c r="C1322" t="s">
        <v>10</v>
      </c>
      <c r="D1322" t="s">
        <v>16</v>
      </c>
      <c r="E1322">
        <v>20.350000000000001</v>
      </c>
      <c r="F1322">
        <v>4</v>
      </c>
      <c r="G1322">
        <v>81.400000000000006</v>
      </c>
      <c r="H1322" t="s">
        <v>18</v>
      </c>
      <c r="I1322" t="str">
        <f t="shared" si="61"/>
        <v>Low Value</v>
      </c>
      <c r="J1322" t="str">
        <f t="shared" si="62"/>
        <v>High Risk</v>
      </c>
      <c r="K1322" s="3" t="str">
        <f t="shared" si="60"/>
        <v>0-1 Year</v>
      </c>
    </row>
    <row r="1323" spans="1:11" x14ac:dyDescent="0.3">
      <c r="A1323" t="s">
        <v>1340</v>
      </c>
      <c r="B1323" t="s">
        <v>9</v>
      </c>
      <c r="C1323" t="s">
        <v>10</v>
      </c>
      <c r="D1323" t="s">
        <v>11</v>
      </c>
      <c r="E1323">
        <v>69.25</v>
      </c>
      <c r="F1323">
        <v>1</v>
      </c>
      <c r="G1323">
        <v>69.25</v>
      </c>
      <c r="H1323" t="s">
        <v>18</v>
      </c>
      <c r="I1323" t="str">
        <f t="shared" si="61"/>
        <v>Low Value</v>
      </c>
      <c r="J1323" t="str">
        <f t="shared" si="62"/>
        <v>High Risk</v>
      </c>
      <c r="K1323" s="3" t="str">
        <f t="shared" si="60"/>
        <v>0-1 Year</v>
      </c>
    </row>
    <row r="1324" spans="1:11" x14ac:dyDescent="0.3">
      <c r="A1324" t="s">
        <v>1341</v>
      </c>
      <c r="B1324" t="s">
        <v>9</v>
      </c>
      <c r="C1324" t="s">
        <v>15</v>
      </c>
      <c r="D1324" t="s">
        <v>20</v>
      </c>
      <c r="E1324">
        <v>51.25</v>
      </c>
      <c r="F1324">
        <v>43</v>
      </c>
      <c r="G1324">
        <v>2203.75</v>
      </c>
      <c r="H1324" t="s">
        <v>12</v>
      </c>
      <c r="I1324" t="str">
        <f t="shared" si="61"/>
        <v>Medium Value</v>
      </c>
      <c r="J1324" t="str">
        <f t="shared" si="62"/>
        <v>Low Risk</v>
      </c>
      <c r="K1324" s="3" t="str">
        <f t="shared" si="60"/>
        <v>2-4 Years</v>
      </c>
    </row>
    <row r="1325" spans="1:11" x14ac:dyDescent="0.3">
      <c r="A1325" t="s">
        <v>1342</v>
      </c>
      <c r="B1325" t="s">
        <v>14</v>
      </c>
      <c r="C1325" t="s">
        <v>15</v>
      </c>
      <c r="D1325" t="s">
        <v>20</v>
      </c>
      <c r="E1325">
        <v>99.5</v>
      </c>
      <c r="F1325">
        <v>59</v>
      </c>
      <c r="G1325">
        <v>5870.5</v>
      </c>
      <c r="H1325" t="s">
        <v>18</v>
      </c>
      <c r="I1325" t="str">
        <f t="shared" si="61"/>
        <v>High Value</v>
      </c>
      <c r="J1325" t="str">
        <f t="shared" si="62"/>
        <v>Low Risk</v>
      </c>
      <c r="K1325" s="3" t="str">
        <f t="shared" si="60"/>
        <v>4+ Years</v>
      </c>
    </row>
    <row r="1326" spans="1:11" x14ac:dyDescent="0.3">
      <c r="A1326" t="s">
        <v>1343</v>
      </c>
      <c r="B1326" t="s">
        <v>9</v>
      </c>
      <c r="C1326" t="s">
        <v>10</v>
      </c>
      <c r="D1326" t="s">
        <v>11</v>
      </c>
      <c r="E1326">
        <v>54.25</v>
      </c>
      <c r="F1326">
        <v>23</v>
      </c>
      <c r="G1326">
        <v>1247.75</v>
      </c>
      <c r="H1326" t="s">
        <v>12</v>
      </c>
      <c r="I1326" t="str">
        <f t="shared" si="61"/>
        <v>Low Value</v>
      </c>
      <c r="J1326" t="str">
        <f t="shared" si="62"/>
        <v>Medium Risk</v>
      </c>
      <c r="K1326" s="3" t="str">
        <f t="shared" si="60"/>
        <v>1-2 Years</v>
      </c>
    </row>
    <row r="1327" spans="1:11" x14ac:dyDescent="0.3">
      <c r="A1327" t="s">
        <v>1344</v>
      </c>
      <c r="B1327" t="s">
        <v>9</v>
      </c>
      <c r="C1327" t="s">
        <v>30</v>
      </c>
      <c r="D1327" t="s">
        <v>20</v>
      </c>
      <c r="E1327">
        <v>19.399999999999999</v>
      </c>
      <c r="F1327">
        <v>72</v>
      </c>
      <c r="G1327">
        <v>1396.8</v>
      </c>
      <c r="H1327" t="s">
        <v>12</v>
      </c>
      <c r="I1327" t="str">
        <f t="shared" si="61"/>
        <v>Low Value</v>
      </c>
      <c r="J1327" t="str">
        <f t="shared" si="62"/>
        <v>Low Risk</v>
      </c>
      <c r="K1327" s="3" t="str">
        <f t="shared" si="60"/>
        <v>4+ Years</v>
      </c>
    </row>
    <row r="1328" spans="1:11" x14ac:dyDescent="0.3">
      <c r="A1328" t="s">
        <v>1345</v>
      </c>
      <c r="B1328" t="s">
        <v>14</v>
      </c>
      <c r="C1328" t="s">
        <v>15</v>
      </c>
      <c r="D1328" t="s">
        <v>24</v>
      </c>
      <c r="E1328">
        <v>56.25</v>
      </c>
      <c r="F1328">
        <v>22</v>
      </c>
      <c r="G1328">
        <v>1237.5</v>
      </c>
      <c r="H1328" t="s">
        <v>12</v>
      </c>
      <c r="I1328" t="str">
        <f t="shared" si="61"/>
        <v>Low Value</v>
      </c>
      <c r="J1328" t="str">
        <f t="shared" si="62"/>
        <v>Medium Risk</v>
      </c>
      <c r="K1328" s="3" t="str">
        <f t="shared" si="60"/>
        <v>1-2 Years</v>
      </c>
    </row>
    <row r="1329" spans="1:11" x14ac:dyDescent="0.3">
      <c r="A1329" t="s">
        <v>1346</v>
      </c>
      <c r="B1329" t="s">
        <v>9</v>
      </c>
      <c r="C1329" t="s">
        <v>10</v>
      </c>
      <c r="D1329" t="s">
        <v>16</v>
      </c>
      <c r="E1329">
        <v>25.15</v>
      </c>
      <c r="F1329">
        <v>1</v>
      </c>
      <c r="G1329">
        <v>25.15</v>
      </c>
      <c r="H1329" t="s">
        <v>12</v>
      </c>
      <c r="I1329" t="str">
        <f t="shared" si="61"/>
        <v>Low Value</v>
      </c>
      <c r="J1329" t="str">
        <f t="shared" si="62"/>
        <v>High Risk</v>
      </c>
      <c r="K1329" s="3" t="str">
        <f t="shared" si="60"/>
        <v>0-1 Year</v>
      </c>
    </row>
    <row r="1330" spans="1:11" x14ac:dyDescent="0.3">
      <c r="A1330" t="s">
        <v>1347</v>
      </c>
      <c r="B1330" t="s">
        <v>14</v>
      </c>
      <c r="C1330" t="s">
        <v>30</v>
      </c>
      <c r="D1330" t="s">
        <v>20</v>
      </c>
      <c r="E1330">
        <v>23.95</v>
      </c>
      <c r="F1330">
        <v>69</v>
      </c>
      <c r="G1330">
        <v>1652.55</v>
      </c>
      <c r="H1330" t="s">
        <v>12</v>
      </c>
      <c r="I1330" t="str">
        <f t="shared" si="61"/>
        <v>Low Value</v>
      </c>
      <c r="J1330" t="str">
        <f t="shared" si="62"/>
        <v>Low Risk</v>
      </c>
      <c r="K1330" s="3" t="str">
        <f t="shared" si="60"/>
        <v>4+ Years</v>
      </c>
    </row>
    <row r="1331" spans="1:11" x14ac:dyDescent="0.3">
      <c r="A1331" t="s">
        <v>1348</v>
      </c>
      <c r="B1331" t="s">
        <v>14</v>
      </c>
      <c r="C1331" t="s">
        <v>15</v>
      </c>
      <c r="D1331" t="s">
        <v>16</v>
      </c>
      <c r="E1331">
        <v>35.4</v>
      </c>
      <c r="F1331">
        <v>50</v>
      </c>
      <c r="G1331">
        <v>1770</v>
      </c>
      <c r="H1331" t="s">
        <v>12</v>
      </c>
      <c r="I1331" t="str">
        <f t="shared" si="61"/>
        <v>Low Value</v>
      </c>
      <c r="J1331" t="str">
        <f t="shared" si="62"/>
        <v>Low Risk</v>
      </c>
      <c r="K1331" s="3" t="str">
        <f t="shared" si="60"/>
        <v>4+ Years</v>
      </c>
    </row>
    <row r="1332" spans="1:11" x14ac:dyDescent="0.3">
      <c r="A1332" t="s">
        <v>1349</v>
      </c>
      <c r="B1332" t="s">
        <v>9</v>
      </c>
      <c r="C1332" t="s">
        <v>10</v>
      </c>
      <c r="D1332" t="s">
        <v>11</v>
      </c>
      <c r="E1332">
        <v>25.2</v>
      </c>
      <c r="F1332">
        <v>1</v>
      </c>
      <c r="G1332">
        <v>25.2</v>
      </c>
      <c r="H1332" t="s">
        <v>18</v>
      </c>
      <c r="I1332" t="str">
        <f t="shared" si="61"/>
        <v>Low Value</v>
      </c>
      <c r="J1332" t="str">
        <f t="shared" si="62"/>
        <v>High Risk</v>
      </c>
      <c r="K1332" s="3" t="str">
        <f t="shared" si="60"/>
        <v>0-1 Year</v>
      </c>
    </row>
    <row r="1333" spans="1:11" x14ac:dyDescent="0.3">
      <c r="A1333" t="s">
        <v>1350</v>
      </c>
      <c r="B1333" t="s">
        <v>14</v>
      </c>
      <c r="C1333" t="s">
        <v>10</v>
      </c>
      <c r="D1333" t="s">
        <v>16</v>
      </c>
      <c r="E1333">
        <v>45</v>
      </c>
      <c r="F1333">
        <v>2</v>
      </c>
      <c r="G1333">
        <v>90</v>
      </c>
      <c r="H1333" t="s">
        <v>18</v>
      </c>
      <c r="I1333" t="str">
        <f t="shared" si="61"/>
        <v>Low Value</v>
      </c>
      <c r="J1333" t="str">
        <f t="shared" si="62"/>
        <v>High Risk</v>
      </c>
      <c r="K1333" s="3" t="str">
        <f t="shared" si="60"/>
        <v>0-1 Year</v>
      </c>
    </row>
    <row r="1334" spans="1:11" x14ac:dyDescent="0.3">
      <c r="A1334" t="s">
        <v>1351</v>
      </c>
      <c r="B1334" t="s">
        <v>9</v>
      </c>
      <c r="C1334" t="s">
        <v>10</v>
      </c>
      <c r="D1334" t="s">
        <v>20</v>
      </c>
      <c r="E1334">
        <v>75.349999999999994</v>
      </c>
      <c r="F1334">
        <v>15</v>
      </c>
      <c r="G1334">
        <v>1130.25</v>
      </c>
      <c r="H1334" t="s">
        <v>12</v>
      </c>
      <c r="I1334" t="str">
        <f t="shared" si="61"/>
        <v>Low Value</v>
      </c>
      <c r="J1334" t="str">
        <f t="shared" si="62"/>
        <v>Medium Risk</v>
      </c>
      <c r="K1334" s="3" t="str">
        <f t="shared" si="60"/>
        <v>1-2 Years</v>
      </c>
    </row>
    <row r="1335" spans="1:11" x14ac:dyDescent="0.3">
      <c r="A1335" t="s">
        <v>1352</v>
      </c>
      <c r="B1335" t="s">
        <v>14</v>
      </c>
      <c r="C1335" t="s">
        <v>30</v>
      </c>
      <c r="D1335" t="s">
        <v>20</v>
      </c>
      <c r="E1335">
        <v>20.399999999999999</v>
      </c>
      <c r="F1335">
        <v>31</v>
      </c>
      <c r="G1335">
        <v>632.4</v>
      </c>
      <c r="H1335" t="s">
        <v>12</v>
      </c>
      <c r="I1335" t="str">
        <f t="shared" si="61"/>
        <v>Low Value</v>
      </c>
      <c r="J1335" t="str">
        <f t="shared" si="62"/>
        <v>Low Risk</v>
      </c>
      <c r="K1335" s="3" t="str">
        <f t="shared" si="60"/>
        <v>2-4 Years</v>
      </c>
    </row>
    <row r="1336" spans="1:11" x14ac:dyDescent="0.3">
      <c r="A1336" t="s">
        <v>1353</v>
      </c>
      <c r="B1336" t="s">
        <v>14</v>
      </c>
      <c r="C1336" t="s">
        <v>10</v>
      </c>
      <c r="D1336" t="s">
        <v>16</v>
      </c>
      <c r="E1336">
        <v>20.149999999999999</v>
      </c>
      <c r="F1336">
        <v>1</v>
      </c>
      <c r="G1336">
        <v>20.149999999999999</v>
      </c>
      <c r="H1336" t="s">
        <v>18</v>
      </c>
      <c r="I1336" t="str">
        <f t="shared" si="61"/>
        <v>Low Value</v>
      </c>
      <c r="J1336" t="str">
        <f t="shared" si="62"/>
        <v>High Risk</v>
      </c>
      <c r="K1336" s="3" t="str">
        <f t="shared" si="60"/>
        <v>0-1 Year</v>
      </c>
    </row>
    <row r="1337" spans="1:11" x14ac:dyDescent="0.3">
      <c r="A1337" t="s">
        <v>1354</v>
      </c>
      <c r="B1337" t="s">
        <v>14</v>
      </c>
      <c r="C1337" t="s">
        <v>10</v>
      </c>
      <c r="D1337" t="s">
        <v>24</v>
      </c>
      <c r="E1337">
        <v>105</v>
      </c>
      <c r="F1337">
        <v>66</v>
      </c>
      <c r="G1337">
        <v>6930</v>
      </c>
      <c r="H1337" t="s">
        <v>18</v>
      </c>
      <c r="I1337" t="str">
        <f t="shared" si="61"/>
        <v>High Value</v>
      </c>
      <c r="J1337" t="str">
        <f t="shared" si="62"/>
        <v>Low Risk</v>
      </c>
      <c r="K1337" s="3" t="str">
        <f t="shared" si="60"/>
        <v>4+ Years</v>
      </c>
    </row>
    <row r="1338" spans="1:11" x14ac:dyDescent="0.3">
      <c r="A1338" t="s">
        <v>1355</v>
      </c>
      <c r="B1338" t="s">
        <v>14</v>
      </c>
      <c r="C1338" t="s">
        <v>10</v>
      </c>
      <c r="D1338" t="s">
        <v>24</v>
      </c>
      <c r="E1338">
        <v>54.7</v>
      </c>
      <c r="F1338">
        <v>3</v>
      </c>
      <c r="G1338">
        <v>164.1</v>
      </c>
      <c r="H1338" t="s">
        <v>18</v>
      </c>
      <c r="I1338" t="str">
        <f t="shared" si="61"/>
        <v>Low Value</v>
      </c>
      <c r="J1338" t="str">
        <f t="shared" si="62"/>
        <v>High Risk</v>
      </c>
      <c r="K1338" s="3" t="str">
        <f t="shared" si="60"/>
        <v>0-1 Year</v>
      </c>
    </row>
    <row r="1339" spans="1:11" x14ac:dyDescent="0.3">
      <c r="A1339" t="s">
        <v>1356</v>
      </c>
      <c r="B1339" t="s">
        <v>9</v>
      </c>
      <c r="C1339" t="s">
        <v>30</v>
      </c>
      <c r="D1339" t="s">
        <v>16</v>
      </c>
      <c r="E1339">
        <v>20</v>
      </c>
      <c r="F1339">
        <v>8</v>
      </c>
      <c r="G1339">
        <v>160</v>
      </c>
      <c r="H1339" t="s">
        <v>12</v>
      </c>
      <c r="I1339" t="str">
        <f t="shared" si="61"/>
        <v>Low Value</v>
      </c>
      <c r="J1339" t="str">
        <f t="shared" si="62"/>
        <v>High Risk</v>
      </c>
      <c r="K1339" s="3" t="str">
        <f t="shared" si="60"/>
        <v>0-1 Year</v>
      </c>
    </row>
    <row r="1340" spans="1:11" x14ac:dyDescent="0.3">
      <c r="A1340" t="s">
        <v>1357</v>
      </c>
      <c r="B1340" t="s">
        <v>14</v>
      </c>
      <c r="C1340" t="s">
        <v>15</v>
      </c>
      <c r="D1340" t="s">
        <v>24</v>
      </c>
      <c r="E1340">
        <v>73.05</v>
      </c>
      <c r="F1340">
        <v>64</v>
      </c>
      <c r="G1340">
        <v>4675.2</v>
      </c>
      <c r="H1340" t="s">
        <v>12</v>
      </c>
      <c r="I1340" t="str">
        <f t="shared" si="61"/>
        <v>Medium Value</v>
      </c>
      <c r="J1340" t="str">
        <f t="shared" si="62"/>
        <v>Low Risk</v>
      </c>
      <c r="K1340" s="3" t="str">
        <f t="shared" si="60"/>
        <v>4+ Years</v>
      </c>
    </row>
    <row r="1341" spans="1:11" x14ac:dyDescent="0.3">
      <c r="A1341" t="s">
        <v>1358</v>
      </c>
      <c r="B1341" t="s">
        <v>9</v>
      </c>
      <c r="C1341" t="s">
        <v>10</v>
      </c>
      <c r="D1341" t="s">
        <v>16</v>
      </c>
      <c r="E1341">
        <v>20.5</v>
      </c>
      <c r="F1341">
        <v>28</v>
      </c>
      <c r="G1341">
        <v>574</v>
      </c>
      <c r="H1341" t="s">
        <v>12</v>
      </c>
      <c r="I1341" t="str">
        <f t="shared" si="61"/>
        <v>Low Value</v>
      </c>
      <c r="J1341" t="str">
        <f t="shared" si="62"/>
        <v>Low Risk</v>
      </c>
      <c r="K1341" s="3" t="str">
        <f t="shared" si="60"/>
        <v>2-4 Years</v>
      </c>
    </row>
    <row r="1342" spans="1:11" x14ac:dyDescent="0.3">
      <c r="A1342" t="s">
        <v>1359</v>
      </c>
      <c r="B1342" t="s">
        <v>9</v>
      </c>
      <c r="C1342" t="s">
        <v>15</v>
      </c>
      <c r="D1342" t="s">
        <v>24</v>
      </c>
      <c r="E1342">
        <v>100.75</v>
      </c>
      <c r="F1342">
        <v>57</v>
      </c>
      <c r="G1342">
        <v>5742.75</v>
      </c>
      <c r="H1342" t="s">
        <v>12</v>
      </c>
      <c r="I1342" t="str">
        <f t="shared" si="61"/>
        <v>High Value</v>
      </c>
      <c r="J1342" t="str">
        <f t="shared" si="62"/>
        <v>Low Risk</v>
      </c>
      <c r="K1342" s="3" t="str">
        <f t="shared" si="60"/>
        <v>4+ Years</v>
      </c>
    </row>
    <row r="1343" spans="1:11" x14ac:dyDescent="0.3">
      <c r="A1343" t="s">
        <v>1360</v>
      </c>
      <c r="B1343" t="s">
        <v>9</v>
      </c>
      <c r="C1343" t="s">
        <v>10</v>
      </c>
      <c r="D1343" t="s">
        <v>11</v>
      </c>
      <c r="E1343">
        <v>87.25</v>
      </c>
      <c r="F1343">
        <v>14</v>
      </c>
      <c r="G1343">
        <v>1221.5</v>
      </c>
      <c r="H1343" t="s">
        <v>18</v>
      </c>
      <c r="I1343" t="str">
        <f t="shared" si="61"/>
        <v>Low Value</v>
      </c>
      <c r="J1343" t="str">
        <f t="shared" si="62"/>
        <v>Medium Risk</v>
      </c>
      <c r="K1343" s="3" t="str">
        <f t="shared" si="60"/>
        <v>1-2 Years</v>
      </c>
    </row>
    <row r="1344" spans="1:11" x14ac:dyDescent="0.3">
      <c r="A1344" t="s">
        <v>1361</v>
      </c>
      <c r="B1344" t="s">
        <v>14</v>
      </c>
      <c r="C1344" t="s">
        <v>30</v>
      </c>
      <c r="D1344" t="s">
        <v>16</v>
      </c>
      <c r="E1344">
        <v>19.95</v>
      </c>
      <c r="F1344">
        <v>19</v>
      </c>
      <c r="G1344">
        <v>379.05</v>
      </c>
      <c r="H1344" t="s">
        <v>12</v>
      </c>
      <c r="I1344" t="str">
        <f t="shared" si="61"/>
        <v>Low Value</v>
      </c>
      <c r="J1344" t="str">
        <f t="shared" si="62"/>
        <v>Medium Risk</v>
      </c>
      <c r="K1344" s="3" t="str">
        <f t="shared" si="60"/>
        <v>1-2 Years</v>
      </c>
    </row>
    <row r="1345" spans="1:11" x14ac:dyDescent="0.3">
      <c r="A1345" t="s">
        <v>1362</v>
      </c>
      <c r="B1345" t="s">
        <v>14</v>
      </c>
      <c r="C1345" t="s">
        <v>10</v>
      </c>
      <c r="D1345" t="s">
        <v>11</v>
      </c>
      <c r="E1345">
        <v>79.95</v>
      </c>
      <c r="F1345">
        <v>10</v>
      </c>
      <c r="G1345">
        <v>799.5</v>
      </c>
      <c r="H1345" t="s">
        <v>18</v>
      </c>
      <c r="I1345" t="str">
        <f t="shared" si="61"/>
        <v>Low Value</v>
      </c>
      <c r="J1345" t="str">
        <f t="shared" si="62"/>
        <v>High Risk</v>
      </c>
      <c r="K1345" s="3" t="str">
        <f t="shared" si="60"/>
        <v>0-1 Year</v>
      </c>
    </row>
    <row r="1346" spans="1:11" x14ac:dyDescent="0.3">
      <c r="A1346" t="s">
        <v>1363</v>
      </c>
      <c r="B1346" t="s">
        <v>9</v>
      </c>
      <c r="C1346" t="s">
        <v>10</v>
      </c>
      <c r="D1346" t="s">
        <v>11</v>
      </c>
      <c r="E1346">
        <v>49.65</v>
      </c>
      <c r="F1346">
        <v>51</v>
      </c>
      <c r="G1346">
        <v>2532.15</v>
      </c>
      <c r="H1346" t="s">
        <v>12</v>
      </c>
      <c r="I1346" t="str">
        <f t="shared" si="61"/>
        <v>Medium Value</v>
      </c>
      <c r="J1346" t="str">
        <f t="shared" si="62"/>
        <v>Low Risk</v>
      </c>
      <c r="K1346" s="3" t="str">
        <f t="shared" si="60"/>
        <v>4+ Years</v>
      </c>
    </row>
    <row r="1347" spans="1:11" x14ac:dyDescent="0.3">
      <c r="A1347" t="s">
        <v>1364</v>
      </c>
      <c r="B1347" t="s">
        <v>9</v>
      </c>
      <c r="C1347" t="s">
        <v>30</v>
      </c>
      <c r="D1347" t="s">
        <v>16</v>
      </c>
      <c r="E1347">
        <v>65.650000000000006</v>
      </c>
      <c r="F1347">
        <v>67</v>
      </c>
      <c r="G1347">
        <v>4398.55</v>
      </c>
      <c r="H1347" t="s">
        <v>12</v>
      </c>
      <c r="I1347" t="str">
        <f t="shared" si="61"/>
        <v>Medium Value</v>
      </c>
      <c r="J1347" t="str">
        <f t="shared" si="62"/>
        <v>Low Risk</v>
      </c>
      <c r="K1347" s="3" t="str">
        <f t="shared" ref="K1347:K1410" si="63">IF(F1347&lt;=12,"0-1 Year",
IF(F1347&lt;=24,"1-2 Years",
IF(F1347&lt;=48,"2-4 Years","4+ Years")))</f>
        <v>4+ Years</v>
      </c>
    </row>
    <row r="1348" spans="1:11" x14ac:dyDescent="0.3">
      <c r="A1348" t="s">
        <v>1365</v>
      </c>
      <c r="B1348" t="s">
        <v>14</v>
      </c>
      <c r="C1348" t="s">
        <v>10</v>
      </c>
      <c r="D1348" t="s">
        <v>11</v>
      </c>
      <c r="E1348">
        <v>20.45</v>
      </c>
      <c r="F1348">
        <v>11</v>
      </c>
      <c r="G1348">
        <v>224.95</v>
      </c>
      <c r="H1348" t="s">
        <v>12</v>
      </c>
      <c r="I1348" t="str">
        <f t="shared" ref="I1348:I1411" si="64">IF(G1348&gt;5000,"High Value",
IF(G1348&gt;2000,"Medium Value","Low Value"))</f>
        <v>Low Value</v>
      </c>
      <c r="J1348" t="str">
        <f t="shared" ref="J1348:J1411" si="65">IF(F1348&lt;12,"High Risk",
IF(F1348&lt;24,"Medium Risk","Low Risk"))</f>
        <v>High Risk</v>
      </c>
      <c r="K1348" s="3" t="str">
        <f t="shared" si="63"/>
        <v>0-1 Year</v>
      </c>
    </row>
    <row r="1349" spans="1:11" x14ac:dyDescent="0.3">
      <c r="A1349" t="s">
        <v>1366</v>
      </c>
      <c r="B1349" t="s">
        <v>14</v>
      </c>
      <c r="C1349" t="s">
        <v>30</v>
      </c>
      <c r="D1349" t="s">
        <v>20</v>
      </c>
      <c r="E1349">
        <v>60.95</v>
      </c>
      <c r="F1349">
        <v>72</v>
      </c>
      <c r="G1349">
        <v>4388.3999999999996</v>
      </c>
      <c r="H1349" t="s">
        <v>12</v>
      </c>
      <c r="I1349" t="str">
        <f t="shared" si="64"/>
        <v>Medium Value</v>
      </c>
      <c r="J1349" t="str">
        <f t="shared" si="65"/>
        <v>Low Risk</v>
      </c>
      <c r="K1349" s="3" t="str">
        <f t="shared" si="63"/>
        <v>4+ Years</v>
      </c>
    </row>
    <row r="1350" spans="1:11" x14ac:dyDescent="0.3">
      <c r="A1350" t="s">
        <v>1367</v>
      </c>
      <c r="B1350" t="s">
        <v>14</v>
      </c>
      <c r="C1350" t="s">
        <v>15</v>
      </c>
      <c r="D1350" t="s">
        <v>11</v>
      </c>
      <c r="E1350">
        <v>20.350000000000001</v>
      </c>
      <c r="F1350">
        <v>66</v>
      </c>
      <c r="G1350">
        <v>1343.1</v>
      </c>
      <c r="H1350" t="s">
        <v>12</v>
      </c>
      <c r="I1350" t="str">
        <f t="shared" si="64"/>
        <v>Low Value</v>
      </c>
      <c r="J1350" t="str">
        <f t="shared" si="65"/>
        <v>Low Risk</v>
      </c>
      <c r="K1350" s="3" t="str">
        <f t="shared" si="63"/>
        <v>4+ Years</v>
      </c>
    </row>
    <row r="1351" spans="1:11" x14ac:dyDescent="0.3">
      <c r="A1351" t="s">
        <v>1368</v>
      </c>
      <c r="B1351" t="s">
        <v>9</v>
      </c>
      <c r="C1351" t="s">
        <v>10</v>
      </c>
      <c r="D1351" t="s">
        <v>11</v>
      </c>
      <c r="E1351">
        <v>88.35</v>
      </c>
      <c r="F1351">
        <v>18</v>
      </c>
      <c r="G1351">
        <v>1590.3</v>
      </c>
      <c r="H1351" t="s">
        <v>18</v>
      </c>
      <c r="I1351" t="str">
        <f t="shared" si="64"/>
        <v>Low Value</v>
      </c>
      <c r="J1351" t="str">
        <f t="shared" si="65"/>
        <v>Medium Risk</v>
      </c>
      <c r="K1351" s="3" t="str">
        <f t="shared" si="63"/>
        <v>1-2 Years</v>
      </c>
    </row>
    <row r="1352" spans="1:11" x14ac:dyDescent="0.3">
      <c r="A1352" t="s">
        <v>1369</v>
      </c>
      <c r="B1352" t="s">
        <v>9</v>
      </c>
      <c r="C1352" t="s">
        <v>10</v>
      </c>
      <c r="D1352" t="s">
        <v>11</v>
      </c>
      <c r="E1352">
        <v>19.5</v>
      </c>
      <c r="F1352">
        <v>9</v>
      </c>
      <c r="G1352">
        <v>175.5</v>
      </c>
      <c r="H1352" t="s">
        <v>12</v>
      </c>
      <c r="I1352" t="str">
        <f t="shared" si="64"/>
        <v>Low Value</v>
      </c>
      <c r="J1352" t="str">
        <f t="shared" si="65"/>
        <v>High Risk</v>
      </c>
      <c r="K1352" s="3" t="str">
        <f t="shared" si="63"/>
        <v>0-1 Year</v>
      </c>
    </row>
    <row r="1353" spans="1:11" x14ac:dyDescent="0.3">
      <c r="A1353" t="s">
        <v>1370</v>
      </c>
      <c r="B1353" t="s">
        <v>9</v>
      </c>
      <c r="C1353" t="s">
        <v>10</v>
      </c>
      <c r="D1353" t="s">
        <v>24</v>
      </c>
      <c r="E1353">
        <v>75.2</v>
      </c>
      <c r="F1353">
        <v>9</v>
      </c>
      <c r="G1353">
        <v>676.8</v>
      </c>
      <c r="H1353" t="s">
        <v>12</v>
      </c>
      <c r="I1353" t="str">
        <f t="shared" si="64"/>
        <v>Low Value</v>
      </c>
      <c r="J1353" t="str">
        <f t="shared" si="65"/>
        <v>High Risk</v>
      </c>
      <c r="K1353" s="3" t="str">
        <f t="shared" si="63"/>
        <v>0-1 Year</v>
      </c>
    </row>
    <row r="1354" spans="1:11" x14ac:dyDescent="0.3">
      <c r="A1354" t="s">
        <v>1371</v>
      </c>
      <c r="B1354" t="s">
        <v>14</v>
      </c>
      <c r="C1354" t="s">
        <v>10</v>
      </c>
      <c r="D1354" t="s">
        <v>20</v>
      </c>
      <c r="E1354">
        <v>111.45</v>
      </c>
      <c r="F1354">
        <v>48</v>
      </c>
      <c r="G1354">
        <v>5349.6</v>
      </c>
      <c r="H1354" t="s">
        <v>12</v>
      </c>
      <c r="I1354" t="str">
        <f t="shared" si="64"/>
        <v>High Value</v>
      </c>
      <c r="J1354" t="str">
        <f t="shared" si="65"/>
        <v>Low Risk</v>
      </c>
      <c r="K1354" s="3" t="str">
        <f t="shared" si="63"/>
        <v>2-4 Years</v>
      </c>
    </row>
    <row r="1355" spans="1:11" x14ac:dyDescent="0.3">
      <c r="A1355" t="s">
        <v>1372</v>
      </c>
      <c r="B1355" t="s">
        <v>14</v>
      </c>
      <c r="C1355" t="s">
        <v>10</v>
      </c>
      <c r="D1355" t="s">
        <v>16</v>
      </c>
      <c r="E1355">
        <v>70.150000000000006</v>
      </c>
      <c r="F1355">
        <v>10</v>
      </c>
      <c r="G1355">
        <v>701.5</v>
      </c>
      <c r="H1355" t="s">
        <v>12</v>
      </c>
      <c r="I1355" t="str">
        <f t="shared" si="64"/>
        <v>Low Value</v>
      </c>
      <c r="J1355" t="str">
        <f t="shared" si="65"/>
        <v>High Risk</v>
      </c>
      <c r="K1355" s="3" t="str">
        <f t="shared" si="63"/>
        <v>0-1 Year</v>
      </c>
    </row>
    <row r="1356" spans="1:11" x14ac:dyDescent="0.3">
      <c r="A1356" t="s">
        <v>1373</v>
      </c>
      <c r="B1356" t="s">
        <v>9</v>
      </c>
      <c r="C1356" t="s">
        <v>10</v>
      </c>
      <c r="D1356" t="s">
        <v>11</v>
      </c>
      <c r="E1356">
        <v>94.75</v>
      </c>
      <c r="F1356">
        <v>9</v>
      </c>
      <c r="G1356">
        <v>852.75</v>
      </c>
      <c r="H1356" t="s">
        <v>18</v>
      </c>
      <c r="I1356" t="str">
        <f t="shared" si="64"/>
        <v>Low Value</v>
      </c>
      <c r="J1356" t="str">
        <f t="shared" si="65"/>
        <v>High Risk</v>
      </c>
      <c r="K1356" s="3" t="str">
        <f t="shared" si="63"/>
        <v>0-1 Year</v>
      </c>
    </row>
    <row r="1357" spans="1:11" x14ac:dyDescent="0.3">
      <c r="A1357" t="s">
        <v>1374</v>
      </c>
      <c r="B1357" t="s">
        <v>9</v>
      </c>
      <c r="C1357" t="s">
        <v>10</v>
      </c>
      <c r="D1357" t="s">
        <v>11</v>
      </c>
      <c r="E1357">
        <v>95.05</v>
      </c>
      <c r="F1357">
        <v>13</v>
      </c>
      <c r="G1357">
        <v>1235.6499999999901</v>
      </c>
      <c r="H1357" t="s">
        <v>18</v>
      </c>
      <c r="I1357" t="str">
        <f t="shared" si="64"/>
        <v>Low Value</v>
      </c>
      <c r="J1357" t="str">
        <f t="shared" si="65"/>
        <v>Medium Risk</v>
      </c>
      <c r="K1357" s="3" t="str">
        <f t="shared" si="63"/>
        <v>1-2 Years</v>
      </c>
    </row>
    <row r="1358" spans="1:11" x14ac:dyDescent="0.3">
      <c r="A1358" t="s">
        <v>1375</v>
      </c>
      <c r="B1358" t="s">
        <v>14</v>
      </c>
      <c r="C1358" t="s">
        <v>10</v>
      </c>
      <c r="D1358" t="s">
        <v>11</v>
      </c>
      <c r="E1358">
        <v>78.45</v>
      </c>
      <c r="F1358">
        <v>4</v>
      </c>
      <c r="G1358">
        <v>313.8</v>
      </c>
      <c r="H1358" t="s">
        <v>18</v>
      </c>
      <c r="I1358" t="str">
        <f t="shared" si="64"/>
        <v>Low Value</v>
      </c>
      <c r="J1358" t="str">
        <f t="shared" si="65"/>
        <v>High Risk</v>
      </c>
      <c r="K1358" s="3" t="str">
        <f t="shared" si="63"/>
        <v>0-1 Year</v>
      </c>
    </row>
    <row r="1359" spans="1:11" x14ac:dyDescent="0.3">
      <c r="A1359" t="s">
        <v>1376</v>
      </c>
      <c r="B1359" t="s">
        <v>14</v>
      </c>
      <c r="C1359" t="s">
        <v>10</v>
      </c>
      <c r="D1359" t="s">
        <v>11</v>
      </c>
      <c r="E1359">
        <v>70.2</v>
      </c>
      <c r="F1359">
        <v>4</v>
      </c>
      <c r="G1359">
        <v>280.8</v>
      </c>
      <c r="H1359" t="s">
        <v>18</v>
      </c>
      <c r="I1359" t="str">
        <f t="shared" si="64"/>
        <v>Low Value</v>
      </c>
      <c r="J1359" t="str">
        <f t="shared" si="65"/>
        <v>High Risk</v>
      </c>
      <c r="K1359" s="3" t="str">
        <f t="shared" si="63"/>
        <v>0-1 Year</v>
      </c>
    </row>
    <row r="1360" spans="1:11" x14ac:dyDescent="0.3">
      <c r="A1360" t="s">
        <v>1377</v>
      </c>
      <c r="B1360" t="s">
        <v>9</v>
      </c>
      <c r="C1360" t="s">
        <v>30</v>
      </c>
      <c r="D1360" t="s">
        <v>20</v>
      </c>
      <c r="E1360">
        <v>92</v>
      </c>
      <c r="F1360">
        <v>72</v>
      </c>
      <c r="G1360">
        <v>6624</v>
      </c>
      <c r="H1360" t="s">
        <v>12</v>
      </c>
      <c r="I1360" t="str">
        <f t="shared" si="64"/>
        <v>High Value</v>
      </c>
      <c r="J1360" t="str">
        <f t="shared" si="65"/>
        <v>Low Risk</v>
      </c>
      <c r="K1360" s="3" t="str">
        <f t="shared" si="63"/>
        <v>4+ Years</v>
      </c>
    </row>
    <row r="1361" spans="1:11" x14ac:dyDescent="0.3">
      <c r="A1361" t="s">
        <v>1378</v>
      </c>
      <c r="B1361" t="s">
        <v>9</v>
      </c>
      <c r="C1361" t="s">
        <v>30</v>
      </c>
      <c r="D1361" t="s">
        <v>24</v>
      </c>
      <c r="E1361">
        <v>85.5</v>
      </c>
      <c r="F1361">
        <v>51</v>
      </c>
      <c r="G1361">
        <v>4360.5</v>
      </c>
      <c r="H1361" t="s">
        <v>12</v>
      </c>
      <c r="I1361" t="str">
        <f t="shared" si="64"/>
        <v>Medium Value</v>
      </c>
      <c r="J1361" t="str">
        <f t="shared" si="65"/>
        <v>Low Risk</v>
      </c>
      <c r="K1361" s="3" t="str">
        <f t="shared" si="63"/>
        <v>4+ Years</v>
      </c>
    </row>
    <row r="1362" spans="1:11" x14ac:dyDescent="0.3">
      <c r="A1362" t="s">
        <v>1379</v>
      </c>
      <c r="B1362" t="s">
        <v>14</v>
      </c>
      <c r="C1362" t="s">
        <v>10</v>
      </c>
      <c r="D1362" t="s">
        <v>20</v>
      </c>
      <c r="E1362">
        <v>41.05</v>
      </c>
      <c r="F1362">
        <v>59</v>
      </c>
      <c r="G1362">
        <v>2421.9499999999998</v>
      </c>
      <c r="H1362" t="s">
        <v>18</v>
      </c>
      <c r="I1362" t="str">
        <f t="shared" si="64"/>
        <v>Medium Value</v>
      </c>
      <c r="J1362" t="str">
        <f t="shared" si="65"/>
        <v>Low Risk</v>
      </c>
      <c r="K1362" s="3" t="str">
        <f t="shared" si="63"/>
        <v>4+ Years</v>
      </c>
    </row>
    <row r="1363" spans="1:11" x14ac:dyDescent="0.3">
      <c r="A1363" t="s">
        <v>1380</v>
      </c>
      <c r="B1363" t="s">
        <v>14</v>
      </c>
      <c r="C1363" t="s">
        <v>10</v>
      </c>
      <c r="D1363" t="s">
        <v>11</v>
      </c>
      <c r="E1363">
        <v>85.6</v>
      </c>
      <c r="F1363">
        <v>10</v>
      </c>
      <c r="G1363">
        <v>856</v>
      </c>
      <c r="H1363" t="s">
        <v>18</v>
      </c>
      <c r="I1363" t="str">
        <f t="shared" si="64"/>
        <v>Low Value</v>
      </c>
      <c r="J1363" t="str">
        <f t="shared" si="65"/>
        <v>High Risk</v>
      </c>
      <c r="K1363" s="3" t="str">
        <f t="shared" si="63"/>
        <v>0-1 Year</v>
      </c>
    </row>
    <row r="1364" spans="1:11" x14ac:dyDescent="0.3">
      <c r="A1364" t="s">
        <v>1381</v>
      </c>
      <c r="B1364" t="s">
        <v>14</v>
      </c>
      <c r="C1364" t="s">
        <v>10</v>
      </c>
      <c r="D1364" t="s">
        <v>11</v>
      </c>
      <c r="E1364">
        <v>82.15</v>
      </c>
      <c r="F1364">
        <v>61</v>
      </c>
      <c r="G1364">
        <v>5011.1499999999996</v>
      </c>
      <c r="H1364" t="s">
        <v>12</v>
      </c>
      <c r="I1364" t="str">
        <f t="shared" si="64"/>
        <v>High Value</v>
      </c>
      <c r="J1364" t="str">
        <f t="shared" si="65"/>
        <v>Low Risk</v>
      </c>
      <c r="K1364" s="3" t="str">
        <f t="shared" si="63"/>
        <v>4+ Years</v>
      </c>
    </row>
    <row r="1365" spans="1:11" x14ac:dyDescent="0.3">
      <c r="A1365" t="s">
        <v>1382</v>
      </c>
      <c r="B1365" t="s">
        <v>14</v>
      </c>
      <c r="C1365" t="s">
        <v>15</v>
      </c>
      <c r="D1365" t="s">
        <v>11</v>
      </c>
      <c r="E1365">
        <v>84.4</v>
      </c>
      <c r="F1365">
        <v>54</v>
      </c>
      <c r="G1365">
        <v>4557.6000000000004</v>
      </c>
      <c r="H1365" t="s">
        <v>12</v>
      </c>
      <c r="I1365" t="str">
        <f t="shared" si="64"/>
        <v>Medium Value</v>
      </c>
      <c r="J1365" t="str">
        <f t="shared" si="65"/>
        <v>Low Risk</v>
      </c>
      <c r="K1365" s="3" t="str">
        <f t="shared" si="63"/>
        <v>4+ Years</v>
      </c>
    </row>
    <row r="1366" spans="1:11" x14ac:dyDescent="0.3">
      <c r="A1366" t="s">
        <v>1383</v>
      </c>
      <c r="B1366" t="s">
        <v>9</v>
      </c>
      <c r="C1366" t="s">
        <v>10</v>
      </c>
      <c r="D1366" t="s">
        <v>16</v>
      </c>
      <c r="E1366">
        <v>60.9</v>
      </c>
      <c r="F1366">
        <v>33</v>
      </c>
      <c r="G1366">
        <v>2009.7</v>
      </c>
      <c r="H1366" t="s">
        <v>12</v>
      </c>
      <c r="I1366" t="str">
        <f t="shared" si="64"/>
        <v>Medium Value</v>
      </c>
      <c r="J1366" t="str">
        <f t="shared" si="65"/>
        <v>Low Risk</v>
      </c>
      <c r="K1366" s="3" t="str">
        <f t="shared" si="63"/>
        <v>2-4 Years</v>
      </c>
    </row>
    <row r="1367" spans="1:11" x14ac:dyDescent="0.3">
      <c r="A1367" t="s">
        <v>1384</v>
      </c>
      <c r="B1367" t="s">
        <v>9</v>
      </c>
      <c r="C1367" t="s">
        <v>30</v>
      </c>
      <c r="D1367" t="s">
        <v>20</v>
      </c>
      <c r="E1367">
        <v>20.25</v>
      </c>
      <c r="F1367">
        <v>27</v>
      </c>
      <c r="G1367">
        <v>546.75</v>
      </c>
      <c r="H1367" t="s">
        <v>12</v>
      </c>
      <c r="I1367" t="str">
        <f t="shared" si="64"/>
        <v>Low Value</v>
      </c>
      <c r="J1367" t="str">
        <f t="shared" si="65"/>
        <v>Low Risk</v>
      </c>
      <c r="K1367" s="3" t="str">
        <f t="shared" si="63"/>
        <v>2-4 Years</v>
      </c>
    </row>
    <row r="1368" spans="1:11" x14ac:dyDescent="0.3">
      <c r="A1368" t="s">
        <v>1385</v>
      </c>
      <c r="B1368" t="s">
        <v>9</v>
      </c>
      <c r="C1368" t="s">
        <v>10</v>
      </c>
      <c r="D1368" t="s">
        <v>11</v>
      </c>
      <c r="E1368">
        <v>79.2</v>
      </c>
      <c r="F1368">
        <v>1</v>
      </c>
      <c r="G1368">
        <v>79.2</v>
      </c>
      <c r="H1368" t="s">
        <v>18</v>
      </c>
      <c r="I1368" t="str">
        <f t="shared" si="64"/>
        <v>Low Value</v>
      </c>
      <c r="J1368" t="str">
        <f t="shared" si="65"/>
        <v>High Risk</v>
      </c>
      <c r="K1368" s="3" t="str">
        <f t="shared" si="63"/>
        <v>0-1 Year</v>
      </c>
    </row>
    <row r="1369" spans="1:11" x14ac:dyDescent="0.3">
      <c r="A1369" t="s">
        <v>1386</v>
      </c>
      <c r="B1369" t="s">
        <v>14</v>
      </c>
      <c r="C1369" t="s">
        <v>10</v>
      </c>
      <c r="D1369" t="s">
        <v>16</v>
      </c>
      <c r="E1369">
        <v>95.3</v>
      </c>
      <c r="F1369">
        <v>23</v>
      </c>
      <c r="G1369">
        <v>2191.9</v>
      </c>
      <c r="H1369" t="s">
        <v>12</v>
      </c>
      <c r="I1369" t="str">
        <f t="shared" si="64"/>
        <v>Medium Value</v>
      </c>
      <c r="J1369" t="str">
        <f t="shared" si="65"/>
        <v>Medium Risk</v>
      </c>
      <c r="K1369" s="3" t="str">
        <f t="shared" si="63"/>
        <v>1-2 Years</v>
      </c>
    </row>
    <row r="1370" spans="1:11" x14ac:dyDescent="0.3">
      <c r="A1370" t="s">
        <v>1387</v>
      </c>
      <c r="B1370" t="s">
        <v>14</v>
      </c>
      <c r="C1370" t="s">
        <v>10</v>
      </c>
      <c r="D1370" t="s">
        <v>16</v>
      </c>
      <c r="E1370">
        <v>19.850000000000001</v>
      </c>
      <c r="F1370">
        <v>1</v>
      </c>
      <c r="G1370">
        <v>19.850000000000001</v>
      </c>
      <c r="H1370" t="s">
        <v>12</v>
      </c>
      <c r="I1370" t="str">
        <f t="shared" si="64"/>
        <v>Low Value</v>
      </c>
      <c r="J1370" t="str">
        <f t="shared" si="65"/>
        <v>High Risk</v>
      </c>
      <c r="K1370" s="3" t="str">
        <f t="shared" si="63"/>
        <v>0-1 Year</v>
      </c>
    </row>
    <row r="1371" spans="1:11" x14ac:dyDescent="0.3">
      <c r="A1371" t="s">
        <v>1388</v>
      </c>
      <c r="B1371" t="s">
        <v>14</v>
      </c>
      <c r="C1371" t="s">
        <v>30</v>
      </c>
      <c r="D1371" t="s">
        <v>16</v>
      </c>
      <c r="E1371">
        <v>84.35</v>
      </c>
      <c r="F1371">
        <v>45</v>
      </c>
      <c r="G1371">
        <v>3795.74999999999</v>
      </c>
      <c r="H1371" t="s">
        <v>12</v>
      </c>
      <c r="I1371" t="str">
        <f t="shared" si="64"/>
        <v>Medium Value</v>
      </c>
      <c r="J1371" t="str">
        <f t="shared" si="65"/>
        <v>Low Risk</v>
      </c>
      <c r="K1371" s="3" t="str">
        <f t="shared" si="63"/>
        <v>2-4 Years</v>
      </c>
    </row>
    <row r="1372" spans="1:11" x14ac:dyDescent="0.3">
      <c r="A1372" t="s">
        <v>1389</v>
      </c>
      <c r="B1372" t="s">
        <v>9</v>
      </c>
      <c r="C1372" t="s">
        <v>30</v>
      </c>
      <c r="D1372" t="s">
        <v>20</v>
      </c>
      <c r="E1372">
        <v>19.850000000000001</v>
      </c>
      <c r="F1372">
        <v>39</v>
      </c>
      <c r="G1372">
        <v>774.15</v>
      </c>
      <c r="H1372" t="s">
        <v>12</v>
      </c>
      <c r="I1372" t="str">
        <f t="shared" si="64"/>
        <v>Low Value</v>
      </c>
      <c r="J1372" t="str">
        <f t="shared" si="65"/>
        <v>Low Risk</v>
      </c>
      <c r="K1372" s="3" t="str">
        <f t="shared" si="63"/>
        <v>2-4 Years</v>
      </c>
    </row>
    <row r="1373" spans="1:11" x14ac:dyDescent="0.3">
      <c r="A1373" t="s">
        <v>1390</v>
      </c>
      <c r="B1373" t="s">
        <v>14</v>
      </c>
      <c r="C1373" t="s">
        <v>15</v>
      </c>
      <c r="D1373" t="s">
        <v>16</v>
      </c>
      <c r="E1373">
        <v>70</v>
      </c>
      <c r="F1373">
        <v>5</v>
      </c>
      <c r="G1373">
        <v>350</v>
      </c>
      <c r="H1373" t="s">
        <v>18</v>
      </c>
      <c r="I1373" t="str">
        <f t="shared" si="64"/>
        <v>Low Value</v>
      </c>
      <c r="J1373" t="str">
        <f t="shared" si="65"/>
        <v>High Risk</v>
      </c>
      <c r="K1373" s="3" t="str">
        <f t="shared" si="63"/>
        <v>0-1 Year</v>
      </c>
    </row>
    <row r="1374" spans="1:11" x14ac:dyDescent="0.3">
      <c r="A1374" t="s">
        <v>1391</v>
      </c>
      <c r="B1374" t="s">
        <v>14</v>
      </c>
      <c r="C1374" t="s">
        <v>30</v>
      </c>
      <c r="D1374" t="s">
        <v>20</v>
      </c>
      <c r="E1374">
        <v>82.3</v>
      </c>
      <c r="F1374">
        <v>72</v>
      </c>
      <c r="G1374">
        <v>5925.5999999999904</v>
      </c>
      <c r="H1374" t="s">
        <v>12</v>
      </c>
      <c r="I1374" t="str">
        <f t="shared" si="64"/>
        <v>High Value</v>
      </c>
      <c r="J1374" t="str">
        <f t="shared" si="65"/>
        <v>Low Risk</v>
      </c>
      <c r="K1374" s="3" t="str">
        <f t="shared" si="63"/>
        <v>4+ Years</v>
      </c>
    </row>
    <row r="1375" spans="1:11" x14ac:dyDescent="0.3">
      <c r="A1375" t="s">
        <v>1392</v>
      </c>
      <c r="B1375" t="s">
        <v>9</v>
      </c>
      <c r="C1375" t="s">
        <v>10</v>
      </c>
      <c r="D1375" t="s">
        <v>20</v>
      </c>
      <c r="E1375">
        <v>66.8</v>
      </c>
      <c r="F1375">
        <v>58</v>
      </c>
      <c r="G1375">
        <v>3874.3999999999901</v>
      </c>
      <c r="H1375" t="s">
        <v>12</v>
      </c>
      <c r="I1375" t="str">
        <f t="shared" si="64"/>
        <v>Medium Value</v>
      </c>
      <c r="J1375" t="str">
        <f t="shared" si="65"/>
        <v>Low Risk</v>
      </c>
      <c r="K1375" s="3" t="str">
        <f t="shared" si="63"/>
        <v>4+ Years</v>
      </c>
    </row>
    <row r="1376" spans="1:11" x14ac:dyDescent="0.3">
      <c r="A1376" t="s">
        <v>1393</v>
      </c>
      <c r="B1376" t="s">
        <v>9</v>
      </c>
      <c r="C1376" t="s">
        <v>30</v>
      </c>
      <c r="D1376" t="s">
        <v>20</v>
      </c>
      <c r="E1376">
        <v>44.6</v>
      </c>
      <c r="F1376">
        <v>70</v>
      </c>
      <c r="G1376">
        <v>3122</v>
      </c>
      <c r="H1376" t="s">
        <v>12</v>
      </c>
      <c r="I1376" t="str">
        <f t="shared" si="64"/>
        <v>Medium Value</v>
      </c>
      <c r="J1376" t="str">
        <f t="shared" si="65"/>
        <v>Low Risk</v>
      </c>
      <c r="K1376" s="3" t="str">
        <f t="shared" si="63"/>
        <v>4+ Years</v>
      </c>
    </row>
    <row r="1377" spans="1:11" x14ac:dyDescent="0.3">
      <c r="A1377" t="s">
        <v>1394</v>
      </c>
      <c r="B1377" t="s">
        <v>14</v>
      </c>
      <c r="C1377" t="s">
        <v>15</v>
      </c>
      <c r="D1377" t="s">
        <v>20</v>
      </c>
      <c r="E1377">
        <v>98.45</v>
      </c>
      <c r="F1377">
        <v>61</v>
      </c>
      <c r="G1377">
        <v>6005.45</v>
      </c>
      <c r="H1377" t="s">
        <v>12</v>
      </c>
      <c r="I1377" t="str">
        <f t="shared" si="64"/>
        <v>High Value</v>
      </c>
      <c r="J1377" t="str">
        <f t="shared" si="65"/>
        <v>Low Risk</v>
      </c>
      <c r="K1377" s="3" t="str">
        <f t="shared" si="63"/>
        <v>4+ Years</v>
      </c>
    </row>
    <row r="1378" spans="1:11" x14ac:dyDescent="0.3">
      <c r="A1378" t="s">
        <v>1395</v>
      </c>
      <c r="B1378" t="s">
        <v>14</v>
      </c>
      <c r="C1378" t="s">
        <v>10</v>
      </c>
      <c r="D1378" t="s">
        <v>16</v>
      </c>
      <c r="E1378">
        <v>70.7</v>
      </c>
      <c r="F1378">
        <v>2</v>
      </c>
      <c r="G1378">
        <v>141.4</v>
      </c>
      <c r="H1378" t="s">
        <v>12</v>
      </c>
      <c r="I1378" t="str">
        <f t="shared" si="64"/>
        <v>Low Value</v>
      </c>
      <c r="J1378" t="str">
        <f t="shared" si="65"/>
        <v>High Risk</v>
      </c>
      <c r="K1378" s="3" t="str">
        <f t="shared" si="63"/>
        <v>0-1 Year</v>
      </c>
    </row>
    <row r="1379" spans="1:11" x14ac:dyDescent="0.3">
      <c r="A1379" t="s">
        <v>1396</v>
      </c>
      <c r="B1379" t="s">
        <v>9</v>
      </c>
      <c r="C1379" t="s">
        <v>15</v>
      </c>
      <c r="D1379" t="s">
        <v>16</v>
      </c>
      <c r="E1379">
        <v>24.95</v>
      </c>
      <c r="F1379">
        <v>46</v>
      </c>
      <c r="G1379">
        <v>1147.7</v>
      </c>
      <c r="H1379" t="s">
        <v>12</v>
      </c>
      <c r="I1379" t="str">
        <f t="shared" si="64"/>
        <v>Low Value</v>
      </c>
      <c r="J1379" t="str">
        <f t="shared" si="65"/>
        <v>Low Risk</v>
      </c>
      <c r="K1379" s="3" t="str">
        <f t="shared" si="63"/>
        <v>2-4 Years</v>
      </c>
    </row>
    <row r="1380" spans="1:11" x14ac:dyDescent="0.3">
      <c r="A1380" t="s">
        <v>1397</v>
      </c>
      <c r="B1380" t="s">
        <v>9</v>
      </c>
      <c r="C1380" t="s">
        <v>10</v>
      </c>
      <c r="D1380" t="s">
        <v>20</v>
      </c>
      <c r="E1380">
        <v>49.95</v>
      </c>
      <c r="F1380">
        <v>1</v>
      </c>
      <c r="G1380">
        <v>49.95</v>
      </c>
      <c r="H1380" t="s">
        <v>18</v>
      </c>
      <c r="I1380" t="str">
        <f t="shared" si="64"/>
        <v>Low Value</v>
      </c>
      <c r="J1380" t="str">
        <f t="shared" si="65"/>
        <v>High Risk</v>
      </c>
      <c r="K1380" s="3" t="str">
        <f t="shared" si="63"/>
        <v>0-1 Year</v>
      </c>
    </row>
    <row r="1381" spans="1:11" x14ac:dyDescent="0.3">
      <c r="A1381" t="s">
        <v>1398</v>
      </c>
      <c r="B1381" t="s">
        <v>9</v>
      </c>
      <c r="C1381" t="s">
        <v>10</v>
      </c>
      <c r="D1381" t="s">
        <v>11</v>
      </c>
      <c r="E1381">
        <v>69.25</v>
      </c>
      <c r="F1381">
        <v>22</v>
      </c>
      <c r="G1381">
        <v>1523.5</v>
      </c>
      <c r="H1381" t="s">
        <v>18</v>
      </c>
      <c r="I1381" t="str">
        <f t="shared" si="64"/>
        <v>Low Value</v>
      </c>
      <c r="J1381" t="str">
        <f t="shared" si="65"/>
        <v>Medium Risk</v>
      </c>
      <c r="K1381" s="3" t="str">
        <f t="shared" si="63"/>
        <v>1-2 Years</v>
      </c>
    </row>
    <row r="1382" spans="1:11" x14ac:dyDescent="0.3">
      <c r="A1382" t="s">
        <v>1399</v>
      </c>
      <c r="B1382" t="s">
        <v>9</v>
      </c>
      <c r="C1382" t="s">
        <v>30</v>
      </c>
      <c r="D1382" t="s">
        <v>24</v>
      </c>
      <c r="E1382">
        <v>102.5</v>
      </c>
      <c r="F1382">
        <v>48</v>
      </c>
      <c r="G1382">
        <v>4920</v>
      </c>
      <c r="H1382" t="s">
        <v>12</v>
      </c>
      <c r="I1382" t="str">
        <f t="shared" si="64"/>
        <v>Medium Value</v>
      </c>
      <c r="J1382" t="str">
        <f t="shared" si="65"/>
        <v>Low Risk</v>
      </c>
      <c r="K1382" s="3" t="str">
        <f t="shared" si="63"/>
        <v>2-4 Years</v>
      </c>
    </row>
    <row r="1383" spans="1:11" x14ac:dyDescent="0.3">
      <c r="A1383" t="s">
        <v>1400</v>
      </c>
      <c r="B1383" t="s">
        <v>14</v>
      </c>
      <c r="C1383" t="s">
        <v>30</v>
      </c>
      <c r="D1383" t="s">
        <v>24</v>
      </c>
      <c r="E1383">
        <v>86.55</v>
      </c>
      <c r="F1383">
        <v>64</v>
      </c>
      <c r="G1383">
        <v>5539.2</v>
      </c>
      <c r="H1383" t="s">
        <v>12</v>
      </c>
      <c r="I1383" t="str">
        <f t="shared" si="64"/>
        <v>High Value</v>
      </c>
      <c r="J1383" t="str">
        <f t="shared" si="65"/>
        <v>Low Risk</v>
      </c>
      <c r="K1383" s="3" t="str">
        <f t="shared" si="63"/>
        <v>4+ Years</v>
      </c>
    </row>
    <row r="1384" spans="1:11" x14ac:dyDescent="0.3">
      <c r="A1384" t="s">
        <v>1401</v>
      </c>
      <c r="B1384" t="s">
        <v>14</v>
      </c>
      <c r="C1384" t="s">
        <v>30</v>
      </c>
      <c r="D1384" t="s">
        <v>20</v>
      </c>
      <c r="E1384">
        <v>24.3</v>
      </c>
      <c r="F1384">
        <v>72</v>
      </c>
      <c r="G1384">
        <v>1749.6</v>
      </c>
      <c r="H1384" t="s">
        <v>12</v>
      </c>
      <c r="I1384" t="str">
        <f t="shared" si="64"/>
        <v>Low Value</v>
      </c>
      <c r="J1384" t="str">
        <f t="shared" si="65"/>
        <v>Low Risk</v>
      </c>
      <c r="K1384" s="3" t="str">
        <f t="shared" si="63"/>
        <v>4+ Years</v>
      </c>
    </row>
    <row r="1385" spans="1:11" x14ac:dyDescent="0.3">
      <c r="A1385" t="s">
        <v>1402</v>
      </c>
      <c r="B1385" t="s">
        <v>9</v>
      </c>
      <c r="C1385" t="s">
        <v>10</v>
      </c>
      <c r="D1385" t="s">
        <v>24</v>
      </c>
      <c r="E1385">
        <v>58.35</v>
      </c>
      <c r="F1385">
        <v>12</v>
      </c>
      <c r="G1385">
        <v>700.2</v>
      </c>
      <c r="H1385" t="s">
        <v>12</v>
      </c>
      <c r="I1385" t="str">
        <f t="shared" si="64"/>
        <v>Low Value</v>
      </c>
      <c r="J1385" t="str">
        <f t="shared" si="65"/>
        <v>Medium Risk</v>
      </c>
      <c r="K1385" s="3" t="str">
        <f t="shared" si="63"/>
        <v>0-1 Year</v>
      </c>
    </row>
    <row r="1386" spans="1:11" x14ac:dyDescent="0.3">
      <c r="A1386" t="s">
        <v>1403</v>
      </c>
      <c r="B1386" t="s">
        <v>9</v>
      </c>
      <c r="C1386" t="s">
        <v>10</v>
      </c>
      <c r="D1386" t="s">
        <v>11</v>
      </c>
      <c r="E1386">
        <v>94.25</v>
      </c>
      <c r="F1386">
        <v>34</v>
      </c>
      <c r="G1386">
        <v>3204.5</v>
      </c>
      <c r="H1386" t="s">
        <v>18</v>
      </c>
      <c r="I1386" t="str">
        <f t="shared" si="64"/>
        <v>Medium Value</v>
      </c>
      <c r="J1386" t="str">
        <f t="shared" si="65"/>
        <v>Low Risk</v>
      </c>
      <c r="K1386" s="3" t="str">
        <f t="shared" si="63"/>
        <v>2-4 Years</v>
      </c>
    </row>
    <row r="1387" spans="1:11" x14ac:dyDescent="0.3">
      <c r="A1387" t="s">
        <v>1404</v>
      </c>
      <c r="B1387" t="s">
        <v>9</v>
      </c>
      <c r="C1387" t="s">
        <v>30</v>
      </c>
      <c r="D1387" t="s">
        <v>24</v>
      </c>
      <c r="E1387">
        <v>68.75</v>
      </c>
      <c r="F1387">
        <v>72</v>
      </c>
      <c r="G1387">
        <v>4950</v>
      </c>
      <c r="H1387" t="s">
        <v>12</v>
      </c>
      <c r="I1387" t="str">
        <f t="shared" si="64"/>
        <v>Medium Value</v>
      </c>
      <c r="J1387" t="str">
        <f t="shared" si="65"/>
        <v>Low Risk</v>
      </c>
      <c r="K1387" s="3" t="str">
        <f t="shared" si="63"/>
        <v>4+ Years</v>
      </c>
    </row>
    <row r="1388" spans="1:11" x14ac:dyDescent="0.3">
      <c r="A1388" t="s">
        <v>1405</v>
      </c>
      <c r="B1388" t="s">
        <v>14</v>
      </c>
      <c r="C1388" t="s">
        <v>10</v>
      </c>
      <c r="D1388" t="s">
        <v>11</v>
      </c>
      <c r="E1388">
        <v>85.8</v>
      </c>
      <c r="F1388">
        <v>29</v>
      </c>
      <c r="G1388">
        <v>2488.1999999999998</v>
      </c>
      <c r="H1388" t="s">
        <v>12</v>
      </c>
      <c r="I1388" t="str">
        <f t="shared" si="64"/>
        <v>Medium Value</v>
      </c>
      <c r="J1388" t="str">
        <f t="shared" si="65"/>
        <v>Low Risk</v>
      </c>
      <c r="K1388" s="3" t="str">
        <f t="shared" si="63"/>
        <v>2-4 Years</v>
      </c>
    </row>
    <row r="1389" spans="1:11" x14ac:dyDescent="0.3">
      <c r="A1389" t="s">
        <v>1406</v>
      </c>
      <c r="B1389" t="s">
        <v>14</v>
      </c>
      <c r="C1389" t="s">
        <v>15</v>
      </c>
      <c r="D1389" t="s">
        <v>24</v>
      </c>
      <c r="E1389">
        <v>20.100000000000001</v>
      </c>
      <c r="F1389">
        <v>33</v>
      </c>
      <c r="G1389">
        <v>663.3</v>
      </c>
      <c r="H1389" t="s">
        <v>12</v>
      </c>
      <c r="I1389" t="str">
        <f t="shared" si="64"/>
        <v>Low Value</v>
      </c>
      <c r="J1389" t="str">
        <f t="shared" si="65"/>
        <v>Low Risk</v>
      </c>
      <c r="K1389" s="3" t="str">
        <f t="shared" si="63"/>
        <v>2-4 Years</v>
      </c>
    </row>
    <row r="1390" spans="1:11" x14ac:dyDescent="0.3">
      <c r="A1390" t="s">
        <v>1407</v>
      </c>
      <c r="B1390" t="s">
        <v>9</v>
      </c>
      <c r="C1390" t="s">
        <v>10</v>
      </c>
      <c r="D1390" t="s">
        <v>16</v>
      </c>
      <c r="E1390">
        <v>20.350000000000001</v>
      </c>
      <c r="F1390">
        <v>1</v>
      </c>
      <c r="G1390">
        <v>20.350000000000001</v>
      </c>
      <c r="H1390" t="s">
        <v>12</v>
      </c>
      <c r="I1390" t="str">
        <f t="shared" si="64"/>
        <v>Low Value</v>
      </c>
      <c r="J1390" t="str">
        <f t="shared" si="65"/>
        <v>High Risk</v>
      </c>
      <c r="K1390" s="3" t="str">
        <f t="shared" si="63"/>
        <v>0-1 Year</v>
      </c>
    </row>
    <row r="1391" spans="1:11" x14ac:dyDescent="0.3">
      <c r="A1391" t="s">
        <v>1408</v>
      </c>
      <c r="B1391" t="s">
        <v>9</v>
      </c>
      <c r="C1391" t="s">
        <v>15</v>
      </c>
      <c r="D1391" t="s">
        <v>11</v>
      </c>
      <c r="E1391">
        <v>110.8</v>
      </c>
      <c r="F1391">
        <v>62</v>
      </c>
      <c r="G1391">
        <v>6869.5999999999904</v>
      </c>
      <c r="H1391" t="s">
        <v>12</v>
      </c>
      <c r="I1391" t="str">
        <f t="shared" si="64"/>
        <v>High Value</v>
      </c>
      <c r="J1391" t="str">
        <f t="shared" si="65"/>
        <v>Low Risk</v>
      </c>
      <c r="K1391" s="3" t="str">
        <f t="shared" si="63"/>
        <v>4+ Years</v>
      </c>
    </row>
    <row r="1392" spans="1:11" x14ac:dyDescent="0.3">
      <c r="A1392" t="s">
        <v>1409</v>
      </c>
      <c r="B1392" t="s">
        <v>14</v>
      </c>
      <c r="C1392" t="s">
        <v>15</v>
      </c>
      <c r="D1392" t="s">
        <v>11</v>
      </c>
      <c r="E1392">
        <v>73</v>
      </c>
      <c r="F1392">
        <v>41</v>
      </c>
      <c r="G1392">
        <v>2993</v>
      </c>
      <c r="H1392" t="s">
        <v>18</v>
      </c>
      <c r="I1392" t="str">
        <f t="shared" si="64"/>
        <v>Medium Value</v>
      </c>
      <c r="J1392" t="str">
        <f t="shared" si="65"/>
        <v>Low Risk</v>
      </c>
      <c r="K1392" s="3" t="str">
        <f t="shared" si="63"/>
        <v>2-4 Years</v>
      </c>
    </row>
    <row r="1393" spans="1:11" x14ac:dyDescent="0.3">
      <c r="A1393" t="s">
        <v>1410</v>
      </c>
      <c r="B1393" t="s">
        <v>9</v>
      </c>
      <c r="C1393" t="s">
        <v>15</v>
      </c>
      <c r="D1393" t="s">
        <v>24</v>
      </c>
      <c r="E1393">
        <v>100.05</v>
      </c>
      <c r="F1393">
        <v>64</v>
      </c>
      <c r="G1393">
        <v>6403.2</v>
      </c>
      <c r="H1393" t="s">
        <v>18</v>
      </c>
      <c r="I1393" t="str">
        <f t="shared" si="64"/>
        <v>High Value</v>
      </c>
      <c r="J1393" t="str">
        <f t="shared" si="65"/>
        <v>Low Risk</v>
      </c>
      <c r="K1393" s="3" t="str">
        <f t="shared" si="63"/>
        <v>4+ Years</v>
      </c>
    </row>
    <row r="1394" spans="1:11" x14ac:dyDescent="0.3">
      <c r="A1394" t="s">
        <v>1411</v>
      </c>
      <c r="B1394" t="s">
        <v>9</v>
      </c>
      <c r="C1394" t="s">
        <v>10</v>
      </c>
      <c r="D1394" t="s">
        <v>24</v>
      </c>
      <c r="E1394">
        <v>82.85</v>
      </c>
      <c r="F1394">
        <v>4</v>
      </c>
      <c r="G1394">
        <v>331.4</v>
      </c>
      <c r="H1394" t="s">
        <v>12</v>
      </c>
      <c r="I1394" t="str">
        <f t="shared" si="64"/>
        <v>Low Value</v>
      </c>
      <c r="J1394" t="str">
        <f t="shared" si="65"/>
        <v>High Risk</v>
      </c>
      <c r="K1394" s="3" t="str">
        <f t="shared" si="63"/>
        <v>0-1 Year</v>
      </c>
    </row>
    <row r="1395" spans="1:11" x14ac:dyDescent="0.3">
      <c r="A1395" t="s">
        <v>1412</v>
      </c>
      <c r="B1395" t="s">
        <v>9</v>
      </c>
      <c r="C1395" t="s">
        <v>10</v>
      </c>
      <c r="D1395" t="s">
        <v>11</v>
      </c>
      <c r="E1395">
        <v>84.35</v>
      </c>
      <c r="F1395">
        <v>24</v>
      </c>
      <c r="G1395">
        <v>2024.3999999999901</v>
      </c>
      <c r="H1395" t="s">
        <v>12</v>
      </c>
      <c r="I1395" t="str">
        <f t="shared" si="64"/>
        <v>Medium Value</v>
      </c>
      <c r="J1395" t="str">
        <f t="shared" si="65"/>
        <v>Low Risk</v>
      </c>
      <c r="K1395" s="3" t="str">
        <f t="shared" si="63"/>
        <v>1-2 Years</v>
      </c>
    </row>
    <row r="1396" spans="1:11" x14ac:dyDescent="0.3">
      <c r="A1396" t="s">
        <v>1413</v>
      </c>
      <c r="B1396" t="s">
        <v>9</v>
      </c>
      <c r="C1396" t="s">
        <v>15</v>
      </c>
      <c r="D1396" t="s">
        <v>16</v>
      </c>
      <c r="E1396">
        <v>19.55</v>
      </c>
      <c r="F1396">
        <v>14</v>
      </c>
      <c r="G1396">
        <v>273.7</v>
      </c>
      <c r="H1396" t="s">
        <v>12</v>
      </c>
      <c r="I1396" t="str">
        <f t="shared" si="64"/>
        <v>Low Value</v>
      </c>
      <c r="J1396" t="str">
        <f t="shared" si="65"/>
        <v>Medium Risk</v>
      </c>
      <c r="K1396" s="3" t="str">
        <f t="shared" si="63"/>
        <v>1-2 Years</v>
      </c>
    </row>
    <row r="1397" spans="1:11" x14ac:dyDescent="0.3">
      <c r="A1397" t="s">
        <v>1414</v>
      </c>
      <c r="B1397" t="s">
        <v>14</v>
      </c>
      <c r="C1397" t="s">
        <v>10</v>
      </c>
      <c r="D1397" t="s">
        <v>16</v>
      </c>
      <c r="E1397">
        <v>19.95</v>
      </c>
      <c r="F1397">
        <v>3</v>
      </c>
      <c r="G1397">
        <v>59.849999999999902</v>
      </c>
      <c r="H1397" t="s">
        <v>12</v>
      </c>
      <c r="I1397" t="str">
        <f t="shared" si="64"/>
        <v>Low Value</v>
      </c>
      <c r="J1397" t="str">
        <f t="shared" si="65"/>
        <v>High Risk</v>
      </c>
      <c r="K1397" s="3" t="str">
        <f t="shared" si="63"/>
        <v>0-1 Year</v>
      </c>
    </row>
    <row r="1398" spans="1:11" x14ac:dyDescent="0.3">
      <c r="A1398" t="s">
        <v>1415</v>
      </c>
      <c r="B1398" t="s">
        <v>9</v>
      </c>
      <c r="C1398" t="s">
        <v>10</v>
      </c>
      <c r="D1398" t="s">
        <v>24</v>
      </c>
      <c r="E1398">
        <v>99.8</v>
      </c>
      <c r="F1398">
        <v>4</v>
      </c>
      <c r="G1398">
        <v>399.2</v>
      </c>
      <c r="H1398" t="s">
        <v>18</v>
      </c>
      <c r="I1398" t="str">
        <f t="shared" si="64"/>
        <v>Low Value</v>
      </c>
      <c r="J1398" t="str">
        <f t="shared" si="65"/>
        <v>High Risk</v>
      </c>
      <c r="K1398" s="3" t="str">
        <f t="shared" si="63"/>
        <v>0-1 Year</v>
      </c>
    </row>
    <row r="1399" spans="1:11" x14ac:dyDescent="0.3">
      <c r="A1399" t="s">
        <v>1416</v>
      </c>
      <c r="B1399" t="s">
        <v>9</v>
      </c>
      <c r="C1399" t="s">
        <v>10</v>
      </c>
      <c r="D1399" t="s">
        <v>11</v>
      </c>
      <c r="E1399">
        <v>35</v>
      </c>
      <c r="F1399">
        <v>18</v>
      </c>
      <c r="G1399">
        <v>630</v>
      </c>
      <c r="H1399" t="s">
        <v>18</v>
      </c>
      <c r="I1399" t="str">
        <f t="shared" si="64"/>
        <v>Low Value</v>
      </c>
      <c r="J1399" t="str">
        <f t="shared" si="65"/>
        <v>Medium Risk</v>
      </c>
      <c r="K1399" s="3" t="str">
        <f t="shared" si="63"/>
        <v>1-2 Years</v>
      </c>
    </row>
    <row r="1400" spans="1:11" x14ac:dyDescent="0.3">
      <c r="A1400" t="s">
        <v>1417</v>
      </c>
      <c r="B1400" t="s">
        <v>14</v>
      </c>
      <c r="C1400" t="s">
        <v>10</v>
      </c>
      <c r="D1400" t="s">
        <v>11</v>
      </c>
      <c r="E1400">
        <v>66.25</v>
      </c>
      <c r="F1400">
        <v>8</v>
      </c>
      <c r="G1400">
        <v>530</v>
      </c>
      <c r="H1400" t="s">
        <v>12</v>
      </c>
      <c r="I1400" t="str">
        <f t="shared" si="64"/>
        <v>Low Value</v>
      </c>
      <c r="J1400" t="str">
        <f t="shared" si="65"/>
        <v>High Risk</v>
      </c>
      <c r="K1400" s="3" t="str">
        <f t="shared" si="63"/>
        <v>0-1 Year</v>
      </c>
    </row>
    <row r="1401" spans="1:11" x14ac:dyDescent="0.3">
      <c r="A1401" t="s">
        <v>1418</v>
      </c>
      <c r="B1401" t="s">
        <v>9</v>
      </c>
      <c r="C1401" t="s">
        <v>30</v>
      </c>
      <c r="D1401" t="s">
        <v>20</v>
      </c>
      <c r="E1401">
        <v>23.3</v>
      </c>
      <c r="F1401">
        <v>35</v>
      </c>
      <c r="G1401">
        <v>815.5</v>
      </c>
      <c r="H1401" t="s">
        <v>12</v>
      </c>
      <c r="I1401" t="str">
        <f t="shared" si="64"/>
        <v>Low Value</v>
      </c>
      <c r="J1401" t="str">
        <f t="shared" si="65"/>
        <v>Low Risk</v>
      </c>
      <c r="K1401" s="3" t="str">
        <f t="shared" si="63"/>
        <v>2-4 Years</v>
      </c>
    </row>
    <row r="1402" spans="1:11" x14ac:dyDescent="0.3">
      <c r="A1402" t="s">
        <v>1419</v>
      </c>
      <c r="B1402" t="s">
        <v>9</v>
      </c>
      <c r="C1402" t="s">
        <v>10</v>
      </c>
      <c r="D1402" t="s">
        <v>11</v>
      </c>
      <c r="E1402">
        <v>76</v>
      </c>
      <c r="F1402">
        <v>1</v>
      </c>
      <c r="G1402">
        <v>76</v>
      </c>
      <c r="H1402" t="s">
        <v>18</v>
      </c>
      <c r="I1402" t="str">
        <f t="shared" si="64"/>
        <v>Low Value</v>
      </c>
      <c r="J1402" t="str">
        <f t="shared" si="65"/>
        <v>High Risk</v>
      </c>
      <c r="K1402" s="3" t="str">
        <f t="shared" si="63"/>
        <v>0-1 Year</v>
      </c>
    </row>
    <row r="1403" spans="1:11" x14ac:dyDescent="0.3">
      <c r="A1403" t="s">
        <v>1420</v>
      </c>
      <c r="B1403" t="s">
        <v>14</v>
      </c>
      <c r="C1403" t="s">
        <v>30</v>
      </c>
      <c r="D1403" t="s">
        <v>24</v>
      </c>
      <c r="E1403">
        <v>25.3</v>
      </c>
      <c r="F1403">
        <v>66</v>
      </c>
      <c r="G1403">
        <v>1669.8</v>
      </c>
      <c r="H1403" t="s">
        <v>12</v>
      </c>
      <c r="I1403" t="str">
        <f t="shared" si="64"/>
        <v>Low Value</v>
      </c>
      <c r="J1403" t="str">
        <f t="shared" si="65"/>
        <v>Low Risk</v>
      </c>
      <c r="K1403" s="3" t="str">
        <f t="shared" si="63"/>
        <v>4+ Years</v>
      </c>
    </row>
    <row r="1404" spans="1:11" x14ac:dyDescent="0.3">
      <c r="A1404" t="s">
        <v>1421</v>
      </c>
      <c r="B1404" t="s">
        <v>14</v>
      </c>
      <c r="C1404" t="s">
        <v>30</v>
      </c>
      <c r="D1404" t="s">
        <v>16</v>
      </c>
      <c r="E1404">
        <v>44.55</v>
      </c>
      <c r="F1404">
        <v>8</v>
      </c>
      <c r="G1404">
        <v>356.4</v>
      </c>
      <c r="H1404" t="s">
        <v>12</v>
      </c>
      <c r="I1404" t="str">
        <f t="shared" si="64"/>
        <v>Low Value</v>
      </c>
      <c r="J1404" t="str">
        <f t="shared" si="65"/>
        <v>High Risk</v>
      </c>
      <c r="K1404" s="3" t="str">
        <f t="shared" si="63"/>
        <v>0-1 Year</v>
      </c>
    </row>
    <row r="1405" spans="1:11" x14ac:dyDescent="0.3">
      <c r="A1405" t="s">
        <v>1422</v>
      </c>
      <c r="B1405" t="s">
        <v>9</v>
      </c>
      <c r="C1405" t="s">
        <v>15</v>
      </c>
      <c r="D1405" t="s">
        <v>24</v>
      </c>
      <c r="E1405">
        <v>104.1</v>
      </c>
      <c r="F1405">
        <v>71</v>
      </c>
      <c r="G1405">
        <v>7391.0999999999904</v>
      </c>
      <c r="H1405" t="s">
        <v>12</v>
      </c>
      <c r="I1405" t="str">
        <f t="shared" si="64"/>
        <v>High Value</v>
      </c>
      <c r="J1405" t="str">
        <f t="shared" si="65"/>
        <v>Low Risk</v>
      </c>
      <c r="K1405" s="3" t="str">
        <f t="shared" si="63"/>
        <v>4+ Years</v>
      </c>
    </row>
    <row r="1406" spans="1:11" x14ac:dyDescent="0.3">
      <c r="A1406" t="s">
        <v>1423</v>
      </c>
      <c r="B1406" t="s">
        <v>9</v>
      </c>
      <c r="C1406" t="s">
        <v>10</v>
      </c>
      <c r="D1406" t="s">
        <v>20</v>
      </c>
      <c r="E1406">
        <v>92.55</v>
      </c>
      <c r="F1406">
        <v>43</v>
      </c>
      <c r="G1406">
        <v>3979.65</v>
      </c>
      <c r="H1406" t="s">
        <v>12</v>
      </c>
      <c r="I1406" t="str">
        <f t="shared" si="64"/>
        <v>Medium Value</v>
      </c>
      <c r="J1406" t="str">
        <f t="shared" si="65"/>
        <v>Low Risk</v>
      </c>
      <c r="K1406" s="3" t="str">
        <f t="shared" si="63"/>
        <v>2-4 Years</v>
      </c>
    </row>
    <row r="1407" spans="1:11" x14ac:dyDescent="0.3">
      <c r="A1407" t="s">
        <v>1424</v>
      </c>
      <c r="B1407" t="s">
        <v>9</v>
      </c>
      <c r="C1407" t="s">
        <v>10</v>
      </c>
      <c r="D1407" t="s">
        <v>11</v>
      </c>
      <c r="E1407">
        <v>93.85</v>
      </c>
      <c r="F1407">
        <v>2</v>
      </c>
      <c r="G1407">
        <v>187.7</v>
      </c>
      <c r="H1407" t="s">
        <v>18</v>
      </c>
      <c r="I1407" t="str">
        <f t="shared" si="64"/>
        <v>Low Value</v>
      </c>
      <c r="J1407" t="str">
        <f t="shared" si="65"/>
        <v>High Risk</v>
      </c>
      <c r="K1407" s="3" t="str">
        <f t="shared" si="63"/>
        <v>0-1 Year</v>
      </c>
    </row>
    <row r="1408" spans="1:11" x14ac:dyDescent="0.3">
      <c r="A1408" t="s">
        <v>1425</v>
      </c>
      <c r="B1408" t="s">
        <v>14</v>
      </c>
      <c r="C1408" t="s">
        <v>10</v>
      </c>
      <c r="D1408" t="s">
        <v>20</v>
      </c>
      <c r="E1408">
        <v>101.45</v>
      </c>
      <c r="F1408">
        <v>29</v>
      </c>
      <c r="G1408">
        <v>2942.05</v>
      </c>
      <c r="H1408" t="s">
        <v>12</v>
      </c>
      <c r="I1408" t="str">
        <f t="shared" si="64"/>
        <v>Medium Value</v>
      </c>
      <c r="J1408" t="str">
        <f t="shared" si="65"/>
        <v>Low Risk</v>
      </c>
      <c r="K1408" s="3" t="str">
        <f t="shared" si="63"/>
        <v>2-4 Years</v>
      </c>
    </row>
    <row r="1409" spans="1:11" x14ac:dyDescent="0.3">
      <c r="A1409" t="s">
        <v>1426</v>
      </c>
      <c r="B1409" t="s">
        <v>9</v>
      </c>
      <c r="C1409" t="s">
        <v>10</v>
      </c>
      <c r="D1409" t="s">
        <v>11</v>
      </c>
      <c r="E1409">
        <v>84.3</v>
      </c>
      <c r="F1409">
        <v>15</v>
      </c>
      <c r="G1409">
        <v>1264.5</v>
      </c>
      <c r="H1409" t="s">
        <v>18</v>
      </c>
      <c r="I1409" t="str">
        <f t="shared" si="64"/>
        <v>Low Value</v>
      </c>
      <c r="J1409" t="str">
        <f t="shared" si="65"/>
        <v>Medium Risk</v>
      </c>
      <c r="K1409" s="3" t="str">
        <f t="shared" si="63"/>
        <v>1-2 Years</v>
      </c>
    </row>
    <row r="1410" spans="1:11" x14ac:dyDescent="0.3">
      <c r="A1410" t="s">
        <v>1427</v>
      </c>
      <c r="B1410" t="s">
        <v>14</v>
      </c>
      <c r="C1410" t="s">
        <v>30</v>
      </c>
      <c r="D1410" t="s">
        <v>24</v>
      </c>
      <c r="E1410">
        <v>94.55</v>
      </c>
      <c r="F1410">
        <v>65</v>
      </c>
      <c r="G1410">
        <v>6145.75</v>
      </c>
      <c r="H1410" t="s">
        <v>12</v>
      </c>
      <c r="I1410" t="str">
        <f t="shared" si="64"/>
        <v>High Value</v>
      </c>
      <c r="J1410" t="str">
        <f t="shared" si="65"/>
        <v>Low Risk</v>
      </c>
      <c r="K1410" s="3" t="str">
        <f t="shared" si="63"/>
        <v>4+ Years</v>
      </c>
    </row>
    <row r="1411" spans="1:11" x14ac:dyDescent="0.3">
      <c r="A1411" t="s">
        <v>1428</v>
      </c>
      <c r="B1411" t="s">
        <v>14</v>
      </c>
      <c r="C1411" t="s">
        <v>10</v>
      </c>
      <c r="D1411" t="s">
        <v>11</v>
      </c>
      <c r="E1411">
        <v>95.5</v>
      </c>
      <c r="F1411">
        <v>35</v>
      </c>
      <c r="G1411">
        <v>3342.5</v>
      </c>
      <c r="H1411" t="s">
        <v>12</v>
      </c>
      <c r="I1411" t="str">
        <f t="shared" si="64"/>
        <v>Medium Value</v>
      </c>
      <c r="J1411" t="str">
        <f t="shared" si="65"/>
        <v>Low Risk</v>
      </c>
      <c r="K1411" s="3" t="str">
        <f t="shared" ref="K1411:K1474" si="66">IF(F1411&lt;=12,"0-1 Year",
IF(F1411&lt;=24,"1-2 Years",
IF(F1411&lt;=48,"2-4 Years","4+ Years")))</f>
        <v>2-4 Years</v>
      </c>
    </row>
    <row r="1412" spans="1:11" x14ac:dyDescent="0.3">
      <c r="A1412" t="s">
        <v>1429</v>
      </c>
      <c r="B1412" t="s">
        <v>14</v>
      </c>
      <c r="C1412" t="s">
        <v>15</v>
      </c>
      <c r="D1412" t="s">
        <v>24</v>
      </c>
      <c r="E1412">
        <v>100.3</v>
      </c>
      <c r="F1412">
        <v>64</v>
      </c>
      <c r="G1412">
        <v>6419.2</v>
      </c>
      <c r="H1412" t="s">
        <v>12</v>
      </c>
      <c r="I1412" t="str">
        <f t="shared" ref="I1412:I1475" si="67">IF(G1412&gt;5000,"High Value",
IF(G1412&gt;2000,"Medium Value","Low Value"))</f>
        <v>High Value</v>
      </c>
      <c r="J1412" t="str">
        <f t="shared" ref="J1412:J1475" si="68">IF(F1412&lt;12,"High Risk",
IF(F1412&lt;24,"Medium Risk","Low Risk"))</f>
        <v>Low Risk</v>
      </c>
      <c r="K1412" s="3" t="str">
        <f t="shared" si="66"/>
        <v>4+ Years</v>
      </c>
    </row>
    <row r="1413" spans="1:11" x14ac:dyDescent="0.3">
      <c r="A1413" t="s">
        <v>1430</v>
      </c>
      <c r="B1413" t="s">
        <v>9</v>
      </c>
      <c r="C1413" t="s">
        <v>30</v>
      </c>
      <c r="D1413" t="s">
        <v>24</v>
      </c>
      <c r="E1413">
        <v>55.5</v>
      </c>
      <c r="F1413">
        <v>58</v>
      </c>
      <c r="G1413">
        <v>3219</v>
      </c>
      <c r="H1413" t="s">
        <v>12</v>
      </c>
      <c r="I1413" t="str">
        <f t="shared" si="67"/>
        <v>Medium Value</v>
      </c>
      <c r="J1413" t="str">
        <f t="shared" si="68"/>
        <v>Low Risk</v>
      </c>
      <c r="K1413" s="3" t="str">
        <f t="shared" si="66"/>
        <v>4+ Years</v>
      </c>
    </row>
    <row r="1414" spans="1:11" x14ac:dyDescent="0.3">
      <c r="A1414" t="s">
        <v>1431</v>
      </c>
      <c r="B1414" t="s">
        <v>9</v>
      </c>
      <c r="C1414" t="s">
        <v>10</v>
      </c>
      <c r="D1414" t="s">
        <v>24</v>
      </c>
      <c r="E1414">
        <v>49.85</v>
      </c>
      <c r="F1414">
        <v>18</v>
      </c>
      <c r="G1414">
        <v>897.3</v>
      </c>
      <c r="H1414" t="s">
        <v>12</v>
      </c>
      <c r="I1414" t="str">
        <f t="shared" si="67"/>
        <v>Low Value</v>
      </c>
      <c r="J1414" t="str">
        <f t="shared" si="68"/>
        <v>Medium Risk</v>
      </c>
      <c r="K1414" s="3" t="str">
        <f t="shared" si="66"/>
        <v>1-2 Years</v>
      </c>
    </row>
    <row r="1415" spans="1:11" x14ac:dyDescent="0.3">
      <c r="A1415" t="s">
        <v>1432</v>
      </c>
      <c r="B1415" t="s">
        <v>14</v>
      </c>
      <c r="C1415" t="s">
        <v>10</v>
      </c>
      <c r="D1415" t="s">
        <v>20</v>
      </c>
      <c r="E1415">
        <v>89.55</v>
      </c>
      <c r="F1415">
        <v>67</v>
      </c>
      <c r="G1415">
        <v>5999.8499999999904</v>
      </c>
      <c r="H1415" t="s">
        <v>12</v>
      </c>
      <c r="I1415" t="str">
        <f t="shared" si="67"/>
        <v>High Value</v>
      </c>
      <c r="J1415" t="str">
        <f t="shared" si="68"/>
        <v>Low Risk</v>
      </c>
      <c r="K1415" s="3" t="str">
        <f t="shared" si="66"/>
        <v>4+ Years</v>
      </c>
    </row>
    <row r="1416" spans="1:11" x14ac:dyDescent="0.3">
      <c r="A1416" t="s">
        <v>1433</v>
      </c>
      <c r="B1416" t="s">
        <v>14</v>
      </c>
      <c r="C1416" t="s">
        <v>30</v>
      </c>
      <c r="D1416" t="s">
        <v>16</v>
      </c>
      <c r="E1416">
        <v>19.149999999999999</v>
      </c>
      <c r="F1416">
        <v>63</v>
      </c>
      <c r="G1416">
        <v>1206.44999999999</v>
      </c>
      <c r="H1416" t="s">
        <v>12</v>
      </c>
      <c r="I1416" t="str">
        <f t="shared" si="67"/>
        <v>Low Value</v>
      </c>
      <c r="J1416" t="str">
        <f t="shared" si="68"/>
        <v>Low Risk</v>
      </c>
      <c r="K1416" s="3" t="str">
        <f t="shared" si="66"/>
        <v>4+ Years</v>
      </c>
    </row>
    <row r="1417" spans="1:11" x14ac:dyDescent="0.3">
      <c r="A1417" t="s">
        <v>1434</v>
      </c>
      <c r="B1417" t="s">
        <v>9</v>
      </c>
      <c r="C1417" t="s">
        <v>10</v>
      </c>
      <c r="D1417" t="s">
        <v>11</v>
      </c>
      <c r="E1417">
        <v>99.8</v>
      </c>
      <c r="F1417">
        <v>60</v>
      </c>
      <c r="G1417">
        <v>5988</v>
      </c>
      <c r="H1417" t="s">
        <v>12</v>
      </c>
      <c r="I1417" t="str">
        <f t="shared" si="67"/>
        <v>High Value</v>
      </c>
      <c r="J1417" t="str">
        <f t="shared" si="68"/>
        <v>Low Risk</v>
      </c>
      <c r="K1417" s="3" t="str">
        <f t="shared" si="66"/>
        <v>4+ Years</v>
      </c>
    </row>
    <row r="1418" spans="1:11" x14ac:dyDescent="0.3">
      <c r="A1418" t="s">
        <v>1435</v>
      </c>
      <c r="B1418" t="s">
        <v>14</v>
      </c>
      <c r="C1418" t="s">
        <v>10</v>
      </c>
      <c r="D1418" t="s">
        <v>24</v>
      </c>
      <c r="E1418">
        <v>84.4</v>
      </c>
      <c r="F1418">
        <v>9</v>
      </c>
      <c r="G1418">
        <v>759.6</v>
      </c>
      <c r="H1418" t="s">
        <v>18</v>
      </c>
      <c r="I1418" t="str">
        <f t="shared" si="67"/>
        <v>Low Value</v>
      </c>
      <c r="J1418" t="str">
        <f t="shared" si="68"/>
        <v>High Risk</v>
      </c>
      <c r="K1418" s="3" t="str">
        <f t="shared" si="66"/>
        <v>0-1 Year</v>
      </c>
    </row>
    <row r="1419" spans="1:11" x14ac:dyDescent="0.3">
      <c r="A1419" t="s">
        <v>1436</v>
      </c>
      <c r="B1419" t="s">
        <v>9</v>
      </c>
      <c r="C1419" t="s">
        <v>30</v>
      </c>
      <c r="D1419" t="s">
        <v>24</v>
      </c>
      <c r="E1419">
        <v>113.05</v>
      </c>
      <c r="F1419">
        <v>70</v>
      </c>
      <c r="G1419">
        <v>7913.5</v>
      </c>
      <c r="H1419" t="s">
        <v>12</v>
      </c>
      <c r="I1419" t="str">
        <f t="shared" si="67"/>
        <v>High Value</v>
      </c>
      <c r="J1419" t="str">
        <f t="shared" si="68"/>
        <v>Low Risk</v>
      </c>
      <c r="K1419" s="3" t="str">
        <f t="shared" si="66"/>
        <v>4+ Years</v>
      </c>
    </row>
    <row r="1420" spans="1:11" x14ac:dyDescent="0.3">
      <c r="A1420" t="s">
        <v>1437</v>
      </c>
      <c r="B1420" t="s">
        <v>14</v>
      </c>
      <c r="C1420" t="s">
        <v>10</v>
      </c>
      <c r="D1420" t="s">
        <v>11</v>
      </c>
      <c r="E1420">
        <v>101.1</v>
      </c>
      <c r="F1420">
        <v>15</v>
      </c>
      <c r="G1420">
        <v>1516.5</v>
      </c>
      <c r="H1420" t="s">
        <v>18</v>
      </c>
      <c r="I1420" t="str">
        <f t="shared" si="67"/>
        <v>Low Value</v>
      </c>
      <c r="J1420" t="str">
        <f t="shared" si="68"/>
        <v>Medium Risk</v>
      </c>
      <c r="K1420" s="3" t="str">
        <f t="shared" si="66"/>
        <v>1-2 Years</v>
      </c>
    </row>
    <row r="1421" spans="1:11" x14ac:dyDescent="0.3">
      <c r="A1421" t="s">
        <v>1438</v>
      </c>
      <c r="B1421" t="s">
        <v>9</v>
      </c>
      <c r="C1421" t="s">
        <v>15</v>
      </c>
      <c r="D1421" t="s">
        <v>16</v>
      </c>
      <c r="E1421">
        <v>19.95</v>
      </c>
      <c r="F1421">
        <v>48</v>
      </c>
      <c r="G1421">
        <v>957.599999999999</v>
      </c>
      <c r="H1421" t="s">
        <v>12</v>
      </c>
      <c r="I1421" t="str">
        <f t="shared" si="67"/>
        <v>Low Value</v>
      </c>
      <c r="J1421" t="str">
        <f t="shared" si="68"/>
        <v>Low Risk</v>
      </c>
      <c r="K1421" s="3" t="str">
        <f t="shared" si="66"/>
        <v>2-4 Years</v>
      </c>
    </row>
    <row r="1422" spans="1:11" x14ac:dyDescent="0.3">
      <c r="A1422" t="s">
        <v>1439</v>
      </c>
      <c r="B1422" t="s">
        <v>14</v>
      </c>
      <c r="C1422" t="s">
        <v>10</v>
      </c>
      <c r="D1422" t="s">
        <v>11</v>
      </c>
      <c r="E1422">
        <v>74.150000000000006</v>
      </c>
      <c r="F1422">
        <v>12</v>
      </c>
      <c r="G1422">
        <v>889.8</v>
      </c>
      <c r="H1422" t="s">
        <v>12</v>
      </c>
      <c r="I1422" t="str">
        <f t="shared" si="67"/>
        <v>Low Value</v>
      </c>
      <c r="J1422" t="str">
        <f t="shared" si="68"/>
        <v>Medium Risk</v>
      </c>
      <c r="K1422" s="3" t="str">
        <f t="shared" si="66"/>
        <v>0-1 Year</v>
      </c>
    </row>
    <row r="1423" spans="1:11" x14ac:dyDescent="0.3">
      <c r="A1423" t="s">
        <v>1440</v>
      </c>
      <c r="B1423" t="s">
        <v>14</v>
      </c>
      <c r="C1423" t="s">
        <v>15</v>
      </c>
      <c r="D1423" t="s">
        <v>11</v>
      </c>
      <c r="E1423">
        <v>92</v>
      </c>
      <c r="F1423">
        <v>71</v>
      </c>
      <c r="G1423">
        <v>6532</v>
      </c>
      <c r="H1423" t="s">
        <v>12</v>
      </c>
      <c r="I1423" t="str">
        <f t="shared" si="67"/>
        <v>High Value</v>
      </c>
      <c r="J1423" t="str">
        <f t="shared" si="68"/>
        <v>Low Risk</v>
      </c>
      <c r="K1423" s="3" t="str">
        <f t="shared" si="66"/>
        <v>4+ Years</v>
      </c>
    </row>
    <row r="1424" spans="1:11" x14ac:dyDescent="0.3">
      <c r="A1424" t="s">
        <v>1441</v>
      </c>
      <c r="B1424" t="s">
        <v>14</v>
      </c>
      <c r="C1424" t="s">
        <v>10</v>
      </c>
      <c r="D1424" t="s">
        <v>11</v>
      </c>
      <c r="E1424">
        <v>73.849999999999994</v>
      </c>
      <c r="F1424">
        <v>44</v>
      </c>
      <c r="G1424">
        <v>3249.3999999999901</v>
      </c>
      <c r="H1424" t="s">
        <v>12</v>
      </c>
      <c r="I1424" t="str">
        <f t="shared" si="67"/>
        <v>Medium Value</v>
      </c>
      <c r="J1424" t="str">
        <f t="shared" si="68"/>
        <v>Low Risk</v>
      </c>
      <c r="K1424" s="3" t="str">
        <f t="shared" si="66"/>
        <v>2-4 Years</v>
      </c>
    </row>
    <row r="1425" spans="1:11" x14ac:dyDescent="0.3">
      <c r="A1425" t="s">
        <v>1442</v>
      </c>
      <c r="B1425" t="s">
        <v>14</v>
      </c>
      <c r="C1425" t="s">
        <v>10</v>
      </c>
      <c r="D1425" t="s">
        <v>11</v>
      </c>
      <c r="E1425">
        <v>50.45</v>
      </c>
      <c r="F1425">
        <v>1</v>
      </c>
      <c r="G1425">
        <v>50.45</v>
      </c>
      <c r="H1425" t="s">
        <v>18</v>
      </c>
      <c r="I1425" t="str">
        <f t="shared" si="67"/>
        <v>Low Value</v>
      </c>
      <c r="J1425" t="str">
        <f t="shared" si="68"/>
        <v>High Risk</v>
      </c>
      <c r="K1425" s="3" t="str">
        <f t="shared" si="66"/>
        <v>0-1 Year</v>
      </c>
    </row>
    <row r="1426" spans="1:11" x14ac:dyDescent="0.3">
      <c r="A1426" t="s">
        <v>1443</v>
      </c>
      <c r="B1426" t="s">
        <v>14</v>
      </c>
      <c r="C1426" t="s">
        <v>30</v>
      </c>
      <c r="D1426" t="s">
        <v>16</v>
      </c>
      <c r="E1426">
        <v>24.45</v>
      </c>
      <c r="F1426">
        <v>45</v>
      </c>
      <c r="G1426">
        <v>1100.25</v>
      </c>
      <c r="H1426" t="s">
        <v>12</v>
      </c>
      <c r="I1426" t="str">
        <f t="shared" si="67"/>
        <v>Low Value</v>
      </c>
      <c r="J1426" t="str">
        <f t="shared" si="68"/>
        <v>Low Risk</v>
      </c>
      <c r="K1426" s="3" t="str">
        <f t="shared" si="66"/>
        <v>2-4 Years</v>
      </c>
    </row>
    <row r="1427" spans="1:11" x14ac:dyDescent="0.3">
      <c r="A1427" t="s">
        <v>1444</v>
      </c>
      <c r="B1427" t="s">
        <v>9</v>
      </c>
      <c r="C1427" t="s">
        <v>15</v>
      </c>
      <c r="D1427" t="s">
        <v>24</v>
      </c>
      <c r="E1427">
        <v>24.8</v>
      </c>
      <c r="F1427">
        <v>23</v>
      </c>
      <c r="G1427">
        <v>570.4</v>
      </c>
      <c r="H1427" t="s">
        <v>12</v>
      </c>
      <c r="I1427" t="str">
        <f t="shared" si="67"/>
        <v>Low Value</v>
      </c>
      <c r="J1427" t="str">
        <f t="shared" si="68"/>
        <v>Medium Risk</v>
      </c>
      <c r="K1427" s="3" t="str">
        <f t="shared" si="66"/>
        <v>1-2 Years</v>
      </c>
    </row>
    <row r="1428" spans="1:11" x14ac:dyDescent="0.3">
      <c r="A1428" t="s">
        <v>1445</v>
      </c>
      <c r="B1428" t="s">
        <v>9</v>
      </c>
      <c r="C1428" t="s">
        <v>15</v>
      </c>
      <c r="D1428" t="s">
        <v>20</v>
      </c>
      <c r="E1428">
        <v>64.849999999999994</v>
      </c>
      <c r="F1428">
        <v>43</v>
      </c>
      <c r="G1428">
        <v>2788.5499999999902</v>
      </c>
      <c r="H1428" t="s">
        <v>12</v>
      </c>
      <c r="I1428" t="str">
        <f t="shared" si="67"/>
        <v>Medium Value</v>
      </c>
      <c r="J1428" t="str">
        <f t="shared" si="68"/>
        <v>Low Risk</v>
      </c>
      <c r="K1428" s="3" t="str">
        <f t="shared" si="66"/>
        <v>2-4 Years</v>
      </c>
    </row>
    <row r="1429" spans="1:11" x14ac:dyDescent="0.3">
      <c r="A1429" t="s">
        <v>1446</v>
      </c>
      <c r="B1429" t="s">
        <v>14</v>
      </c>
      <c r="C1429" t="s">
        <v>10</v>
      </c>
      <c r="D1429" t="s">
        <v>20</v>
      </c>
      <c r="E1429">
        <v>20.75</v>
      </c>
      <c r="F1429">
        <v>35</v>
      </c>
      <c r="G1429">
        <v>726.25</v>
      </c>
      <c r="H1429" t="s">
        <v>12</v>
      </c>
      <c r="I1429" t="str">
        <f t="shared" si="67"/>
        <v>Low Value</v>
      </c>
      <c r="J1429" t="str">
        <f t="shared" si="68"/>
        <v>Low Risk</v>
      </c>
      <c r="K1429" s="3" t="str">
        <f t="shared" si="66"/>
        <v>2-4 Years</v>
      </c>
    </row>
    <row r="1430" spans="1:11" x14ac:dyDescent="0.3">
      <c r="A1430" t="s">
        <v>1447</v>
      </c>
      <c r="B1430" t="s">
        <v>14</v>
      </c>
      <c r="C1430" t="s">
        <v>10</v>
      </c>
      <c r="D1430" t="s">
        <v>16</v>
      </c>
      <c r="E1430">
        <v>68.95</v>
      </c>
      <c r="F1430">
        <v>9</v>
      </c>
      <c r="G1430">
        <v>620.54999999999995</v>
      </c>
      <c r="H1430" t="s">
        <v>12</v>
      </c>
      <c r="I1430" t="str">
        <f t="shared" si="67"/>
        <v>Low Value</v>
      </c>
      <c r="J1430" t="str">
        <f t="shared" si="68"/>
        <v>High Risk</v>
      </c>
      <c r="K1430" s="3" t="str">
        <f t="shared" si="66"/>
        <v>0-1 Year</v>
      </c>
    </row>
    <row r="1431" spans="1:11" x14ac:dyDescent="0.3">
      <c r="A1431" t="s">
        <v>1448</v>
      </c>
      <c r="B1431" t="s">
        <v>14</v>
      </c>
      <c r="C1431" t="s">
        <v>10</v>
      </c>
      <c r="D1431" t="s">
        <v>16</v>
      </c>
      <c r="E1431">
        <v>99.95</v>
      </c>
      <c r="F1431">
        <v>12</v>
      </c>
      <c r="G1431">
        <v>1199.4000000000001</v>
      </c>
      <c r="H1431" t="s">
        <v>18</v>
      </c>
      <c r="I1431" t="str">
        <f t="shared" si="67"/>
        <v>Low Value</v>
      </c>
      <c r="J1431" t="str">
        <f t="shared" si="68"/>
        <v>Medium Risk</v>
      </c>
      <c r="K1431" s="3" t="str">
        <f t="shared" si="66"/>
        <v>0-1 Year</v>
      </c>
    </row>
    <row r="1432" spans="1:11" x14ac:dyDescent="0.3">
      <c r="A1432" t="s">
        <v>1449</v>
      </c>
      <c r="B1432" t="s">
        <v>9</v>
      </c>
      <c r="C1432" t="s">
        <v>10</v>
      </c>
      <c r="D1432" t="s">
        <v>24</v>
      </c>
      <c r="E1432">
        <v>109.4</v>
      </c>
      <c r="F1432">
        <v>65</v>
      </c>
      <c r="G1432">
        <v>7111</v>
      </c>
      <c r="H1432" t="s">
        <v>12</v>
      </c>
      <c r="I1432" t="str">
        <f t="shared" si="67"/>
        <v>High Value</v>
      </c>
      <c r="J1432" t="str">
        <f t="shared" si="68"/>
        <v>Low Risk</v>
      </c>
      <c r="K1432" s="3" t="str">
        <f t="shared" si="66"/>
        <v>4+ Years</v>
      </c>
    </row>
    <row r="1433" spans="1:11" x14ac:dyDescent="0.3">
      <c r="A1433" t="s">
        <v>1450</v>
      </c>
      <c r="B1433" t="s">
        <v>9</v>
      </c>
      <c r="C1433" t="s">
        <v>10</v>
      </c>
      <c r="D1433" t="s">
        <v>11</v>
      </c>
      <c r="E1433">
        <v>91.4</v>
      </c>
      <c r="F1433">
        <v>2</v>
      </c>
      <c r="G1433">
        <v>182.8</v>
      </c>
      <c r="H1433" t="s">
        <v>18</v>
      </c>
      <c r="I1433" t="str">
        <f t="shared" si="67"/>
        <v>Low Value</v>
      </c>
      <c r="J1433" t="str">
        <f t="shared" si="68"/>
        <v>High Risk</v>
      </c>
      <c r="K1433" s="3" t="str">
        <f t="shared" si="66"/>
        <v>0-1 Year</v>
      </c>
    </row>
    <row r="1434" spans="1:11" x14ac:dyDescent="0.3">
      <c r="A1434" t="s">
        <v>1451</v>
      </c>
      <c r="B1434" t="s">
        <v>14</v>
      </c>
      <c r="C1434" t="s">
        <v>10</v>
      </c>
      <c r="D1434" t="s">
        <v>16</v>
      </c>
      <c r="E1434">
        <v>49</v>
      </c>
      <c r="F1434">
        <v>27</v>
      </c>
      <c r="G1434">
        <v>1323</v>
      </c>
      <c r="H1434" t="s">
        <v>12</v>
      </c>
      <c r="I1434" t="str">
        <f t="shared" si="67"/>
        <v>Low Value</v>
      </c>
      <c r="J1434" t="str">
        <f t="shared" si="68"/>
        <v>Low Risk</v>
      </c>
      <c r="K1434" s="3" t="str">
        <f t="shared" si="66"/>
        <v>2-4 Years</v>
      </c>
    </row>
    <row r="1435" spans="1:11" x14ac:dyDescent="0.3">
      <c r="A1435" t="s">
        <v>1452</v>
      </c>
      <c r="B1435" t="s">
        <v>9</v>
      </c>
      <c r="C1435" t="s">
        <v>15</v>
      </c>
      <c r="D1435" t="s">
        <v>16</v>
      </c>
      <c r="E1435">
        <v>50.25</v>
      </c>
      <c r="F1435">
        <v>40</v>
      </c>
      <c r="G1435">
        <v>2010</v>
      </c>
      <c r="H1435" t="s">
        <v>12</v>
      </c>
      <c r="I1435" t="str">
        <f t="shared" si="67"/>
        <v>Medium Value</v>
      </c>
      <c r="J1435" t="str">
        <f t="shared" si="68"/>
        <v>Low Risk</v>
      </c>
      <c r="K1435" s="3" t="str">
        <f t="shared" si="66"/>
        <v>2-4 Years</v>
      </c>
    </row>
    <row r="1436" spans="1:11" x14ac:dyDescent="0.3">
      <c r="A1436" t="s">
        <v>1453</v>
      </c>
      <c r="B1436" t="s">
        <v>9</v>
      </c>
      <c r="C1436" t="s">
        <v>10</v>
      </c>
      <c r="D1436" t="s">
        <v>24</v>
      </c>
      <c r="E1436">
        <v>75.55</v>
      </c>
      <c r="F1436">
        <v>5</v>
      </c>
      <c r="G1436">
        <v>377.75</v>
      </c>
      <c r="H1436" t="s">
        <v>18</v>
      </c>
      <c r="I1436" t="str">
        <f t="shared" si="67"/>
        <v>Low Value</v>
      </c>
      <c r="J1436" t="str">
        <f t="shared" si="68"/>
        <v>High Risk</v>
      </c>
      <c r="K1436" s="3" t="str">
        <f t="shared" si="66"/>
        <v>0-1 Year</v>
      </c>
    </row>
    <row r="1437" spans="1:11" x14ac:dyDescent="0.3">
      <c r="A1437" t="s">
        <v>1454</v>
      </c>
      <c r="B1437" t="s">
        <v>14</v>
      </c>
      <c r="C1437" t="s">
        <v>15</v>
      </c>
      <c r="D1437" t="s">
        <v>24</v>
      </c>
      <c r="E1437">
        <v>19.899999999999999</v>
      </c>
      <c r="F1437">
        <v>8</v>
      </c>
      <c r="G1437">
        <v>159.19999999999999</v>
      </c>
      <c r="H1437" t="s">
        <v>12</v>
      </c>
      <c r="I1437" t="str">
        <f t="shared" si="67"/>
        <v>Low Value</v>
      </c>
      <c r="J1437" t="str">
        <f t="shared" si="68"/>
        <v>High Risk</v>
      </c>
      <c r="K1437" s="3" t="str">
        <f t="shared" si="66"/>
        <v>0-1 Year</v>
      </c>
    </row>
    <row r="1438" spans="1:11" x14ac:dyDescent="0.3">
      <c r="A1438" t="s">
        <v>1455</v>
      </c>
      <c r="B1438" t="s">
        <v>9</v>
      </c>
      <c r="C1438" t="s">
        <v>15</v>
      </c>
      <c r="D1438" t="s">
        <v>20</v>
      </c>
      <c r="E1438">
        <v>97.8</v>
      </c>
      <c r="F1438">
        <v>58</v>
      </c>
      <c r="G1438">
        <v>5672.4</v>
      </c>
      <c r="H1438" t="s">
        <v>12</v>
      </c>
      <c r="I1438" t="str">
        <f t="shared" si="67"/>
        <v>High Value</v>
      </c>
      <c r="J1438" t="str">
        <f t="shared" si="68"/>
        <v>Low Risk</v>
      </c>
      <c r="K1438" s="3" t="str">
        <f t="shared" si="66"/>
        <v>4+ Years</v>
      </c>
    </row>
    <row r="1439" spans="1:11" x14ac:dyDescent="0.3">
      <c r="A1439" t="s">
        <v>1456</v>
      </c>
      <c r="B1439" t="s">
        <v>9</v>
      </c>
      <c r="C1439" t="s">
        <v>15</v>
      </c>
      <c r="D1439" t="s">
        <v>11</v>
      </c>
      <c r="E1439">
        <v>100.3</v>
      </c>
      <c r="F1439">
        <v>52</v>
      </c>
      <c r="G1439">
        <v>5215.5999999999904</v>
      </c>
      <c r="H1439" t="s">
        <v>12</v>
      </c>
      <c r="I1439" t="str">
        <f t="shared" si="67"/>
        <v>High Value</v>
      </c>
      <c r="J1439" t="str">
        <f t="shared" si="68"/>
        <v>Low Risk</v>
      </c>
      <c r="K1439" s="3" t="str">
        <f t="shared" si="66"/>
        <v>4+ Years</v>
      </c>
    </row>
    <row r="1440" spans="1:11" x14ac:dyDescent="0.3">
      <c r="A1440" t="s">
        <v>1457</v>
      </c>
      <c r="B1440" t="s">
        <v>14</v>
      </c>
      <c r="C1440" t="s">
        <v>10</v>
      </c>
      <c r="D1440" t="s">
        <v>16</v>
      </c>
      <c r="E1440">
        <v>55.8</v>
      </c>
      <c r="F1440">
        <v>3</v>
      </c>
      <c r="G1440">
        <v>167.39999999999901</v>
      </c>
      <c r="H1440" t="s">
        <v>12</v>
      </c>
      <c r="I1440" t="str">
        <f t="shared" si="67"/>
        <v>Low Value</v>
      </c>
      <c r="J1440" t="str">
        <f t="shared" si="68"/>
        <v>High Risk</v>
      </c>
      <c r="K1440" s="3" t="str">
        <f t="shared" si="66"/>
        <v>0-1 Year</v>
      </c>
    </row>
    <row r="1441" spans="1:11" x14ac:dyDescent="0.3">
      <c r="A1441" t="s">
        <v>1458</v>
      </c>
      <c r="B1441" t="s">
        <v>14</v>
      </c>
      <c r="C1441" t="s">
        <v>30</v>
      </c>
      <c r="D1441" t="s">
        <v>11</v>
      </c>
      <c r="E1441">
        <v>111.15</v>
      </c>
      <c r="F1441">
        <v>41</v>
      </c>
      <c r="G1441">
        <v>4557.1499999999996</v>
      </c>
      <c r="H1441" t="s">
        <v>12</v>
      </c>
      <c r="I1441" t="str">
        <f t="shared" si="67"/>
        <v>Medium Value</v>
      </c>
      <c r="J1441" t="str">
        <f t="shared" si="68"/>
        <v>Low Risk</v>
      </c>
      <c r="K1441" s="3" t="str">
        <f t="shared" si="66"/>
        <v>2-4 Years</v>
      </c>
    </row>
    <row r="1442" spans="1:11" x14ac:dyDescent="0.3">
      <c r="A1442" t="s">
        <v>1459</v>
      </c>
      <c r="B1442" t="s">
        <v>14</v>
      </c>
      <c r="C1442" t="s">
        <v>10</v>
      </c>
      <c r="D1442" t="s">
        <v>16</v>
      </c>
      <c r="E1442">
        <v>98.55</v>
      </c>
      <c r="F1442">
        <v>20</v>
      </c>
      <c r="G1442">
        <v>1971</v>
      </c>
      <c r="H1442" t="s">
        <v>12</v>
      </c>
      <c r="I1442" t="str">
        <f t="shared" si="67"/>
        <v>Low Value</v>
      </c>
      <c r="J1442" t="str">
        <f t="shared" si="68"/>
        <v>Medium Risk</v>
      </c>
      <c r="K1442" s="3" t="str">
        <f t="shared" si="66"/>
        <v>1-2 Years</v>
      </c>
    </row>
    <row r="1443" spans="1:11" x14ac:dyDescent="0.3">
      <c r="A1443" t="s">
        <v>1460</v>
      </c>
      <c r="B1443" t="s">
        <v>14</v>
      </c>
      <c r="C1443" t="s">
        <v>10</v>
      </c>
      <c r="D1443" t="s">
        <v>11</v>
      </c>
      <c r="E1443">
        <v>50.05</v>
      </c>
      <c r="F1443">
        <v>1</v>
      </c>
      <c r="G1443">
        <v>50.05</v>
      </c>
      <c r="H1443" t="s">
        <v>12</v>
      </c>
      <c r="I1443" t="str">
        <f t="shared" si="67"/>
        <v>Low Value</v>
      </c>
      <c r="J1443" t="str">
        <f t="shared" si="68"/>
        <v>High Risk</v>
      </c>
      <c r="K1443" s="3" t="str">
        <f t="shared" si="66"/>
        <v>0-1 Year</v>
      </c>
    </row>
    <row r="1444" spans="1:11" x14ac:dyDescent="0.3">
      <c r="A1444" t="s">
        <v>1461</v>
      </c>
      <c r="B1444" t="s">
        <v>14</v>
      </c>
      <c r="C1444" t="s">
        <v>10</v>
      </c>
      <c r="D1444" t="s">
        <v>24</v>
      </c>
      <c r="E1444">
        <v>80.8</v>
      </c>
      <c r="F1444">
        <v>4</v>
      </c>
      <c r="G1444">
        <v>323.2</v>
      </c>
      <c r="H1444" t="s">
        <v>18</v>
      </c>
      <c r="I1444" t="str">
        <f t="shared" si="67"/>
        <v>Low Value</v>
      </c>
      <c r="J1444" t="str">
        <f t="shared" si="68"/>
        <v>High Risk</v>
      </c>
      <c r="K1444" s="3" t="str">
        <f t="shared" si="66"/>
        <v>0-1 Year</v>
      </c>
    </row>
    <row r="1445" spans="1:11" x14ac:dyDescent="0.3">
      <c r="A1445" t="s">
        <v>1462</v>
      </c>
      <c r="B1445" t="s">
        <v>14</v>
      </c>
      <c r="C1445" t="s">
        <v>10</v>
      </c>
      <c r="D1445" t="s">
        <v>11</v>
      </c>
      <c r="E1445">
        <v>20.85</v>
      </c>
      <c r="F1445">
        <v>23</v>
      </c>
      <c r="G1445">
        <v>479.55</v>
      </c>
      <c r="H1445" t="s">
        <v>12</v>
      </c>
      <c r="I1445" t="str">
        <f t="shared" si="67"/>
        <v>Low Value</v>
      </c>
      <c r="J1445" t="str">
        <f t="shared" si="68"/>
        <v>Medium Risk</v>
      </c>
      <c r="K1445" s="3" t="str">
        <f t="shared" si="66"/>
        <v>1-2 Years</v>
      </c>
    </row>
    <row r="1446" spans="1:11" x14ac:dyDescent="0.3">
      <c r="A1446" t="s">
        <v>1463</v>
      </c>
      <c r="B1446" t="s">
        <v>9</v>
      </c>
      <c r="C1446" t="s">
        <v>10</v>
      </c>
      <c r="D1446" t="s">
        <v>20</v>
      </c>
      <c r="E1446">
        <v>19.5</v>
      </c>
      <c r="F1446">
        <v>6</v>
      </c>
      <c r="G1446">
        <v>117</v>
      </c>
      <c r="H1446" t="s">
        <v>12</v>
      </c>
      <c r="I1446" t="str">
        <f t="shared" si="67"/>
        <v>Low Value</v>
      </c>
      <c r="J1446" t="str">
        <f t="shared" si="68"/>
        <v>High Risk</v>
      </c>
      <c r="K1446" s="3" t="str">
        <f t="shared" si="66"/>
        <v>0-1 Year</v>
      </c>
    </row>
    <row r="1447" spans="1:11" x14ac:dyDescent="0.3">
      <c r="A1447" t="s">
        <v>1464</v>
      </c>
      <c r="B1447" t="s">
        <v>14</v>
      </c>
      <c r="C1447" t="s">
        <v>10</v>
      </c>
      <c r="D1447" t="s">
        <v>16</v>
      </c>
      <c r="E1447">
        <v>19.350000000000001</v>
      </c>
      <c r="F1447">
        <v>8</v>
      </c>
      <c r="G1447">
        <v>154.80000000000001</v>
      </c>
      <c r="H1447" t="s">
        <v>12</v>
      </c>
      <c r="I1447" t="str">
        <f t="shared" si="67"/>
        <v>Low Value</v>
      </c>
      <c r="J1447" t="str">
        <f t="shared" si="68"/>
        <v>High Risk</v>
      </c>
      <c r="K1447" s="3" t="str">
        <f t="shared" si="66"/>
        <v>0-1 Year</v>
      </c>
    </row>
    <row r="1448" spans="1:11" x14ac:dyDescent="0.3">
      <c r="A1448" t="s">
        <v>1465</v>
      </c>
      <c r="B1448" t="s">
        <v>14</v>
      </c>
      <c r="C1448" t="s">
        <v>10</v>
      </c>
      <c r="D1448" t="s">
        <v>16</v>
      </c>
      <c r="E1448">
        <v>69.5</v>
      </c>
      <c r="F1448">
        <v>18</v>
      </c>
      <c r="G1448">
        <v>1251</v>
      </c>
      <c r="H1448" t="s">
        <v>12</v>
      </c>
      <c r="I1448" t="str">
        <f t="shared" si="67"/>
        <v>Low Value</v>
      </c>
      <c r="J1448" t="str">
        <f t="shared" si="68"/>
        <v>Medium Risk</v>
      </c>
      <c r="K1448" s="3" t="str">
        <f t="shared" si="66"/>
        <v>1-2 Years</v>
      </c>
    </row>
    <row r="1449" spans="1:11" x14ac:dyDescent="0.3">
      <c r="A1449" t="s">
        <v>1466</v>
      </c>
      <c r="B1449" t="s">
        <v>14</v>
      </c>
      <c r="C1449" t="s">
        <v>10</v>
      </c>
      <c r="D1449" t="s">
        <v>24</v>
      </c>
      <c r="E1449">
        <v>48.8</v>
      </c>
      <c r="F1449">
        <v>52</v>
      </c>
      <c r="G1449">
        <v>2537.6</v>
      </c>
      <c r="H1449" t="s">
        <v>12</v>
      </c>
      <c r="I1449" t="str">
        <f t="shared" si="67"/>
        <v>Medium Value</v>
      </c>
      <c r="J1449" t="str">
        <f t="shared" si="68"/>
        <v>Low Risk</v>
      </c>
      <c r="K1449" s="3" t="str">
        <f t="shared" si="66"/>
        <v>4+ Years</v>
      </c>
    </row>
    <row r="1450" spans="1:11" x14ac:dyDescent="0.3">
      <c r="A1450" t="s">
        <v>1467</v>
      </c>
      <c r="B1450" t="s">
        <v>14</v>
      </c>
      <c r="C1450" t="s">
        <v>10</v>
      </c>
      <c r="D1450" t="s">
        <v>11</v>
      </c>
      <c r="E1450">
        <v>94.5</v>
      </c>
      <c r="F1450">
        <v>31</v>
      </c>
      <c r="G1450">
        <v>2929.5</v>
      </c>
      <c r="H1450" t="s">
        <v>12</v>
      </c>
      <c r="I1450" t="str">
        <f t="shared" si="67"/>
        <v>Medium Value</v>
      </c>
      <c r="J1450" t="str">
        <f t="shared" si="68"/>
        <v>Low Risk</v>
      </c>
      <c r="K1450" s="3" t="str">
        <f t="shared" si="66"/>
        <v>2-4 Years</v>
      </c>
    </row>
    <row r="1451" spans="1:11" x14ac:dyDescent="0.3">
      <c r="A1451" t="s">
        <v>1468</v>
      </c>
      <c r="B1451" t="s">
        <v>14</v>
      </c>
      <c r="C1451" t="s">
        <v>10</v>
      </c>
      <c r="D1451" t="s">
        <v>16</v>
      </c>
      <c r="E1451">
        <v>20.65</v>
      </c>
      <c r="F1451">
        <v>29</v>
      </c>
      <c r="G1451">
        <v>598.849999999999</v>
      </c>
      <c r="H1451" t="s">
        <v>12</v>
      </c>
      <c r="I1451" t="str">
        <f t="shared" si="67"/>
        <v>Low Value</v>
      </c>
      <c r="J1451" t="str">
        <f t="shared" si="68"/>
        <v>Low Risk</v>
      </c>
      <c r="K1451" s="3" t="str">
        <f t="shared" si="66"/>
        <v>2-4 Years</v>
      </c>
    </row>
    <row r="1452" spans="1:11" x14ac:dyDescent="0.3">
      <c r="A1452" t="s">
        <v>1469</v>
      </c>
      <c r="B1452" t="s">
        <v>9</v>
      </c>
      <c r="C1452" t="s">
        <v>30</v>
      </c>
      <c r="D1452" t="s">
        <v>24</v>
      </c>
      <c r="E1452">
        <v>106.05</v>
      </c>
      <c r="F1452">
        <v>36</v>
      </c>
      <c r="G1452">
        <v>3817.7999999999902</v>
      </c>
      <c r="H1452" t="s">
        <v>12</v>
      </c>
      <c r="I1452" t="str">
        <f t="shared" si="67"/>
        <v>Medium Value</v>
      </c>
      <c r="J1452" t="str">
        <f t="shared" si="68"/>
        <v>Low Risk</v>
      </c>
      <c r="K1452" s="3" t="str">
        <f t="shared" si="66"/>
        <v>2-4 Years</v>
      </c>
    </row>
    <row r="1453" spans="1:11" x14ac:dyDescent="0.3">
      <c r="A1453" t="s">
        <v>1470</v>
      </c>
      <c r="B1453" t="s">
        <v>9</v>
      </c>
      <c r="C1453" t="s">
        <v>10</v>
      </c>
      <c r="D1453" t="s">
        <v>11</v>
      </c>
      <c r="E1453">
        <v>100</v>
      </c>
      <c r="F1453">
        <v>16</v>
      </c>
      <c r="G1453">
        <v>1600</v>
      </c>
      <c r="H1453" t="s">
        <v>18</v>
      </c>
      <c r="I1453" t="str">
        <f t="shared" si="67"/>
        <v>Low Value</v>
      </c>
      <c r="J1453" t="str">
        <f t="shared" si="68"/>
        <v>Medium Risk</v>
      </c>
      <c r="K1453" s="3" t="str">
        <f t="shared" si="66"/>
        <v>1-2 Years</v>
      </c>
    </row>
    <row r="1454" spans="1:11" x14ac:dyDescent="0.3">
      <c r="A1454" t="s">
        <v>1471</v>
      </c>
      <c r="B1454" t="s">
        <v>14</v>
      </c>
      <c r="C1454" t="s">
        <v>15</v>
      </c>
      <c r="D1454" t="s">
        <v>11</v>
      </c>
      <c r="E1454">
        <v>108.3</v>
      </c>
      <c r="F1454">
        <v>42</v>
      </c>
      <c r="G1454">
        <v>4548.5999999999904</v>
      </c>
      <c r="H1454" t="s">
        <v>12</v>
      </c>
      <c r="I1454" t="str">
        <f t="shared" si="67"/>
        <v>Medium Value</v>
      </c>
      <c r="J1454" t="str">
        <f t="shared" si="68"/>
        <v>Low Risk</v>
      </c>
      <c r="K1454" s="3" t="str">
        <f t="shared" si="66"/>
        <v>2-4 Years</v>
      </c>
    </row>
    <row r="1455" spans="1:11" x14ac:dyDescent="0.3">
      <c r="A1455" t="s">
        <v>1472</v>
      </c>
      <c r="B1455" t="s">
        <v>14</v>
      </c>
      <c r="C1455" t="s">
        <v>10</v>
      </c>
      <c r="D1455" t="s">
        <v>11</v>
      </c>
      <c r="E1455">
        <v>20.55</v>
      </c>
      <c r="F1455">
        <v>1</v>
      </c>
      <c r="G1455">
        <v>20.55</v>
      </c>
      <c r="H1455" t="s">
        <v>18</v>
      </c>
      <c r="I1455" t="str">
        <f t="shared" si="67"/>
        <v>Low Value</v>
      </c>
      <c r="J1455" t="str">
        <f t="shared" si="68"/>
        <v>High Risk</v>
      </c>
      <c r="K1455" s="3" t="str">
        <f t="shared" si="66"/>
        <v>0-1 Year</v>
      </c>
    </row>
    <row r="1456" spans="1:11" x14ac:dyDescent="0.3">
      <c r="A1456" t="s">
        <v>1473</v>
      </c>
      <c r="B1456" t="s">
        <v>9</v>
      </c>
      <c r="C1456" t="s">
        <v>30</v>
      </c>
      <c r="D1456" t="s">
        <v>11</v>
      </c>
      <c r="E1456">
        <v>99.65</v>
      </c>
      <c r="F1456">
        <v>60</v>
      </c>
      <c r="G1456">
        <v>5979</v>
      </c>
      <c r="H1456" t="s">
        <v>12</v>
      </c>
      <c r="I1456" t="str">
        <f t="shared" si="67"/>
        <v>High Value</v>
      </c>
      <c r="J1456" t="str">
        <f t="shared" si="68"/>
        <v>Low Risk</v>
      </c>
      <c r="K1456" s="3" t="str">
        <f t="shared" si="66"/>
        <v>4+ Years</v>
      </c>
    </row>
    <row r="1457" spans="1:11" x14ac:dyDescent="0.3">
      <c r="A1457" t="s">
        <v>1474</v>
      </c>
      <c r="B1457" t="s">
        <v>14</v>
      </c>
      <c r="C1457" t="s">
        <v>10</v>
      </c>
      <c r="D1457" t="s">
        <v>11</v>
      </c>
      <c r="E1457">
        <v>85.3</v>
      </c>
      <c r="F1457">
        <v>5</v>
      </c>
      <c r="G1457">
        <v>426.5</v>
      </c>
      <c r="H1457" t="s">
        <v>18</v>
      </c>
      <c r="I1457" t="str">
        <f t="shared" si="67"/>
        <v>Low Value</v>
      </c>
      <c r="J1457" t="str">
        <f t="shared" si="68"/>
        <v>High Risk</v>
      </c>
      <c r="K1457" s="3" t="str">
        <f t="shared" si="66"/>
        <v>0-1 Year</v>
      </c>
    </row>
    <row r="1458" spans="1:11" x14ac:dyDescent="0.3">
      <c r="A1458" t="s">
        <v>1475</v>
      </c>
      <c r="B1458" t="s">
        <v>14</v>
      </c>
      <c r="C1458" t="s">
        <v>10</v>
      </c>
      <c r="D1458" t="s">
        <v>24</v>
      </c>
      <c r="E1458">
        <v>95.9</v>
      </c>
      <c r="F1458">
        <v>22</v>
      </c>
      <c r="G1458">
        <v>2109.8000000000002</v>
      </c>
      <c r="H1458" t="s">
        <v>12</v>
      </c>
      <c r="I1458" t="str">
        <f t="shared" si="67"/>
        <v>Medium Value</v>
      </c>
      <c r="J1458" t="str">
        <f t="shared" si="68"/>
        <v>Medium Risk</v>
      </c>
      <c r="K1458" s="3" t="str">
        <f t="shared" si="66"/>
        <v>1-2 Years</v>
      </c>
    </row>
    <row r="1459" spans="1:11" x14ac:dyDescent="0.3">
      <c r="A1459" t="s">
        <v>1476</v>
      </c>
      <c r="B1459" t="s">
        <v>14</v>
      </c>
      <c r="C1459" t="s">
        <v>15</v>
      </c>
      <c r="D1459" t="s">
        <v>16</v>
      </c>
      <c r="E1459">
        <v>20</v>
      </c>
      <c r="F1459">
        <v>36</v>
      </c>
      <c r="G1459">
        <v>720</v>
      </c>
      <c r="H1459" t="s">
        <v>12</v>
      </c>
      <c r="I1459" t="str">
        <f t="shared" si="67"/>
        <v>Low Value</v>
      </c>
      <c r="J1459" t="str">
        <f t="shared" si="68"/>
        <v>Low Risk</v>
      </c>
      <c r="K1459" s="3" t="str">
        <f t="shared" si="66"/>
        <v>2-4 Years</v>
      </c>
    </row>
    <row r="1460" spans="1:11" x14ac:dyDescent="0.3">
      <c r="A1460" t="s">
        <v>1477</v>
      </c>
      <c r="B1460" t="s">
        <v>9</v>
      </c>
      <c r="C1460" t="s">
        <v>10</v>
      </c>
      <c r="D1460" t="s">
        <v>11</v>
      </c>
      <c r="E1460">
        <v>70.400000000000006</v>
      </c>
      <c r="F1460">
        <v>4</v>
      </c>
      <c r="G1460">
        <v>281.60000000000002</v>
      </c>
      <c r="H1460" t="s">
        <v>18</v>
      </c>
      <c r="I1460" t="str">
        <f t="shared" si="67"/>
        <v>Low Value</v>
      </c>
      <c r="J1460" t="str">
        <f t="shared" si="68"/>
        <v>High Risk</v>
      </c>
      <c r="K1460" s="3" t="str">
        <f t="shared" si="66"/>
        <v>0-1 Year</v>
      </c>
    </row>
    <row r="1461" spans="1:11" x14ac:dyDescent="0.3">
      <c r="A1461" t="s">
        <v>1478</v>
      </c>
      <c r="B1461" t="s">
        <v>14</v>
      </c>
      <c r="C1461" t="s">
        <v>10</v>
      </c>
      <c r="D1461" t="s">
        <v>16</v>
      </c>
      <c r="E1461">
        <v>64.95</v>
      </c>
      <c r="F1461">
        <v>9</v>
      </c>
      <c r="G1461">
        <v>584.54999999999995</v>
      </c>
      <c r="H1461" t="s">
        <v>12</v>
      </c>
      <c r="I1461" t="str">
        <f t="shared" si="67"/>
        <v>Low Value</v>
      </c>
      <c r="J1461" t="str">
        <f t="shared" si="68"/>
        <v>High Risk</v>
      </c>
      <c r="K1461" s="3" t="str">
        <f t="shared" si="66"/>
        <v>0-1 Year</v>
      </c>
    </row>
    <row r="1462" spans="1:11" x14ac:dyDescent="0.3">
      <c r="A1462" t="s">
        <v>1479</v>
      </c>
      <c r="B1462" t="s">
        <v>14</v>
      </c>
      <c r="C1462" t="s">
        <v>10</v>
      </c>
      <c r="D1462" t="s">
        <v>24</v>
      </c>
      <c r="E1462">
        <v>74.599999999999994</v>
      </c>
      <c r="F1462">
        <v>1</v>
      </c>
      <c r="G1462">
        <v>74.599999999999994</v>
      </c>
      <c r="H1462" t="s">
        <v>12</v>
      </c>
      <c r="I1462" t="str">
        <f t="shared" si="67"/>
        <v>Low Value</v>
      </c>
      <c r="J1462" t="str">
        <f t="shared" si="68"/>
        <v>High Risk</v>
      </c>
      <c r="K1462" s="3" t="str">
        <f t="shared" si="66"/>
        <v>0-1 Year</v>
      </c>
    </row>
    <row r="1463" spans="1:11" x14ac:dyDescent="0.3">
      <c r="A1463" t="s">
        <v>1480</v>
      </c>
      <c r="B1463" t="s">
        <v>14</v>
      </c>
      <c r="C1463" t="s">
        <v>10</v>
      </c>
      <c r="D1463" t="s">
        <v>11</v>
      </c>
      <c r="E1463">
        <v>49.2</v>
      </c>
      <c r="F1463">
        <v>12</v>
      </c>
      <c r="G1463">
        <v>590.4</v>
      </c>
      <c r="H1463" t="s">
        <v>12</v>
      </c>
      <c r="I1463" t="str">
        <f t="shared" si="67"/>
        <v>Low Value</v>
      </c>
      <c r="J1463" t="str">
        <f t="shared" si="68"/>
        <v>Medium Risk</v>
      </c>
      <c r="K1463" s="3" t="str">
        <f t="shared" si="66"/>
        <v>0-1 Year</v>
      </c>
    </row>
    <row r="1464" spans="1:11" x14ac:dyDescent="0.3">
      <c r="A1464" t="s">
        <v>1481</v>
      </c>
      <c r="B1464" t="s">
        <v>9</v>
      </c>
      <c r="C1464" t="s">
        <v>15</v>
      </c>
      <c r="D1464" t="s">
        <v>16</v>
      </c>
      <c r="E1464">
        <v>73.75</v>
      </c>
      <c r="F1464">
        <v>23</v>
      </c>
      <c r="G1464">
        <v>1696.25</v>
      </c>
      <c r="H1464" t="s">
        <v>12</v>
      </c>
      <c r="I1464" t="str">
        <f t="shared" si="67"/>
        <v>Low Value</v>
      </c>
      <c r="J1464" t="str">
        <f t="shared" si="68"/>
        <v>Medium Risk</v>
      </c>
      <c r="K1464" s="3" t="str">
        <f t="shared" si="66"/>
        <v>1-2 Years</v>
      </c>
    </row>
    <row r="1465" spans="1:11" x14ac:dyDescent="0.3">
      <c r="A1465" t="s">
        <v>1482</v>
      </c>
      <c r="B1465" t="s">
        <v>14</v>
      </c>
      <c r="C1465" t="s">
        <v>15</v>
      </c>
      <c r="D1465" t="s">
        <v>20</v>
      </c>
      <c r="E1465">
        <v>92.3</v>
      </c>
      <c r="F1465">
        <v>62</v>
      </c>
      <c r="G1465">
        <v>5722.5999999999904</v>
      </c>
      <c r="H1465" t="s">
        <v>12</v>
      </c>
      <c r="I1465" t="str">
        <f t="shared" si="67"/>
        <v>High Value</v>
      </c>
      <c r="J1465" t="str">
        <f t="shared" si="68"/>
        <v>Low Risk</v>
      </c>
      <c r="K1465" s="3" t="str">
        <f t="shared" si="66"/>
        <v>4+ Years</v>
      </c>
    </row>
    <row r="1466" spans="1:11" x14ac:dyDescent="0.3">
      <c r="A1466" t="s">
        <v>1483</v>
      </c>
      <c r="B1466" t="s">
        <v>14</v>
      </c>
      <c r="C1466" t="s">
        <v>10</v>
      </c>
      <c r="D1466" t="s">
        <v>20</v>
      </c>
      <c r="E1466">
        <v>98.8</v>
      </c>
      <c r="F1466">
        <v>37</v>
      </c>
      <c r="G1466">
        <v>3655.6</v>
      </c>
      <c r="H1466" t="s">
        <v>18</v>
      </c>
      <c r="I1466" t="str">
        <f t="shared" si="67"/>
        <v>Medium Value</v>
      </c>
      <c r="J1466" t="str">
        <f t="shared" si="68"/>
        <v>Low Risk</v>
      </c>
      <c r="K1466" s="3" t="str">
        <f t="shared" si="66"/>
        <v>2-4 Years</v>
      </c>
    </row>
    <row r="1467" spans="1:11" x14ac:dyDescent="0.3">
      <c r="A1467" t="s">
        <v>1484</v>
      </c>
      <c r="B1467" t="s">
        <v>9</v>
      </c>
      <c r="C1467" t="s">
        <v>10</v>
      </c>
      <c r="D1467" t="s">
        <v>16</v>
      </c>
      <c r="E1467">
        <v>19.2</v>
      </c>
      <c r="F1467">
        <v>8</v>
      </c>
      <c r="G1467">
        <v>153.6</v>
      </c>
      <c r="H1467" t="s">
        <v>12</v>
      </c>
      <c r="I1467" t="str">
        <f t="shared" si="67"/>
        <v>Low Value</v>
      </c>
      <c r="J1467" t="str">
        <f t="shared" si="68"/>
        <v>High Risk</v>
      </c>
      <c r="K1467" s="3" t="str">
        <f t="shared" si="66"/>
        <v>0-1 Year</v>
      </c>
    </row>
    <row r="1468" spans="1:11" x14ac:dyDescent="0.3">
      <c r="A1468" t="s">
        <v>1485</v>
      </c>
      <c r="B1468" t="s">
        <v>14</v>
      </c>
      <c r="C1468" t="s">
        <v>10</v>
      </c>
      <c r="D1468" t="s">
        <v>24</v>
      </c>
      <c r="E1468">
        <v>88.65</v>
      </c>
      <c r="F1468">
        <v>31</v>
      </c>
      <c r="G1468">
        <v>2748.15</v>
      </c>
      <c r="H1468" t="s">
        <v>12</v>
      </c>
      <c r="I1468" t="str">
        <f t="shared" si="67"/>
        <v>Medium Value</v>
      </c>
      <c r="J1468" t="str">
        <f t="shared" si="68"/>
        <v>Low Risk</v>
      </c>
      <c r="K1468" s="3" t="str">
        <f t="shared" si="66"/>
        <v>2-4 Years</v>
      </c>
    </row>
    <row r="1469" spans="1:11" x14ac:dyDescent="0.3">
      <c r="A1469" t="s">
        <v>1486</v>
      </c>
      <c r="B1469" t="s">
        <v>14</v>
      </c>
      <c r="C1469" t="s">
        <v>10</v>
      </c>
      <c r="D1469" t="s">
        <v>24</v>
      </c>
      <c r="E1469">
        <v>74.400000000000006</v>
      </c>
      <c r="F1469">
        <v>13</v>
      </c>
      <c r="G1469">
        <v>967.2</v>
      </c>
      <c r="H1469" t="s">
        <v>18</v>
      </c>
      <c r="I1469" t="str">
        <f t="shared" si="67"/>
        <v>Low Value</v>
      </c>
      <c r="J1469" t="str">
        <f t="shared" si="68"/>
        <v>Medium Risk</v>
      </c>
      <c r="K1469" s="3" t="str">
        <f t="shared" si="66"/>
        <v>1-2 Years</v>
      </c>
    </row>
    <row r="1470" spans="1:11" x14ac:dyDescent="0.3">
      <c r="A1470" t="s">
        <v>1487</v>
      </c>
      <c r="B1470" t="s">
        <v>9</v>
      </c>
      <c r="C1470" t="s">
        <v>10</v>
      </c>
      <c r="D1470" t="s">
        <v>11</v>
      </c>
      <c r="E1470">
        <v>98.75</v>
      </c>
      <c r="F1470">
        <v>24</v>
      </c>
      <c r="G1470">
        <v>2370</v>
      </c>
      <c r="H1470" t="s">
        <v>18</v>
      </c>
      <c r="I1470" t="str">
        <f t="shared" si="67"/>
        <v>Medium Value</v>
      </c>
      <c r="J1470" t="str">
        <f t="shared" si="68"/>
        <v>Low Risk</v>
      </c>
      <c r="K1470" s="3" t="str">
        <f t="shared" si="66"/>
        <v>1-2 Years</v>
      </c>
    </row>
    <row r="1471" spans="1:11" x14ac:dyDescent="0.3">
      <c r="A1471" t="s">
        <v>1488</v>
      </c>
      <c r="B1471" t="s">
        <v>14</v>
      </c>
      <c r="C1471" t="s">
        <v>10</v>
      </c>
      <c r="D1471" t="s">
        <v>20</v>
      </c>
      <c r="E1471">
        <v>95.95</v>
      </c>
      <c r="F1471">
        <v>45</v>
      </c>
      <c r="G1471">
        <v>4317.75</v>
      </c>
      <c r="H1471" t="s">
        <v>12</v>
      </c>
      <c r="I1471" t="str">
        <f t="shared" si="67"/>
        <v>Medium Value</v>
      </c>
      <c r="J1471" t="str">
        <f t="shared" si="68"/>
        <v>Low Risk</v>
      </c>
      <c r="K1471" s="3" t="str">
        <f t="shared" si="66"/>
        <v>2-4 Years</v>
      </c>
    </row>
    <row r="1472" spans="1:11" x14ac:dyDescent="0.3">
      <c r="A1472" t="s">
        <v>1489</v>
      </c>
      <c r="B1472" t="s">
        <v>9</v>
      </c>
      <c r="C1472" t="s">
        <v>30</v>
      </c>
      <c r="D1472" t="s">
        <v>24</v>
      </c>
      <c r="E1472">
        <v>105.4</v>
      </c>
      <c r="F1472">
        <v>69</v>
      </c>
      <c r="G1472">
        <v>7272.6</v>
      </c>
      <c r="H1472" t="s">
        <v>12</v>
      </c>
      <c r="I1472" t="str">
        <f t="shared" si="67"/>
        <v>High Value</v>
      </c>
      <c r="J1472" t="str">
        <f t="shared" si="68"/>
        <v>Low Risk</v>
      </c>
      <c r="K1472" s="3" t="str">
        <f t="shared" si="66"/>
        <v>4+ Years</v>
      </c>
    </row>
    <row r="1473" spans="1:11" x14ac:dyDescent="0.3">
      <c r="A1473" t="s">
        <v>1490</v>
      </c>
      <c r="B1473" t="s">
        <v>14</v>
      </c>
      <c r="C1473" t="s">
        <v>10</v>
      </c>
      <c r="D1473" t="s">
        <v>16</v>
      </c>
      <c r="E1473">
        <v>20.25</v>
      </c>
      <c r="F1473">
        <v>2</v>
      </c>
      <c r="G1473">
        <v>40.5</v>
      </c>
      <c r="H1473" t="s">
        <v>12</v>
      </c>
      <c r="I1473" t="str">
        <f t="shared" si="67"/>
        <v>Low Value</v>
      </c>
      <c r="J1473" t="str">
        <f t="shared" si="68"/>
        <v>High Risk</v>
      </c>
      <c r="K1473" s="3" t="str">
        <f t="shared" si="66"/>
        <v>0-1 Year</v>
      </c>
    </row>
    <row r="1474" spans="1:11" x14ac:dyDescent="0.3">
      <c r="A1474" t="s">
        <v>1491</v>
      </c>
      <c r="B1474" t="s">
        <v>14</v>
      </c>
      <c r="C1474" t="s">
        <v>15</v>
      </c>
      <c r="D1474" t="s">
        <v>11</v>
      </c>
      <c r="E1474">
        <v>106</v>
      </c>
      <c r="F1474">
        <v>61</v>
      </c>
      <c r="G1474">
        <v>6466</v>
      </c>
      <c r="H1474" t="s">
        <v>18</v>
      </c>
      <c r="I1474" t="str">
        <f t="shared" si="67"/>
        <v>High Value</v>
      </c>
      <c r="J1474" t="str">
        <f t="shared" si="68"/>
        <v>Low Risk</v>
      </c>
      <c r="K1474" s="3" t="str">
        <f t="shared" si="66"/>
        <v>4+ Years</v>
      </c>
    </row>
    <row r="1475" spans="1:11" x14ac:dyDescent="0.3">
      <c r="A1475" t="s">
        <v>1492</v>
      </c>
      <c r="B1475" t="s">
        <v>14</v>
      </c>
      <c r="C1475" t="s">
        <v>10</v>
      </c>
      <c r="D1475" t="s">
        <v>11</v>
      </c>
      <c r="E1475">
        <v>104.7</v>
      </c>
      <c r="F1475">
        <v>41</v>
      </c>
      <c r="G1475">
        <v>4292.7</v>
      </c>
      <c r="H1475" t="s">
        <v>18</v>
      </c>
      <c r="I1475" t="str">
        <f t="shared" si="67"/>
        <v>Medium Value</v>
      </c>
      <c r="J1475" t="str">
        <f t="shared" si="68"/>
        <v>Low Risk</v>
      </c>
      <c r="K1475" s="3" t="str">
        <f t="shared" ref="K1475:K1538" si="69">IF(F1475&lt;=12,"0-1 Year",
IF(F1475&lt;=24,"1-2 Years",
IF(F1475&lt;=48,"2-4 Years","4+ Years")))</f>
        <v>2-4 Years</v>
      </c>
    </row>
    <row r="1476" spans="1:11" x14ac:dyDescent="0.3">
      <c r="A1476" t="s">
        <v>1493</v>
      </c>
      <c r="B1476" t="s">
        <v>9</v>
      </c>
      <c r="C1476" t="s">
        <v>15</v>
      </c>
      <c r="D1476" t="s">
        <v>11</v>
      </c>
      <c r="E1476">
        <v>49.05</v>
      </c>
      <c r="F1476">
        <v>44</v>
      </c>
      <c r="G1476">
        <v>2158.1999999999998</v>
      </c>
      <c r="H1476" t="s">
        <v>12</v>
      </c>
      <c r="I1476" t="str">
        <f t="shared" ref="I1476:I1539" si="70">IF(G1476&gt;5000,"High Value",
IF(G1476&gt;2000,"Medium Value","Low Value"))</f>
        <v>Medium Value</v>
      </c>
      <c r="J1476" t="str">
        <f t="shared" ref="J1476:J1539" si="71">IF(F1476&lt;12,"High Risk",
IF(F1476&lt;24,"Medium Risk","Low Risk"))</f>
        <v>Low Risk</v>
      </c>
      <c r="K1476" s="3" t="str">
        <f t="shared" si="69"/>
        <v>2-4 Years</v>
      </c>
    </row>
    <row r="1477" spans="1:11" x14ac:dyDescent="0.3">
      <c r="A1477" t="s">
        <v>1494</v>
      </c>
      <c r="B1477" t="s">
        <v>14</v>
      </c>
      <c r="C1477" t="s">
        <v>15</v>
      </c>
      <c r="D1477" t="s">
        <v>16</v>
      </c>
      <c r="E1477">
        <v>35.549999999999997</v>
      </c>
      <c r="F1477">
        <v>39</v>
      </c>
      <c r="G1477">
        <v>1386.44999999999</v>
      </c>
      <c r="H1477" t="s">
        <v>12</v>
      </c>
      <c r="I1477" t="str">
        <f t="shared" si="70"/>
        <v>Low Value</v>
      </c>
      <c r="J1477" t="str">
        <f t="shared" si="71"/>
        <v>Low Risk</v>
      </c>
      <c r="K1477" s="3" t="str">
        <f t="shared" si="69"/>
        <v>2-4 Years</v>
      </c>
    </row>
    <row r="1478" spans="1:11" x14ac:dyDescent="0.3">
      <c r="A1478" t="s">
        <v>1495</v>
      </c>
      <c r="B1478" t="s">
        <v>14</v>
      </c>
      <c r="C1478" t="s">
        <v>30</v>
      </c>
      <c r="D1478" t="s">
        <v>24</v>
      </c>
      <c r="E1478">
        <v>65.099999999999994</v>
      </c>
      <c r="F1478">
        <v>72</v>
      </c>
      <c r="G1478">
        <v>4687.2</v>
      </c>
      <c r="H1478" t="s">
        <v>12</v>
      </c>
      <c r="I1478" t="str">
        <f t="shared" si="70"/>
        <v>Medium Value</v>
      </c>
      <c r="J1478" t="str">
        <f t="shared" si="71"/>
        <v>Low Risk</v>
      </c>
      <c r="K1478" s="3" t="str">
        <f t="shared" si="69"/>
        <v>4+ Years</v>
      </c>
    </row>
    <row r="1479" spans="1:11" x14ac:dyDescent="0.3">
      <c r="A1479" t="s">
        <v>1496</v>
      </c>
      <c r="B1479" t="s">
        <v>9</v>
      </c>
      <c r="C1479" t="s">
        <v>10</v>
      </c>
      <c r="D1479" t="s">
        <v>11</v>
      </c>
      <c r="E1479">
        <v>96.85</v>
      </c>
      <c r="F1479">
        <v>13</v>
      </c>
      <c r="G1479">
        <v>1259.05</v>
      </c>
      <c r="H1479" t="s">
        <v>12</v>
      </c>
      <c r="I1479" t="str">
        <f t="shared" si="70"/>
        <v>Low Value</v>
      </c>
      <c r="J1479" t="str">
        <f t="shared" si="71"/>
        <v>Medium Risk</v>
      </c>
      <c r="K1479" s="3" t="str">
        <f t="shared" si="69"/>
        <v>1-2 Years</v>
      </c>
    </row>
    <row r="1480" spans="1:11" x14ac:dyDescent="0.3">
      <c r="A1480" t="s">
        <v>1497</v>
      </c>
      <c r="B1480" t="s">
        <v>9</v>
      </c>
      <c r="C1480" t="s">
        <v>15</v>
      </c>
      <c r="D1480" t="s">
        <v>24</v>
      </c>
      <c r="E1480">
        <v>69.75</v>
      </c>
      <c r="F1480">
        <v>51</v>
      </c>
      <c r="G1480">
        <v>3557.25</v>
      </c>
      <c r="H1480" t="s">
        <v>12</v>
      </c>
      <c r="I1480" t="str">
        <f t="shared" si="70"/>
        <v>Medium Value</v>
      </c>
      <c r="J1480" t="str">
        <f t="shared" si="71"/>
        <v>Low Risk</v>
      </c>
      <c r="K1480" s="3" t="str">
        <f t="shared" si="69"/>
        <v>4+ Years</v>
      </c>
    </row>
    <row r="1481" spans="1:11" x14ac:dyDescent="0.3">
      <c r="A1481" t="s">
        <v>1498</v>
      </c>
      <c r="B1481" t="s">
        <v>9</v>
      </c>
      <c r="C1481" t="s">
        <v>30</v>
      </c>
      <c r="D1481" t="s">
        <v>11</v>
      </c>
      <c r="E1481">
        <v>99.2</v>
      </c>
      <c r="F1481">
        <v>71</v>
      </c>
      <c r="G1481">
        <v>7043.2</v>
      </c>
      <c r="H1481" t="s">
        <v>12</v>
      </c>
      <c r="I1481" t="str">
        <f t="shared" si="70"/>
        <v>High Value</v>
      </c>
      <c r="J1481" t="str">
        <f t="shared" si="71"/>
        <v>Low Risk</v>
      </c>
      <c r="K1481" s="3" t="str">
        <f t="shared" si="69"/>
        <v>4+ Years</v>
      </c>
    </row>
    <row r="1482" spans="1:11" x14ac:dyDescent="0.3">
      <c r="A1482" t="s">
        <v>1499</v>
      </c>
      <c r="B1482" t="s">
        <v>14</v>
      </c>
      <c r="C1482" t="s">
        <v>10</v>
      </c>
      <c r="D1482" t="s">
        <v>11</v>
      </c>
      <c r="E1482">
        <v>96.7</v>
      </c>
      <c r="F1482">
        <v>22</v>
      </c>
      <c r="G1482">
        <v>2127.4</v>
      </c>
      <c r="H1482" t="s">
        <v>18</v>
      </c>
      <c r="I1482" t="str">
        <f t="shared" si="70"/>
        <v>Medium Value</v>
      </c>
      <c r="J1482" t="str">
        <f t="shared" si="71"/>
        <v>Medium Risk</v>
      </c>
      <c r="K1482" s="3" t="str">
        <f t="shared" si="69"/>
        <v>1-2 Years</v>
      </c>
    </row>
    <row r="1483" spans="1:11" x14ac:dyDescent="0.3">
      <c r="A1483" t="s">
        <v>1500</v>
      </c>
      <c r="B1483" t="s">
        <v>9</v>
      </c>
      <c r="C1483" t="s">
        <v>10</v>
      </c>
      <c r="D1483" t="s">
        <v>24</v>
      </c>
      <c r="E1483">
        <v>55.05</v>
      </c>
      <c r="F1483">
        <v>2</v>
      </c>
      <c r="G1483">
        <v>110.1</v>
      </c>
      <c r="H1483" t="s">
        <v>18</v>
      </c>
      <c r="I1483" t="str">
        <f t="shared" si="70"/>
        <v>Low Value</v>
      </c>
      <c r="J1483" t="str">
        <f t="shared" si="71"/>
        <v>High Risk</v>
      </c>
      <c r="K1483" s="3" t="str">
        <f t="shared" si="69"/>
        <v>0-1 Year</v>
      </c>
    </row>
    <row r="1484" spans="1:11" x14ac:dyDescent="0.3">
      <c r="A1484" t="s">
        <v>1501</v>
      </c>
      <c r="B1484" t="s">
        <v>9</v>
      </c>
      <c r="C1484" t="s">
        <v>15</v>
      </c>
      <c r="D1484" t="s">
        <v>11</v>
      </c>
      <c r="E1484">
        <v>106.8</v>
      </c>
      <c r="F1484">
        <v>56</v>
      </c>
      <c r="G1484">
        <v>5980.8</v>
      </c>
      <c r="H1484" t="s">
        <v>12</v>
      </c>
      <c r="I1484" t="str">
        <f t="shared" si="70"/>
        <v>High Value</v>
      </c>
      <c r="J1484" t="str">
        <f t="shared" si="71"/>
        <v>Low Risk</v>
      </c>
      <c r="K1484" s="3" t="str">
        <f t="shared" si="69"/>
        <v>4+ Years</v>
      </c>
    </row>
    <row r="1485" spans="1:11" x14ac:dyDescent="0.3">
      <c r="A1485" t="s">
        <v>1502</v>
      </c>
      <c r="B1485" t="s">
        <v>14</v>
      </c>
      <c r="C1485" t="s">
        <v>10</v>
      </c>
      <c r="D1485" t="s">
        <v>16</v>
      </c>
      <c r="E1485">
        <v>51.25</v>
      </c>
      <c r="F1485">
        <v>1</v>
      </c>
      <c r="G1485">
        <v>51.25</v>
      </c>
      <c r="H1485" t="s">
        <v>12</v>
      </c>
      <c r="I1485" t="str">
        <f t="shared" si="70"/>
        <v>Low Value</v>
      </c>
      <c r="J1485" t="str">
        <f t="shared" si="71"/>
        <v>High Risk</v>
      </c>
      <c r="K1485" s="3" t="str">
        <f t="shared" si="69"/>
        <v>0-1 Year</v>
      </c>
    </row>
    <row r="1486" spans="1:11" x14ac:dyDescent="0.3">
      <c r="A1486" t="s">
        <v>1503</v>
      </c>
      <c r="B1486" t="s">
        <v>9</v>
      </c>
      <c r="C1486" t="s">
        <v>15</v>
      </c>
      <c r="D1486" t="s">
        <v>16</v>
      </c>
      <c r="E1486">
        <v>57.75</v>
      </c>
      <c r="F1486">
        <v>23</v>
      </c>
      <c r="G1486">
        <v>1328.25</v>
      </c>
      <c r="H1486" t="s">
        <v>12</v>
      </c>
      <c r="I1486" t="str">
        <f t="shared" si="70"/>
        <v>Low Value</v>
      </c>
      <c r="J1486" t="str">
        <f t="shared" si="71"/>
        <v>Medium Risk</v>
      </c>
      <c r="K1486" s="3" t="str">
        <f t="shared" si="69"/>
        <v>1-2 Years</v>
      </c>
    </row>
    <row r="1487" spans="1:11" x14ac:dyDescent="0.3">
      <c r="A1487" t="s">
        <v>1504</v>
      </c>
      <c r="B1487" t="s">
        <v>9</v>
      </c>
      <c r="C1487" t="s">
        <v>15</v>
      </c>
      <c r="D1487" t="s">
        <v>20</v>
      </c>
      <c r="E1487">
        <v>70.849999999999994</v>
      </c>
      <c r="F1487">
        <v>66</v>
      </c>
      <c r="G1487">
        <v>4676.0999999999904</v>
      </c>
      <c r="H1487" t="s">
        <v>12</v>
      </c>
      <c r="I1487" t="str">
        <f t="shared" si="70"/>
        <v>Medium Value</v>
      </c>
      <c r="J1487" t="str">
        <f t="shared" si="71"/>
        <v>Low Risk</v>
      </c>
      <c r="K1487" s="3" t="str">
        <f t="shared" si="69"/>
        <v>4+ Years</v>
      </c>
    </row>
    <row r="1488" spans="1:11" x14ac:dyDescent="0.3">
      <c r="A1488" t="s">
        <v>1505</v>
      </c>
      <c r="B1488" t="s">
        <v>9</v>
      </c>
      <c r="C1488" t="s">
        <v>10</v>
      </c>
      <c r="D1488" t="s">
        <v>16</v>
      </c>
      <c r="E1488">
        <v>19.55</v>
      </c>
      <c r="F1488">
        <v>1</v>
      </c>
      <c r="G1488">
        <v>19.55</v>
      </c>
      <c r="H1488" t="s">
        <v>12</v>
      </c>
      <c r="I1488" t="str">
        <f t="shared" si="70"/>
        <v>Low Value</v>
      </c>
      <c r="J1488" t="str">
        <f t="shared" si="71"/>
        <v>High Risk</v>
      </c>
      <c r="K1488" s="3" t="str">
        <f t="shared" si="69"/>
        <v>0-1 Year</v>
      </c>
    </row>
    <row r="1489" spans="1:11" x14ac:dyDescent="0.3">
      <c r="A1489" t="s">
        <v>1506</v>
      </c>
      <c r="B1489" t="s">
        <v>14</v>
      </c>
      <c r="C1489" t="s">
        <v>10</v>
      </c>
      <c r="D1489" t="s">
        <v>11</v>
      </c>
      <c r="E1489">
        <v>88.2</v>
      </c>
      <c r="F1489">
        <v>19</v>
      </c>
      <c r="G1489">
        <v>1675.8</v>
      </c>
      <c r="H1489" t="s">
        <v>18</v>
      </c>
      <c r="I1489" t="str">
        <f t="shared" si="70"/>
        <v>Low Value</v>
      </c>
      <c r="J1489" t="str">
        <f t="shared" si="71"/>
        <v>Medium Risk</v>
      </c>
      <c r="K1489" s="3" t="str">
        <f t="shared" si="69"/>
        <v>1-2 Years</v>
      </c>
    </row>
    <row r="1490" spans="1:11" x14ac:dyDescent="0.3">
      <c r="A1490" t="s">
        <v>1507</v>
      </c>
      <c r="B1490" t="s">
        <v>14</v>
      </c>
      <c r="C1490" t="s">
        <v>10</v>
      </c>
      <c r="D1490" t="s">
        <v>20</v>
      </c>
      <c r="E1490">
        <v>79.5</v>
      </c>
      <c r="F1490">
        <v>11</v>
      </c>
      <c r="G1490">
        <v>874.5</v>
      </c>
      <c r="H1490" t="s">
        <v>12</v>
      </c>
      <c r="I1490" t="str">
        <f t="shared" si="70"/>
        <v>Low Value</v>
      </c>
      <c r="J1490" t="str">
        <f t="shared" si="71"/>
        <v>High Risk</v>
      </c>
      <c r="K1490" s="3" t="str">
        <f t="shared" si="69"/>
        <v>0-1 Year</v>
      </c>
    </row>
    <row r="1491" spans="1:11" x14ac:dyDescent="0.3">
      <c r="A1491" t="s">
        <v>1508</v>
      </c>
      <c r="B1491" t="s">
        <v>9</v>
      </c>
      <c r="C1491" t="s">
        <v>15</v>
      </c>
      <c r="D1491" t="s">
        <v>16</v>
      </c>
      <c r="E1491">
        <v>19.75</v>
      </c>
      <c r="F1491">
        <v>8</v>
      </c>
      <c r="G1491">
        <v>158</v>
      </c>
      <c r="H1491" t="s">
        <v>18</v>
      </c>
      <c r="I1491" t="str">
        <f t="shared" si="70"/>
        <v>Low Value</v>
      </c>
      <c r="J1491" t="str">
        <f t="shared" si="71"/>
        <v>High Risk</v>
      </c>
      <c r="K1491" s="3" t="str">
        <f t="shared" si="69"/>
        <v>0-1 Year</v>
      </c>
    </row>
    <row r="1492" spans="1:11" x14ac:dyDescent="0.3">
      <c r="A1492" t="s">
        <v>1509</v>
      </c>
      <c r="B1492" t="s">
        <v>9</v>
      </c>
      <c r="C1492" t="s">
        <v>10</v>
      </c>
      <c r="D1492" t="s">
        <v>20</v>
      </c>
      <c r="E1492">
        <v>98.15</v>
      </c>
      <c r="F1492">
        <v>52</v>
      </c>
      <c r="G1492">
        <v>5103.8</v>
      </c>
      <c r="H1492" t="s">
        <v>12</v>
      </c>
      <c r="I1492" t="str">
        <f t="shared" si="70"/>
        <v>High Value</v>
      </c>
      <c r="J1492" t="str">
        <f t="shared" si="71"/>
        <v>Low Risk</v>
      </c>
      <c r="K1492" s="3" t="str">
        <f t="shared" si="69"/>
        <v>4+ Years</v>
      </c>
    </row>
    <row r="1493" spans="1:11" x14ac:dyDescent="0.3">
      <c r="A1493" t="s">
        <v>1510</v>
      </c>
      <c r="B1493" t="s">
        <v>14</v>
      </c>
      <c r="C1493" t="s">
        <v>10</v>
      </c>
      <c r="D1493" t="s">
        <v>11</v>
      </c>
      <c r="E1493">
        <v>20.25</v>
      </c>
      <c r="F1493">
        <v>3</v>
      </c>
      <c r="G1493">
        <v>60.75</v>
      </c>
      <c r="H1493" t="s">
        <v>12</v>
      </c>
      <c r="I1493" t="str">
        <f t="shared" si="70"/>
        <v>Low Value</v>
      </c>
      <c r="J1493" t="str">
        <f t="shared" si="71"/>
        <v>High Risk</v>
      </c>
      <c r="K1493" s="3" t="str">
        <f t="shared" si="69"/>
        <v>0-1 Year</v>
      </c>
    </row>
    <row r="1494" spans="1:11" x14ac:dyDescent="0.3">
      <c r="A1494" t="s">
        <v>1511</v>
      </c>
      <c r="B1494" t="s">
        <v>9</v>
      </c>
      <c r="C1494" t="s">
        <v>10</v>
      </c>
      <c r="D1494" t="s">
        <v>20</v>
      </c>
      <c r="E1494">
        <v>79.150000000000006</v>
      </c>
      <c r="F1494">
        <v>51</v>
      </c>
      <c r="G1494">
        <v>4036.65</v>
      </c>
      <c r="H1494" t="s">
        <v>12</v>
      </c>
      <c r="I1494" t="str">
        <f t="shared" si="70"/>
        <v>Medium Value</v>
      </c>
      <c r="J1494" t="str">
        <f t="shared" si="71"/>
        <v>Low Risk</v>
      </c>
      <c r="K1494" s="3" t="str">
        <f t="shared" si="69"/>
        <v>4+ Years</v>
      </c>
    </row>
    <row r="1495" spans="1:11" x14ac:dyDescent="0.3">
      <c r="A1495" t="s">
        <v>1512</v>
      </c>
      <c r="B1495" t="s">
        <v>14</v>
      </c>
      <c r="C1495" t="s">
        <v>10</v>
      </c>
      <c r="D1495" t="s">
        <v>11</v>
      </c>
      <c r="E1495">
        <v>75.650000000000006</v>
      </c>
      <c r="F1495">
        <v>15</v>
      </c>
      <c r="G1495">
        <v>1134.75</v>
      </c>
      <c r="H1495" t="s">
        <v>18</v>
      </c>
      <c r="I1495" t="str">
        <f t="shared" si="70"/>
        <v>Low Value</v>
      </c>
      <c r="J1495" t="str">
        <f t="shared" si="71"/>
        <v>Medium Risk</v>
      </c>
      <c r="K1495" s="3" t="str">
        <f t="shared" si="69"/>
        <v>1-2 Years</v>
      </c>
    </row>
    <row r="1496" spans="1:11" x14ac:dyDescent="0.3">
      <c r="A1496" t="s">
        <v>1513</v>
      </c>
      <c r="B1496" t="s">
        <v>14</v>
      </c>
      <c r="C1496" t="s">
        <v>10</v>
      </c>
      <c r="D1496" t="s">
        <v>11</v>
      </c>
      <c r="E1496">
        <v>94.25</v>
      </c>
      <c r="F1496">
        <v>64</v>
      </c>
      <c r="G1496">
        <v>6032</v>
      </c>
      <c r="H1496" t="s">
        <v>12</v>
      </c>
      <c r="I1496" t="str">
        <f t="shared" si="70"/>
        <v>High Value</v>
      </c>
      <c r="J1496" t="str">
        <f t="shared" si="71"/>
        <v>Low Risk</v>
      </c>
      <c r="K1496" s="3" t="str">
        <f t="shared" si="69"/>
        <v>4+ Years</v>
      </c>
    </row>
    <row r="1497" spans="1:11" x14ac:dyDescent="0.3">
      <c r="A1497" t="s">
        <v>1514</v>
      </c>
      <c r="B1497" t="s">
        <v>9</v>
      </c>
      <c r="C1497" t="s">
        <v>10</v>
      </c>
      <c r="D1497" t="s">
        <v>24</v>
      </c>
      <c r="E1497">
        <v>40.200000000000003</v>
      </c>
      <c r="F1497">
        <v>37</v>
      </c>
      <c r="G1497">
        <v>1487.4</v>
      </c>
      <c r="H1497" t="s">
        <v>12</v>
      </c>
      <c r="I1497" t="str">
        <f t="shared" si="70"/>
        <v>Low Value</v>
      </c>
      <c r="J1497" t="str">
        <f t="shared" si="71"/>
        <v>Low Risk</v>
      </c>
      <c r="K1497" s="3" t="str">
        <f t="shared" si="69"/>
        <v>2-4 Years</v>
      </c>
    </row>
    <row r="1498" spans="1:11" x14ac:dyDescent="0.3">
      <c r="A1498" t="s">
        <v>1515</v>
      </c>
      <c r="B1498" t="s">
        <v>14</v>
      </c>
      <c r="C1498" t="s">
        <v>30</v>
      </c>
      <c r="D1498" t="s">
        <v>16</v>
      </c>
      <c r="E1498">
        <v>19.95</v>
      </c>
      <c r="F1498">
        <v>13</v>
      </c>
      <c r="G1498">
        <v>259.349999999999</v>
      </c>
      <c r="H1498" t="s">
        <v>12</v>
      </c>
      <c r="I1498" t="str">
        <f t="shared" si="70"/>
        <v>Low Value</v>
      </c>
      <c r="J1498" t="str">
        <f t="shared" si="71"/>
        <v>Medium Risk</v>
      </c>
      <c r="K1498" s="3" t="str">
        <f t="shared" si="69"/>
        <v>1-2 Years</v>
      </c>
    </row>
    <row r="1499" spans="1:11" x14ac:dyDescent="0.3">
      <c r="A1499" t="s">
        <v>1516</v>
      </c>
      <c r="B1499" t="s">
        <v>14</v>
      </c>
      <c r="C1499" t="s">
        <v>15</v>
      </c>
      <c r="D1499" t="s">
        <v>11</v>
      </c>
      <c r="E1499">
        <v>55.35</v>
      </c>
      <c r="F1499">
        <v>49</v>
      </c>
      <c r="G1499">
        <v>2712.15</v>
      </c>
      <c r="H1499" t="s">
        <v>12</v>
      </c>
      <c r="I1499" t="str">
        <f t="shared" si="70"/>
        <v>Medium Value</v>
      </c>
      <c r="J1499" t="str">
        <f t="shared" si="71"/>
        <v>Low Risk</v>
      </c>
      <c r="K1499" s="3" t="str">
        <f t="shared" si="69"/>
        <v>4+ Years</v>
      </c>
    </row>
    <row r="1500" spans="1:11" x14ac:dyDescent="0.3">
      <c r="A1500" t="s">
        <v>1517</v>
      </c>
      <c r="B1500" t="s">
        <v>9</v>
      </c>
      <c r="C1500" t="s">
        <v>15</v>
      </c>
      <c r="D1500" t="s">
        <v>20</v>
      </c>
      <c r="E1500">
        <v>102.15</v>
      </c>
      <c r="F1500">
        <v>45</v>
      </c>
      <c r="G1500">
        <v>4596.75</v>
      </c>
      <c r="H1500" t="s">
        <v>12</v>
      </c>
      <c r="I1500" t="str">
        <f t="shared" si="70"/>
        <v>Medium Value</v>
      </c>
      <c r="J1500" t="str">
        <f t="shared" si="71"/>
        <v>Low Risk</v>
      </c>
      <c r="K1500" s="3" t="str">
        <f t="shared" si="69"/>
        <v>2-4 Years</v>
      </c>
    </row>
    <row r="1501" spans="1:11" x14ac:dyDescent="0.3">
      <c r="A1501" t="s">
        <v>1518</v>
      </c>
      <c r="B1501" t="s">
        <v>9</v>
      </c>
      <c r="C1501" t="s">
        <v>10</v>
      </c>
      <c r="D1501" t="s">
        <v>11</v>
      </c>
      <c r="E1501">
        <v>71.099999999999994</v>
      </c>
      <c r="F1501">
        <v>18</v>
      </c>
      <c r="G1501">
        <v>1279.8</v>
      </c>
      <c r="H1501" t="s">
        <v>12</v>
      </c>
      <c r="I1501" t="str">
        <f t="shared" si="70"/>
        <v>Low Value</v>
      </c>
      <c r="J1501" t="str">
        <f t="shared" si="71"/>
        <v>Medium Risk</v>
      </c>
      <c r="K1501" s="3" t="str">
        <f t="shared" si="69"/>
        <v>1-2 Years</v>
      </c>
    </row>
    <row r="1502" spans="1:11" x14ac:dyDescent="0.3">
      <c r="A1502" t="s">
        <v>1519</v>
      </c>
      <c r="B1502" t="s">
        <v>14</v>
      </c>
      <c r="C1502" t="s">
        <v>10</v>
      </c>
      <c r="D1502" t="s">
        <v>11</v>
      </c>
      <c r="E1502">
        <v>74.7</v>
      </c>
      <c r="F1502">
        <v>1</v>
      </c>
      <c r="G1502">
        <v>74.7</v>
      </c>
      <c r="H1502" t="s">
        <v>18</v>
      </c>
      <c r="I1502" t="str">
        <f t="shared" si="70"/>
        <v>Low Value</v>
      </c>
      <c r="J1502" t="str">
        <f t="shared" si="71"/>
        <v>High Risk</v>
      </c>
      <c r="K1502" s="3" t="str">
        <f t="shared" si="69"/>
        <v>0-1 Year</v>
      </c>
    </row>
    <row r="1503" spans="1:11" x14ac:dyDescent="0.3">
      <c r="A1503" t="s">
        <v>1520</v>
      </c>
      <c r="B1503" t="s">
        <v>14</v>
      </c>
      <c r="C1503" t="s">
        <v>30</v>
      </c>
      <c r="D1503" t="s">
        <v>20</v>
      </c>
      <c r="E1503">
        <v>54.1</v>
      </c>
      <c r="F1503">
        <v>68</v>
      </c>
      <c r="G1503">
        <v>3678.8</v>
      </c>
      <c r="H1503" t="s">
        <v>12</v>
      </c>
      <c r="I1503" t="str">
        <f t="shared" si="70"/>
        <v>Medium Value</v>
      </c>
      <c r="J1503" t="str">
        <f t="shared" si="71"/>
        <v>Low Risk</v>
      </c>
      <c r="K1503" s="3" t="str">
        <f t="shared" si="69"/>
        <v>4+ Years</v>
      </c>
    </row>
    <row r="1504" spans="1:11" x14ac:dyDescent="0.3">
      <c r="A1504" t="s">
        <v>1521</v>
      </c>
      <c r="B1504" t="s">
        <v>14</v>
      </c>
      <c r="C1504" t="s">
        <v>30</v>
      </c>
      <c r="D1504" t="s">
        <v>24</v>
      </c>
      <c r="E1504">
        <v>19.649999999999999</v>
      </c>
      <c r="F1504">
        <v>54</v>
      </c>
      <c r="G1504">
        <v>1061.0999999999999</v>
      </c>
      <c r="H1504" t="s">
        <v>12</v>
      </c>
      <c r="I1504" t="str">
        <f t="shared" si="70"/>
        <v>Low Value</v>
      </c>
      <c r="J1504" t="str">
        <f t="shared" si="71"/>
        <v>Low Risk</v>
      </c>
      <c r="K1504" s="3" t="str">
        <f t="shared" si="69"/>
        <v>4+ Years</v>
      </c>
    </row>
    <row r="1505" spans="1:11" x14ac:dyDescent="0.3">
      <c r="A1505" t="s">
        <v>1522</v>
      </c>
      <c r="B1505" t="s">
        <v>9</v>
      </c>
      <c r="C1505" t="s">
        <v>10</v>
      </c>
      <c r="D1505" t="s">
        <v>20</v>
      </c>
      <c r="E1505">
        <v>88.45</v>
      </c>
      <c r="F1505">
        <v>23</v>
      </c>
      <c r="G1505">
        <v>2034.35</v>
      </c>
      <c r="H1505" t="s">
        <v>12</v>
      </c>
      <c r="I1505" t="str">
        <f t="shared" si="70"/>
        <v>Medium Value</v>
      </c>
      <c r="J1505" t="str">
        <f t="shared" si="71"/>
        <v>Medium Risk</v>
      </c>
      <c r="K1505" s="3" t="str">
        <f t="shared" si="69"/>
        <v>1-2 Years</v>
      </c>
    </row>
    <row r="1506" spans="1:11" x14ac:dyDescent="0.3">
      <c r="A1506" t="s">
        <v>1523</v>
      </c>
      <c r="B1506" t="s">
        <v>14</v>
      </c>
      <c r="C1506" t="s">
        <v>10</v>
      </c>
      <c r="D1506" t="s">
        <v>11</v>
      </c>
      <c r="E1506">
        <v>76.650000000000006</v>
      </c>
      <c r="F1506">
        <v>17</v>
      </c>
      <c r="G1506">
        <v>1303.05</v>
      </c>
      <c r="H1506" t="s">
        <v>18</v>
      </c>
      <c r="I1506" t="str">
        <f t="shared" si="70"/>
        <v>Low Value</v>
      </c>
      <c r="J1506" t="str">
        <f t="shared" si="71"/>
        <v>Medium Risk</v>
      </c>
      <c r="K1506" s="3" t="str">
        <f t="shared" si="69"/>
        <v>1-2 Years</v>
      </c>
    </row>
    <row r="1507" spans="1:11" x14ac:dyDescent="0.3">
      <c r="A1507" t="s">
        <v>1524</v>
      </c>
      <c r="B1507" t="s">
        <v>14</v>
      </c>
      <c r="C1507" t="s">
        <v>30</v>
      </c>
      <c r="D1507" t="s">
        <v>24</v>
      </c>
      <c r="E1507">
        <v>80.400000000000006</v>
      </c>
      <c r="F1507">
        <v>71</v>
      </c>
      <c r="G1507">
        <v>5708.4</v>
      </c>
      <c r="H1507" t="s">
        <v>12</v>
      </c>
      <c r="I1507" t="str">
        <f t="shared" si="70"/>
        <v>High Value</v>
      </c>
      <c r="J1507" t="str">
        <f t="shared" si="71"/>
        <v>Low Risk</v>
      </c>
      <c r="K1507" s="3" t="str">
        <f t="shared" si="69"/>
        <v>4+ Years</v>
      </c>
    </row>
    <row r="1508" spans="1:11" x14ac:dyDescent="0.3">
      <c r="A1508" t="s">
        <v>1525</v>
      </c>
      <c r="B1508" t="s">
        <v>9</v>
      </c>
      <c r="C1508" t="s">
        <v>30</v>
      </c>
      <c r="D1508" t="s">
        <v>20</v>
      </c>
      <c r="E1508">
        <v>19.25</v>
      </c>
      <c r="F1508">
        <v>67</v>
      </c>
      <c r="G1508">
        <v>1289.75</v>
      </c>
      <c r="H1508" t="s">
        <v>12</v>
      </c>
      <c r="I1508" t="str">
        <f t="shared" si="70"/>
        <v>Low Value</v>
      </c>
      <c r="J1508" t="str">
        <f t="shared" si="71"/>
        <v>Low Risk</v>
      </c>
      <c r="K1508" s="3" t="str">
        <f t="shared" si="69"/>
        <v>4+ Years</v>
      </c>
    </row>
    <row r="1509" spans="1:11" x14ac:dyDescent="0.3">
      <c r="A1509" t="s">
        <v>1526</v>
      </c>
      <c r="B1509" t="s">
        <v>9</v>
      </c>
      <c r="C1509" t="s">
        <v>10</v>
      </c>
      <c r="D1509" t="s">
        <v>11</v>
      </c>
      <c r="E1509">
        <v>84.8</v>
      </c>
      <c r="F1509">
        <v>14</v>
      </c>
      <c r="G1509">
        <v>1187.2</v>
      </c>
      <c r="H1509" t="s">
        <v>12</v>
      </c>
      <c r="I1509" t="str">
        <f t="shared" si="70"/>
        <v>Low Value</v>
      </c>
      <c r="J1509" t="str">
        <f t="shared" si="71"/>
        <v>Medium Risk</v>
      </c>
      <c r="K1509" s="3" t="str">
        <f t="shared" si="69"/>
        <v>1-2 Years</v>
      </c>
    </row>
    <row r="1510" spans="1:11" x14ac:dyDescent="0.3">
      <c r="A1510" t="s">
        <v>1527</v>
      </c>
      <c r="B1510" t="s">
        <v>9</v>
      </c>
      <c r="C1510" t="s">
        <v>10</v>
      </c>
      <c r="D1510" t="s">
        <v>16</v>
      </c>
      <c r="E1510">
        <v>25.8</v>
      </c>
      <c r="F1510">
        <v>1</v>
      </c>
      <c r="G1510">
        <v>25.8</v>
      </c>
      <c r="H1510" t="s">
        <v>18</v>
      </c>
      <c r="I1510" t="str">
        <f t="shared" si="70"/>
        <v>Low Value</v>
      </c>
      <c r="J1510" t="str">
        <f t="shared" si="71"/>
        <v>High Risk</v>
      </c>
      <c r="K1510" s="3" t="str">
        <f t="shared" si="69"/>
        <v>0-1 Year</v>
      </c>
    </row>
    <row r="1511" spans="1:11" x14ac:dyDescent="0.3">
      <c r="A1511" t="s">
        <v>1528</v>
      </c>
      <c r="B1511" t="s">
        <v>9</v>
      </c>
      <c r="C1511" t="s">
        <v>30</v>
      </c>
      <c r="D1511" t="s">
        <v>24</v>
      </c>
      <c r="E1511">
        <v>19.5</v>
      </c>
      <c r="F1511">
        <v>63</v>
      </c>
      <c r="G1511">
        <v>1228.5</v>
      </c>
      <c r="H1511" t="s">
        <v>12</v>
      </c>
      <c r="I1511" t="str">
        <f t="shared" si="70"/>
        <v>Low Value</v>
      </c>
      <c r="J1511" t="str">
        <f t="shared" si="71"/>
        <v>Low Risk</v>
      </c>
      <c r="K1511" s="3" t="str">
        <f t="shared" si="69"/>
        <v>4+ Years</v>
      </c>
    </row>
    <row r="1512" spans="1:11" x14ac:dyDescent="0.3">
      <c r="A1512" t="s">
        <v>1529</v>
      </c>
      <c r="B1512" t="s">
        <v>9</v>
      </c>
      <c r="C1512" t="s">
        <v>15</v>
      </c>
      <c r="D1512" t="s">
        <v>11</v>
      </c>
      <c r="E1512">
        <v>68.599999999999994</v>
      </c>
      <c r="F1512">
        <v>41</v>
      </c>
      <c r="G1512">
        <v>2812.6</v>
      </c>
      <c r="H1512" t="s">
        <v>12</v>
      </c>
      <c r="I1512" t="str">
        <f t="shared" si="70"/>
        <v>Medium Value</v>
      </c>
      <c r="J1512" t="str">
        <f t="shared" si="71"/>
        <v>Low Risk</v>
      </c>
      <c r="K1512" s="3" t="str">
        <f t="shared" si="69"/>
        <v>2-4 Years</v>
      </c>
    </row>
    <row r="1513" spans="1:11" x14ac:dyDescent="0.3">
      <c r="A1513" t="s">
        <v>1530</v>
      </c>
      <c r="B1513" t="s">
        <v>9</v>
      </c>
      <c r="C1513" t="s">
        <v>10</v>
      </c>
      <c r="D1513" t="s">
        <v>11</v>
      </c>
      <c r="E1513">
        <v>92.6</v>
      </c>
      <c r="F1513">
        <v>17</v>
      </c>
      <c r="G1513">
        <v>1574.19999999999</v>
      </c>
      <c r="H1513" t="s">
        <v>12</v>
      </c>
      <c r="I1513" t="str">
        <f t="shared" si="70"/>
        <v>Low Value</v>
      </c>
      <c r="J1513" t="str">
        <f t="shared" si="71"/>
        <v>Medium Risk</v>
      </c>
      <c r="K1513" s="3" t="str">
        <f t="shared" si="69"/>
        <v>1-2 Years</v>
      </c>
    </row>
    <row r="1514" spans="1:11" x14ac:dyDescent="0.3">
      <c r="A1514" t="s">
        <v>1531</v>
      </c>
      <c r="B1514" t="s">
        <v>14</v>
      </c>
      <c r="C1514" t="s">
        <v>15</v>
      </c>
      <c r="D1514" t="s">
        <v>11</v>
      </c>
      <c r="E1514">
        <v>100.55</v>
      </c>
      <c r="F1514">
        <v>56</v>
      </c>
      <c r="G1514">
        <v>5630.8</v>
      </c>
      <c r="H1514" t="s">
        <v>12</v>
      </c>
      <c r="I1514" t="str">
        <f t="shared" si="70"/>
        <v>High Value</v>
      </c>
      <c r="J1514" t="str">
        <f t="shared" si="71"/>
        <v>Low Risk</v>
      </c>
      <c r="K1514" s="3" t="str">
        <f t="shared" si="69"/>
        <v>4+ Years</v>
      </c>
    </row>
    <row r="1515" spans="1:11" x14ac:dyDescent="0.3">
      <c r="A1515" t="s">
        <v>1532</v>
      </c>
      <c r="B1515" t="s">
        <v>9</v>
      </c>
      <c r="C1515" t="s">
        <v>10</v>
      </c>
      <c r="D1515" t="s">
        <v>24</v>
      </c>
      <c r="E1515">
        <v>20.55</v>
      </c>
      <c r="F1515">
        <v>5</v>
      </c>
      <c r="G1515">
        <v>102.75</v>
      </c>
      <c r="H1515" t="s">
        <v>12</v>
      </c>
      <c r="I1515" t="str">
        <f t="shared" si="70"/>
        <v>Low Value</v>
      </c>
      <c r="J1515" t="str">
        <f t="shared" si="71"/>
        <v>High Risk</v>
      </c>
      <c r="K1515" s="3" t="str">
        <f t="shared" si="69"/>
        <v>0-1 Year</v>
      </c>
    </row>
    <row r="1516" spans="1:11" x14ac:dyDescent="0.3">
      <c r="A1516" t="s">
        <v>1533</v>
      </c>
      <c r="B1516" t="s">
        <v>9</v>
      </c>
      <c r="C1516" t="s">
        <v>10</v>
      </c>
      <c r="D1516" t="s">
        <v>11</v>
      </c>
      <c r="E1516">
        <v>42.6</v>
      </c>
      <c r="F1516">
        <v>2</v>
      </c>
      <c r="G1516">
        <v>85.2</v>
      </c>
      <c r="H1516" t="s">
        <v>18</v>
      </c>
      <c r="I1516" t="str">
        <f t="shared" si="70"/>
        <v>Low Value</v>
      </c>
      <c r="J1516" t="str">
        <f t="shared" si="71"/>
        <v>High Risk</v>
      </c>
      <c r="K1516" s="3" t="str">
        <f t="shared" si="69"/>
        <v>0-1 Year</v>
      </c>
    </row>
    <row r="1517" spans="1:11" x14ac:dyDescent="0.3">
      <c r="A1517" t="s">
        <v>1534</v>
      </c>
      <c r="B1517" t="s">
        <v>9</v>
      </c>
      <c r="C1517" t="s">
        <v>10</v>
      </c>
      <c r="D1517" t="s">
        <v>16</v>
      </c>
      <c r="E1517">
        <v>19.600000000000001</v>
      </c>
      <c r="F1517">
        <v>3</v>
      </c>
      <c r="G1517">
        <v>58.8</v>
      </c>
      <c r="H1517" t="s">
        <v>12</v>
      </c>
      <c r="I1517" t="str">
        <f t="shared" si="70"/>
        <v>Low Value</v>
      </c>
      <c r="J1517" t="str">
        <f t="shared" si="71"/>
        <v>High Risk</v>
      </c>
      <c r="K1517" s="3" t="str">
        <f t="shared" si="69"/>
        <v>0-1 Year</v>
      </c>
    </row>
    <row r="1518" spans="1:11" x14ac:dyDescent="0.3">
      <c r="A1518" t="s">
        <v>1535</v>
      </c>
      <c r="B1518" t="s">
        <v>14</v>
      </c>
      <c r="C1518" t="s">
        <v>15</v>
      </c>
      <c r="D1518" t="s">
        <v>11</v>
      </c>
      <c r="E1518">
        <v>67.45</v>
      </c>
      <c r="F1518">
        <v>37</v>
      </c>
      <c r="G1518">
        <v>2495.65</v>
      </c>
      <c r="H1518" t="s">
        <v>12</v>
      </c>
      <c r="I1518" t="str">
        <f t="shared" si="70"/>
        <v>Medium Value</v>
      </c>
      <c r="J1518" t="str">
        <f t="shared" si="71"/>
        <v>Low Risk</v>
      </c>
      <c r="K1518" s="3" t="str">
        <f t="shared" si="69"/>
        <v>2-4 Years</v>
      </c>
    </row>
    <row r="1519" spans="1:11" x14ac:dyDescent="0.3">
      <c r="A1519" t="s">
        <v>1536</v>
      </c>
      <c r="B1519" t="s">
        <v>9</v>
      </c>
      <c r="C1519" t="s">
        <v>10</v>
      </c>
      <c r="D1519" t="s">
        <v>20</v>
      </c>
      <c r="E1519">
        <v>68.849999999999994</v>
      </c>
      <c r="F1519">
        <v>29</v>
      </c>
      <c r="G1519">
        <v>1996.6499999999901</v>
      </c>
      <c r="H1519" t="s">
        <v>18</v>
      </c>
      <c r="I1519" t="str">
        <f t="shared" si="70"/>
        <v>Low Value</v>
      </c>
      <c r="J1519" t="str">
        <f t="shared" si="71"/>
        <v>Low Risk</v>
      </c>
      <c r="K1519" s="3" t="str">
        <f t="shared" si="69"/>
        <v>2-4 Years</v>
      </c>
    </row>
    <row r="1520" spans="1:11" x14ac:dyDescent="0.3">
      <c r="A1520" t="s">
        <v>1537</v>
      </c>
      <c r="B1520" t="s">
        <v>14</v>
      </c>
      <c r="C1520" t="s">
        <v>10</v>
      </c>
      <c r="D1520" t="s">
        <v>16</v>
      </c>
      <c r="E1520">
        <v>43.55</v>
      </c>
      <c r="F1520">
        <v>8</v>
      </c>
      <c r="G1520">
        <v>348.4</v>
      </c>
      <c r="H1520" t="s">
        <v>12</v>
      </c>
      <c r="I1520" t="str">
        <f t="shared" si="70"/>
        <v>Low Value</v>
      </c>
      <c r="J1520" t="str">
        <f t="shared" si="71"/>
        <v>High Risk</v>
      </c>
      <c r="K1520" s="3" t="str">
        <f t="shared" si="69"/>
        <v>0-1 Year</v>
      </c>
    </row>
    <row r="1521" spans="1:11" x14ac:dyDescent="0.3">
      <c r="A1521" t="s">
        <v>1538</v>
      </c>
      <c r="B1521" t="s">
        <v>9</v>
      </c>
      <c r="C1521" t="s">
        <v>10</v>
      </c>
      <c r="D1521" t="s">
        <v>24</v>
      </c>
      <c r="E1521">
        <v>109.85</v>
      </c>
      <c r="F1521">
        <v>63</v>
      </c>
      <c r="G1521">
        <v>6920.5499999999902</v>
      </c>
      <c r="H1521" t="s">
        <v>12</v>
      </c>
      <c r="I1521" t="str">
        <f t="shared" si="70"/>
        <v>High Value</v>
      </c>
      <c r="J1521" t="str">
        <f t="shared" si="71"/>
        <v>Low Risk</v>
      </c>
      <c r="K1521" s="3" t="str">
        <f t="shared" si="69"/>
        <v>4+ Years</v>
      </c>
    </row>
    <row r="1522" spans="1:11" x14ac:dyDescent="0.3">
      <c r="A1522" t="s">
        <v>1539</v>
      </c>
      <c r="B1522" t="s">
        <v>9</v>
      </c>
      <c r="C1522" t="s">
        <v>10</v>
      </c>
      <c r="D1522" t="s">
        <v>16</v>
      </c>
      <c r="E1522">
        <v>20.65</v>
      </c>
      <c r="F1522">
        <v>7</v>
      </c>
      <c r="G1522">
        <v>144.54999999999899</v>
      </c>
      <c r="H1522" t="s">
        <v>12</v>
      </c>
      <c r="I1522" t="str">
        <f t="shared" si="70"/>
        <v>Low Value</v>
      </c>
      <c r="J1522" t="str">
        <f t="shared" si="71"/>
        <v>High Risk</v>
      </c>
      <c r="K1522" s="3" t="str">
        <f t="shared" si="69"/>
        <v>0-1 Year</v>
      </c>
    </row>
    <row r="1523" spans="1:11" x14ac:dyDescent="0.3">
      <c r="A1523" t="s">
        <v>1540</v>
      </c>
      <c r="B1523" t="s">
        <v>9</v>
      </c>
      <c r="C1523" t="s">
        <v>10</v>
      </c>
      <c r="D1523" t="s">
        <v>11</v>
      </c>
      <c r="E1523">
        <v>95.4</v>
      </c>
      <c r="F1523">
        <v>3</v>
      </c>
      <c r="G1523">
        <v>286.2</v>
      </c>
      <c r="H1523" t="s">
        <v>12</v>
      </c>
      <c r="I1523" t="str">
        <f t="shared" si="70"/>
        <v>Low Value</v>
      </c>
      <c r="J1523" t="str">
        <f t="shared" si="71"/>
        <v>High Risk</v>
      </c>
      <c r="K1523" s="3" t="str">
        <f t="shared" si="69"/>
        <v>0-1 Year</v>
      </c>
    </row>
    <row r="1524" spans="1:11" x14ac:dyDescent="0.3">
      <c r="A1524" t="s">
        <v>1541</v>
      </c>
      <c r="B1524" t="s">
        <v>14</v>
      </c>
      <c r="C1524" t="s">
        <v>30</v>
      </c>
      <c r="D1524" t="s">
        <v>20</v>
      </c>
      <c r="E1524">
        <v>21</v>
      </c>
      <c r="F1524">
        <v>72</v>
      </c>
      <c r="G1524">
        <v>1512</v>
      </c>
      <c r="H1524" t="s">
        <v>12</v>
      </c>
      <c r="I1524" t="str">
        <f t="shared" si="70"/>
        <v>Low Value</v>
      </c>
      <c r="J1524" t="str">
        <f t="shared" si="71"/>
        <v>Low Risk</v>
      </c>
      <c r="K1524" s="3" t="str">
        <f t="shared" si="69"/>
        <v>4+ Years</v>
      </c>
    </row>
    <row r="1525" spans="1:11" x14ac:dyDescent="0.3">
      <c r="A1525" t="s">
        <v>1542</v>
      </c>
      <c r="B1525" t="s">
        <v>9</v>
      </c>
      <c r="C1525" t="s">
        <v>10</v>
      </c>
      <c r="D1525" t="s">
        <v>11</v>
      </c>
      <c r="E1525">
        <v>56.2</v>
      </c>
      <c r="F1525">
        <v>19</v>
      </c>
      <c r="G1525">
        <v>1067.8</v>
      </c>
      <c r="H1525" t="s">
        <v>12</v>
      </c>
      <c r="I1525" t="str">
        <f t="shared" si="70"/>
        <v>Low Value</v>
      </c>
      <c r="J1525" t="str">
        <f t="shared" si="71"/>
        <v>Medium Risk</v>
      </c>
      <c r="K1525" s="3" t="str">
        <f t="shared" si="69"/>
        <v>1-2 Years</v>
      </c>
    </row>
    <row r="1526" spans="1:11" x14ac:dyDescent="0.3">
      <c r="A1526" t="s">
        <v>1543</v>
      </c>
      <c r="B1526" t="s">
        <v>9</v>
      </c>
      <c r="C1526" t="s">
        <v>30</v>
      </c>
      <c r="D1526" t="s">
        <v>20</v>
      </c>
      <c r="E1526">
        <v>18.399999999999999</v>
      </c>
      <c r="F1526">
        <v>59</v>
      </c>
      <c r="G1526">
        <v>1085.5999999999999</v>
      </c>
      <c r="H1526" t="s">
        <v>12</v>
      </c>
      <c r="I1526" t="str">
        <f t="shared" si="70"/>
        <v>Low Value</v>
      </c>
      <c r="J1526" t="str">
        <f t="shared" si="71"/>
        <v>Low Risk</v>
      </c>
      <c r="K1526" s="3" t="str">
        <f t="shared" si="69"/>
        <v>4+ Years</v>
      </c>
    </row>
    <row r="1527" spans="1:11" x14ac:dyDescent="0.3">
      <c r="A1527" t="s">
        <v>1544</v>
      </c>
      <c r="B1527" t="s">
        <v>14</v>
      </c>
      <c r="C1527" t="s">
        <v>10</v>
      </c>
      <c r="D1527" t="s">
        <v>24</v>
      </c>
      <c r="E1527">
        <v>90</v>
      </c>
      <c r="F1527">
        <v>2</v>
      </c>
      <c r="G1527">
        <v>180</v>
      </c>
      <c r="H1527" t="s">
        <v>18</v>
      </c>
      <c r="I1527" t="str">
        <f t="shared" si="70"/>
        <v>Low Value</v>
      </c>
      <c r="J1527" t="str">
        <f t="shared" si="71"/>
        <v>High Risk</v>
      </c>
      <c r="K1527" s="3" t="str">
        <f t="shared" si="69"/>
        <v>0-1 Year</v>
      </c>
    </row>
    <row r="1528" spans="1:11" x14ac:dyDescent="0.3">
      <c r="A1528" t="s">
        <v>1545</v>
      </c>
      <c r="B1528" t="s">
        <v>9</v>
      </c>
      <c r="C1528" t="s">
        <v>10</v>
      </c>
      <c r="D1528" t="s">
        <v>11</v>
      </c>
      <c r="E1528">
        <v>25.75</v>
      </c>
      <c r="F1528">
        <v>35</v>
      </c>
      <c r="G1528">
        <v>901.25</v>
      </c>
      <c r="H1528" t="s">
        <v>12</v>
      </c>
      <c r="I1528" t="str">
        <f t="shared" si="70"/>
        <v>Low Value</v>
      </c>
      <c r="J1528" t="str">
        <f t="shared" si="71"/>
        <v>Low Risk</v>
      </c>
      <c r="K1528" s="3" t="str">
        <f t="shared" si="69"/>
        <v>2-4 Years</v>
      </c>
    </row>
    <row r="1529" spans="1:11" x14ac:dyDescent="0.3">
      <c r="A1529" t="s">
        <v>1546</v>
      </c>
      <c r="B1529" t="s">
        <v>14</v>
      </c>
      <c r="C1529" t="s">
        <v>10</v>
      </c>
      <c r="D1529" t="s">
        <v>24</v>
      </c>
      <c r="E1529">
        <v>19.600000000000001</v>
      </c>
      <c r="F1529">
        <v>14</v>
      </c>
      <c r="G1529">
        <v>274.39999999999998</v>
      </c>
      <c r="H1529" t="s">
        <v>12</v>
      </c>
      <c r="I1529" t="str">
        <f t="shared" si="70"/>
        <v>Low Value</v>
      </c>
      <c r="J1529" t="str">
        <f t="shared" si="71"/>
        <v>Medium Risk</v>
      </c>
      <c r="K1529" s="3" t="str">
        <f t="shared" si="69"/>
        <v>1-2 Years</v>
      </c>
    </row>
    <row r="1530" spans="1:11" x14ac:dyDescent="0.3">
      <c r="A1530" t="s">
        <v>1547</v>
      </c>
      <c r="B1530" t="s">
        <v>9</v>
      </c>
      <c r="C1530" t="s">
        <v>10</v>
      </c>
      <c r="D1530" t="s">
        <v>11</v>
      </c>
      <c r="E1530">
        <v>75.349999999999994</v>
      </c>
      <c r="F1530">
        <v>14</v>
      </c>
      <c r="G1530">
        <v>1054.8999999999901</v>
      </c>
      <c r="H1530" t="s">
        <v>18</v>
      </c>
      <c r="I1530" t="str">
        <f t="shared" si="70"/>
        <v>Low Value</v>
      </c>
      <c r="J1530" t="str">
        <f t="shared" si="71"/>
        <v>Medium Risk</v>
      </c>
      <c r="K1530" s="3" t="str">
        <f t="shared" si="69"/>
        <v>1-2 Years</v>
      </c>
    </row>
    <row r="1531" spans="1:11" x14ac:dyDescent="0.3">
      <c r="A1531" t="s">
        <v>1548</v>
      </c>
      <c r="B1531" t="s">
        <v>9</v>
      </c>
      <c r="C1531" t="s">
        <v>30</v>
      </c>
      <c r="D1531" t="s">
        <v>24</v>
      </c>
      <c r="E1531">
        <v>19.8</v>
      </c>
      <c r="F1531">
        <v>69</v>
      </c>
      <c r="G1531">
        <v>1366.2</v>
      </c>
      <c r="H1531" t="s">
        <v>12</v>
      </c>
      <c r="I1531" t="str">
        <f t="shared" si="70"/>
        <v>Low Value</v>
      </c>
      <c r="J1531" t="str">
        <f t="shared" si="71"/>
        <v>Low Risk</v>
      </c>
      <c r="K1531" s="3" t="str">
        <f t="shared" si="69"/>
        <v>4+ Years</v>
      </c>
    </row>
    <row r="1532" spans="1:11" x14ac:dyDescent="0.3">
      <c r="A1532" t="s">
        <v>1549</v>
      </c>
      <c r="B1532" t="s">
        <v>14</v>
      </c>
      <c r="C1532" t="s">
        <v>10</v>
      </c>
      <c r="D1532" t="s">
        <v>11</v>
      </c>
      <c r="E1532">
        <v>64.2</v>
      </c>
      <c r="F1532">
        <v>7</v>
      </c>
      <c r="G1532">
        <v>449.4</v>
      </c>
      <c r="H1532" t="s">
        <v>12</v>
      </c>
      <c r="I1532" t="str">
        <f t="shared" si="70"/>
        <v>Low Value</v>
      </c>
      <c r="J1532" t="str">
        <f t="shared" si="71"/>
        <v>High Risk</v>
      </c>
      <c r="K1532" s="3" t="str">
        <f t="shared" si="69"/>
        <v>0-1 Year</v>
      </c>
    </row>
    <row r="1533" spans="1:11" x14ac:dyDescent="0.3">
      <c r="A1533" t="s">
        <v>1550</v>
      </c>
      <c r="B1533" t="s">
        <v>14</v>
      </c>
      <c r="C1533" t="s">
        <v>30</v>
      </c>
      <c r="D1533" t="s">
        <v>20</v>
      </c>
      <c r="E1533">
        <v>75.75</v>
      </c>
      <c r="F1533">
        <v>69</v>
      </c>
      <c r="G1533">
        <v>5226.75</v>
      </c>
      <c r="H1533" t="s">
        <v>12</v>
      </c>
      <c r="I1533" t="str">
        <f t="shared" si="70"/>
        <v>High Value</v>
      </c>
      <c r="J1533" t="str">
        <f t="shared" si="71"/>
        <v>Low Risk</v>
      </c>
      <c r="K1533" s="3" t="str">
        <f t="shared" si="69"/>
        <v>4+ Years</v>
      </c>
    </row>
    <row r="1534" spans="1:11" x14ac:dyDescent="0.3">
      <c r="A1534" t="s">
        <v>1551</v>
      </c>
      <c r="B1534" t="s">
        <v>9</v>
      </c>
      <c r="C1534" t="s">
        <v>30</v>
      </c>
      <c r="D1534" t="s">
        <v>11</v>
      </c>
      <c r="E1534">
        <v>78.95</v>
      </c>
      <c r="F1534">
        <v>72</v>
      </c>
      <c r="G1534">
        <v>5684.4</v>
      </c>
      <c r="H1534" t="s">
        <v>12</v>
      </c>
      <c r="I1534" t="str">
        <f t="shared" si="70"/>
        <v>High Value</v>
      </c>
      <c r="J1534" t="str">
        <f t="shared" si="71"/>
        <v>Low Risk</v>
      </c>
      <c r="K1534" s="3" t="str">
        <f t="shared" si="69"/>
        <v>4+ Years</v>
      </c>
    </row>
    <row r="1535" spans="1:11" x14ac:dyDescent="0.3">
      <c r="A1535" t="s">
        <v>1552</v>
      </c>
      <c r="B1535" t="s">
        <v>14</v>
      </c>
      <c r="C1535" t="s">
        <v>10</v>
      </c>
      <c r="D1535" t="s">
        <v>11</v>
      </c>
      <c r="E1535">
        <v>100.85</v>
      </c>
      <c r="F1535">
        <v>8</v>
      </c>
      <c r="G1535">
        <v>806.8</v>
      </c>
      <c r="H1535" t="s">
        <v>18</v>
      </c>
      <c r="I1535" t="str">
        <f t="shared" si="70"/>
        <v>Low Value</v>
      </c>
      <c r="J1535" t="str">
        <f t="shared" si="71"/>
        <v>High Risk</v>
      </c>
      <c r="K1535" s="3" t="str">
        <f t="shared" si="69"/>
        <v>0-1 Year</v>
      </c>
    </row>
    <row r="1536" spans="1:11" x14ac:dyDescent="0.3">
      <c r="A1536" t="s">
        <v>1553</v>
      </c>
      <c r="B1536" t="s">
        <v>9</v>
      </c>
      <c r="C1536" t="s">
        <v>10</v>
      </c>
      <c r="D1536" t="s">
        <v>11</v>
      </c>
      <c r="E1536">
        <v>50.3</v>
      </c>
      <c r="F1536">
        <v>4</v>
      </c>
      <c r="G1536">
        <v>201.2</v>
      </c>
      <c r="H1536" t="s">
        <v>12</v>
      </c>
      <c r="I1536" t="str">
        <f t="shared" si="70"/>
        <v>Low Value</v>
      </c>
      <c r="J1536" t="str">
        <f t="shared" si="71"/>
        <v>High Risk</v>
      </c>
      <c r="K1536" s="3" t="str">
        <f t="shared" si="69"/>
        <v>0-1 Year</v>
      </c>
    </row>
    <row r="1537" spans="1:11" x14ac:dyDescent="0.3">
      <c r="A1537" t="s">
        <v>1554</v>
      </c>
      <c r="B1537" t="s">
        <v>14</v>
      </c>
      <c r="C1537" t="s">
        <v>10</v>
      </c>
      <c r="D1537" t="s">
        <v>24</v>
      </c>
      <c r="E1537">
        <v>80.3</v>
      </c>
      <c r="F1537">
        <v>63</v>
      </c>
      <c r="G1537">
        <v>5058.8999999999996</v>
      </c>
      <c r="H1537" t="s">
        <v>12</v>
      </c>
      <c r="I1537" t="str">
        <f t="shared" si="70"/>
        <v>High Value</v>
      </c>
      <c r="J1537" t="str">
        <f t="shared" si="71"/>
        <v>Low Risk</v>
      </c>
      <c r="K1537" s="3" t="str">
        <f t="shared" si="69"/>
        <v>4+ Years</v>
      </c>
    </row>
    <row r="1538" spans="1:11" x14ac:dyDescent="0.3">
      <c r="A1538" t="s">
        <v>1555</v>
      </c>
      <c r="B1538" t="s">
        <v>14</v>
      </c>
      <c r="C1538" t="s">
        <v>30</v>
      </c>
      <c r="D1538" t="s">
        <v>20</v>
      </c>
      <c r="E1538">
        <v>19.850000000000001</v>
      </c>
      <c r="F1538">
        <v>72</v>
      </c>
      <c r="G1538">
        <v>1429.2</v>
      </c>
      <c r="H1538" t="s">
        <v>12</v>
      </c>
      <c r="I1538" t="str">
        <f t="shared" si="70"/>
        <v>Low Value</v>
      </c>
      <c r="J1538" t="str">
        <f t="shared" si="71"/>
        <v>Low Risk</v>
      </c>
      <c r="K1538" s="3" t="str">
        <f t="shared" si="69"/>
        <v>4+ Years</v>
      </c>
    </row>
    <row r="1539" spans="1:11" x14ac:dyDescent="0.3">
      <c r="A1539" t="s">
        <v>1556</v>
      </c>
      <c r="B1539" t="s">
        <v>9</v>
      </c>
      <c r="C1539" t="s">
        <v>30</v>
      </c>
      <c r="D1539" t="s">
        <v>11</v>
      </c>
      <c r="E1539">
        <v>21.1</v>
      </c>
      <c r="F1539">
        <v>46</v>
      </c>
      <c r="G1539">
        <v>970.6</v>
      </c>
      <c r="H1539" t="s">
        <v>12</v>
      </c>
      <c r="I1539" t="str">
        <f t="shared" si="70"/>
        <v>Low Value</v>
      </c>
      <c r="J1539" t="str">
        <f t="shared" si="71"/>
        <v>Low Risk</v>
      </c>
      <c r="K1539" s="3" t="str">
        <f t="shared" ref="K1539:K1602" si="72">IF(F1539&lt;=12,"0-1 Year",
IF(F1539&lt;=24,"1-2 Years",
IF(F1539&lt;=48,"2-4 Years","4+ Years")))</f>
        <v>2-4 Years</v>
      </c>
    </row>
    <row r="1540" spans="1:11" x14ac:dyDescent="0.3">
      <c r="A1540" t="s">
        <v>1557</v>
      </c>
      <c r="B1540" t="s">
        <v>9</v>
      </c>
      <c r="C1540" t="s">
        <v>10</v>
      </c>
      <c r="D1540" t="s">
        <v>11</v>
      </c>
      <c r="E1540">
        <v>69.95</v>
      </c>
      <c r="F1540">
        <v>5</v>
      </c>
      <c r="G1540">
        <v>349.75</v>
      </c>
      <c r="H1540" t="s">
        <v>18</v>
      </c>
      <c r="I1540" t="str">
        <f t="shared" ref="I1540:I1603" si="73">IF(G1540&gt;5000,"High Value",
IF(G1540&gt;2000,"Medium Value","Low Value"))</f>
        <v>Low Value</v>
      </c>
      <c r="J1540" t="str">
        <f t="shared" ref="J1540:J1603" si="74">IF(F1540&lt;12,"High Risk",
IF(F1540&lt;24,"Medium Risk","Low Risk"))</f>
        <v>High Risk</v>
      </c>
      <c r="K1540" s="3" t="str">
        <f t="shared" si="72"/>
        <v>0-1 Year</v>
      </c>
    </row>
    <row r="1541" spans="1:11" x14ac:dyDescent="0.3">
      <c r="A1541" t="s">
        <v>1558</v>
      </c>
      <c r="B1541" t="s">
        <v>14</v>
      </c>
      <c r="C1541" t="s">
        <v>10</v>
      </c>
      <c r="D1541" t="s">
        <v>16</v>
      </c>
      <c r="E1541">
        <v>50</v>
      </c>
      <c r="F1541">
        <v>30</v>
      </c>
      <c r="G1541">
        <v>1500</v>
      </c>
      <c r="H1541" t="s">
        <v>12</v>
      </c>
      <c r="I1541" t="str">
        <f t="shared" si="73"/>
        <v>Low Value</v>
      </c>
      <c r="J1541" t="str">
        <f t="shared" si="74"/>
        <v>Low Risk</v>
      </c>
      <c r="K1541" s="3" t="str">
        <f t="shared" si="72"/>
        <v>2-4 Years</v>
      </c>
    </row>
    <row r="1542" spans="1:11" x14ac:dyDescent="0.3">
      <c r="A1542" t="s">
        <v>1559</v>
      </c>
      <c r="B1542" t="s">
        <v>14</v>
      </c>
      <c r="C1542" t="s">
        <v>30</v>
      </c>
      <c r="D1542" t="s">
        <v>20</v>
      </c>
      <c r="E1542">
        <v>104.75</v>
      </c>
      <c r="F1542">
        <v>63</v>
      </c>
      <c r="G1542">
        <v>6599.25</v>
      </c>
      <c r="H1542" t="s">
        <v>12</v>
      </c>
      <c r="I1542" t="str">
        <f t="shared" si="73"/>
        <v>High Value</v>
      </c>
      <c r="J1542" t="str">
        <f t="shared" si="74"/>
        <v>Low Risk</v>
      </c>
      <c r="K1542" s="3" t="str">
        <f t="shared" si="72"/>
        <v>4+ Years</v>
      </c>
    </row>
    <row r="1543" spans="1:11" x14ac:dyDescent="0.3">
      <c r="A1543" t="s">
        <v>1560</v>
      </c>
      <c r="B1543" t="s">
        <v>9</v>
      </c>
      <c r="C1543" t="s">
        <v>30</v>
      </c>
      <c r="D1543" t="s">
        <v>20</v>
      </c>
      <c r="E1543">
        <v>19.850000000000001</v>
      </c>
      <c r="F1543">
        <v>60</v>
      </c>
      <c r="G1543">
        <v>1191</v>
      </c>
      <c r="H1543" t="s">
        <v>12</v>
      </c>
      <c r="I1543" t="str">
        <f t="shared" si="73"/>
        <v>Low Value</v>
      </c>
      <c r="J1543" t="str">
        <f t="shared" si="74"/>
        <v>Low Risk</v>
      </c>
      <c r="K1543" s="3" t="str">
        <f t="shared" si="72"/>
        <v>4+ Years</v>
      </c>
    </row>
    <row r="1544" spans="1:11" x14ac:dyDescent="0.3">
      <c r="A1544" t="s">
        <v>1561</v>
      </c>
      <c r="B1544" t="s">
        <v>9</v>
      </c>
      <c r="C1544" t="s">
        <v>15</v>
      </c>
      <c r="D1544" t="s">
        <v>11</v>
      </c>
      <c r="E1544">
        <v>107.5</v>
      </c>
      <c r="F1544">
        <v>63</v>
      </c>
      <c r="G1544">
        <v>6772.5</v>
      </c>
      <c r="H1544" t="s">
        <v>18</v>
      </c>
      <c r="I1544" t="str">
        <f t="shared" si="73"/>
        <v>High Value</v>
      </c>
      <c r="J1544" t="str">
        <f t="shared" si="74"/>
        <v>Low Risk</v>
      </c>
      <c r="K1544" s="3" t="str">
        <f t="shared" si="72"/>
        <v>4+ Years</v>
      </c>
    </row>
    <row r="1545" spans="1:11" x14ac:dyDescent="0.3">
      <c r="A1545" t="s">
        <v>1562</v>
      </c>
      <c r="B1545" t="s">
        <v>14</v>
      </c>
      <c r="C1545" t="s">
        <v>10</v>
      </c>
      <c r="D1545" t="s">
        <v>11</v>
      </c>
      <c r="E1545">
        <v>85.9</v>
      </c>
      <c r="F1545">
        <v>25</v>
      </c>
      <c r="G1545">
        <v>2147.5</v>
      </c>
      <c r="H1545" t="s">
        <v>12</v>
      </c>
      <c r="I1545" t="str">
        <f t="shared" si="73"/>
        <v>Medium Value</v>
      </c>
      <c r="J1545" t="str">
        <f t="shared" si="74"/>
        <v>Low Risk</v>
      </c>
      <c r="K1545" s="3" t="str">
        <f t="shared" si="72"/>
        <v>2-4 Years</v>
      </c>
    </row>
    <row r="1546" spans="1:11" x14ac:dyDescent="0.3">
      <c r="A1546" t="s">
        <v>1563</v>
      </c>
      <c r="B1546" t="s">
        <v>14</v>
      </c>
      <c r="C1546" t="s">
        <v>10</v>
      </c>
      <c r="D1546" t="s">
        <v>16</v>
      </c>
      <c r="E1546">
        <v>45.85</v>
      </c>
      <c r="F1546">
        <v>1</v>
      </c>
      <c r="G1546">
        <v>45.85</v>
      </c>
      <c r="H1546" t="s">
        <v>18</v>
      </c>
      <c r="I1546" t="str">
        <f t="shared" si="73"/>
        <v>Low Value</v>
      </c>
      <c r="J1546" t="str">
        <f t="shared" si="74"/>
        <v>High Risk</v>
      </c>
      <c r="K1546" s="3" t="str">
        <f t="shared" si="72"/>
        <v>0-1 Year</v>
      </c>
    </row>
    <row r="1547" spans="1:11" x14ac:dyDescent="0.3">
      <c r="A1547" t="s">
        <v>1564</v>
      </c>
      <c r="B1547" t="s">
        <v>14</v>
      </c>
      <c r="C1547" t="s">
        <v>10</v>
      </c>
      <c r="D1547" t="s">
        <v>11</v>
      </c>
      <c r="E1547">
        <v>80.8</v>
      </c>
      <c r="F1547">
        <v>6</v>
      </c>
      <c r="G1547">
        <v>484.79999999999899</v>
      </c>
      <c r="H1547" t="s">
        <v>12</v>
      </c>
      <c r="I1547" t="str">
        <f t="shared" si="73"/>
        <v>Low Value</v>
      </c>
      <c r="J1547" t="str">
        <f t="shared" si="74"/>
        <v>High Risk</v>
      </c>
      <c r="K1547" s="3" t="str">
        <f t="shared" si="72"/>
        <v>0-1 Year</v>
      </c>
    </row>
    <row r="1548" spans="1:11" x14ac:dyDescent="0.3">
      <c r="A1548" t="s">
        <v>1565</v>
      </c>
      <c r="B1548" t="s">
        <v>14</v>
      </c>
      <c r="C1548" t="s">
        <v>30</v>
      </c>
      <c r="D1548" t="s">
        <v>16</v>
      </c>
      <c r="E1548">
        <v>25.25</v>
      </c>
      <c r="F1548">
        <v>22</v>
      </c>
      <c r="G1548">
        <v>555.5</v>
      </c>
      <c r="H1548" t="s">
        <v>12</v>
      </c>
      <c r="I1548" t="str">
        <f t="shared" si="73"/>
        <v>Low Value</v>
      </c>
      <c r="J1548" t="str">
        <f t="shared" si="74"/>
        <v>Medium Risk</v>
      </c>
      <c r="K1548" s="3" t="str">
        <f t="shared" si="72"/>
        <v>1-2 Years</v>
      </c>
    </row>
    <row r="1549" spans="1:11" x14ac:dyDescent="0.3">
      <c r="A1549" t="s">
        <v>1566</v>
      </c>
      <c r="B1549" t="s">
        <v>9</v>
      </c>
      <c r="C1549" t="s">
        <v>30</v>
      </c>
      <c r="D1549" t="s">
        <v>20</v>
      </c>
      <c r="E1549">
        <v>80.55</v>
      </c>
      <c r="F1549">
        <v>31</v>
      </c>
      <c r="G1549">
        <v>2497.0499999999902</v>
      </c>
      <c r="H1549" t="s">
        <v>12</v>
      </c>
      <c r="I1549" t="str">
        <f t="shared" si="73"/>
        <v>Medium Value</v>
      </c>
      <c r="J1549" t="str">
        <f t="shared" si="74"/>
        <v>Low Risk</v>
      </c>
      <c r="K1549" s="3" t="str">
        <f t="shared" si="72"/>
        <v>2-4 Years</v>
      </c>
    </row>
    <row r="1550" spans="1:11" x14ac:dyDescent="0.3">
      <c r="A1550" t="s">
        <v>1567</v>
      </c>
      <c r="B1550" t="s">
        <v>9</v>
      </c>
      <c r="C1550" t="s">
        <v>10</v>
      </c>
      <c r="D1550" t="s">
        <v>20</v>
      </c>
      <c r="E1550">
        <v>81.5</v>
      </c>
      <c r="F1550">
        <v>39</v>
      </c>
      <c r="G1550">
        <v>3178.5</v>
      </c>
      <c r="H1550" t="s">
        <v>12</v>
      </c>
      <c r="I1550" t="str">
        <f t="shared" si="73"/>
        <v>Medium Value</v>
      </c>
      <c r="J1550" t="str">
        <f t="shared" si="74"/>
        <v>Low Risk</v>
      </c>
      <c r="K1550" s="3" t="str">
        <f t="shared" si="72"/>
        <v>2-4 Years</v>
      </c>
    </row>
    <row r="1551" spans="1:11" x14ac:dyDescent="0.3">
      <c r="A1551" t="s">
        <v>1568</v>
      </c>
      <c r="B1551" t="s">
        <v>14</v>
      </c>
      <c r="C1551" t="s">
        <v>10</v>
      </c>
      <c r="D1551" t="s">
        <v>16</v>
      </c>
      <c r="E1551">
        <v>20.9</v>
      </c>
      <c r="F1551">
        <v>26</v>
      </c>
      <c r="G1551">
        <v>543.4</v>
      </c>
      <c r="H1551" t="s">
        <v>12</v>
      </c>
      <c r="I1551" t="str">
        <f t="shared" si="73"/>
        <v>Low Value</v>
      </c>
      <c r="J1551" t="str">
        <f t="shared" si="74"/>
        <v>Low Risk</v>
      </c>
      <c r="K1551" s="3" t="str">
        <f t="shared" si="72"/>
        <v>2-4 Years</v>
      </c>
    </row>
    <row r="1552" spans="1:11" x14ac:dyDescent="0.3">
      <c r="A1552" t="s">
        <v>1569</v>
      </c>
      <c r="B1552" t="s">
        <v>9</v>
      </c>
      <c r="C1552" t="s">
        <v>15</v>
      </c>
      <c r="D1552" t="s">
        <v>20</v>
      </c>
      <c r="E1552">
        <v>106.1</v>
      </c>
      <c r="F1552">
        <v>53</v>
      </c>
      <c r="G1552">
        <v>5623.2999999999902</v>
      </c>
      <c r="H1552" t="s">
        <v>18</v>
      </c>
      <c r="I1552" t="str">
        <f t="shared" si="73"/>
        <v>High Value</v>
      </c>
      <c r="J1552" t="str">
        <f t="shared" si="74"/>
        <v>Low Risk</v>
      </c>
      <c r="K1552" s="3" t="str">
        <f t="shared" si="72"/>
        <v>4+ Years</v>
      </c>
    </row>
    <row r="1553" spans="1:11" x14ac:dyDescent="0.3">
      <c r="A1553" t="s">
        <v>1570</v>
      </c>
      <c r="B1553" t="s">
        <v>9</v>
      </c>
      <c r="C1553" t="s">
        <v>10</v>
      </c>
      <c r="D1553" t="s">
        <v>11</v>
      </c>
      <c r="E1553">
        <v>91.7</v>
      </c>
      <c r="F1553">
        <v>1</v>
      </c>
      <c r="G1553">
        <v>91.7</v>
      </c>
      <c r="H1553" t="s">
        <v>18</v>
      </c>
      <c r="I1553" t="str">
        <f t="shared" si="73"/>
        <v>Low Value</v>
      </c>
      <c r="J1553" t="str">
        <f t="shared" si="74"/>
        <v>High Risk</v>
      </c>
      <c r="K1553" s="3" t="str">
        <f t="shared" si="72"/>
        <v>0-1 Year</v>
      </c>
    </row>
    <row r="1554" spans="1:11" x14ac:dyDescent="0.3">
      <c r="A1554" t="s">
        <v>1571</v>
      </c>
      <c r="B1554" t="s">
        <v>14</v>
      </c>
      <c r="C1554" t="s">
        <v>10</v>
      </c>
      <c r="D1554" t="s">
        <v>11</v>
      </c>
      <c r="E1554">
        <v>67.25</v>
      </c>
      <c r="F1554">
        <v>12</v>
      </c>
      <c r="G1554">
        <v>807</v>
      </c>
      <c r="H1554" t="s">
        <v>12</v>
      </c>
      <c r="I1554" t="str">
        <f t="shared" si="73"/>
        <v>Low Value</v>
      </c>
      <c r="J1554" t="str">
        <f t="shared" si="74"/>
        <v>Medium Risk</v>
      </c>
      <c r="K1554" s="3" t="str">
        <f t="shared" si="72"/>
        <v>0-1 Year</v>
      </c>
    </row>
    <row r="1555" spans="1:11" x14ac:dyDescent="0.3">
      <c r="A1555" t="s">
        <v>1572</v>
      </c>
      <c r="B1555" t="s">
        <v>9</v>
      </c>
      <c r="C1555" t="s">
        <v>10</v>
      </c>
      <c r="D1555" t="s">
        <v>24</v>
      </c>
      <c r="E1555">
        <v>95.6</v>
      </c>
      <c r="F1555">
        <v>16</v>
      </c>
      <c r="G1555">
        <v>1529.6</v>
      </c>
      <c r="H1555" t="s">
        <v>18</v>
      </c>
      <c r="I1555" t="str">
        <f t="shared" si="73"/>
        <v>Low Value</v>
      </c>
      <c r="J1555" t="str">
        <f t="shared" si="74"/>
        <v>Medium Risk</v>
      </c>
      <c r="K1555" s="3" t="str">
        <f t="shared" si="72"/>
        <v>1-2 Years</v>
      </c>
    </row>
    <row r="1556" spans="1:11" x14ac:dyDescent="0.3">
      <c r="A1556" t="s">
        <v>1573</v>
      </c>
      <c r="B1556" t="s">
        <v>9</v>
      </c>
      <c r="C1556" t="s">
        <v>10</v>
      </c>
      <c r="D1556" t="s">
        <v>16</v>
      </c>
      <c r="E1556">
        <v>20.350000000000001</v>
      </c>
      <c r="F1556">
        <v>2</v>
      </c>
      <c r="G1556">
        <v>40.700000000000003</v>
      </c>
      <c r="H1556" t="s">
        <v>12</v>
      </c>
      <c r="I1556" t="str">
        <f t="shared" si="73"/>
        <v>Low Value</v>
      </c>
      <c r="J1556" t="str">
        <f t="shared" si="74"/>
        <v>High Risk</v>
      </c>
      <c r="K1556" s="3" t="str">
        <f t="shared" si="72"/>
        <v>0-1 Year</v>
      </c>
    </row>
    <row r="1557" spans="1:11" x14ac:dyDescent="0.3">
      <c r="A1557" t="s">
        <v>1574</v>
      </c>
      <c r="B1557" t="s">
        <v>14</v>
      </c>
      <c r="C1557" t="s">
        <v>15</v>
      </c>
      <c r="D1557" t="s">
        <v>20</v>
      </c>
      <c r="E1557">
        <v>45.05</v>
      </c>
      <c r="F1557">
        <v>39</v>
      </c>
      <c r="G1557">
        <v>1756.94999999999</v>
      </c>
      <c r="H1557" t="s">
        <v>12</v>
      </c>
      <c r="I1557" t="str">
        <f t="shared" si="73"/>
        <v>Low Value</v>
      </c>
      <c r="J1557" t="str">
        <f t="shared" si="74"/>
        <v>Low Risk</v>
      </c>
      <c r="K1557" s="3" t="str">
        <f t="shared" si="72"/>
        <v>2-4 Years</v>
      </c>
    </row>
    <row r="1558" spans="1:11" x14ac:dyDescent="0.3">
      <c r="A1558" t="s">
        <v>1575</v>
      </c>
      <c r="B1558" t="s">
        <v>14</v>
      </c>
      <c r="C1558" t="s">
        <v>10</v>
      </c>
      <c r="D1558" t="s">
        <v>11</v>
      </c>
      <c r="E1558">
        <v>74.95</v>
      </c>
      <c r="F1558">
        <v>1</v>
      </c>
      <c r="G1558">
        <v>74.95</v>
      </c>
      <c r="H1558" t="s">
        <v>18</v>
      </c>
      <c r="I1558" t="str">
        <f t="shared" si="73"/>
        <v>Low Value</v>
      </c>
      <c r="J1558" t="str">
        <f t="shared" si="74"/>
        <v>High Risk</v>
      </c>
      <c r="K1558" s="3" t="str">
        <f t="shared" si="72"/>
        <v>0-1 Year</v>
      </c>
    </row>
    <row r="1559" spans="1:11" x14ac:dyDescent="0.3">
      <c r="A1559" t="s">
        <v>1576</v>
      </c>
      <c r="B1559" t="s">
        <v>9</v>
      </c>
      <c r="C1559" t="s">
        <v>10</v>
      </c>
      <c r="D1559" t="s">
        <v>16</v>
      </c>
      <c r="E1559">
        <v>34.65</v>
      </c>
      <c r="F1559">
        <v>7</v>
      </c>
      <c r="G1559">
        <v>242.54999999999899</v>
      </c>
      <c r="H1559" t="s">
        <v>12</v>
      </c>
      <c r="I1559" t="str">
        <f t="shared" si="73"/>
        <v>Low Value</v>
      </c>
      <c r="J1559" t="str">
        <f t="shared" si="74"/>
        <v>High Risk</v>
      </c>
      <c r="K1559" s="3" t="str">
        <f t="shared" si="72"/>
        <v>0-1 Year</v>
      </c>
    </row>
    <row r="1560" spans="1:11" x14ac:dyDescent="0.3">
      <c r="A1560" t="s">
        <v>1577</v>
      </c>
      <c r="B1560" t="s">
        <v>14</v>
      </c>
      <c r="C1560" t="s">
        <v>10</v>
      </c>
      <c r="D1560" t="s">
        <v>11</v>
      </c>
      <c r="E1560">
        <v>69.349999999999994</v>
      </c>
      <c r="F1560">
        <v>4</v>
      </c>
      <c r="G1560">
        <v>277.39999999999998</v>
      </c>
      <c r="H1560" t="s">
        <v>12</v>
      </c>
      <c r="I1560" t="str">
        <f t="shared" si="73"/>
        <v>Low Value</v>
      </c>
      <c r="J1560" t="str">
        <f t="shared" si="74"/>
        <v>High Risk</v>
      </c>
      <c r="K1560" s="3" t="str">
        <f t="shared" si="72"/>
        <v>0-1 Year</v>
      </c>
    </row>
    <row r="1561" spans="1:11" x14ac:dyDescent="0.3">
      <c r="A1561" t="s">
        <v>1578</v>
      </c>
      <c r="B1561" t="s">
        <v>14</v>
      </c>
      <c r="C1561" t="s">
        <v>10</v>
      </c>
      <c r="D1561" t="s">
        <v>11</v>
      </c>
      <c r="E1561">
        <v>95.35</v>
      </c>
      <c r="F1561">
        <v>10</v>
      </c>
      <c r="G1561">
        <v>953.5</v>
      </c>
      <c r="H1561" t="s">
        <v>18</v>
      </c>
      <c r="I1561" t="str">
        <f t="shared" si="73"/>
        <v>Low Value</v>
      </c>
      <c r="J1561" t="str">
        <f t="shared" si="74"/>
        <v>High Risk</v>
      </c>
      <c r="K1561" s="3" t="str">
        <f t="shared" si="72"/>
        <v>0-1 Year</v>
      </c>
    </row>
    <row r="1562" spans="1:11" x14ac:dyDescent="0.3">
      <c r="A1562" t="s">
        <v>1579</v>
      </c>
      <c r="B1562" t="s">
        <v>9</v>
      </c>
      <c r="C1562" t="s">
        <v>10</v>
      </c>
      <c r="D1562" t="s">
        <v>11</v>
      </c>
      <c r="E1562">
        <v>81.55</v>
      </c>
      <c r="F1562">
        <v>55</v>
      </c>
      <c r="G1562">
        <v>4485.25</v>
      </c>
      <c r="H1562" t="s">
        <v>12</v>
      </c>
      <c r="I1562" t="str">
        <f t="shared" si="73"/>
        <v>Medium Value</v>
      </c>
      <c r="J1562" t="str">
        <f t="shared" si="74"/>
        <v>Low Risk</v>
      </c>
      <c r="K1562" s="3" t="str">
        <f t="shared" si="72"/>
        <v>4+ Years</v>
      </c>
    </row>
    <row r="1563" spans="1:11" x14ac:dyDescent="0.3">
      <c r="A1563" t="s">
        <v>1580</v>
      </c>
      <c r="B1563" t="s">
        <v>14</v>
      </c>
      <c r="C1563" t="s">
        <v>30</v>
      </c>
      <c r="D1563" t="s">
        <v>20</v>
      </c>
      <c r="E1563">
        <v>75.400000000000006</v>
      </c>
      <c r="F1563">
        <v>72</v>
      </c>
      <c r="G1563">
        <v>5428.8</v>
      </c>
      <c r="H1563" t="s">
        <v>12</v>
      </c>
      <c r="I1563" t="str">
        <f t="shared" si="73"/>
        <v>High Value</v>
      </c>
      <c r="J1563" t="str">
        <f t="shared" si="74"/>
        <v>Low Risk</v>
      </c>
      <c r="K1563" s="3" t="str">
        <f t="shared" si="72"/>
        <v>4+ Years</v>
      </c>
    </row>
    <row r="1564" spans="1:11" x14ac:dyDescent="0.3">
      <c r="A1564" t="s">
        <v>1581</v>
      </c>
      <c r="B1564" t="s">
        <v>9</v>
      </c>
      <c r="C1564" t="s">
        <v>10</v>
      </c>
      <c r="D1564" t="s">
        <v>24</v>
      </c>
      <c r="E1564">
        <v>67.8</v>
      </c>
      <c r="F1564">
        <v>10</v>
      </c>
      <c r="G1564">
        <v>678</v>
      </c>
      <c r="H1564" t="s">
        <v>12</v>
      </c>
      <c r="I1564" t="str">
        <f t="shared" si="73"/>
        <v>Low Value</v>
      </c>
      <c r="J1564" t="str">
        <f t="shared" si="74"/>
        <v>High Risk</v>
      </c>
      <c r="K1564" s="3" t="str">
        <f t="shared" si="72"/>
        <v>0-1 Year</v>
      </c>
    </row>
    <row r="1565" spans="1:11" x14ac:dyDescent="0.3">
      <c r="A1565" t="s">
        <v>1582</v>
      </c>
      <c r="B1565" t="s">
        <v>14</v>
      </c>
      <c r="C1565" t="s">
        <v>10</v>
      </c>
      <c r="D1565" t="s">
        <v>11</v>
      </c>
      <c r="E1565">
        <v>111.4</v>
      </c>
      <c r="F1565">
        <v>11</v>
      </c>
      <c r="G1565">
        <v>1225.4000000000001</v>
      </c>
      <c r="H1565" t="s">
        <v>12</v>
      </c>
      <c r="I1565" t="str">
        <f t="shared" si="73"/>
        <v>Low Value</v>
      </c>
      <c r="J1565" t="str">
        <f t="shared" si="74"/>
        <v>High Risk</v>
      </c>
      <c r="K1565" s="3" t="str">
        <f t="shared" si="72"/>
        <v>0-1 Year</v>
      </c>
    </row>
    <row r="1566" spans="1:11" x14ac:dyDescent="0.3">
      <c r="A1566" t="s">
        <v>1583</v>
      </c>
      <c r="B1566" t="s">
        <v>9</v>
      </c>
      <c r="C1566" t="s">
        <v>10</v>
      </c>
      <c r="D1566" t="s">
        <v>11</v>
      </c>
      <c r="E1566">
        <v>46.3</v>
      </c>
      <c r="F1566">
        <v>15</v>
      </c>
      <c r="G1566">
        <v>694.5</v>
      </c>
      <c r="H1566" t="s">
        <v>12</v>
      </c>
      <c r="I1566" t="str">
        <f t="shared" si="73"/>
        <v>Low Value</v>
      </c>
      <c r="J1566" t="str">
        <f t="shared" si="74"/>
        <v>Medium Risk</v>
      </c>
      <c r="K1566" s="3" t="str">
        <f t="shared" si="72"/>
        <v>1-2 Years</v>
      </c>
    </row>
    <row r="1567" spans="1:11" x14ac:dyDescent="0.3">
      <c r="A1567" t="s">
        <v>1584</v>
      </c>
      <c r="B1567" t="s">
        <v>9</v>
      </c>
      <c r="C1567" t="s">
        <v>30</v>
      </c>
      <c r="D1567" t="s">
        <v>20</v>
      </c>
      <c r="E1567">
        <v>20.399999999999999</v>
      </c>
      <c r="F1567">
        <v>23</v>
      </c>
      <c r="G1567">
        <v>469.2</v>
      </c>
      <c r="H1567" t="s">
        <v>12</v>
      </c>
      <c r="I1567" t="str">
        <f t="shared" si="73"/>
        <v>Low Value</v>
      </c>
      <c r="J1567" t="str">
        <f t="shared" si="74"/>
        <v>Medium Risk</v>
      </c>
      <c r="K1567" s="3" t="str">
        <f t="shared" si="72"/>
        <v>1-2 Years</v>
      </c>
    </row>
    <row r="1568" spans="1:11" x14ac:dyDescent="0.3">
      <c r="A1568" t="s">
        <v>1585</v>
      </c>
      <c r="B1568" t="s">
        <v>14</v>
      </c>
      <c r="C1568" t="s">
        <v>10</v>
      </c>
      <c r="D1568" t="s">
        <v>16</v>
      </c>
      <c r="E1568">
        <v>20.05</v>
      </c>
      <c r="F1568">
        <v>1</v>
      </c>
      <c r="G1568">
        <v>20.05</v>
      </c>
      <c r="H1568" t="s">
        <v>12</v>
      </c>
      <c r="I1568" t="str">
        <f t="shared" si="73"/>
        <v>Low Value</v>
      </c>
      <c r="J1568" t="str">
        <f t="shared" si="74"/>
        <v>High Risk</v>
      </c>
      <c r="K1568" s="3" t="str">
        <f t="shared" si="72"/>
        <v>0-1 Year</v>
      </c>
    </row>
    <row r="1569" spans="1:11" x14ac:dyDescent="0.3">
      <c r="A1569" t="s">
        <v>1586</v>
      </c>
      <c r="B1569" t="s">
        <v>9</v>
      </c>
      <c r="C1569" t="s">
        <v>10</v>
      </c>
      <c r="D1569" t="s">
        <v>11</v>
      </c>
      <c r="E1569">
        <v>45</v>
      </c>
      <c r="F1569">
        <v>3</v>
      </c>
      <c r="G1569">
        <v>135</v>
      </c>
      <c r="H1569" t="s">
        <v>18</v>
      </c>
      <c r="I1569" t="str">
        <f t="shared" si="73"/>
        <v>Low Value</v>
      </c>
      <c r="J1569" t="str">
        <f t="shared" si="74"/>
        <v>High Risk</v>
      </c>
      <c r="K1569" s="3" t="str">
        <f t="shared" si="72"/>
        <v>0-1 Year</v>
      </c>
    </row>
    <row r="1570" spans="1:11" x14ac:dyDescent="0.3">
      <c r="A1570" t="s">
        <v>1587</v>
      </c>
      <c r="B1570" t="s">
        <v>14</v>
      </c>
      <c r="C1570" t="s">
        <v>15</v>
      </c>
      <c r="D1570" t="s">
        <v>11</v>
      </c>
      <c r="E1570">
        <v>96.1</v>
      </c>
      <c r="F1570">
        <v>47</v>
      </c>
      <c r="G1570">
        <v>4516.7</v>
      </c>
      <c r="H1570" t="s">
        <v>12</v>
      </c>
      <c r="I1570" t="str">
        <f t="shared" si="73"/>
        <v>Medium Value</v>
      </c>
      <c r="J1570" t="str">
        <f t="shared" si="74"/>
        <v>Low Risk</v>
      </c>
      <c r="K1570" s="3" t="str">
        <f t="shared" si="72"/>
        <v>2-4 Years</v>
      </c>
    </row>
    <row r="1571" spans="1:11" x14ac:dyDescent="0.3">
      <c r="A1571" t="s">
        <v>1588</v>
      </c>
      <c r="B1571" t="s">
        <v>9</v>
      </c>
      <c r="C1571" t="s">
        <v>15</v>
      </c>
      <c r="D1571" t="s">
        <v>16</v>
      </c>
      <c r="E1571">
        <v>19.649999999999999</v>
      </c>
      <c r="F1571">
        <v>15</v>
      </c>
      <c r="G1571">
        <v>294.75</v>
      </c>
      <c r="H1571" t="s">
        <v>12</v>
      </c>
      <c r="I1571" t="str">
        <f t="shared" si="73"/>
        <v>Low Value</v>
      </c>
      <c r="J1571" t="str">
        <f t="shared" si="74"/>
        <v>Medium Risk</v>
      </c>
      <c r="K1571" s="3" t="str">
        <f t="shared" si="72"/>
        <v>1-2 Years</v>
      </c>
    </row>
    <row r="1572" spans="1:11" x14ac:dyDescent="0.3">
      <c r="A1572" t="s">
        <v>1589</v>
      </c>
      <c r="B1572" t="s">
        <v>14</v>
      </c>
      <c r="C1572" t="s">
        <v>10</v>
      </c>
      <c r="D1572" t="s">
        <v>11</v>
      </c>
      <c r="E1572">
        <v>99.5</v>
      </c>
      <c r="F1572">
        <v>66</v>
      </c>
      <c r="G1572">
        <v>6567</v>
      </c>
      <c r="H1572" t="s">
        <v>18</v>
      </c>
      <c r="I1572" t="str">
        <f t="shared" si="73"/>
        <v>High Value</v>
      </c>
      <c r="J1572" t="str">
        <f t="shared" si="74"/>
        <v>Low Risk</v>
      </c>
      <c r="K1572" s="3" t="str">
        <f t="shared" si="72"/>
        <v>4+ Years</v>
      </c>
    </row>
    <row r="1573" spans="1:11" x14ac:dyDescent="0.3">
      <c r="A1573" t="s">
        <v>1590</v>
      </c>
      <c r="B1573" t="s">
        <v>9</v>
      </c>
      <c r="C1573" t="s">
        <v>15</v>
      </c>
      <c r="D1573" t="s">
        <v>20</v>
      </c>
      <c r="E1573">
        <v>60.65</v>
      </c>
      <c r="F1573">
        <v>68</v>
      </c>
      <c r="G1573">
        <v>4124.2</v>
      </c>
      <c r="H1573" t="s">
        <v>12</v>
      </c>
      <c r="I1573" t="str">
        <f t="shared" si="73"/>
        <v>Medium Value</v>
      </c>
      <c r="J1573" t="str">
        <f t="shared" si="74"/>
        <v>Low Risk</v>
      </c>
      <c r="K1573" s="3" t="str">
        <f t="shared" si="72"/>
        <v>4+ Years</v>
      </c>
    </row>
    <row r="1574" spans="1:11" x14ac:dyDescent="0.3">
      <c r="A1574" t="s">
        <v>1591</v>
      </c>
      <c r="B1574" t="s">
        <v>9</v>
      </c>
      <c r="C1574" t="s">
        <v>15</v>
      </c>
      <c r="D1574" t="s">
        <v>20</v>
      </c>
      <c r="E1574">
        <v>98.6</v>
      </c>
      <c r="F1574">
        <v>17</v>
      </c>
      <c r="G1574">
        <v>1676.19999999999</v>
      </c>
      <c r="H1574" t="s">
        <v>18</v>
      </c>
      <c r="I1574" t="str">
        <f t="shared" si="73"/>
        <v>Low Value</v>
      </c>
      <c r="J1574" t="str">
        <f t="shared" si="74"/>
        <v>Medium Risk</v>
      </c>
      <c r="K1574" s="3" t="str">
        <f t="shared" si="72"/>
        <v>1-2 Years</v>
      </c>
    </row>
    <row r="1575" spans="1:11" x14ac:dyDescent="0.3">
      <c r="A1575" t="s">
        <v>1592</v>
      </c>
      <c r="B1575" t="s">
        <v>9</v>
      </c>
      <c r="C1575" t="s">
        <v>10</v>
      </c>
      <c r="D1575" t="s">
        <v>16</v>
      </c>
      <c r="E1575">
        <v>59.5</v>
      </c>
      <c r="F1575">
        <v>7</v>
      </c>
      <c r="G1575">
        <v>416.5</v>
      </c>
      <c r="H1575" t="s">
        <v>18</v>
      </c>
      <c r="I1575" t="str">
        <f t="shared" si="73"/>
        <v>Low Value</v>
      </c>
      <c r="J1575" t="str">
        <f t="shared" si="74"/>
        <v>High Risk</v>
      </c>
      <c r="K1575" s="3" t="str">
        <f t="shared" si="72"/>
        <v>0-1 Year</v>
      </c>
    </row>
    <row r="1576" spans="1:11" x14ac:dyDescent="0.3">
      <c r="A1576" t="s">
        <v>1593</v>
      </c>
      <c r="B1576" t="s">
        <v>14</v>
      </c>
      <c r="C1576" t="s">
        <v>10</v>
      </c>
      <c r="D1576" t="s">
        <v>11</v>
      </c>
      <c r="E1576">
        <v>80.45</v>
      </c>
      <c r="F1576">
        <v>12</v>
      </c>
      <c r="G1576">
        <v>965.4</v>
      </c>
      <c r="H1576" t="s">
        <v>18</v>
      </c>
      <c r="I1576" t="str">
        <f t="shared" si="73"/>
        <v>Low Value</v>
      </c>
      <c r="J1576" t="str">
        <f t="shared" si="74"/>
        <v>Medium Risk</v>
      </c>
      <c r="K1576" s="3" t="str">
        <f t="shared" si="72"/>
        <v>0-1 Year</v>
      </c>
    </row>
    <row r="1577" spans="1:11" x14ac:dyDescent="0.3">
      <c r="A1577" t="s">
        <v>1594</v>
      </c>
      <c r="B1577" t="s">
        <v>9</v>
      </c>
      <c r="C1577" t="s">
        <v>15</v>
      </c>
      <c r="D1577" t="s">
        <v>20</v>
      </c>
      <c r="E1577">
        <v>71.7</v>
      </c>
      <c r="F1577">
        <v>21</v>
      </c>
      <c r="G1577">
        <v>1505.7</v>
      </c>
      <c r="H1577" t="s">
        <v>12</v>
      </c>
      <c r="I1577" t="str">
        <f t="shared" si="73"/>
        <v>Low Value</v>
      </c>
      <c r="J1577" t="str">
        <f t="shared" si="74"/>
        <v>Medium Risk</v>
      </c>
      <c r="K1577" s="3" t="str">
        <f t="shared" si="72"/>
        <v>1-2 Years</v>
      </c>
    </row>
    <row r="1578" spans="1:11" x14ac:dyDescent="0.3">
      <c r="A1578" t="s">
        <v>1595</v>
      </c>
      <c r="B1578" t="s">
        <v>14</v>
      </c>
      <c r="C1578" t="s">
        <v>10</v>
      </c>
      <c r="D1578" t="s">
        <v>16</v>
      </c>
      <c r="E1578">
        <v>36</v>
      </c>
      <c r="F1578">
        <v>21</v>
      </c>
      <c r="G1578">
        <v>756</v>
      </c>
      <c r="H1578" t="s">
        <v>12</v>
      </c>
      <c r="I1578" t="str">
        <f t="shared" si="73"/>
        <v>Low Value</v>
      </c>
      <c r="J1578" t="str">
        <f t="shared" si="74"/>
        <v>Medium Risk</v>
      </c>
      <c r="K1578" s="3" t="str">
        <f t="shared" si="72"/>
        <v>1-2 Years</v>
      </c>
    </row>
    <row r="1579" spans="1:11" x14ac:dyDescent="0.3">
      <c r="A1579" t="s">
        <v>1596</v>
      </c>
      <c r="B1579" t="s">
        <v>9</v>
      </c>
      <c r="C1579" t="s">
        <v>15</v>
      </c>
      <c r="D1579" t="s">
        <v>20</v>
      </c>
      <c r="E1579">
        <v>65.2</v>
      </c>
      <c r="F1579">
        <v>56</v>
      </c>
      <c r="G1579">
        <v>3651.2</v>
      </c>
      <c r="H1579" t="s">
        <v>12</v>
      </c>
      <c r="I1579" t="str">
        <f t="shared" si="73"/>
        <v>Medium Value</v>
      </c>
      <c r="J1579" t="str">
        <f t="shared" si="74"/>
        <v>Low Risk</v>
      </c>
      <c r="K1579" s="3" t="str">
        <f t="shared" si="72"/>
        <v>4+ Years</v>
      </c>
    </row>
    <row r="1580" spans="1:11" x14ac:dyDescent="0.3">
      <c r="A1580" t="s">
        <v>1597</v>
      </c>
      <c r="B1580" t="s">
        <v>9</v>
      </c>
      <c r="C1580" t="s">
        <v>10</v>
      </c>
      <c r="D1580" t="s">
        <v>24</v>
      </c>
      <c r="E1580">
        <v>48.95</v>
      </c>
      <c r="F1580">
        <v>6</v>
      </c>
      <c r="G1580">
        <v>293.7</v>
      </c>
      <c r="H1580" t="s">
        <v>12</v>
      </c>
      <c r="I1580" t="str">
        <f t="shared" si="73"/>
        <v>Low Value</v>
      </c>
      <c r="J1580" t="str">
        <f t="shared" si="74"/>
        <v>High Risk</v>
      </c>
      <c r="K1580" s="3" t="str">
        <f t="shared" si="72"/>
        <v>0-1 Year</v>
      </c>
    </row>
    <row r="1581" spans="1:11" x14ac:dyDescent="0.3">
      <c r="A1581" t="s">
        <v>1598</v>
      </c>
      <c r="B1581" t="s">
        <v>9</v>
      </c>
      <c r="C1581" t="s">
        <v>30</v>
      </c>
      <c r="D1581" t="s">
        <v>20</v>
      </c>
      <c r="E1581">
        <v>53.5</v>
      </c>
      <c r="F1581">
        <v>65</v>
      </c>
      <c r="G1581">
        <v>3477.5</v>
      </c>
      <c r="H1581" t="s">
        <v>12</v>
      </c>
      <c r="I1581" t="str">
        <f t="shared" si="73"/>
        <v>Medium Value</v>
      </c>
      <c r="J1581" t="str">
        <f t="shared" si="74"/>
        <v>Low Risk</v>
      </c>
      <c r="K1581" s="3" t="str">
        <f t="shared" si="72"/>
        <v>4+ Years</v>
      </c>
    </row>
    <row r="1582" spans="1:11" x14ac:dyDescent="0.3">
      <c r="A1582" t="s">
        <v>1599</v>
      </c>
      <c r="B1582" t="s">
        <v>14</v>
      </c>
      <c r="C1582" t="s">
        <v>15</v>
      </c>
      <c r="D1582" t="s">
        <v>24</v>
      </c>
      <c r="E1582">
        <v>80.45</v>
      </c>
      <c r="F1582">
        <v>42</v>
      </c>
      <c r="G1582">
        <v>3378.9</v>
      </c>
      <c r="H1582" t="s">
        <v>12</v>
      </c>
      <c r="I1582" t="str">
        <f t="shared" si="73"/>
        <v>Medium Value</v>
      </c>
      <c r="J1582" t="str">
        <f t="shared" si="74"/>
        <v>Low Risk</v>
      </c>
      <c r="K1582" s="3" t="str">
        <f t="shared" si="72"/>
        <v>2-4 Years</v>
      </c>
    </row>
    <row r="1583" spans="1:11" x14ac:dyDescent="0.3">
      <c r="A1583" t="s">
        <v>1600</v>
      </c>
      <c r="B1583" t="s">
        <v>9</v>
      </c>
      <c r="C1583" t="s">
        <v>30</v>
      </c>
      <c r="D1583" t="s">
        <v>20</v>
      </c>
      <c r="E1583">
        <v>109.05</v>
      </c>
      <c r="F1583">
        <v>68</v>
      </c>
      <c r="G1583">
        <v>7415.4</v>
      </c>
      <c r="H1583" t="s">
        <v>12</v>
      </c>
      <c r="I1583" t="str">
        <f t="shared" si="73"/>
        <v>High Value</v>
      </c>
      <c r="J1583" t="str">
        <f t="shared" si="74"/>
        <v>Low Risk</v>
      </c>
      <c r="K1583" s="3" t="str">
        <f t="shared" si="72"/>
        <v>4+ Years</v>
      </c>
    </row>
    <row r="1584" spans="1:11" x14ac:dyDescent="0.3">
      <c r="A1584" t="s">
        <v>1601</v>
      </c>
      <c r="B1584" t="s">
        <v>14</v>
      </c>
      <c r="C1584" t="s">
        <v>30</v>
      </c>
      <c r="D1584" t="s">
        <v>20</v>
      </c>
      <c r="E1584">
        <v>26.3</v>
      </c>
      <c r="F1584">
        <v>48</v>
      </c>
      <c r="G1584">
        <v>1262.4000000000001</v>
      </c>
      <c r="H1584" t="s">
        <v>12</v>
      </c>
      <c r="I1584" t="str">
        <f t="shared" si="73"/>
        <v>Low Value</v>
      </c>
      <c r="J1584" t="str">
        <f t="shared" si="74"/>
        <v>Low Risk</v>
      </c>
      <c r="K1584" s="3" t="str">
        <f t="shared" si="72"/>
        <v>2-4 Years</v>
      </c>
    </row>
    <row r="1585" spans="1:11" x14ac:dyDescent="0.3">
      <c r="A1585" t="s">
        <v>1602</v>
      </c>
      <c r="B1585" t="s">
        <v>9</v>
      </c>
      <c r="C1585" t="s">
        <v>15</v>
      </c>
      <c r="D1585" t="s">
        <v>11</v>
      </c>
      <c r="E1585">
        <v>106.8</v>
      </c>
      <c r="F1585">
        <v>50</v>
      </c>
      <c r="G1585">
        <v>5340</v>
      </c>
      <c r="H1585" t="s">
        <v>12</v>
      </c>
      <c r="I1585" t="str">
        <f t="shared" si="73"/>
        <v>High Value</v>
      </c>
      <c r="J1585" t="str">
        <f t="shared" si="74"/>
        <v>Low Risk</v>
      </c>
      <c r="K1585" s="3" t="str">
        <f t="shared" si="72"/>
        <v>4+ Years</v>
      </c>
    </row>
    <row r="1586" spans="1:11" x14ac:dyDescent="0.3">
      <c r="A1586" t="s">
        <v>1603</v>
      </c>
      <c r="B1586" t="s">
        <v>9</v>
      </c>
      <c r="C1586" t="s">
        <v>10</v>
      </c>
      <c r="D1586" t="s">
        <v>11</v>
      </c>
      <c r="E1586">
        <v>64.95</v>
      </c>
      <c r="F1586">
        <v>7</v>
      </c>
      <c r="G1586">
        <v>454.65</v>
      </c>
      <c r="H1586" t="s">
        <v>12</v>
      </c>
      <c r="I1586" t="str">
        <f t="shared" si="73"/>
        <v>Low Value</v>
      </c>
      <c r="J1586" t="str">
        <f t="shared" si="74"/>
        <v>High Risk</v>
      </c>
      <c r="K1586" s="3" t="str">
        <f t="shared" si="72"/>
        <v>0-1 Year</v>
      </c>
    </row>
    <row r="1587" spans="1:11" x14ac:dyDescent="0.3">
      <c r="A1587" t="s">
        <v>1604</v>
      </c>
      <c r="B1587" t="s">
        <v>9</v>
      </c>
      <c r="C1587" t="s">
        <v>30</v>
      </c>
      <c r="D1587" t="s">
        <v>11</v>
      </c>
      <c r="E1587">
        <v>19.350000000000001</v>
      </c>
      <c r="F1587">
        <v>63</v>
      </c>
      <c r="G1587">
        <v>1219.05</v>
      </c>
      <c r="H1587" t="s">
        <v>12</v>
      </c>
      <c r="I1587" t="str">
        <f t="shared" si="73"/>
        <v>Low Value</v>
      </c>
      <c r="J1587" t="str">
        <f t="shared" si="74"/>
        <v>Low Risk</v>
      </c>
      <c r="K1587" s="3" t="str">
        <f t="shared" si="72"/>
        <v>4+ Years</v>
      </c>
    </row>
    <row r="1588" spans="1:11" x14ac:dyDescent="0.3">
      <c r="A1588" t="s">
        <v>1605</v>
      </c>
      <c r="B1588" t="s">
        <v>14</v>
      </c>
      <c r="C1588" t="s">
        <v>10</v>
      </c>
      <c r="D1588" t="s">
        <v>24</v>
      </c>
      <c r="E1588">
        <v>21.1</v>
      </c>
      <c r="F1588">
        <v>17</v>
      </c>
      <c r="G1588">
        <v>358.7</v>
      </c>
      <c r="H1588" t="s">
        <v>12</v>
      </c>
      <c r="I1588" t="str">
        <f t="shared" si="73"/>
        <v>Low Value</v>
      </c>
      <c r="J1588" t="str">
        <f t="shared" si="74"/>
        <v>Medium Risk</v>
      </c>
      <c r="K1588" s="3" t="str">
        <f t="shared" si="72"/>
        <v>1-2 Years</v>
      </c>
    </row>
    <row r="1589" spans="1:11" x14ac:dyDescent="0.3">
      <c r="A1589" t="s">
        <v>1606</v>
      </c>
      <c r="B1589" t="s">
        <v>9</v>
      </c>
      <c r="C1589" t="s">
        <v>10</v>
      </c>
      <c r="D1589" t="s">
        <v>24</v>
      </c>
      <c r="E1589">
        <v>77.95</v>
      </c>
      <c r="F1589">
        <v>42</v>
      </c>
      <c r="G1589">
        <v>3273.9</v>
      </c>
      <c r="H1589" t="s">
        <v>18</v>
      </c>
      <c r="I1589" t="str">
        <f t="shared" si="73"/>
        <v>Medium Value</v>
      </c>
      <c r="J1589" t="str">
        <f t="shared" si="74"/>
        <v>Low Risk</v>
      </c>
      <c r="K1589" s="3" t="str">
        <f t="shared" si="72"/>
        <v>2-4 Years</v>
      </c>
    </row>
    <row r="1590" spans="1:11" x14ac:dyDescent="0.3">
      <c r="A1590" t="s">
        <v>1607</v>
      </c>
      <c r="B1590" t="s">
        <v>14</v>
      </c>
      <c r="C1590" t="s">
        <v>10</v>
      </c>
      <c r="D1590" t="s">
        <v>16</v>
      </c>
      <c r="E1590">
        <v>18.850000000000001</v>
      </c>
      <c r="F1590">
        <v>4</v>
      </c>
      <c r="G1590">
        <v>75.400000000000006</v>
      </c>
      <c r="H1590" t="s">
        <v>12</v>
      </c>
      <c r="I1590" t="str">
        <f t="shared" si="73"/>
        <v>Low Value</v>
      </c>
      <c r="J1590" t="str">
        <f t="shared" si="74"/>
        <v>High Risk</v>
      </c>
      <c r="K1590" s="3" t="str">
        <f t="shared" si="72"/>
        <v>0-1 Year</v>
      </c>
    </row>
    <row r="1591" spans="1:11" x14ac:dyDescent="0.3">
      <c r="A1591" t="s">
        <v>1608</v>
      </c>
      <c r="B1591" t="s">
        <v>9</v>
      </c>
      <c r="C1591" t="s">
        <v>30</v>
      </c>
      <c r="D1591" t="s">
        <v>20</v>
      </c>
      <c r="E1591">
        <v>26</v>
      </c>
      <c r="F1591">
        <v>62</v>
      </c>
      <c r="G1591">
        <v>1612</v>
      </c>
      <c r="H1591" t="s">
        <v>12</v>
      </c>
      <c r="I1591" t="str">
        <f t="shared" si="73"/>
        <v>Low Value</v>
      </c>
      <c r="J1591" t="str">
        <f t="shared" si="74"/>
        <v>Low Risk</v>
      </c>
      <c r="K1591" s="3" t="str">
        <f t="shared" si="72"/>
        <v>4+ Years</v>
      </c>
    </row>
    <row r="1592" spans="1:11" x14ac:dyDescent="0.3">
      <c r="A1592" t="s">
        <v>1609</v>
      </c>
      <c r="B1592" t="s">
        <v>14</v>
      </c>
      <c r="C1592" t="s">
        <v>10</v>
      </c>
      <c r="D1592" t="s">
        <v>11</v>
      </c>
      <c r="E1592">
        <v>74.7</v>
      </c>
      <c r="F1592">
        <v>2</v>
      </c>
      <c r="G1592">
        <v>149.4</v>
      </c>
      <c r="H1592" t="s">
        <v>18</v>
      </c>
      <c r="I1592" t="str">
        <f t="shared" si="73"/>
        <v>Low Value</v>
      </c>
      <c r="J1592" t="str">
        <f t="shared" si="74"/>
        <v>High Risk</v>
      </c>
      <c r="K1592" s="3" t="str">
        <f t="shared" si="72"/>
        <v>0-1 Year</v>
      </c>
    </row>
    <row r="1593" spans="1:11" x14ac:dyDescent="0.3">
      <c r="A1593" t="s">
        <v>1610</v>
      </c>
      <c r="B1593" t="s">
        <v>9</v>
      </c>
      <c r="C1593" t="s">
        <v>10</v>
      </c>
      <c r="D1593" t="s">
        <v>11</v>
      </c>
      <c r="E1593">
        <v>70.349999999999994</v>
      </c>
      <c r="F1593">
        <v>2</v>
      </c>
      <c r="G1593">
        <v>140.69999999999999</v>
      </c>
      <c r="H1593" t="s">
        <v>12</v>
      </c>
      <c r="I1593" t="str">
        <f t="shared" si="73"/>
        <v>Low Value</v>
      </c>
      <c r="J1593" t="str">
        <f t="shared" si="74"/>
        <v>High Risk</v>
      </c>
      <c r="K1593" s="3" t="str">
        <f t="shared" si="72"/>
        <v>0-1 Year</v>
      </c>
    </row>
    <row r="1594" spans="1:11" x14ac:dyDescent="0.3">
      <c r="A1594" t="s">
        <v>1611</v>
      </c>
      <c r="B1594" t="s">
        <v>14</v>
      </c>
      <c r="C1594" t="s">
        <v>30</v>
      </c>
      <c r="D1594" t="s">
        <v>20</v>
      </c>
      <c r="E1594">
        <v>96.9</v>
      </c>
      <c r="F1594">
        <v>48</v>
      </c>
      <c r="G1594">
        <v>4651.2</v>
      </c>
      <c r="H1594" t="s">
        <v>12</v>
      </c>
      <c r="I1594" t="str">
        <f t="shared" si="73"/>
        <v>Medium Value</v>
      </c>
      <c r="J1594" t="str">
        <f t="shared" si="74"/>
        <v>Low Risk</v>
      </c>
      <c r="K1594" s="3" t="str">
        <f t="shared" si="72"/>
        <v>2-4 Years</v>
      </c>
    </row>
    <row r="1595" spans="1:11" x14ac:dyDescent="0.3">
      <c r="A1595" t="s">
        <v>1612</v>
      </c>
      <c r="B1595" t="s">
        <v>14</v>
      </c>
      <c r="C1595" t="s">
        <v>30</v>
      </c>
      <c r="D1595" t="s">
        <v>20</v>
      </c>
      <c r="E1595">
        <v>19.55</v>
      </c>
      <c r="F1595">
        <v>27</v>
      </c>
      <c r="G1595">
        <v>527.85</v>
      </c>
      <c r="H1595" t="s">
        <v>12</v>
      </c>
      <c r="I1595" t="str">
        <f t="shared" si="73"/>
        <v>Low Value</v>
      </c>
      <c r="J1595" t="str">
        <f t="shared" si="74"/>
        <v>Low Risk</v>
      </c>
      <c r="K1595" s="3" t="str">
        <f t="shared" si="72"/>
        <v>2-4 Years</v>
      </c>
    </row>
    <row r="1596" spans="1:11" x14ac:dyDescent="0.3">
      <c r="A1596" t="s">
        <v>1613</v>
      </c>
      <c r="B1596" t="s">
        <v>9</v>
      </c>
      <c r="C1596" t="s">
        <v>30</v>
      </c>
      <c r="D1596" t="s">
        <v>20</v>
      </c>
      <c r="E1596">
        <v>80.400000000000006</v>
      </c>
      <c r="F1596">
        <v>70</v>
      </c>
      <c r="G1596">
        <v>5628</v>
      </c>
      <c r="H1596" t="s">
        <v>12</v>
      </c>
      <c r="I1596" t="str">
        <f t="shared" si="73"/>
        <v>High Value</v>
      </c>
      <c r="J1596" t="str">
        <f t="shared" si="74"/>
        <v>Low Risk</v>
      </c>
      <c r="K1596" s="3" t="str">
        <f t="shared" si="72"/>
        <v>4+ Years</v>
      </c>
    </row>
    <row r="1597" spans="1:11" x14ac:dyDescent="0.3">
      <c r="A1597" t="s">
        <v>1614</v>
      </c>
      <c r="B1597" t="s">
        <v>14</v>
      </c>
      <c r="C1597" t="s">
        <v>10</v>
      </c>
      <c r="D1597" t="s">
        <v>11</v>
      </c>
      <c r="E1597">
        <v>88.8</v>
      </c>
      <c r="F1597">
        <v>1</v>
      </c>
      <c r="G1597">
        <v>88.8</v>
      </c>
      <c r="H1597" t="s">
        <v>18</v>
      </c>
      <c r="I1597" t="str">
        <f t="shared" si="73"/>
        <v>Low Value</v>
      </c>
      <c r="J1597" t="str">
        <f t="shared" si="74"/>
        <v>High Risk</v>
      </c>
      <c r="K1597" s="3" t="str">
        <f t="shared" si="72"/>
        <v>0-1 Year</v>
      </c>
    </row>
    <row r="1598" spans="1:11" x14ac:dyDescent="0.3">
      <c r="A1598" t="s">
        <v>1615</v>
      </c>
      <c r="B1598" t="s">
        <v>14</v>
      </c>
      <c r="C1598" t="s">
        <v>15</v>
      </c>
      <c r="D1598" t="s">
        <v>11</v>
      </c>
      <c r="E1598">
        <v>94.65</v>
      </c>
      <c r="F1598">
        <v>46</v>
      </c>
      <c r="G1598">
        <v>4353.8999999999996</v>
      </c>
      <c r="H1598" t="s">
        <v>12</v>
      </c>
      <c r="I1598" t="str">
        <f t="shared" si="73"/>
        <v>Medium Value</v>
      </c>
      <c r="J1598" t="str">
        <f t="shared" si="74"/>
        <v>Low Risk</v>
      </c>
      <c r="K1598" s="3" t="str">
        <f t="shared" si="72"/>
        <v>2-4 Years</v>
      </c>
    </row>
    <row r="1599" spans="1:11" x14ac:dyDescent="0.3">
      <c r="A1599" t="s">
        <v>1616</v>
      </c>
      <c r="B1599" t="s">
        <v>14</v>
      </c>
      <c r="C1599" t="s">
        <v>10</v>
      </c>
      <c r="D1599" t="s">
        <v>11</v>
      </c>
      <c r="E1599">
        <v>90.25</v>
      </c>
      <c r="F1599">
        <v>30</v>
      </c>
      <c r="G1599">
        <v>2707.5</v>
      </c>
      <c r="H1599" t="s">
        <v>18</v>
      </c>
      <c r="I1599" t="str">
        <f t="shared" si="73"/>
        <v>Medium Value</v>
      </c>
      <c r="J1599" t="str">
        <f t="shared" si="74"/>
        <v>Low Risk</v>
      </c>
      <c r="K1599" s="3" t="str">
        <f t="shared" si="72"/>
        <v>2-4 Years</v>
      </c>
    </row>
    <row r="1600" spans="1:11" x14ac:dyDescent="0.3">
      <c r="A1600" t="s">
        <v>1617</v>
      </c>
      <c r="B1600" t="s">
        <v>9</v>
      </c>
      <c r="C1600" t="s">
        <v>10</v>
      </c>
      <c r="D1600" t="s">
        <v>20</v>
      </c>
      <c r="E1600">
        <v>64.650000000000006</v>
      </c>
      <c r="F1600">
        <v>15</v>
      </c>
      <c r="G1600">
        <v>969.75</v>
      </c>
      <c r="H1600" t="s">
        <v>18</v>
      </c>
      <c r="I1600" t="str">
        <f t="shared" si="73"/>
        <v>Low Value</v>
      </c>
      <c r="J1600" t="str">
        <f t="shared" si="74"/>
        <v>Medium Risk</v>
      </c>
      <c r="K1600" s="3" t="str">
        <f t="shared" si="72"/>
        <v>1-2 Years</v>
      </c>
    </row>
    <row r="1601" spans="1:11" x14ac:dyDescent="0.3">
      <c r="A1601" t="s">
        <v>1618</v>
      </c>
      <c r="B1601" t="s">
        <v>14</v>
      </c>
      <c r="C1601" t="s">
        <v>15</v>
      </c>
      <c r="D1601" t="s">
        <v>24</v>
      </c>
      <c r="E1601">
        <v>95.75</v>
      </c>
      <c r="F1601">
        <v>69</v>
      </c>
      <c r="G1601">
        <v>6606.75</v>
      </c>
      <c r="H1601" t="s">
        <v>12</v>
      </c>
      <c r="I1601" t="str">
        <f t="shared" si="73"/>
        <v>High Value</v>
      </c>
      <c r="J1601" t="str">
        <f t="shared" si="74"/>
        <v>Low Risk</v>
      </c>
      <c r="K1601" s="3" t="str">
        <f t="shared" si="72"/>
        <v>4+ Years</v>
      </c>
    </row>
    <row r="1602" spans="1:11" x14ac:dyDescent="0.3">
      <c r="A1602" t="s">
        <v>1619</v>
      </c>
      <c r="B1602" t="s">
        <v>14</v>
      </c>
      <c r="C1602" t="s">
        <v>30</v>
      </c>
      <c r="D1602" t="s">
        <v>24</v>
      </c>
      <c r="E1602">
        <v>19.55</v>
      </c>
      <c r="F1602">
        <v>65</v>
      </c>
      <c r="G1602">
        <v>1270.75</v>
      </c>
      <c r="H1602" t="s">
        <v>12</v>
      </c>
      <c r="I1602" t="str">
        <f t="shared" si="73"/>
        <v>Low Value</v>
      </c>
      <c r="J1602" t="str">
        <f t="shared" si="74"/>
        <v>Low Risk</v>
      </c>
      <c r="K1602" s="3" t="str">
        <f t="shared" si="72"/>
        <v>4+ Years</v>
      </c>
    </row>
    <row r="1603" spans="1:11" x14ac:dyDescent="0.3">
      <c r="A1603" t="s">
        <v>1620</v>
      </c>
      <c r="B1603" t="s">
        <v>14</v>
      </c>
      <c r="C1603" t="s">
        <v>30</v>
      </c>
      <c r="D1603" t="s">
        <v>24</v>
      </c>
      <c r="E1603">
        <v>104.1</v>
      </c>
      <c r="F1603">
        <v>72</v>
      </c>
      <c r="G1603">
        <v>7495.2</v>
      </c>
      <c r="H1603" t="s">
        <v>12</v>
      </c>
      <c r="I1603" t="str">
        <f t="shared" si="73"/>
        <v>High Value</v>
      </c>
      <c r="J1603" t="str">
        <f t="shared" si="74"/>
        <v>Low Risk</v>
      </c>
      <c r="K1603" s="3" t="str">
        <f t="shared" ref="K1603:K1666" si="75">IF(F1603&lt;=12,"0-1 Year",
IF(F1603&lt;=24,"1-2 Years",
IF(F1603&lt;=48,"2-4 Years","4+ Years")))</f>
        <v>4+ Years</v>
      </c>
    </row>
    <row r="1604" spans="1:11" x14ac:dyDescent="0.3">
      <c r="A1604" t="s">
        <v>1621</v>
      </c>
      <c r="B1604" t="s">
        <v>14</v>
      </c>
      <c r="C1604" t="s">
        <v>10</v>
      </c>
      <c r="D1604" t="s">
        <v>20</v>
      </c>
      <c r="E1604">
        <v>89.05</v>
      </c>
      <c r="F1604">
        <v>13</v>
      </c>
      <c r="G1604">
        <v>1157.6499999999901</v>
      </c>
      <c r="H1604" t="s">
        <v>18</v>
      </c>
      <c r="I1604" t="str">
        <f t="shared" ref="I1604:I1667" si="76">IF(G1604&gt;5000,"High Value",
IF(G1604&gt;2000,"Medium Value","Low Value"))</f>
        <v>Low Value</v>
      </c>
      <c r="J1604" t="str">
        <f t="shared" ref="J1604:J1667" si="77">IF(F1604&lt;12,"High Risk",
IF(F1604&lt;24,"Medium Risk","Low Risk"))</f>
        <v>Medium Risk</v>
      </c>
      <c r="K1604" s="3" t="str">
        <f t="shared" si="75"/>
        <v>1-2 Years</v>
      </c>
    </row>
    <row r="1605" spans="1:11" x14ac:dyDescent="0.3">
      <c r="A1605" t="s">
        <v>1622</v>
      </c>
      <c r="B1605" t="s">
        <v>14</v>
      </c>
      <c r="C1605" t="s">
        <v>15</v>
      </c>
      <c r="D1605" t="s">
        <v>16</v>
      </c>
      <c r="E1605">
        <v>20.100000000000001</v>
      </c>
      <c r="F1605">
        <v>17</v>
      </c>
      <c r="G1605">
        <v>341.7</v>
      </c>
      <c r="H1605" t="s">
        <v>12</v>
      </c>
      <c r="I1605" t="str">
        <f t="shared" si="76"/>
        <v>Low Value</v>
      </c>
      <c r="J1605" t="str">
        <f t="shared" si="77"/>
        <v>Medium Risk</v>
      </c>
      <c r="K1605" s="3" t="str">
        <f t="shared" si="75"/>
        <v>1-2 Years</v>
      </c>
    </row>
    <row r="1606" spans="1:11" x14ac:dyDescent="0.3">
      <c r="A1606" t="s">
        <v>1623</v>
      </c>
      <c r="B1606" t="s">
        <v>14</v>
      </c>
      <c r="C1606" t="s">
        <v>15</v>
      </c>
      <c r="D1606" t="s">
        <v>11</v>
      </c>
      <c r="E1606">
        <v>111.55</v>
      </c>
      <c r="F1606">
        <v>51</v>
      </c>
      <c r="G1606">
        <v>5689.05</v>
      </c>
      <c r="H1606" t="s">
        <v>12</v>
      </c>
      <c r="I1606" t="str">
        <f t="shared" si="76"/>
        <v>High Value</v>
      </c>
      <c r="J1606" t="str">
        <f t="shared" si="77"/>
        <v>Low Risk</v>
      </c>
      <c r="K1606" s="3" t="str">
        <f t="shared" si="75"/>
        <v>4+ Years</v>
      </c>
    </row>
    <row r="1607" spans="1:11" x14ac:dyDescent="0.3">
      <c r="A1607" t="s">
        <v>1624</v>
      </c>
      <c r="B1607" t="s">
        <v>14</v>
      </c>
      <c r="C1607" t="s">
        <v>30</v>
      </c>
      <c r="D1607" t="s">
        <v>24</v>
      </c>
      <c r="E1607">
        <v>60.5</v>
      </c>
      <c r="F1607">
        <v>51</v>
      </c>
      <c r="G1607">
        <v>3085.5</v>
      </c>
      <c r="H1607" t="s">
        <v>12</v>
      </c>
      <c r="I1607" t="str">
        <f t="shared" si="76"/>
        <v>Medium Value</v>
      </c>
      <c r="J1607" t="str">
        <f t="shared" si="77"/>
        <v>Low Risk</v>
      </c>
      <c r="K1607" s="3" t="str">
        <f t="shared" si="75"/>
        <v>4+ Years</v>
      </c>
    </row>
    <row r="1608" spans="1:11" x14ac:dyDescent="0.3">
      <c r="A1608" t="s">
        <v>1625</v>
      </c>
      <c r="B1608" t="s">
        <v>9</v>
      </c>
      <c r="C1608" t="s">
        <v>30</v>
      </c>
      <c r="D1608" t="s">
        <v>20</v>
      </c>
      <c r="E1608">
        <v>90.95</v>
      </c>
      <c r="F1608">
        <v>72</v>
      </c>
      <c r="G1608">
        <v>6548.4</v>
      </c>
      <c r="H1608" t="s">
        <v>12</v>
      </c>
      <c r="I1608" t="str">
        <f t="shared" si="76"/>
        <v>High Value</v>
      </c>
      <c r="J1608" t="str">
        <f t="shared" si="77"/>
        <v>Low Risk</v>
      </c>
      <c r="K1608" s="3" t="str">
        <f t="shared" si="75"/>
        <v>4+ Years</v>
      </c>
    </row>
    <row r="1609" spans="1:11" x14ac:dyDescent="0.3">
      <c r="A1609" t="s">
        <v>1626</v>
      </c>
      <c r="B1609" t="s">
        <v>14</v>
      </c>
      <c r="C1609" t="s">
        <v>15</v>
      </c>
      <c r="D1609" t="s">
        <v>11</v>
      </c>
      <c r="E1609">
        <v>87.4</v>
      </c>
      <c r="F1609">
        <v>67</v>
      </c>
      <c r="G1609">
        <v>5855.8</v>
      </c>
      <c r="H1609" t="s">
        <v>18</v>
      </c>
      <c r="I1609" t="str">
        <f t="shared" si="76"/>
        <v>High Value</v>
      </c>
      <c r="J1609" t="str">
        <f t="shared" si="77"/>
        <v>Low Risk</v>
      </c>
      <c r="K1609" s="3" t="str">
        <f t="shared" si="75"/>
        <v>4+ Years</v>
      </c>
    </row>
    <row r="1610" spans="1:11" x14ac:dyDescent="0.3">
      <c r="A1610" t="s">
        <v>1627</v>
      </c>
      <c r="B1610" t="s">
        <v>14</v>
      </c>
      <c r="C1610" t="s">
        <v>10</v>
      </c>
      <c r="D1610" t="s">
        <v>16</v>
      </c>
      <c r="E1610">
        <v>19.7</v>
      </c>
      <c r="F1610">
        <v>34</v>
      </c>
      <c r="G1610">
        <v>669.8</v>
      </c>
      <c r="H1610" t="s">
        <v>12</v>
      </c>
      <c r="I1610" t="str">
        <f t="shared" si="76"/>
        <v>Low Value</v>
      </c>
      <c r="J1610" t="str">
        <f t="shared" si="77"/>
        <v>Low Risk</v>
      </c>
      <c r="K1610" s="3" t="str">
        <f t="shared" si="75"/>
        <v>2-4 Years</v>
      </c>
    </row>
    <row r="1611" spans="1:11" x14ac:dyDescent="0.3">
      <c r="A1611" t="s">
        <v>1628</v>
      </c>
      <c r="B1611" t="s">
        <v>14</v>
      </c>
      <c r="C1611" t="s">
        <v>30</v>
      </c>
      <c r="D1611" t="s">
        <v>20</v>
      </c>
      <c r="E1611">
        <v>50.95</v>
      </c>
      <c r="F1611">
        <v>67</v>
      </c>
      <c r="G1611">
        <v>3413.65</v>
      </c>
      <c r="H1611" t="s">
        <v>12</v>
      </c>
      <c r="I1611" t="str">
        <f t="shared" si="76"/>
        <v>Medium Value</v>
      </c>
      <c r="J1611" t="str">
        <f t="shared" si="77"/>
        <v>Low Risk</v>
      </c>
      <c r="K1611" s="3" t="str">
        <f t="shared" si="75"/>
        <v>4+ Years</v>
      </c>
    </row>
    <row r="1612" spans="1:11" x14ac:dyDescent="0.3">
      <c r="A1612" t="s">
        <v>1629</v>
      </c>
      <c r="B1612" t="s">
        <v>9</v>
      </c>
      <c r="C1612" t="s">
        <v>15</v>
      </c>
      <c r="D1612" t="s">
        <v>20</v>
      </c>
      <c r="E1612">
        <v>20.05</v>
      </c>
      <c r="F1612">
        <v>49</v>
      </c>
      <c r="G1612">
        <v>982.45</v>
      </c>
      <c r="H1612" t="s">
        <v>12</v>
      </c>
      <c r="I1612" t="str">
        <f t="shared" si="76"/>
        <v>Low Value</v>
      </c>
      <c r="J1612" t="str">
        <f t="shared" si="77"/>
        <v>Low Risk</v>
      </c>
      <c r="K1612" s="3" t="str">
        <f t="shared" si="75"/>
        <v>4+ Years</v>
      </c>
    </row>
    <row r="1613" spans="1:11" x14ac:dyDescent="0.3">
      <c r="A1613" t="s">
        <v>1630</v>
      </c>
      <c r="B1613" t="s">
        <v>14</v>
      </c>
      <c r="C1613" t="s">
        <v>30</v>
      </c>
      <c r="D1613" t="s">
        <v>16</v>
      </c>
      <c r="E1613">
        <v>19.399999999999999</v>
      </c>
      <c r="F1613">
        <v>53</v>
      </c>
      <c r="G1613">
        <v>1028.19999999999</v>
      </c>
      <c r="H1613" t="s">
        <v>12</v>
      </c>
      <c r="I1613" t="str">
        <f t="shared" si="76"/>
        <v>Low Value</v>
      </c>
      <c r="J1613" t="str">
        <f t="shared" si="77"/>
        <v>Low Risk</v>
      </c>
      <c r="K1613" s="3" t="str">
        <f t="shared" si="75"/>
        <v>4+ Years</v>
      </c>
    </row>
    <row r="1614" spans="1:11" x14ac:dyDescent="0.3">
      <c r="A1614" t="s">
        <v>1631</v>
      </c>
      <c r="B1614" t="s">
        <v>14</v>
      </c>
      <c r="C1614" t="s">
        <v>10</v>
      </c>
      <c r="D1614" t="s">
        <v>11</v>
      </c>
      <c r="E1614">
        <v>59.45</v>
      </c>
      <c r="F1614">
        <v>27</v>
      </c>
      <c r="G1614">
        <v>1605.15</v>
      </c>
      <c r="H1614" t="s">
        <v>12</v>
      </c>
      <c r="I1614" t="str">
        <f t="shared" si="76"/>
        <v>Low Value</v>
      </c>
      <c r="J1614" t="str">
        <f t="shared" si="77"/>
        <v>Low Risk</v>
      </c>
      <c r="K1614" s="3" t="str">
        <f t="shared" si="75"/>
        <v>2-4 Years</v>
      </c>
    </row>
    <row r="1615" spans="1:11" x14ac:dyDescent="0.3">
      <c r="A1615" t="s">
        <v>1632</v>
      </c>
      <c r="B1615" t="s">
        <v>9</v>
      </c>
      <c r="C1615" t="s">
        <v>10</v>
      </c>
      <c r="D1615" t="s">
        <v>11</v>
      </c>
      <c r="E1615">
        <v>94.75</v>
      </c>
      <c r="F1615">
        <v>23</v>
      </c>
      <c r="G1615">
        <v>2179.25</v>
      </c>
      <c r="H1615" t="s">
        <v>18</v>
      </c>
      <c r="I1615" t="str">
        <f t="shared" si="76"/>
        <v>Medium Value</v>
      </c>
      <c r="J1615" t="str">
        <f t="shared" si="77"/>
        <v>Medium Risk</v>
      </c>
      <c r="K1615" s="3" t="str">
        <f t="shared" si="75"/>
        <v>1-2 Years</v>
      </c>
    </row>
    <row r="1616" spans="1:11" x14ac:dyDescent="0.3">
      <c r="A1616" t="s">
        <v>1633</v>
      </c>
      <c r="B1616" t="s">
        <v>14</v>
      </c>
      <c r="C1616" t="s">
        <v>30</v>
      </c>
      <c r="D1616" t="s">
        <v>24</v>
      </c>
      <c r="E1616">
        <v>81.5</v>
      </c>
      <c r="F1616">
        <v>69</v>
      </c>
      <c r="G1616">
        <v>5623.5</v>
      </c>
      <c r="H1616" t="s">
        <v>12</v>
      </c>
      <c r="I1616" t="str">
        <f t="shared" si="76"/>
        <v>High Value</v>
      </c>
      <c r="J1616" t="str">
        <f t="shared" si="77"/>
        <v>Low Risk</v>
      </c>
      <c r="K1616" s="3" t="str">
        <f t="shared" si="75"/>
        <v>4+ Years</v>
      </c>
    </row>
    <row r="1617" spans="1:11" x14ac:dyDescent="0.3">
      <c r="A1617" t="s">
        <v>1634</v>
      </c>
      <c r="B1617" t="s">
        <v>9</v>
      </c>
      <c r="C1617" t="s">
        <v>10</v>
      </c>
      <c r="D1617" t="s">
        <v>20</v>
      </c>
      <c r="E1617">
        <v>29.05</v>
      </c>
      <c r="F1617">
        <v>2</v>
      </c>
      <c r="G1617">
        <v>58.1</v>
      </c>
      <c r="H1617" t="s">
        <v>12</v>
      </c>
      <c r="I1617" t="str">
        <f t="shared" si="76"/>
        <v>Low Value</v>
      </c>
      <c r="J1617" t="str">
        <f t="shared" si="77"/>
        <v>High Risk</v>
      </c>
      <c r="K1617" s="3" t="str">
        <f t="shared" si="75"/>
        <v>0-1 Year</v>
      </c>
    </row>
    <row r="1618" spans="1:11" x14ac:dyDescent="0.3">
      <c r="A1618" t="s">
        <v>1635</v>
      </c>
      <c r="B1618" t="s">
        <v>9</v>
      </c>
      <c r="C1618" t="s">
        <v>10</v>
      </c>
      <c r="D1618" t="s">
        <v>11</v>
      </c>
      <c r="E1618">
        <v>86.45</v>
      </c>
      <c r="F1618">
        <v>35</v>
      </c>
      <c r="G1618">
        <v>3025.75</v>
      </c>
      <c r="H1618" t="s">
        <v>18</v>
      </c>
      <c r="I1618" t="str">
        <f t="shared" si="76"/>
        <v>Medium Value</v>
      </c>
      <c r="J1618" t="str">
        <f t="shared" si="77"/>
        <v>Low Risk</v>
      </c>
      <c r="K1618" s="3" t="str">
        <f t="shared" si="75"/>
        <v>2-4 Years</v>
      </c>
    </row>
    <row r="1619" spans="1:11" x14ac:dyDescent="0.3">
      <c r="A1619" t="s">
        <v>1636</v>
      </c>
      <c r="B1619" t="s">
        <v>9</v>
      </c>
      <c r="C1619" t="s">
        <v>15</v>
      </c>
      <c r="D1619" t="s">
        <v>16</v>
      </c>
      <c r="E1619">
        <v>70.599999999999994</v>
      </c>
      <c r="F1619">
        <v>46</v>
      </c>
      <c r="G1619">
        <v>3247.6</v>
      </c>
      <c r="H1619" t="s">
        <v>12</v>
      </c>
      <c r="I1619" t="str">
        <f t="shared" si="76"/>
        <v>Medium Value</v>
      </c>
      <c r="J1619" t="str">
        <f t="shared" si="77"/>
        <v>Low Risk</v>
      </c>
      <c r="K1619" s="3" t="str">
        <f t="shared" si="75"/>
        <v>2-4 Years</v>
      </c>
    </row>
    <row r="1620" spans="1:11" x14ac:dyDescent="0.3">
      <c r="A1620" t="s">
        <v>1637</v>
      </c>
      <c r="B1620" t="s">
        <v>9</v>
      </c>
      <c r="C1620" t="s">
        <v>30</v>
      </c>
      <c r="D1620" t="s">
        <v>20</v>
      </c>
      <c r="E1620">
        <v>97.2</v>
      </c>
      <c r="F1620">
        <v>54</v>
      </c>
      <c r="G1620">
        <v>5248.8</v>
      </c>
      <c r="H1620" t="s">
        <v>12</v>
      </c>
      <c r="I1620" t="str">
        <f t="shared" si="76"/>
        <v>High Value</v>
      </c>
      <c r="J1620" t="str">
        <f t="shared" si="77"/>
        <v>Low Risk</v>
      </c>
      <c r="K1620" s="3" t="str">
        <f t="shared" si="75"/>
        <v>4+ Years</v>
      </c>
    </row>
    <row r="1621" spans="1:11" x14ac:dyDescent="0.3">
      <c r="A1621" t="s">
        <v>1638</v>
      </c>
      <c r="B1621" t="s">
        <v>9</v>
      </c>
      <c r="C1621" t="s">
        <v>15</v>
      </c>
      <c r="D1621" t="s">
        <v>11</v>
      </c>
      <c r="E1621">
        <v>98.25</v>
      </c>
      <c r="F1621">
        <v>56</v>
      </c>
      <c r="G1621">
        <v>5502</v>
      </c>
      <c r="H1621" t="s">
        <v>18</v>
      </c>
      <c r="I1621" t="str">
        <f t="shared" si="76"/>
        <v>High Value</v>
      </c>
      <c r="J1621" t="str">
        <f t="shared" si="77"/>
        <v>Low Risk</v>
      </c>
      <c r="K1621" s="3" t="str">
        <f t="shared" si="75"/>
        <v>4+ Years</v>
      </c>
    </row>
    <row r="1622" spans="1:11" x14ac:dyDescent="0.3">
      <c r="A1622" t="s">
        <v>1639</v>
      </c>
      <c r="B1622" t="s">
        <v>9</v>
      </c>
      <c r="C1622" t="s">
        <v>10</v>
      </c>
      <c r="D1622" t="s">
        <v>20</v>
      </c>
      <c r="E1622">
        <v>75.75</v>
      </c>
      <c r="F1622">
        <v>9</v>
      </c>
      <c r="G1622">
        <v>681.75</v>
      </c>
      <c r="H1622" t="s">
        <v>18</v>
      </c>
      <c r="I1622" t="str">
        <f t="shared" si="76"/>
        <v>Low Value</v>
      </c>
      <c r="J1622" t="str">
        <f t="shared" si="77"/>
        <v>High Risk</v>
      </c>
      <c r="K1622" s="3" t="str">
        <f t="shared" si="75"/>
        <v>0-1 Year</v>
      </c>
    </row>
    <row r="1623" spans="1:11" x14ac:dyDescent="0.3">
      <c r="A1623" t="s">
        <v>1640</v>
      </c>
      <c r="B1623" t="s">
        <v>14</v>
      </c>
      <c r="C1623" t="s">
        <v>10</v>
      </c>
      <c r="D1623" t="s">
        <v>20</v>
      </c>
      <c r="E1623">
        <v>59.2</v>
      </c>
      <c r="F1623">
        <v>20</v>
      </c>
      <c r="G1623">
        <v>1184</v>
      </c>
      <c r="H1623" t="s">
        <v>12</v>
      </c>
      <c r="I1623" t="str">
        <f t="shared" si="76"/>
        <v>Low Value</v>
      </c>
      <c r="J1623" t="str">
        <f t="shared" si="77"/>
        <v>Medium Risk</v>
      </c>
      <c r="K1623" s="3" t="str">
        <f t="shared" si="75"/>
        <v>1-2 Years</v>
      </c>
    </row>
    <row r="1624" spans="1:11" x14ac:dyDescent="0.3">
      <c r="A1624" t="s">
        <v>1641</v>
      </c>
      <c r="B1624" t="s">
        <v>14</v>
      </c>
      <c r="C1624" t="s">
        <v>10</v>
      </c>
      <c r="D1624" t="s">
        <v>16</v>
      </c>
      <c r="E1624">
        <v>75.900000000000006</v>
      </c>
      <c r="F1624">
        <v>11</v>
      </c>
      <c r="G1624">
        <v>834.9</v>
      </c>
      <c r="H1624" t="s">
        <v>12</v>
      </c>
      <c r="I1624" t="str">
        <f t="shared" si="76"/>
        <v>Low Value</v>
      </c>
      <c r="J1624" t="str">
        <f t="shared" si="77"/>
        <v>High Risk</v>
      </c>
      <c r="K1624" s="3" t="str">
        <f t="shared" si="75"/>
        <v>0-1 Year</v>
      </c>
    </row>
    <row r="1625" spans="1:11" x14ac:dyDescent="0.3">
      <c r="A1625" t="s">
        <v>1642</v>
      </c>
      <c r="B1625" t="s">
        <v>9</v>
      </c>
      <c r="C1625" t="s">
        <v>10</v>
      </c>
      <c r="D1625" t="s">
        <v>11</v>
      </c>
      <c r="E1625">
        <v>90.05</v>
      </c>
      <c r="F1625">
        <v>30</v>
      </c>
      <c r="G1625">
        <v>2701.5</v>
      </c>
      <c r="H1625" t="s">
        <v>12</v>
      </c>
      <c r="I1625" t="str">
        <f t="shared" si="76"/>
        <v>Medium Value</v>
      </c>
      <c r="J1625" t="str">
        <f t="shared" si="77"/>
        <v>Low Risk</v>
      </c>
      <c r="K1625" s="3" t="str">
        <f t="shared" si="75"/>
        <v>2-4 Years</v>
      </c>
    </row>
    <row r="1626" spans="1:11" x14ac:dyDescent="0.3">
      <c r="A1626" t="s">
        <v>1643</v>
      </c>
      <c r="B1626" t="s">
        <v>14</v>
      </c>
      <c r="C1626" t="s">
        <v>30</v>
      </c>
      <c r="D1626" t="s">
        <v>20</v>
      </c>
      <c r="E1626">
        <v>70.95</v>
      </c>
      <c r="F1626">
        <v>68</v>
      </c>
      <c r="G1626">
        <v>4824.6000000000004</v>
      </c>
      <c r="H1626" t="s">
        <v>12</v>
      </c>
      <c r="I1626" t="str">
        <f t="shared" si="76"/>
        <v>Medium Value</v>
      </c>
      <c r="J1626" t="str">
        <f t="shared" si="77"/>
        <v>Low Risk</v>
      </c>
      <c r="K1626" s="3" t="str">
        <f t="shared" si="75"/>
        <v>4+ Years</v>
      </c>
    </row>
    <row r="1627" spans="1:11" x14ac:dyDescent="0.3">
      <c r="A1627" t="s">
        <v>1644</v>
      </c>
      <c r="B1627" t="s">
        <v>14</v>
      </c>
      <c r="C1627" t="s">
        <v>10</v>
      </c>
      <c r="D1627" t="s">
        <v>11</v>
      </c>
      <c r="E1627">
        <v>102.6</v>
      </c>
      <c r="F1627">
        <v>38</v>
      </c>
      <c r="G1627">
        <v>3898.7999999999902</v>
      </c>
      <c r="H1627" t="s">
        <v>12</v>
      </c>
      <c r="I1627" t="str">
        <f t="shared" si="76"/>
        <v>Medium Value</v>
      </c>
      <c r="J1627" t="str">
        <f t="shared" si="77"/>
        <v>Low Risk</v>
      </c>
      <c r="K1627" s="3" t="str">
        <f t="shared" si="75"/>
        <v>2-4 Years</v>
      </c>
    </row>
    <row r="1628" spans="1:11" x14ac:dyDescent="0.3">
      <c r="A1628" t="s">
        <v>1645</v>
      </c>
      <c r="B1628" t="s">
        <v>9</v>
      </c>
      <c r="C1628" t="s">
        <v>10</v>
      </c>
      <c r="D1628" t="s">
        <v>20</v>
      </c>
      <c r="E1628">
        <v>85.35</v>
      </c>
      <c r="F1628">
        <v>17</v>
      </c>
      <c r="G1628">
        <v>1450.94999999999</v>
      </c>
      <c r="H1628" t="s">
        <v>18</v>
      </c>
      <c r="I1628" t="str">
        <f t="shared" si="76"/>
        <v>Low Value</v>
      </c>
      <c r="J1628" t="str">
        <f t="shared" si="77"/>
        <v>Medium Risk</v>
      </c>
      <c r="K1628" s="3" t="str">
        <f t="shared" si="75"/>
        <v>1-2 Years</v>
      </c>
    </row>
    <row r="1629" spans="1:11" x14ac:dyDescent="0.3">
      <c r="A1629" t="s">
        <v>1646</v>
      </c>
      <c r="B1629" t="s">
        <v>14</v>
      </c>
      <c r="C1629" t="s">
        <v>15</v>
      </c>
      <c r="D1629" t="s">
        <v>24</v>
      </c>
      <c r="E1629">
        <v>106.1</v>
      </c>
      <c r="F1629">
        <v>48</v>
      </c>
      <c r="G1629">
        <v>5092.7999999999902</v>
      </c>
      <c r="H1629" t="s">
        <v>18</v>
      </c>
      <c r="I1629" t="str">
        <f t="shared" si="76"/>
        <v>High Value</v>
      </c>
      <c r="J1629" t="str">
        <f t="shared" si="77"/>
        <v>Low Risk</v>
      </c>
      <c r="K1629" s="3" t="str">
        <f t="shared" si="75"/>
        <v>2-4 Years</v>
      </c>
    </row>
    <row r="1630" spans="1:11" x14ac:dyDescent="0.3">
      <c r="A1630" t="s">
        <v>1647</v>
      </c>
      <c r="B1630" t="s">
        <v>9</v>
      </c>
      <c r="C1630" t="s">
        <v>10</v>
      </c>
      <c r="D1630" t="s">
        <v>11</v>
      </c>
      <c r="E1630">
        <v>43.8</v>
      </c>
      <c r="F1630">
        <v>1</v>
      </c>
      <c r="G1630">
        <v>43.8</v>
      </c>
      <c r="H1630" t="s">
        <v>12</v>
      </c>
      <c r="I1630" t="str">
        <f t="shared" si="76"/>
        <v>Low Value</v>
      </c>
      <c r="J1630" t="str">
        <f t="shared" si="77"/>
        <v>High Risk</v>
      </c>
      <c r="K1630" s="3" t="str">
        <f t="shared" si="75"/>
        <v>0-1 Year</v>
      </c>
    </row>
    <row r="1631" spans="1:11" x14ac:dyDescent="0.3">
      <c r="A1631" t="s">
        <v>1648</v>
      </c>
      <c r="B1631" t="s">
        <v>14</v>
      </c>
      <c r="C1631" t="s">
        <v>30</v>
      </c>
      <c r="D1631" t="s">
        <v>11</v>
      </c>
      <c r="E1631">
        <v>59</v>
      </c>
      <c r="F1631">
        <v>63</v>
      </c>
      <c r="G1631">
        <v>3717</v>
      </c>
      <c r="H1631" t="s">
        <v>12</v>
      </c>
      <c r="I1631" t="str">
        <f t="shared" si="76"/>
        <v>Medium Value</v>
      </c>
      <c r="J1631" t="str">
        <f t="shared" si="77"/>
        <v>Low Risk</v>
      </c>
      <c r="K1631" s="3" t="str">
        <f t="shared" si="75"/>
        <v>4+ Years</v>
      </c>
    </row>
    <row r="1632" spans="1:11" x14ac:dyDescent="0.3">
      <c r="A1632" t="s">
        <v>1649</v>
      </c>
      <c r="B1632" t="s">
        <v>9</v>
      </c>
      <c r="C1632" t="s">
        <v>15</v>
      </c>
      <c r="D1632" t="s">
        <v>11</v>
      </c>
      <c r="E1632">
        <v>69.95</v>
      </c>
      <c r="F1632">
        <v>3</v>
      </c>
      <c r="G1632">
        <v>209.85</v>
      </c>
      <c r="H1632" t="s">
        <v>12</v>
      </c>
      <c r="I1632" t="str">
        <f t="shared" si="76"/>
        <v>Low Value</v>
      </c>
      <c r="J1632" t="str">
        <f t="shared" si="77"/>
        <v>High Risk</v>
      </c>
      <c r="K1632" s="3" t="str">
        <f t="shared" si="75"/>
        <v>0-1 Year</v>
      </c>
    </row>
    <row r="1633" spans="1:11" x14ac:dyDescent="0.3">
      <c r="A1633" t="s">
        <v>1650</v>
      </c>
      <c r="B1633" t="s">
        <v>9</v>
      </c>
      <c r="C1633" t="s">
        <v>15</v>
      </c>
      <c r="D1633" t="s">
        <v>20</v>
      </c>
      <c r="E1633">
        <v>24.35</v>
      </c>
      <c r="F1633">
        <v>48</v>
      </c>
      <c r="G1633">
        <v>1168.8</v>
      </c>
      <c r="H1633" t="s">
        <v>12</v>
      </c>
      <c r="I1633" t="str">
        <f t="shared" si="76"/>
        <v>Low Value</v>
      </c>
      <c r="J1633" t="str">
        <f t="shared" si="77"/>
        <v>Low Risk</v>
      </c>
      <c r="K1633" s="3" t="str">
        <f t="shared" si="75"/>
        <v>2-4 Years</v>
      </c>
    </row>
    <row r="1634" spans="1:11" x14ac:dyDescent="0.3">
      <c r="A1634" t="s">
        <v>1651</v>
      </c>
      <c r="B1634" t="s">
        <v>14</v>
      </c>
      <c r="C1634" t="s">
        <v>15</v>
      </c>
      <c r="D1634" t="s">
        <v>24</v>
      </c>
      <c r="E1634">
        <v>29.45</v>
      </c>
      <c r="F1634">
        <v>66</v>
      </c>
      <c r="G1634">
        <v>1943.7</v>
      </c>
      <c r="H1634" t="s">
        <v>12</v>
      </c>
      <c r="I1634" t="str">
        <f t="shared" si="76"/>
        <v>Low Value</v>
      </c>
      <c r="J1634" t="str">
        <f t="shared" si="77"/>
        <v>Low Risk</v>
      </c>
      <c r="K1634" s="3" t="str">
        <f t="shared" si="75"/>
        <v>4+ Years</v>
      </c>
    </row>
    <row r="1635" spans="1:11" x14ac:dyDescent="0.3">
      <c r="A1635" t="s">
        <v>1652</v>
      </c>
      <c r="B1635" t="s">
        <v>9</v>
      </c>
      <c r="C1635" t="s">
        <v>30</v>
      </c>
      <c r="D1635" t="s">
        <v>24</v>
      </c>
      <c r="E1635">
        <v>84.4</v>
      </c>
      <c r="F1635">
        <v>68</v>
      </c>
      <c r="G1635">
        <v>5739.2</v>
      </c>
      <c r="H1635" t="s">
        <v>12</v>
      </c>
      <c r="I1635" t="str">
        <f t="shared" si="76"/>
        <v>High Value</v>
      </c>
      <c r="J1635" t="str">
        <f t="shared" si="77"/>
        <v>Low Risk</v>
      </c>
      <c r="K1635" s="3" t="str">
        <f t="shared" si="75"/>
        <v>4+ Years</v>
      </c>
    </row>
    <row r="1636" spans="1:11" x14ac:dyDescent="0.3">
      <c r="A1636" t="s">
        <v>1653</v>
      </c>
      <c r="B1636" t="s">
        <v>14</v>
      </c>
      <c r="C1636" t="s">
        <v>10</v>
      </c>
      <c r="D1636" t="s">
        <v>11</v>
      </c>
      <c r="E1636">
        <v>45.05</v>
      </c>
      <c r="F1636">
        <v>17</v>
      </c>
      <c r="G1636">
        <v>765.849999999999</v>
      </c>
      <c r="H1636" t="s">
        <v>18</v>
      </c>
      <c r="I1636" t="str">
        <f t="shared" si="76"/>
        <v>Low Value</v>
      </c>
      <c r="J1636" t="str">
        <f t="shared" si="77"/>
        <v>Medium Risk</v>
      </c>
      <c r="K1636" s="3" t="str">
        <f t="shared" si="75"/>
        <v>1-2 Years</v>
      </c>
    </row>
    <row r="1637" spans="1:11" x14ac:dyDescent="0.3">
      <c r="A1637" t="s">
        <v>1654</v>
      </c>
      <c r="B1637" t="s">
        <v>9</v>
      </c>
      <c r="C1637" t="s">
        <v>15</v>
      </c>
      <c r="D1637" t="s">
        <v>16</v>
      </c>
      <c r="E1637">
        <v>20.65</v>
      </c>
      <c r="F1637">
        <v>7</v>
      </c>
      <c r="G1637">
        <v>144.54999999999899</v>
      </c>
      <c r="H1637" t="s">
        <v>12</v>
      </c>
      <c r="I1637" t="str">
        <f t="shared" si="76"/>
        <v>Low Value</v>
      </c>
      <c r="J1637" t="str">
        <f t="shared" si="77"/>
        <v>High Risk</v>
      </c>
      <c r="K1637" s="3" t="str">
        <f t="shared" si="75"/>
        <v>0-1 Year</v>
      </c>
    </row>
    <row r="1638" spans="1:11" x14ac:dyDescent="0.3">
      <c r="A1638" t="s">
        <v>1655</v>
      </c>
      <c r="B1638" t="s">
        <v>14</v>
      </c>
      <c r="C1638" t="s">
        <v>30</v>
      </c>
      <c r="D1638" t="s">
        <v>20</v>
      </c>
      <c r="E1638">
        <v>87.1</v>
      </c>
      <c r="F1638">
        <v>72</v>
      </c>
      <c r="G1638">
        <v>6271.2</v>
      </c>
      <c r="H1638" t="s">
        <v>12</v>
      </c>
      <c r="I1638" t="str">
        <f t="shared" si="76"/>
        <v>High Value</v>
      </c>
      <c r="J1638" t="str">
        <f t="shared" si="77"/>
        <v>Low Risk</v>
      </c>
      <c r="K1638" s="3" t="str">
        <f t="shared" si="75"/>
        <v>4+ Years</v>
      </c>
    </row>
    <row r="1639" spans="1:11" x14ac:dyDescent="0.3">
      <c r="A1639" t="s">
        <v>1656</v>
      </c>
      <c r="B1639" t="s">
        <v>9</v>
      </c>
      <c r="C1639" t="s">
        <v>10</v>
      </c>
      <c r="D1639" t="s">
        <v>16</v>
      </c>
      <c r="E1639">
        <v>19.850000000000001</v>
      </c>
      <c r="F1639">
        <v>29</v>
      </c>
      <c r="G1639">
        <v>575.65</v>
      </c>
      <c r="H1639" t="s">
        <v>12</v>
      </c>
      <c r="I1639" t="str">
        <f t="shared" si="76"/>
        <v>Low Value</v>
      </c>
      <c r="J1639" t="str">
        <f t="shared" si="77"/>
        <v>Low Risk</v>
      </c>
      <c r="K1639" s="3" t="str">
        <f t="shared" si="75"/>
        <v>2-4 Years</v>
      </c>
    </row>
    <row r="1640" spans="1:11" x14ac:dyDescent="0.3">
      <c r="A1640" t="s">
        <v>1657</v>
      </c>
      <c r="B1640" t="s">
        <v>14</v>
      </c>
      <c r="C1640" t="s">
        <v>10</v>
      </c>
      <c r="D1640" t="s">
        <v>11</v>
      </c>
      <c r="E1640">
        <v>90.35</v>
      </c>
      <c r="F1640">
        <v>37</v>
      </c>
      <c r="G1640">
        <v>3342.95</v>
      </c>
      <c r="H1640" t="s">
        <v>12</v>
      </c>
      <c r="I1640" t="str">
        <f t="shared" si="76"/>
        <v>Medium Value</v>
      </c>
      <c r="J1640" t="str">
        <f t="shared" si="77"/>
        <v>Low Risk</v>
      </c>
      <c r="K1640" s="3" t="str">
        <f t="shared" si="75"/>
        <v>2-4 Years</v>
      </c>
    </row>
    <row r="1641" spans="1:11" x14ac:dyDescent="0.3">
      <c r="A1641" t="s">
        <v>1658</v>
      </c>
      <c r="B1641" t="s">
        <v>9</v>
      </c>
      <c r="C1641" t="s">
        <v>10</v>
      </c>
      <c r="D1641" t="s">
        <v>16</v>
      </c>
      <c r="E1641">
        <v>109.8</v>
      </c>
      <c r="F1641">
        <v>34</v>
      </c>
      <c r="G1641">
        <v>3733.2</v>
      </c>
      <c r="H1641" t="s">
        <v>18</v>
      </c>
      <c r="I1641" t="str">
        <f t="shared" si="76"/>
        <v>Medium Value</v>
      </c>
      <c r="J1641" t="str">
        <f t="shared" si="77"/>
        <v>Low Risk</v>
      </c>
      <c r="K1641" s="3" t="str">
        <f t="shared" si="75"/>
        <v>2-4 Years</v>
      </c>
    </row>
    <row r="1642" spans="1:11" x14ac:dyDescent="0.3">
      <c r="A1642" t="s">
        <v>1659</v>
      </c>
      <c r="B1642" t="s">
        <v>9</v>
      </c>
      <c r="C1642" t="s">
        <v>10</v>
      </c>
      <c r="D1642" t="s">
        <v>11</v>
      </c>
      <c r="E1642">
        <v>84.65</v>
      </c>
      <c r="F1642">
        <v>42</v>
      </c>
      <c r="G1642">
        <v>3555.3</v>
      </c>
      <c r="H1642" t="s">
        <v>18</v>
      </c>
      <c r="I1642" t="str">
        <f t="shared" si="76"/>
        <v>Medium Value</v>
      </c>
      <c r="J1642" t="str">
        <f t="shared" si="77"/>
        <v>Low Risk</v>
      </c>
      <c r="K1642" s="3" t="str">
        <f t="shared" si="75"/>
        <v>2-4 Years</v>
      </c>
    </row>
    <row r="1643" spans="1:11" x14ac:dyDescent="0.3">
      <c r="A1643" t="s">
        <v>1660</v>
      </c>
      <c r="B1643" t="s">
        <v>9</v>
      </c>
      <c r="C1643" t="s">
        <v>15</v>
      </c>
      <c r="D1643" t="s">
        <v>16</v>
      </c>
      <c r="E1643">
        <v>65.5</v>
      </c>
      <c r="F1643">
        <v>59</v>
      </c>
      <c r="G1643">
        <v>3864.5</v>
      </c>
      <c r="H1643" t="s">
        <v>12</v>
      </c>
      <c r="I1643" t="str">
        <f t="shared" si="76"/>
        <v>Medium Value</v>
      </c>
      <c r="J1643" t="str">
        <f t="shared" si="77"/>
        <v>Low Risk</v>
      </c>
      <c r="K1643" s="3" t="str">
        <f t="shared" si="75"/>
        <v>4+ Years</v>
      </c>
    </row>
    <row r="1644" spans="1:11" x14ac:dyDescent="0.3">
      <c r="A1644" t="s">
        <v>1661</v>
      </c>
      <c r="B1644" t="s">
        <v>14</v>
      </c>
      <c r="C1644" t="s">
        <v>10</v>
      </c>
      <c r="D1644" t="s">
        <v>20</v>
      </c>
      <c r="E1644">
        <v>79.5</v>
      </c>
      <c r="F1644">
        <v>11</v>
      </c>
      <c r="G1644">
        <v>874.5</v>
      </c>
      <c r="H1644" t="s">
        <v>18</v>
      </c>
      <c r="I1644" t="str">
        <f t="shared" si="76"/>
        <v>Low Value</v>
      </c>
      <c r="J1644" t="str">
        <f t="shared" si="77"/>
        <v>High Risk</v>
      </c>
      <c r="K1644" s="3" t="str">
        <f t="shared" si="75"/>
        <v>0-1 Year</v>
      </c>
    </row>
    <row r="1645" spans="1:11" x14ac:dyDescent="0.3">
      <c r="A1645" t="s">
        <v>1662</v>
      </c>
      <c r="B1645" t="s">
        <v>14</v>
      </c>
      <c r="C1645" t="s">
        <v>10</v>
      </c>
      <c r="D1645" t="s">
        <v>11</v>
      </c>
      <c r="E1645">
        <v>80.95</v>
      </c>
      <c r="F1645">
        <v>60</v>
      </c>
      <c r="G1645">
        <v>4857</v>
      </c>
      <c r="H1645" t="s">
        <v>12</v>
      </c>
      <c r="I1645" t="str">
        <f t="shared" si="76"/>
        <v>Medium Value</v>
      </c>
      <c r="J1645" t="str">
        <f t="shared" si="77"/>
        <v>Low Risk</v>
      </c>
      <c r="K1645" s="3" t="str">
        <f t="shared" si="75"/>
        <v>4+ Years</v>
      </c>
    </row>
    <row r="1646" spans="1:11" x14ac:dyDescent="0.3">
      <c r="A1646" t="s">
        <v>1663</v>
      </c>
      <c r="B1646" t="s">
        <v>9</v>
      </c>
      <c r="C1646" t="s">
        <v>10</v>
      </c>
      <c r="D1646" t="s">
        <v>16</v>
      </c>
      <c r="E1646">
        <v>56.15</v>
      </c>
      <c r="F1646">
        <v>27</v>
      </c>
      <c r="G1646">
        <v>1516.05</v>
      </c>
      <c r="H1646" t="s">
        <v>12</v>
      </c>
      <c r="I1646" t="str">
        <f t="shared" si="76"/>
        <v>Low Value</v>
      </c>
      <c r="J1646" t="str">
        <f t="shared" si="77"/>
        <v>Low Risk</v>
      </c>
      <c r="K1646" s="3" t="str">
        <f t="shared" si="75"/>
        <v>2-4 Years</v>
      </c>
    </row>
    <row r="1647" spans="1:11" x14ac:dyDescent="0.3">
      <c r="A1647" t="s">
        <v>1664</v>
      </c>
      <c r="B1647" t="s">
        <v>9</v>
      </c>
      <c r="C1647" t="s">
        <v>10</v>
      </c>
      <c r="D1647" t="s">
        <v>16</v>
      </c>
      <c r="E1647">
        <v>85.8</v>
      </c>
      <c r="F1647">
        <v>1</v>
      </c>
      <c r="G1647">
        <v>85.8</v>
      </c>
      <c r="H1647" t="s">
        <v>18</v>
      </c>
      <c r="I1647" t="str">
        <f t="shared" si="76"/>
        <v>Low Value</v>
      </c>
      <c r="J1647" t="str">
        <f t="shared" si="77"/>
        <v>High Risk</v>
      </c>
      <c r="K1647" s="3" t="str">
        <f t="shared" si="75"/>
        <v>0-1 Year</v>
      </c>
    </row>
    <row r="1648" spans="1:11" x14ac:dyDescent="0.3">
      <c r="A1648" t="s">
        <v>1665</v>
      </c>
      <c r="B1648" t="s">
        <v>14</v>
      </c>
      <c r="C1648" t="s">
        <v>10</v>
      </c>
      <c r="D1648" t="s">
        <v>11</v>
      </c>
      <c r="E1648">
        <v>79.099999999999994</v>
      </c>
      <c r="F1648">
        <v>1</v>
      </c>
      <c r="G1648">
        <v>79.099999999999994</v>
      </c>
      <c r="H1648" t="s">
        <v>18</v>
      </c>
      <c r="I1648" t="str">
        <f t="shared" si="76"/>
        <v>Low Value</v>
      </c>
      <c r="J1648" t="str">
        <f t="shared" si="77"/>
        <v>High Risk</v>
      </c>
      <c r="K1648" s="3" t="str">
        <f t="shared" si="75"/>
        <v>0-1 Year</v>
      </c>
    </row>
    <row r="1649" spans="1:11" x14ac:dyDescent="0.3">
      <c r="A1649" t="s">
        <v>1666</v>
      </c>
      <c r="B1649" t="s">
        <v>14</v>
      </c>
      <c r="C1649" t="s">
        <v>10</v>
      </c>
      <c r="D1649" t="s">
        <v>16</v>
      </c>
      <c r="E1649">
        <v>34.4</v>
      </c>
      <c r="F1649">
        <v>17</v>
      </c>
      <c r="G1649">
        <v>584.79999999999995</v>
      </c>
      <c r="H1649" t="s">
        <v>12</v>
      </c>
      <c r="I1649" t="str">
        <f t="shared" si="76"/>
        <v>Low Value</v>
      </c>
      <c r="J1649" t="str">
        <f t="shared" si="77"/>
        <v>Medium Risk</v>
      </c>
      <c r="K1649" s="3" t="str">
        <f t="shared" si="75"/>
        <v>1-2 Years</v>
      </c>
    </row>
    <row r="1650" spans="1:11" x14ac:dyDescent="0.3">
      <c r="A1650" t="s">
        <v>1667</v>
      </c>
      <c r="B1650" t="s">
        <v>14</v>
      </c>
      <c r="C1650" t="s">
        <v>30</v>
      </c>
      <c r="D1650" t="s">
        <v>16</v>
      </c>
      <c r="E1650">
        <v>20.75</v>
      </c>
      <c r="F1650">
        <v>58</v>
      </c>
      <c r="G1650">
        <v>1203.5</v>
      </c>
      <c r="H1650" t="s">
        <v>12</v>
      </c>
      <c r="I1650" t="str">
        <f t="shared" si="76"/>
        <v>Low Value</v>
      </c>
      <c r="J1650" t="str">
        <f t="shared" si="77"/>
        <v>Low Risk</v>
      </c>
      <c r="K1650" s="3" t="str">
        <f t="shared" si="75"/>
        <v>4+ Years</v>
      </c>
    </row>
    <row r="1651" spans="1:11" x14ac:dyDescent="0.3">
      <c r="A1651" t="s">
        <v>1668</v>
      </c>
      <c r="B1651" t="s">
        <v>14</v>
      </c>
      <c r="C1651" t="s">
        <v>15</v>
      </c>
      <c r="D1651" t="s">
        <v>16</v>
      </c>
      <c r="E1651">
        <v>18.8</v>
      </c>
      <c r="F1651">
        <v>1</v>
      </c>
      <c r="G1651">
        <v>18.8</v>
      </c>
      <c r="H1651" t="s">
        <v>12</v>
      </c>
      <c r="I1651" t="str">
        <f t="shared" si="76"/>
        <v>Low Value</v>
      </c>
      <c r="J1651" t="str">
        <f t="shared" si="77"/>
        <v>High Risk</v>
      </c>
      <c r="K1651" s="3" t="str">
        <f t="shared" si="75"/>
        <v>0-1 Year</v>
      </c>
    </row>
    <row r="1652" spans="1:11" x14ac:dyDescent="0.3">
      <c r="A1652" t="s">
        <v>1669</v>
      </c>
      <c r="B1652" t="s">
        <v>9</v>
      </c>
      <c r="C1652" t="s">
        <v>10</v>
      </c>
      <c r="D1652" t="s">
        <v>16</v>
      </c>
      <c r="E1652">
        <v>44.3</v>
      </c>
      <c r="F1652">
        <v>3</v>
      </c>
      <c r="G1652">
        <v>132.89999999999901</v>
      </c>
      <c r="H1652" t="s">
        <v>18</v>
      </c>
      <c r="I1652" t="str">
        <f t="shared" si="76"/>
        <v>Low Value</v>
      </c>
      <c r="J1652" t="str">
        <f t="shared" si="77"/>
        <v>High Risk</v>
      </c>
      <c r="K1652" s="3" t="str">
        <f t="shared" si="75"/>
        <v>0-1 Year</v>
      </c>
    </row>
    <row r="1653" spans="1:11" x14ac:dyDescent="0.3">
      <c r="A1653" t="s">
        <v>1670</v>
      </c>
      <c r="B1653" t="s">
        <v>9</v>
      </c>
      <c r="C1653" t="s">
        <v>10</v>
      </c>
      <c r="D1653" t="s">
        <v>11</v>
      </c>
      <c r="E1653">
        <v>90.8</v>
      </c>
      <c r="F1653">
        <v>53</v>
      </c>
      <c r="G1653">
        <v>4812.3999999999996</v>
      </c>
      <c r="H1653" t="s">
        <v>12</v>
      </c>
      <c r="I1653" t="str">
        <f t="shared" si="76"/>
        <v>Medium Value</v>
      </c>
      <c r="J1653" t="str">
        <f t="shared" si="77"/>
        <v>Low Risk</v>
      </c>
      <c r="K1653" s="3" t="str">
        <f t="shared" si="75"/>
        <v>4+ Years</v>
      </c>
    </row>
    <row r="1654" spans="1:11" x14ac:dyDescent="0.3">
      <c r="A1654" t="s">
        <v>1671</v>
      </c>
      <c r="B1654" t="s">
        <v>14</v>
      </c>
      <c r="C1654" t="s">
        <v>10</v>
      </c>
      <c r="D1654" t="s">
        <v>11</v>
      </c>
      <c r="E1654">
        <v>25.6</v>
      </c>
      <c r="F1654">
        <v>35</v>
      </c>
      <c r="G1654">
        <v>896</v>
      </c>
      <c r="H1654" t="s">
        <v>12</v>
      </c>
      <c r="I1654" t="str">
        <f t="shared" si="76"/>
        <v>Low Value</v>
      </c>
      <c r="J1654" t="str">
        <f t="shared" si="77"/>
        <v>Low Risk</v>
      </c>
      <c r="K1654" s="3" t="str">
        <f t="shared" si="75"/>
        <v>2-4 Years</v>
      </c>
    </row>
    <row r="1655" spans="1:11" x14ac:dyDescent="0.3">
      <c r="A1655" t="s">
        <v>1672</v>
      </c>
      <c r="B1655" t="s">
        <v>14</v>
      </c>
      <c r="C1655" t="s">
        <v>10</v>
      </c>
      <c r="D1655" t="s">
        <v>24</v>
      </c>
      <c r="E1655">
        <v>105.95</v>
      </c>
      <c r="F1655">
        <v>50</v>
      </c>
      <c r="G1655">
        <v>5297.5</v>
      </c>
      <c r="H1655" t="s">
        <v>18</v>
      </c>
      <c r="I1655" t="str">
        <f t="shared" si="76"/>
        <v>High Value</v>
      </c>
      <c r="J1655" t="str">
        <f t="shared" si="77"/>
        <v>Low Risk</v>
      </c>
      <c r="K1655" s="3" t="str">
        <f t="shared" si="75"/>
        <v>4+ Years</v>
      </c>
    </row>
    <row r="1656" spans="1:11" x14ac:dyDescent="0.3">
      <c r="A1656" t="s">
        <v>1673</v>
      </c>
      <c r="B1656" t="s">
        <v>14</v>
      </c>
      <c r="C1656" t="s">
        <v>30</v>
      </c>
      <c r="D1656" t="s">
        <v>24</v>
      </c>
      <c r="E1656">
        <v>70.8</v>
      </c>
      <c r="F1656">
        <v>68</v>
      </c>
      <c r="G1656">
        <v>4814.3999999999996</v>
      </c>
      <c r="H1656" t="s">
        <v>12</v>
      </c>
      <c r="I1656" t="str">
        <f t="shared" si="76"/>
        <v>Medium Value</v>
      </c>
      <c r="J1656" t="str">
        <f t="shared" si="77"/>
        <v>Low Risk</v>
      </c>
      <c r="K1656" s="3" t="str">
        <f t="shared" si="75"/>
        <v>4+ Years</v>
      </c>
    </row>
    <row r="1657" spans="1:11" x14ac:dyDescent="0.3">
      <c r="A1657" t="s">
        <v>1674</v>
      </c>
      <c r="B1657" t="s">
        <v>14</v>
      </c>
      <c r="C1657" t="s">
        <v>10</v>
      </c>
      <c r="D1657" t="s">
        <v>11</v>
      </c>
      <c r="E1657">
        <v>25.4</v>
      </c>
      <c r="F1657">
        <v>47</v>
      </c>
      <c r="G1657">
        <v>1193.8</v>
      </c>
      <c r="H1657" t="s">
        <v>12</v>
      </c>
      <c r="I1657" t="str">
        <f t="shared" si="76"/>
        <v>Low Value</v>
      </c>
      <c r="J1657" t="str">
        <f t="shared" si="77"/>
        <v>Low Risk</v>
      </c>
      <c r="K1657" s="3" t="str">
        <f t="shared" si="75"/>
        <v>2-4 Years</v>
      </c>
    </row>
    <row r="1658" spans="1:11" x14ac:dyDescent="0.3">
      <c r="A1658" t="s">
        <v>1675</v>
      </c>
      <c r="B1658" t="s">
        <v>9</v>
      </c>
      <c r="C1658" t="s">
        <v>10</v>
      </c>
      <c r="D1658" t="s">
        <v>20</v>
      </c>
      <c r="E1658">
        <v>108.8</v>
      </c>
      <c r="F1658">
        <v>65</v>
      </c>
      <c r="G1658">
        <v>7072</v>
      </c>
      <c r="H1658" t="s">
        <v>12</v>
      </c>
      <c r="I1658" t="str">
        <f t="shared" si="76"/>
        <v>High Value</v>
      </c>
      <c r="J1658" t="str">
        <f t="shared" si="77"/>
        <v>Low Risk</v>
      </c>
      <c r="K1658" s="3" t="str">
        <f t="shared" si="75"/>
        <v>4+ Years</v>
      </c>
    </row>
    <row r="1659" spans="1:11" x14ac:dyDescent="0.3">
      <c r="A1659" t="s">
        <v>1676</v>
      </c>
      <c r="B1659" t="s">
        <v>14</v>
      </c>
      <c r="C1659" t="s">
        <v>10</v>
      </c>
      <c r="D1659" t="s">
        <v>11</v>
      </c>
      <c r="E1659">
        <v>69.75</v>
      </c>
      <c r="F1659">
        <v>5</v>
      </c>
      <c r="G1659">
        <v>348.75</v>
      </c>
      <c r="H1659" t="s">
        <v>18</v>
      </c>
      <c r="I1659" t="str">
        <f t="shared" si="76"/>
        <v>Low Value</v>
      </c>
      <c r="J1659" t="str">
        <f t="shared" si="77"/>
        <v>High Risk</v>
      </c>
      <c r="K1659" s="3" t="str">
        <f t="shared" si="75"/>
        <v>0-1 Year</v>
      </c>
    </row>
    <row r="1660" spans="1:11" x14ac:dyDescent="0.3">
      <c r="A1660" t="s">
        <v>1677</v>
      </c>
      <c r="B1660" t="s">
        <v>14</v>
      </c>
      <c r="C1660" t="s">
        <v>10</v>
      </c>
      <c r="D1660" t="s">
        <v>11</v>
      </c>
      <c r="E1660">
        <v>94.65</v>
      </c>
      <c r="F1660">
        <v>51</v>
      </c>
      <c r="G1660">
        <v>4827.1499999999996</v>
      </c>
      <c r="H1660" t="s">
        <v>18</v>
      </c>
      <c r="I1660" t="str">
        <f t="shared" si="76"/>
        <v>Medium Value</v>
      </c>
      <c r="J1660" t="str">
        <f t="shared" si="77"/>
        <v>Low Risk</v>
      </c>
      <c r="K1660" s="3" t="str">
        <f t="shared" si="75"/>
        <v>4+ Years</v>
      </c>
    </row>
    <row r="1661" spans="1:11" x14ac:dyDescent="0.3">
      <c r="A1661" t="s">
        <v>1678</v>
      </c>
      <c r="B1661" t="s">
        <v>9</v>
      </c>
      <c r="C1661" t="s">
        <v>10</v>
      </c>
      <c r="D1661" t="s">
        <v>20</v>
      </c>
      <c r="E1661">
        <v>96.05</v>
      </c>
      <c r="F1661">
        <v>46</v>
      </c>
      <c r="G1661">
        <v>4418.3</v>
      </c>
      <c r="H1661" t="s">
        <v>18</v>
      </c>
      <c r="I1661" t="str">
        <f t="shared" si="76"/>
        <v>Medium Value</v>
      </c>
      <c r="J1661" t="str">
        <f t="shared" si="77"/>
        <v>Low Risk</v>
      </c>
      <c r="K1661" s="3" t="str">
        <f t="shared" si="75"/>
        <v>2-4 Years</v>
      </c>
    </row>
    <row r="1662" spans="1:11" x14ac:dyDescent="0.3">
      <c r="A1662" t="s">
        <v>1679</v>
      </c>
      <c r="B1662" t="s">
        <v>9</v>
      </c>
      <c r="C1662" t="s">
        <v>10</v>
      </c>
      <c r="D1662" t="s">
        <v>11</v>
      </c>
      <c r="E1662">
        <v>76.849999999999994</v>
      </c>
      <c r="F1662">
        <v>9</v>
      </c>
      <c r="G1662">
        <v>691.65</v>
      </c>
      <c r="H1662" t="s">
        <v>12</v>
      </c>
      <c r="I1662" t="str">
        <f t="shared" si="76"/>
        <v>Low Value</v>
      </c>
      <c r="J1662" t="str">
        <f t="shared" si="77"/>
        <v>High Risk</v>
      </c>
      <c r="K1662" s="3" t="str">
        <f t="shared" si="75"/>
        <v>0-1 Year</v>
      </c>
    </row>
    <row r="1663" spans="1:11" x14ac:dyDescent="0.3">
      <c r="A1663" t="s">
        <v>1680</v>
      </c>
      <c r="B1663" t="s">
        <v>9</v>
      </c>
      <c r="C1663" t="s">
        <v>30</v>
      </c>
      <c r="D1663" t="s">
        <v>16</v>
      </c>
      <c r="E1663">
        <v>20.25</v>
      </c>
      <c r="F1663">
        <v>8</v>
      </c>
      <c r="G1663">
        <v>162</v>
      </c>
      <c r="H1663" t="s">
        <v>12</v>
      </c>
      <c r="I1663" t="str">
        <f t="shared" si="76"/>
        <v>Low Value</v>
      </c>
      <c r="J1663" t="str">
        <f t="shared" si="77"/>
        <v>High Risk</v>
      </c>
      <c r="K1663" s="3" t="str">
        <f t="shared" si="75"/>
        <v>0-1 Year</v>
      </c>
    </row>
    <row r="1664" spans="1:11" x14ac:dyDescent="0.3">
      <c r="A1664" t="s">
        <v>1681</v>
      </c>
      <c r="B1664" t="s">
        <v>14</v>
      </c>
      <c r="C1664" t="s">
        <v>15</v>
      </c>
      <c r="D1664" t="s">
        <v>24</v>
      </c>
      <c r="E1664">
        <v>24.8</v>
      </c>
      <c r="F1664">
        <v>14</v>
      </c>
      <c r="G1664">
        <v>347.2</v>
      </c>
      <c r="H1664" t="s">
        <v>12</v>
      </c>
      <c r="I1664" t="str">
        <f t="shared" si="76"/>
        <v>Low Value</v>
      </c>
      <c r="J1664" t="str">
        <f t="shared" si="77"/>
        <v>Medium Risk</v>
      </c>
      <c r="K1664" s="3" t="str">
        <f t="shared" si="75"/>
        <v>1-2 Years</v>
      </c>
    </row>
    <row r="1665" spans="1:11" x14ac:dyDescent="0.3">
      <c r="A1665" t="s">
        <v>1682</v>
      </c>
      <c r="B1665" t="s">
        <v>9</v>
      </c>
      <c r="C1665" t="s">
        <v>10</v>
      </c>
      <c r="D1665" t="s">
        <v>11</v>
      </c>
      <c r="E1665">
        <v>115.65</v>
      </c>
      <c r="F1665">
        <v>45</v>
      </c>
      <c r="G1665">
        <v>5204.25</v>
      </c>
      <c r="H1665" t="s">
        <v>12</v>
      </c>
      <c r="I1665" t="str">
        <f t="shared" si="76"/>
        <v>High Value</v>
      </c>
      <c r="J1665" t="str">
        <f t="shared" si="77"/>
        <v>Low Risk</v>
      </c>
      <c r="K1665" s="3" t="str">
        <f t="shared" si="75"/>
        <v>2-4 Years</v>
      </c>
    </row>
    <row r="1666" spans="1:11" x14ac:dyDescent="0.3">
      <c r="A1666" t="s">
        <v>1683</v>
      </c>
      <c r="B1666" t="s">
        <v>9</v>
      </c>
      <c r="C1666" t="s">
        <v>10</v>
      </c>
      <c r="D1666" t="s">
        <v>24</v>
      </c>
      <c r="E1666">
        <v>74.599999999999994</v>
      </c>
      <c r="F1666">
        <v>8</v>
      </c>
      <c r="G1666">
        <v>596.79999999999995</v>
      </c>
      <c r="H1666" t="s">
        <v>12</v>
      </c>
      <c r="I1666" t="str">
        <f t="shared" si="76"/>
        <v>Low Value</v>
      </c>
      <c r="J1666" t="str">
        <f t="shared" si="77"/>
        <v>High Risk</v>
      </c>
      <c r="K1666" s="3" t="str">
        <f t="shared" si="75"/>
        <v>0-1 Year</v>
      </c>
    </row>
    <row r="1667" spans="1:11" x14ac:dyDescent="0.3">
      <c r="A1667" t="s">
        <v>1684</v>
      </c>
      <c r="B1667" t="s">
        <v>14</v>
      </c>
      <c r="C1667" t="s">
        <v>10</v>
      </c>
      <c r="D1667" t="s">
        <v>16</v>
      </c>
      <c r="E1667">
        <v>50.15</v>
      </c>
      <c r="F1667">
        <v>1</v>
      </c>
      <c r="G1667">
        <v>50.15</v>
      </c>
      <c r="H1667" t="s">
        <v>18</v>
      </c>
      <c r="I1667" t="str">
        <f t="shared" si="76"/>
        <v>Low Value</v>
      </c>
      <c r="J1667" t="str">
        <f t="shared" si="77"/>
        <v>High Risk</v>
      </c>
      <c r="K1667" s="3" t="str">
        <f t="shared" ref="K1667:K1730" si="78">IF(F1667&lt;=12,"0-1 Year",
IF(F1667&lt;=24,"1-2 Years",
IF(F1667&lt;=48,"2-4 Years","4+ Years")))</f>
        <v>0-1 Year</v>
      </c>
    </row>
    <row r="1668" spans="1:11" x14ac:dyDescent="0.3">
      <c r="A1668" t="s">
        <v>1685</v>
      </c>
      <c r="B1668" t="s">
        <v>14</v>
      </c>
      <c r="C1668" t="s">
        <v>15</v>
      </c>
      <c r="D1668" t="s">
        <v>20</v>
      </c>
      <c r="E1668">
        <v>103.15</v>
      </c>
      <c r="F1668">
        <v>66</v>
      </c>
      <c r="G1668">
        <v>6807.9</v>
      </c>
      <c r="H1668" t="s">
        <v>12</v>
      </c>
      <c r="I1668" t="str">
        <f t="shared" ref="I1668:I1731" si="79">IF(G1668&gt;5000,"High Value",
IF(G1668&gt;2000,"Medium Value","Low Value"))</f>
        <v>High Value</v>
      </c>
      <c r="J1668" t="str">
        <f t="shared" ref="J1668:J1731" si="80">IF(F1668&lt;12,"High Risk",
IF(F1668&lt;24,"Medium Risk","Low Risk"))</f>
        <v>Low Risk</v>
      </c>
      <c r="K1668" s="3" t="str">
        <f t="shared" si="78"/>
        <v>4+ Years</v>
      </c>
    </row>
    <row r="1669" spans="1:11" x14ac:dyDescent="0.3">
      <c r="A1669" t="s">
        <v>1686</v>
      </c>
      <c r="B1669" t="s">
        <v>14</v>
      </c>
      <c r="C1669" t="s">
        <v>30</v>
      </c>
      <c r="D1669" t="s">
        <v>24</v>
      </c>
      <c r="E1669">
        <v>72.099999999999994</v>
      </c>
      <c r="F1669">
        <v>72</v>
      </c>
      <c r="G1669">
        <v>5191.2</v>
      </c>
      <c r="H1669" t="s">
        <v>12</v>
      </c>
      <c r="I1669" t="str">
        <f t="shared" si="79"/>
        <v>High Value</v>
      </c>
      <c r="J1669" t="str">
        <f t="shared" si="80"/>
        <v>Low Risk</v>
      </c>
      <c r="K1669" s="3" t="str">
        <f t="shared" si="78"/>
        <v>4+ Years</v>
      </c>
    </row>
    <row r="1670" spans="1:11" x14ac:dyDescent="0.3">
      <c r="A1670" t="s">
        <v>1687</v>
      </c>
      <c r="B1670" t="s">
        <v>9</v>
      </c>
      <c r="C1670" t="s">
        <v>10</v>
      </c>
      <c r="D1670" t="s">
        <v>20</v>
      </c>
      <c r="E1670">
        <v>113.6</v>
      </c>
      <c r="F1670">
        <v>41</v>
      </c>
      <c r="G1670">
        <v>4657.5999999999904</v>
      </c>
      <c r="H1670" t="s">
        <v>18</v>
      </c>
      <c r="I1670" t="str">
        <f t="shared" si="79"/>
        <v>Medium Value</v>
      </c>
      <c r="J1670" t="str">
        <f t="shared" si="80"/>
        <v>Low Risk</v>
      </c>
      <c r="K1670" s="3" t="str">
        <f t="shared" si="78"/>
        <v>2-4 Years</v>
      </c>
    </row>
    <row r="1671" spans="1:11" x14ac:dyDescent="0.3">
      <c r="A1671" t="s">
        <v>1688</v>
      </c>
      <c r="B1671" t="s">
        <v>9</v>
      </c>
      <c r="C1671" t="s">
        <v>30</v>
      </c>
      <c r="D1671" t="s">
        <v>16</v>
      </c>
      <c r="E1671">
        <v>25.1</v>
      </c>
      <c r="F1671">
        <v>23</v>
      </c>
      <c r="G1671">
        <v>577.29999999999995</v>
      </c>
      <c r="H1671" t="s">
        <v>12</v>
      </c>
      <c r="I1671" t="str">
        <f t="shared" si="79"/>
        <v>Low Value</v>
      </c>
      <c r="J1671" t="str">
        <f t="shared" si="80"/>
        <v>Medium Risk</v>
      </c>
      <c r="K1671" s="3" t="str">
        <f t="shared" si="78"/>
        <v>1-2 Years</v>
      </c>
    </row>
    <row r="1672" spans="1:11" x14ac:dyDescent="0.3">
      <c r="A1672" t="s">
        <v>1689</v>
      </c>
      <c r="B1672" t="s">
        <v>9</v>
      </c>
      <c r="C1672" t="s">
        <v>10</v>
      </c>
      <c r="D1672" t="s">
        <v>11</v>
      </c>
      <c r="E1672">
        <v>78.900000000000006</v>
      </c>
      <c r="F1672">
        <v>29</v>
      </c>
      <c r="G1672">
        <v>2288.1</v>
      </c>
      <c r="H1672" t="s">
        <v>18</v>
      </c>
      <c r="I1672" t="str">
        <f t="shared" si="79"/>
        <v>Medium Value</v>
      </c>
      <c r="J1672" t="str">
        <f t="shared" si="80"/>
        <v>Low Risk</v>
      </c>
      <c r="K1672" s="3" t="str">
        <f t="shared" si="78"/>
        <v>2-4 Years</v>
      </c>
    </row>
    <row r="1673" spans="1:11" x14ac:dyDescent="0.3">
      <c r="A1673" t="s">
        <v>1690</v>
      </c>
      <c r="B1673" t="s">
        <v>9</v>
      </c>
      <c r="C1673" t="s">
        <v>10</v>
      </c>
      <c r="D1673" t="s">
        <v>11</v>
      </c>
      <c r="E1673">
        <v>80.150000000000006</v>
      </c>
      <c r="F1673">
        <v>4</v>
      </c>
      <c r="G1673">
        <v>320.60000000000002</v>
      </c>
      <c r="H1673" t="s">
        <v>12</v>
      </c>
      <c r="I1673" t="str">
        <f t="shared" si="79"/>
        <v>Low Value</v>
      </c>
      <c r="J1673" t="str">
        <f t="shared" si="80"/>
        <v>High Risk</v>
      </c>
      <c r="K1673" s="3" t="str">
        <f t="shared" si="78"/>
        <v>0-1 Year</v>
      </c>
    </row>
    <row r="1674" spans="1:11" x14ac:dyDescent="0.3">
      <c r="A1674" t="s">
        <v>1691</v>
      </c>
      <c r="B1674" t="s">
        <v>14</v>
      </c>
      <c r="C1674" t="s">
        <v>30</v>
      </c>
      <c r="D1674" t="s">
        <v>16</v>
      </c>
      <c r="E1674">
        <v>25.4</v>
      </c>
      <c r="F1674">
        <v>6</v>
      </c>
      <c r="G1674">
        <v>152.39999999999901</v>
      </c>
      <c r="H1674" t="s">
        <v>12</v>
      </c>
      <c r="I1674" t="str">
        <f t="shared" si="79"/>
        <v>Low Value</v>
      </c>
      <c r="J1674" t="str">
        <f t="shared" si="80"/>
        <v>High Risk</v>
      </c>
      <c r="K1674" s="3" t="str">
        <f t="shared" si="78"/>
        <v>0-1 Year</v>
      </c>
    </row>
    <row r="1675" spans="1:11" x14ac:dyDescent="0.3">
      <c r="A1675" t="s">
        <v>1692</v>
      </c>
      <c r="B1675" t="s">
        <v>9</v>
      </c>
      <c r="C1675" t="s">
        <v>15</v>
      </c>
      <c r="D1675" t="s">
        <v>24</v>
      </c>
      <c r="E1675">
        <v>105.4</v>
      </c>
      <c r="F1675">
        <v>67</v>
      </c>
      <c r="G1675">
        <v>7061.8</v>
      </c>
      <c r="H1675" t="s">
        <v>12</v>
      </c>
      <c r="I1675" t="str">
        <f t="shared" si="79"/>
        <v>High Value</v>
      </c>
      <c r="J1675" t="str">
        <f t="shared" si="80"/>
        <v>Low Risk</v>
      </c>
      <c r="K1675" s="3" t="str">
        <f t="shared" si="78"/>
        <v>4+ Years</v>
      </c>
    </row>
    <row r="1676" spans="1:11" x14ac:dyDescent="0.3">
      <c r="A1676" t="s">
        <v>1693</v>
      </c>
      <c r="B1676" t="s">
        <v>14</v>
      </c>
      <c r="C1676" t="s">
        <v>10</v>
      </c>
      <c r="D1676" t="s">
        <v>16</v>
      </c>
      <c r="E1676">
        <v>45.75</v>
      </c>
      <c r="F1676">
        <v>7</v>
      </c>
      <c r="G1676">
        <v>320.25</v>
      </c>
      <c r="H1676" t="s">
        <v>12</v>
      </c>
      <c r="I1676" t="str">
        <f t="shared" si="79"/>
        <v>Low Value</v>
      </c>
      <c r="J1676" t="str">
        <f t="shared" si="80"/>
        <v>High Risk</v>
      </c>
      <c r="K1676" s="3" t="str">
        <f t="shared" si="78"/>
        <v>0-1 Year</v>
      </c>
    </row>
    <row r="1677" spans="1:11" x14ac:dyDescent="0.3">
      <c r="A1677" t="s">
        <v>1694</v>
      </c>
      <c r="B1677" t="s">
        <v>14</v>
      </c>
      <c r="C1677" t="s">
        <v>15</v>
      </c>
      <c r="D1677" t="s">
        <v>16</v>
      </c>
      <c r="E1677">
        <v>24.45</v>
      </c>
      <c r="F1677">
        <v>56</v>
      </c>
      <c r="G1677">
        <v>1369.2</v>
      </c>
      <c r="H1677" t="s">
        <v>12</v>
      </c>
      <c r="I1677" t="str">
        <f t="shared" si="79"/>
        <v>Low Value</v>
      </c>
      <c r="J1677" t="str">
        <f t="shared" si="80"/>
        <v>Low Risk</v>
      </c>
      <c r="K1677" s="3" t="str">
        <f t="shared" si="78"/>
        <v>4+ Years</v>
      </c>
    </row>
    <row r="1678" spans="1:11" x14ac:dyDescent="0.3">
      <c r="A1678" t="s">
        <v>1695</v>
      </c>
      <c r="B1678" t="s">
        <v>9</v>
      </c>
      <c r="C1678" t="s">
        <v>30</v>
      </c>
      <c r="D1678" t="s">
        <v>24</v>
      </c>
      <c r="E1678">
        <v>25</v>
      </c>
      <c r="F1678">
        <v>72</v>
      </c>
      <c r="G1678">
        <v>1800</v>
      </c>
      <c r="H1678" t="s">
        <v>12</v>
      </c>
      <c r="I1678" t="str">
        <f t="shared" si="79"/>
        <v>Low Value</v>
      </c>
      <c r="J1678" t="str">
        <f t="shared" si="80"/>
        <v>Low Risk</v>
      </c>
      <c r="K1678" s="3" t="str">
        <f t="shared" si="78"/>
        <v>4+ Years</v>
      </c>
    </row>
    <row r="1679" spans="1:11" x14ac:dyDescent="0.3">
      <c r="A1679" t="s">
        <v>1696</v>
      </c>
      <c r="B1679" t="s">
        <v>14</v>
      </c>
      <c r="C1679" t="s">
        <v>30</v>
      </c>
      <c r="D1679" t="s">
        <v>11</v>
      </c>
      <c r="E1679">
        <v>85.25</v>
      </c>
      <c r="F1679">
        <v>72</v>
      </c>
      <c r="G1679">
        <v>6138</v>
      </c>
      <c r="H1679" t="s">
        <v>12</v>
      </c>
      <c r="I1679" t="str">
        <f t="shared" si="79"/>
        <v>High Value</v>
      </c>
      <c r="J1679" t="str">
        <f t="shared" si="80"/>
        <v>Low Risk</v>
      </c>
      <c r="K1679" s="3" t="str">
        <f t="shared" si="78"/>
        <v>4+ Years</v>
      </c>
    </row>
    <row r="1680" spans="1:11" x14ac:dyDescent="0.3">
      <c r="A1680" t="s">
        <v>1697</v>
      </c>
      <c r="B1680" t="s">
        <v>14</v>
      </c>
      <c r="C1680" t="s">
        <v>30</v>
      </c>
      <c r="D1680" t="s">
        <v>24</v>
      </c>
      <c r="E1680">
        <v>19.600000000000001</v>
      </c>
      <c r="F1680">
        <v>23</v>
      </c>
      <c r="G1680">
        <v>450.8</v>
      </c>
      <c r="H1680" t="s">
        <v>12</v>
      </c>
      <c r="I1680" t="str">
        <f t="shared" si="79"/>
        <v>Low Value</v>
      </c>
      <c r="J1680" t="str">
        <f t="shared" si="80"/>
        <v>Medium Risk</v>
      </c>
      <c r="K1680" s="3" t="str">
        <f t="shared" si="78"/>
        <v>1-2 Years</v>
      </c>
    </row>
    <row r="1681" spans="1:11" x14ac:dyDescent="0.3">
      <c r="A1681" t="s">
        <v>1698</v>
      </c>
      <c r="B1681" t="s">
        <v>9</v>
      </c>
      <c r="C1681" t="s">
        <v>10</v>
      </c>
      <c r="D1681" t="s">
        <v>16</v>
      </c>
      <c r="E1681">
        <v>50.15</v>
      </c>
      <c r="F1681">
        <v>35</v>
      </c>
      <c r="G1681">
        <v>1755.25</v>
      </c>
      <c r="H1681" t="s">
        <v>12</v>
      </c>
      <c r="I1681" t="str">
        <f t="shared" si="79"/>
        <v>Low Value</v>
      </c>
      <c r="J1681" t="str">
        <f t="shared" si="80"/>
        <v>Low Risk</v>
      </c>
      <c r="K1681" s="3" t="str">
        <f t="shared" si="78"/>
        <v>2-4 Years</v>
      </c>
    </row>
    <row r="1682" spans="1:11" x14ac:dyDescent="0.3">
      <c r="A1682" t="s">
        <v>1699</v>
      </c>
      <c r="B1682" t="s">
        <v>14</v>
      </c>
      <c r="C1682" t="s">
        <v>10</v>
      </c>
      <c r="D1682" t="s">
        <v>11</v>
      </c>
      <c r="E1682">
        <v>70.55</v>
      </c>
      <c r="F1682">
        <v>27</v>
      </c>
      <c r="G1682">
        <v>1904.85</v>
      </c>
      <c r="H1682" t="s">
        <v>12</v>
      </c>
      <c r="I1682" t="str">
        <f t="shared" si="79"/>
        <v>Low Value</v>
      </c>
      <c r="J1682" t="str">
        <f t="shared" si="80"/>
        <v>Low Risk</v>
      </c>
      <c r="K1682" s="3" t="str">
        <f t="shared" si="78"/>
        <v>2-4 Years</v>
      </c>
    </row>
    <row r="1683" spans="1:11" x14ac:dyDescent="0.3">
      <c r="A1683" t="s">
        <v>1700</v>
      </c>
      <c r="B1683" t="s">
        <v>9</v>
      </c>
      <c r="C1683" t="s">
        <v>10</v>
      </c>
      <c r="D1683" t="s">
        <v>11</v>
      </c>
      <c r="E1683">
        <v>60.05</v>
      </c>
      <c r="F1683">
        <v>26</v>
      </c>
      <c r="G1683">
        <v>1561.3</v>
      </c>
      <c r="H1683" t="s">
        <v>18</v>
      </c>
      <c r="I1683" t="str">
        <f t="shared" si="79"/>
        <v>Low Value</v>
      </c>
      <c r="J1683" t="str">
        <f t="shared" si="80"/>
        <v>Low Risk</v>
      </c>
      <c r="K1683" s="3" t="str">
        <f t="shared" si="78"/>
        <v>2-4 Years</v>
      </c>
    </row>
    <row r="1684" spans="1:11" x14ac:dyDescent="0.3">
      <c r="A1684" t="s">
        <v>1701</v>
      </c>
      <c r="B1684" t="s">
        <v>14</v>
      </c>
      <c r="C1684" t="s">
        <v>15</v>
      </c>
      <c r="D1684" t="s">
        <v>16</v>
      </c>
      <c r="E1684">
        <v>26.4</v>
      </c>
      <c r="F1684">
        <v>12</v>
      </c>
      <c r="G1684">
        <v>316.79999999999899</v>
      </c>
      <c r="H1684" t="s">
        <v>12</v>
      </c>
      <c r="I1684" t="str">
        <f t="shared" si="79"/>
        <v>Low Value</v>
      </c>
      <c r="J1684" t="str">
        <f t="shared" si="80"/>
        <v>Medium Risk</v>
      </c>
      <c r="K1684" s="3" t="str">
        <f t="shared" si="78"/>
        <v>0-1 Year</v>
      </c>
    </row>
    <row r="1685" spans="1:11" x14ac:dyDescent="0.3">
      <c r="A1685" t="s">
        <v>1702</v>
      </c>
      <c r="B1685" t="s">
        <v>9</v>
      </c>
      <c r="C1685" t="s">
        <v>30</v>
      </c>
      <c r="D1685" t="s">
        <v>16</v>
      </c>
      <c r="E1685">
        <v>20.149999999999999</v>
      </c>
      <c r="F1685">
        <v>40</v>
      </c>
      <c r="G1685">
        <v>806</v>
      </c>
      <c r="H1685" t="s">
        <v>12</v>
      </c>
      <c r="I1685" t="str">
        <f t="shared" si="79"/>
        <v>Low Value</v>
      </c>
      <c r="J1685" t="str">
        <f t="shared" si="80"/>
        <v>Low Risk</v>
      </c>
      <c r="K1685" s="3" t="str">
        <f t="shared" si="78"/>
        <v>2-4 Years</v>
      </c>
    </row>
    <row r="1686" spans="1:11" x14ac:dyDescent="0.3">
      <c r="A1686" t="s">
        <v>1703</v>
      </c>
      <c r="B1686" t="s">
        <v>14</v>
      </c>
      <c r="C1686" t="s">
        <v>10</v>
      </c>
      <c r="D1686" t="s">
        <v>16</v>
      </c>
      <c r="E1686">
        <v>58.85</v>
      </c>
      <c r="F1686">
        <v>7</v>
      </c>
      <c r="G1686">
        <v>411.95</v>
      </c>
      <c r="H1686" t="s">
        <v>12</v>
      </c>
      <c r="I1686" t="str">
        <f t="shared" si="79"/>
        <v>Low Value</v>
      </c>
      <c r="J1686" t="str">
        <f t="shared" si="80"/>
        <v>High Risk</v>
      </c>
      <c r="K1686" s="3" t="str">
        <f t="shared" si="78"/>
        <v>0-1 Year</v>
      </c>
    </row>
    <row r="1687" spans="1:11" x14ac:dyDescent="0.3">
      <c r="A1687" t="s">
        <v>1704</v>
      </c>
      <c r="B1687" t="s">
        <v>14</v>
      </c>
      <c r="C1687" t="s">
        <v>10</v>
      </c>
      <c r="D1687" t="s">
        <v>24</v>
      </c>
      <c r="E1687">
        <v>97.55</v>
      </c>
      <c r="F1687">
        <v>70</v>
      </c>
      <c r="G1687">
        <v>6828.5</v>
      </c>
      <c r="H1687" t="s">
        <v>12</v>
      </c>
      <c r="I1687" t="str">
        <f t="shared" si="79"/>
        <v>High Value</v>
      </c>
      <c r="J1687" t="str">
        <f t="shared" si="80"/>
        <v>Low Risk</v>
      </c>
      <c r="K1687" s="3" t="str">
        <f t="shared" si="78"/>
        <v>4+ Years</v>
      </c>
    </row>
    <row r="1688" spans="1:11" x14ac:dyDescent="0.3">
      <c r="A1688" t="s">
        <v>1705</v>
      </c>
      <c r="B1688" t="s">
        <v>14</v>
      </c>
      <c r="C1688" t="s">
        <v>30</v>
      </c>
      <c r="D1688" t="s">
        <v>24</v>
      </c>
      <c r="E1688">
        <v>19.649999999999999</v>
      </c>
      <c r="F1688">
        <v>60</v>
      </c>
      <c r="G1688">
        <v>1179</v>
      </c>
      <c r="H1688" t="s">
        <v>12</v>
      </c>
      <c r="I1688" t="str">
        <f t="shared" si="79"/>
        <v>Low Value</v>
      </c>
      <c r="J1688" t="str">
        <f t="shared" si="80"/>
        <v>Low Risk</v>
      </c>
      <c r="K1688" s="3" t="str">
        <f t="shared" si="78"/>
        <v>4+ Years</v>
      </c>
    </row>
    <row r="1689" spans="1:11" x14ac:dyDescent="0.3">
      <c r="A1689" t="s">
        <v>1706</v>
      </c>
      <c r="B1689" t="s">
        <v>14</v>
      </c>
      <c r="C1689" t="s">
        <v>15</v>
      </c>
      <c r="D1689" t="s">
        <v>24</v>
      </c>
      <c r="E1689">
        <v>25.25</v>
      </c>
      <c r="F1689">
        <v>39</v>
      </c>
      <c r="G1689">
        <v>984.75</v>
      </c>
      <c r="H1689" t="s">
        <v>12</v>
      </c>
      <c r="I1689" t="str">
        <f t="shared" si="79"/>
        <v>Low Value</v>
      </c>
      <c r="J1689" t="str">
        <f t="shared" si="80"/>
        <v>Low Risk</v>
      </c>
      <c r="K1689" s="3" t="str">
        <f t="shared" si="78"/>
        <v>2-4 Years</v>
      </c>
    </row>
    <row r="1690" spans="1:11" x14ac:dyDescent="0.3">
      <c r="A1690" t="s">
        <v>1707</v>
      </c>
      <c r="B1690" t="s">
        <v>14</v>
      </c>
      <c r="C1690" t="s">
        <v>30</v>
      </c>
      <c r="D1690" t="s">
        <v>24</v>
      </c>
      <c r="E1690">
        <v>114.45</v>
      </c>
      <c r="F1690">
        <v>72</v>
      </c>
      <c r="G1690">
        <v>8240.4</v>
      </c>
      <c r="H1690" t="s">
        <v>12</v>
      </c>
      <c r="I1690" t="str">
        <f t="shared" si="79"/>
        <v>High Value</v>
      </c>
      <c r="J1690" t="str">
        <f t="shared" si="80"/>
        <v>Low Risk</v>
      </c>
      <c r="K1690" s="3" t="str">
        <f t="shared" si="78"/>
        <v>4+ Years</v>
      </c>
    </row>
    <row r="1691" spans="1:11" x14ac:dyDescent="0.3">
      <c r="A1691" t="s">
        <v>1708</v>
      </c>
      <c r="B1691" t="s">
        <v>9</v>
      </c>
      <c r="C1691" t="s">
        <v>10</v>
      </c>
      <c r="D1691" t="s">
        <v>11</v>
      </c>
      <c r="E1691">
        <v>34.700000000000003</v>
      </c>
      <c r="F1691">
        <v>1</v>
      </c>
      <c r="G1691">
        <v>34.700000000000003</v>
      </c>
      <c r="H1691" t="s">
        <v>18</v>
      </c>
      <c r="I1691" t="str">
        <f t="shared" si="79"/>
        <v>Low Value</v>
      </c>
      <c r="J1691" t="str">
        <f t="shared" si="80"/>
        <v>High Risk</v>
      </c>
      <c r="K1691" s="3" t="str">
        <f t="shared" si="78"/>
        <v>0-1 Year</v>
      </c>
    </row>
    <row r="1692" spans="1:11" x14ac:dyDescent="0.3">
      <c r="A1692" t="s">
        <v>1709</v>
      </c>
      <c r="B1692" t="s">
        <v>14</v>
      </c>
      <c r="C1692" t="s">
        <v>15</v>
      </c>
      <c r="D1692" t="s">
        <v>11</v>
      </c>
      <c r="E1692">
        <v>70.7</v>
      </c>
      <c r="F1692">
        <v>54</v>
      </c>
      <c r="G1692">
        <v>3817.8</v>
      </c>
      <c r="H1692" t="s">
        <v>12</v>
      </c>
      <c r="I1692" t="str">
        <f t="shared" si="79"/>
        <v>Medium Value</v>
      </c>
      <c r="J1692" t="str">
        <f t="shared" si="80"/>
        <v>Low Risk</v>
      </c>
      <c r="K1692" s="3" t="str">
        <f t="shared" si="78"/>
        <v>4+ Years</v>
      </c>
    </row>
    <row r="1693" spans="1:11" x14ac:dyDescent="0.3">
      <c r="A1693" t="s">
        <v>1710</v>
      </c>
      <c r="B1693" t="s">
        <v>14</v>
      </c>
      <c r="C1693" t="s">
        <v>10</v>
      </c>
      <c r="D1693" t="s">
        <v>11</v>
      </c>
      <c r="E1693">
        <v>85.3</v>
      </c>
      <c r="F1693">
        <v>3</v>
      </c>
      <c r="G1693">
        <v>255.89999999999901</v>
      </c>
      <c r="H1693" t="s">
        <v>18</v>
      </c>
      <c r="I1693" t="str">
        <f t="shared" si="79"/>
        <v>Low Value</v>
      </c>
      <c r="J1693" t="str">
        <f t="shared" si="80"/>
        <v>High Risk</v>
      </c>
      <c r="K1693" s="3" t="str">
        <f t="shared" si="78"/>
        <v>0-1 Year</v>
      </c>
    </row>
    <row r="1694" spans="1:11" x14ac:dyDescent="0.3">
      <c r="A1694" t="s">
        <v>1711</v>
      </c>
      <c r="B1694" t="s">
        <v>9</v>
      </c>
      <c r="C1694" t="s">
        <v>30</v>
      </c>
      <c r="D1694" t="s">
        <v>24</v>
      </c>
      <c r="E1694">
        <v>75.55</v>
      </c>
      <c r="F1694">
        <v>63</v>
      </c>
      <c r="G1694">
        <v>4759.6499999999996</v>
      </c>
      <c r="H1694" t="s">
        <v>12</v>
      </c>
      <c r="I1694" t="str">
        <f t="shared" si="79"/>
        <v>Medium Value</v>
      </c>
      <c r="J1694" t="str">
        <f t="shared" si="80"/>
        <v>Low Risk</v>
      </c>
      <c r="K1694" s="3" t="str">
        <f t="shared" si="78"/>
        <v>4+ Years</v>
      </c>
    </row>
    <row r="1695" spans="1:11" x14ac:dyDescent="0.3">
      <c r="A1695" t="s">
        <v>1712</v>
      </c>
      <c r="B1695" t="s">
        <v>14</v>
      </c>
      <c r="C1695" t="s">
        <v>30</v>
      </c>
      <c r="D1695" t="s">
        <v>11</v>
      </c>
      <c r="E1695">
        <v>84.8</v>
      </c>
      <c r="F1695">
        <v>71</v>
      </c>
      <c r="G1695">
        <v>6020.8</v>
      </c>
      <c r="H1695" t="s">
        <v>12</v>
      </c>
      <c r="I1695" t="str">
        <f t="shared" si="79"/>
        <v>High Value</v>
      </c>
      <c r="J1695" t="str">
        <f t="shared" si="80"/>
        <v>Low Risk</v>
      </c>
      <c r="K1695" s="3" t="str">
        <f t="shared" si="78"/>
        <v>4+ Years</v>
      </c>
    </row>
    <row r="1696" spans="1:11" x14ac:dyDescent="0.3">
      <c r="A1696" t="s">
        <v>1713</v>
      </c>
      <c r="B1696" t="s">
        <v>9</v>
      </c>
      <c r="C1696" t="s">
        <v>15</v>
      </c>
      <c r="D1696" t="s">
        <v>16</v>
      </c>
      <c r="E1696">
        <v>20.65</v>
      </c>
      <c r="F1696">
        <v>42</v>
      </c>
      <c r="G1696">
        <v>867.3</v>
      </c>
      <c r="H1696" t="s">
        <v>12</v>
      </c>
      <c r="I1696" t="str">
        <f t="shared" si="79"/>
        <v>Low Value</v>
      </c>
      <c r="J1696" t="str">
        <f t="shared" si="80"/>
        <v>Low Risk</v>
      </c>
      <c r="K1696" s="3" t="str">
        <f t="shared" si="78"/>
        <v>2-4 Years</v>
      </c>
    </row>
    <row r="1697" spans="1:11" x14ac:dyDescent="0.3">
      <c r="A1697" t="s">
        <v>1714</v>
      </c>
      <c r="B1697" t="s">
        <v>14</v>
      </c>
      <c r="C1697" t="s">
        <v>30</v>
      </c>
      <c r="D1697" t="s">
        <v>20</v>
      </c>
      <c r="E1697">
        <v>20.45</v>
      </c>
      <c r="F1697">
        <v>47</v>
      </c>
      <c r="G1697">
        <v>961.15</v>
      </c>
      <c r="H1697" t="s">
        <v>12</v>
      </c>
      <c r="I1697" t="str">
        <f t="shared" si="79"/>
        <v>Low Value</v>
      </c>
      <c r="J1697" t="str">
        <f t="shared" si="80"/>
        <v>Low Risk</v>
      </c>
      <c r="K1697" s="3" t="str">
        <f t="shared" si="78"/>
        <v>2-4 Years</v>
      </c>
    </row>
    <row r="1698" spans="1:11" x14ac:dyDescent="0.3">
      <c r="A1698" t="s">
        <v>1715</v>
      </c>
      <c r="B1698" t="s">
        <v>9</v>
      </c>
      <c r="C1698" t="s">
        <v>15</v>
      </c>
      <c r="D1698" t="s">
        <v>24</v>
      </c>
      <c r="E1698">
        <v>102.45</v>
      </c>
      <c r="F1698">
        <v>66</v>
      </c>
      <c r="G1698">
        <v>6761.7</v>
      </c>
      <c r="H1698" t="s">
        <v>18</v>
      </c>
      <c r="I1698" t="str">
        <f t="shared" si="79"/>
        <v>High Value</v>
      </c>
      <c r="J1698" t="str">
        <f t="shared" si="80"/>
        <v>Low Risk</v>
      </c>
      <c r="K1698" s="3" t="str">
        <f t="shared" si="78"/>
        <v>4+ Years</v>
      </c>
    </row>
    <row r="1699" spans="1:11" x14ac:dyDescent="0.3">
      <c r="A1699" t="s">
        <v>1716</v>
      </c>
      <c r="B1699" t="s">
        <v>9</v>
      </c>
      <c r="C1699" t="s">
        <v>10</v>
      </c>
      <c r="D1699" t="s">
        <v>20</v>
      </c>
      <c r="E1699">
        <v>104.4</v>
      </c>
      <c r="F1699">
        <v>21</v>
      </c>
      <c r="G1699">
        <v>2192.4</v>
      </c>
      <c r="H1699" t="s">
        <v>18</v>
      </c>
      <c r="I1699" t="str">
        <f t="shared" si="79"/>
        <v>Medium Value</v>
      </c>
      <c r="J1699" t="str">
        <f t="shared" si="80"/>
        <v>Medium Risk</v>
      </c>
      <c r="K1699" s="3" t="str">
        <f t="shared" si="78"/>
        <v>1-2 Years</v>
      </c>
    </row>
    <row r="1700" spans="1:11" x14ac:dyDescent="0.3">
      <c r="A1700" t="s">
        <v>1717</v>
      </c>
      <c r="B1700" t="s">
        <v>14</v>
      </c>
      <c r="C1700" t="s">
        <v>10</v>
      </c>
      <c r="D1700" t="s">
        <v>11</v>
      </c>
      <c r="E1700">
        <v>35.65</v>
      </c>
      <c r="F1700">
        <v>11</v>
      </c>
      <c r="G1700">
        <v>392.15</v>
      </c>
      <c r="H1700" t="s">
        <v>12</v>
      </c>
      <c r="I1700" t="str">
        <f t="shared" si="79"/>
        <v>Low Value</v>
      </c>
      <c r="J1700" t="str">
        <f t="shared" si="80"/>
        <v>High Risk</v>
      </c>
      <c r="K1700" s="3" t="str">
        <f t="shared" si="78"/>
        <v>0-1 Year</v>
      </c>
    </row>
    <row r="1701" spans="1:11" x14ac:dyDescent="0.3">
      <c r="A1701" t="s">
        <v>1718</v>
      </c>
      <c r="B1701" t="s">
        <v>14</v>
      </c>
      <c r="C1701" t="s">
        <v>10</v>
      </c>
      <c r="D1701" t="s">
        <v>11</v>
      </c>
      <c r="E1701">
        <v>99.75</v>
      </c>
      <c r="F1701">
        <v>1</v>
      </c>
      <c r="G1701">
        <v>99.75</v>
      </c>
      <c r="H1701" t="s">
        <v>18</v>
      </c>
      <c r="I1701" t="str">
        <f t="shared" si="79"/>
        <v>Low Value</v>
      </c>
      <c r="J1701" t="str">
        <f t="shared" si="80"/>
        <v>High Risk</v>
      </c>
      <c r="K1701" s="3" t="str">
        <f t="shared" si="78"/>
        <v>0-1 Year</v>
      </c>
    </row>
    <row r="1702" spans="1:11" x14ac:dyDescent="0.3">
      <c r="A1702" t="s">
        <v>1719</v>
      </c>
      <c r="B1702" t="s">
        <v>9</v>
      </c>
      <c r="C1702" t="s">
        <v>10</v>
      </c>
      <c r="D1702" t="s">
        <v>11</v>
      </c>
      <c r="E1702">
        <v>90.45</v>
      </c>
      <c r="F1702">
        <v>55</v>
      </c>
      <c r="G1702">
        <v>4974.75</v>
      </c>
      <c r="H1702" t="s">
        <v>12</v>
      </c>
      <c r="I1702" t="str">
        <f t="shared" si="79"/>
        <v>Medium Value</v>
      </c>
      <c r="J1702" t="str">
        <f t="shared" si="80"/>
        <v>Low Risk</v>
      </c>
      <c r="K1702" s="3" t="str">
        <f t="shared" si="78"/>
        <v>4+ Years</v>
      </c>
    </row>
    <row r="1703" spans="1:11" x14ac:dyDescent="0.3">
      <c r="A1703" t="s">
        <v>1720</v>
      </c>
      <c r="B1703" t="s">
        <v>14</v>
      </c>
      <c r="C1703" t="s">
        <v>30</v>
      </c>
      <c r="D1703" t="s">
        <v>24</v>
      </c>
      <c r="E1703">
        <v>97.65</v>
      </c>
      <c r="F1703">
        <v>69</v>
      </c>
      <c r="G1703">
        <v>6737.85</v>
      </c>
      <c r="H1703" t="s">
        <v>12</v>
      </c>
      <c r="I1703" t="str">
        <f t="shared" si="79"/>
        <v>High Value</v>
      </c>
      <c r="J1703" t="str">
        <f t="shared" si="80"/>
        <v>Low Risk</v>
      </c>
      <c r="K1703" s="3" t="str">
        <f t="shared" si="78"/>
        <v>4+ Years</v>
      </c>
    </row>
    <row r="1704" spans="1:11" x14ac:dyDescent="0.3">
      <c r="A1704" t="s">
        <v>1721</v>
      </c>
      <c r="B1704" t="s">
        <v>9</v>
      </c>
      <c r="C1704" t="s">
        <v>10</v>
      </c>
      <c r="D1704" t="s">
        <v>11</v>
      </c>
      <c r="E1704">
        <v>73.849999999999994</v>
      </c>
      <c r="F1704">
        <v>3</v>
      </c>
      <c r="G1704">
        <v>221.54999999999899</v>
      </c>
      <c r="H1704" t="s">
        <v>12</v>
      </c>
      <c r="I1704" t="str">
        <f t="shared" si="79"/>
        <v>Low Value</v>
      </c>
      <c r="J1704" t="str">
        <f t="shared" si="80"/>
        <v>High Risk</v>
      </c>
      <c r="K1704" s="3" t="str">
        <f t="shared" si="78"/>
        <v>0-1 Year</v>
      </c>
    </row>
    <row r="1705" spans="1:11" x14ac:dyDescent="0.3">
      <c r="A1705" t="s">
        <v>1722</v>
      </c>
      <c r="B1705" t="s">
        <v>14</v>
      </c>
      <c r="C1705" t="s">
        <v>10</v>
      </c>
      <c r="D1705" t="s">
        <v>11</v>
      </c>
      <c r="E1705">
        <v>74.400000000000006</v>
      </c>
      <c r="F1705">
        <v>4</v>
      </c>
      <c r="G1705">
        <v>297.60000000000002</v>
      </c>
      <c r="H1705" t="s">
        <v>18</v>
      </c>
      <c r="I1705" t="str">
        <f t="shared" si="79"/>
        <v>Low Value</v>
      </c>
      <c r="J1705" t="str">
        <f t="shared" si="80"/>
        <v>High Risk</v>
      </c>
      <c r="K1705" s="3" t="str">
        <f t="shared" si="78"/>
        <v>0-1 Year</v>
      </c>
    </row>
    <row r="1706" spans="1:11" x14ac:dyDescent="0.3">
      <c r="A1706" t="s">
        <v>1723</v>
      </c>
      <c r="B1706" t="s">
        <v>14</v>
      </c>
      <c r="C1706" t="s">
        <v>30</v>
      </c>
      <c r="D1706" t="s">
        <v>24</v>
      </c>
      <c r="E1706">
        <v>69.099999999999994</v>
      </c>
      <c r="F1706">
        <v>30</v>
      </c>
      <c r="G1706">
        <v>2073</v>
      </c>
      <c r="H1706" t="s">
        <v>12</v>
      </c>
      <c r="I1706" t="str">
        <f t="shared" si="79"/>
        <v>Medium Value</v>
      </c>
      <c r="J1706" t="str">
        <f t="shared" si="80"/>
        <v>Low Risk</v>
      </c>
      <c r="K1706" s="3" t="str">
        <f t="shared" si="78"/>
        <v>2-4 Years</v>
      </c>
    </row>
    <row r="1707" spans="1:11" x14ac:dyDescent="0.3">
      <c r="A1707" t="s">
        <v>1724</v>
      </c>
      <c r="B1707" t="s">
        <v>9</v>
      </c>
      <c r="C1707" t="s">
        <v>10</v>
      </c>
      <c r="D1707" t="s">
        <v>11</v>
      </c>
      <c r="E1707">
        <v>82.75</v>
      </c>
      <c r="F1707">
        <v>5</v>
      </c>
      <c r="G1707">
        <v>413.75</v>
      </c>
      <c r="H1707" t="s">
        <v>12</v>
      </c>
      <c r="I1707" t="str">
        <f t="shared" si="79"/>
        <v>Low Value</v>
      </c>
      <c r="J1707" t="str">
        <f t="shared" si="80"/>
        <v>High Risk</v>
      </c>
      <c r="K1707" s="3" t="str">
        <f t="shared" si="78"/>
        <v>0-1 Year</v>
      </c>
    </row>
    <row r="1708" spans="1:11" x14ac:dyDescent="0.3">
      <c r="A1708" t="s">
        <v>1725</v>
      </c>
      <c r="B1708" t="s">
        <v>9</v>
      </c>
      <c r="C1708" t="s">
        <v>30</v>
      </c>
      <c r="D1708" t="s">
        <v>24</v>
      </c>
      <c r="E1708">
        <v>24.4</v>
      </c>
      <c r="F1708">
        <v>71</v>
      </c>
      <c r="G1708">
        <v>1732.3999999999901</v>
      </c>
      <c r="H1708" t="s">
        <v>12</v>
      </c>
      <c r="I1708" t="str">
        <f t="shared" si="79"/>
        <v>Low Value</v>
      </c>
      <c r="J1708" t="str">
        <f t="shared" si="80"/>
        <v>Low Risk</v>
      </c>
      <c r="K1708" s="3" t="str">
        <f t="shared" si="78"/>
        <v>4+ Years</v>
      </c>
    </row>
    <row r="1709" spans="1:11" x14ac:dyDescent="0.3">
      <c r="A1709" t="s">
        <v>1726</v>
      </c>
      <c r="B1709" t="s">
        <v>9</v>
      </c>
      <c r="C1709" t="s">
        <v>15</v>
      </c>
      <c r="D1709" t="s">
        <v>11</v>
      </c>
      <c r="E1709">
        <v>55.25</v>
      </c>
      <c r="F1709">
        <v>29</v>
      </c>
      <c r="G1709">
        <v>1602.25</v>
      </c>
      <c r="H1709" t="s">
        <v>12</v>
      </c>
      <c r="I1709" t="str">
        <f t="shared" si="79"/>
        <v>Low Value</v>
      </c>
      <c r="J1709" t="str">
        <f t="shared" si="80"/>
        <v>Low Risk</v>
      </c>
      <c r="K1709" s="3" t="str">
        <f t="shared" si="78"/>
        <v>2-4 Years</v>
      </c>
    </row>
    <row r="1710" spans="1:11" x14ac:dyDescent="0.3">
      <c r="A1710" t="s">
        <v>1727</v>
      </c>
      <c r="B1710" t="s">
        <v>14</v>
      </c>
      <c r="C1710" t="s">
        <v>10</v>
      </c>
      <c r="D1710" t="s">
        <v>20</v>
      </c>
      <c r="E1710">
        <v>61.35</v>
      </c>
      <c r="F1710">
        <v>52</v>
      </c>
      <c r="G1710">
        <v>3190.2</v>
      </c>
      <c r="H1710" t="s">
        <v>12</v>
      </c>
      <c r="I1710" t="str">
        <f t="shared" si="79"/>
        <v>Medium Value</v>
      </c>
      <c r="J1710" t="str">
        <f t="shared" si="80"/>
        <v>Low Risk</v>
      </c>
      <c r="K1710" s="3" t="str">
        <f t="shared" si="78"/>
        <v>4+ Years</v>
      </c>
    </row>
    <row r="1711" spans="1:11" x14ac:dyDescent="0.3">
      <c r="A1711" t="s">
        <v>1728</v>
      </c>
      <c r="B1711" t="s">
        <v>14</v>
      </c>
      <c r="C1711" t="s">
        <v>15</v>
      </c>
      <c r="D1711" t="s">
        <v>24</v>
      </c>
      <c r="E1711">
        <v>76.75</v>
      </c>
      <c r="F1711">
        <v>68</v>
      </c>
      <c r="G1711">
        <v>5219</v>
      </c>
      <c r="H1711" t="s">
        <v>12</v>
      </c>
      <c r="I1711" t="str">
        <f t="shared" si="79"/>
        <v>High Value</v>
      </c>
      <c r="J1711" t="str">
        <f t="shared" si="80"/>
        <v>Low Risk</v>
      </c>
      <c r="K1711" s="3" t="str">
        <f t="shared" si="78"/>
        <v>4+ Years</v>
      </c>
    </row>
    <row r="1712" spans="1:11" x14ac:dyDescent="0.3">
      <c r="A1712" t="s">
        <v>1729</v>
      </c>
      <c r="B1712" t="s">
        <v>9</v>
      </c>
      <c r="C1712" t="s">
        <v>30</v>
      </c>
      <c r="D1712" t="s">
        <v>16</v>
      </c>
      <c r="E1712">
        <v>19.399999999999999</v>
      </c>
      <c r="F1712">
        <v>46</v>
      </c>
      <c r="G1712">
        <v>892.4</v>
      </c>
      <c r="H1712" t="s">
        <v>12</v>
      </c>
      <c r="I1712" t="str">
        <f t="shared" si="79"/>
        <v>Low Value</v>
      </c>
      <c r="J1712" t="str">
        <f t="shared" si="80"/>
        <v>Low Risk</v>
      </c>
      <c r="K1712" s="3" t="str">
        <f t="shared" si="78"/>
        <v>2-4 Years</v>
      </c>
    </row>
    <row r="1713" spans="1:11" x14ac:dyDescent="0.3">
      <c r="A1713" t="s">
        <v>1730</v>
      </c>
      <c r="B1713" t="s">
        <v>14</v>
      </c>
      <c r="C1713" t="s">
        <v>10</v>
      </c>
      <c r="D1713" t="s">
        <v>24</v>
      </c>
      <c r="E1713">
        <v>54.75</v>
      </c>
      <c r="F1713">
        <v>8</v>
      </c>
      <c r="G1713">
        <v>438</v>
      </c>
      <c r="H1713" t="s">
        <v>12</v>
      </c>
      <c r="I1713" t="str">
        <f t="shared" si="79"/>
        <v>Low Value</v>
      </c>
      <c r="J1713" t="str">
        <f t="shared" si="80"/>
        <v>High Risk</v>
      </c>
      <c r="K1713" s="3" t="str">
        <f t="shared" si="78"/>
        <v>0-1 Year</v>
      </c>
    </row>
    <row r="1714" spans="1:11" x14ac:dyDescent="0.3">
      <c r="A1714" t="s">
        <v>1731</v>
      </c>
      <c r="B1714" t="s">
        <v>14</v>
      </c>
      <c r="C1714" t="s">
        <v>30</v>
      </c>
      <c r="D1714" t="s">
        <v>24</v>
      </c>
      <c r="E1714">
        <v>19.7</v>
      </c>
      <c r="F1714">
        <v>72</v>
      </c>
      <c r="G1714">
        <v>1418.3999999999901</v>
      </c>
      <c r="H1714" t="s">
        <v>12</v>
      </c>
      <c r="I1714" t="str">
        <f t="shared" si="79"/>
        <v>Low Value</v>
      </c>
      <c r="J1714" t="str">
        <f t="shared" si="80"/>
        <v>Low Risk</v>
      </c>
      <c r="K1714" s="3" t="str">
        <f t="shared" si="78"/>
        <v>4+ Years</v>
      </c>
    </row>
    <row r="1715" spans="1:11" x14ac:dyDescent="0.3">
      <c r="A1715" t="s">
        <v>1732</v>
      </c>
      <c r="B1715" t="s">
        <v>9</v>
      </c>
      <c r="C1715" t="s">
        <v>15</v>
      </c>
      <c r="D1715" t="s">
        <v>20</v>
      </c>
      <c r="E1715">
        <v>19.899999999999999</v>
      </c>
      <c r="F1715">
        <v>17</v>
      </c>
      <c r="G1715">
        <v>338.29999999999899</v>
      </c>
      <c r="H1715" t="s">
        <v>12</v>
      </c>
      <c r="I1715" t="str">
        <f t="shared" si="79"/>
        <v>Low Value</v>
      </c>
      <c r="J1715" t="str">
        <f t="shared" si="80"/>
        <v>Medium Risk</v>
      </c>
      <c r="K1715" s="3" t="str">
        <f t="shared" si="78"/>
        <v>1-2 Years</v>
      </c>
    </row>
    <row r="1716" spans="1:11" x14ac:dyDescent="0.3">
      <c r="A1716" t="s">
        <v>1733</v>
      </c>
      <c r="B1716" t="s">
        <v>14</v>
      </c>
      <c r="C1716" t="s">
        <v>10</v>
      </c>
      <c r="D1716" t="s">
        <v>11</v>
      </c>
      <c r="E1716">
        <v>107.95</v>
      </c>
      <c r="F1716">
        <v>3</v>
      </c>
      <c r="G1716">
        <v>323.85000000000002</v>
      </c>
      <c r="H1716" t="s">
        <v>12</v>
      </c>
      <c r="I1716" t="str">
        <f t="shared" si="79"/>
        <v>Low Value</v>
      </c>
      <c r="J1716" t="str">
        <f t="shared" si="80"/>
        <v>High Risk</v>
      </c>
      <c r="K1716" s="3" t="str">
        <f t="shared" si="78"/>
        <v>0-1 Year</v>
      </c>
    </row>
    <row r="1717" spans="1:11" x14ac:dyDescent="0.3">
      <c r="A1717" t="s">
        <v>1734</v>
      </c>
      <c r="B1717" t="s">
        <v>9</v>
      </c>
      <c r="C1717" t="s">
        <v>10</v>
      </c>
      <c r="D1717" t="s">
        <v>20</v>
      </c>
      <c r="E1717">
        <v>83.8</v>
      </c>
      <c r="F1717">
        <v>2</v>
      </c>
      <c r="G1717">
        <v>167.6</v>
      </c>
      <c r="H1717" t="s">
        <v>12</v>
      </c>
      <c r="I1717" t="str">
        <f t="shared" si="79"/>
        <v>Low Value</v>
      </c>
      <c r="J1717" t="str">
        <f t="shared" si="80"/>
        <v>High Risk</v>
      </c>
      <c r="K1717" s="3" t="str">
        <f t="shared" si="78"/>
        <v>0-1 Year</v>
      </c>
    </row>
    <row r="1718" spans="1:11" x14ac:dyDescent="0.3">
      <c r="A1718" t="s">
        <v>1735</v>
      </c>
      <c r="B1718" t="s">
        <v>9</v>
      </c>
      <c r="C1718" t="s">
        <v>10</v>
      </c>
      <c r="D1718" t="s">
        <v>24</v>
      </c>
      <c r="E1718">
        <v>74.25</v>
      </c>
      <c r="F1718">
        <v>9</v>
      </c>
      <c r="G1718">
        <v>668.25</v>
      </c>
      <c r="H1718" t="s">
        <v>18</v>
      </c>
      <c r="I1718" t="str">
        <f t="shared" si="79"/>
        <v>Low Value</v>
      </c>
      <c r="J1718" t="str">
        <f t="shared" si="80"/>
        <v>High Risk</v>
      </c>
      <c r="K1718" s="3" t="str">
        <f t="shared" si="78"/>
        <v>0-1 Year</v>
      </c>
    </row>
    <row r="1719" spans="1:11" x14ac:dyDescent="0.3">
      <c r="A1719" t="s">
        <v>1736</v>
      </c>
      <c r="B1719" t="s">
        <v>9</v>
      </c>
      <c r="C1719" t="s">
        <v>15</v>
      </c>
      <c r="D1719" t="s">
        <v>24</v>
      </c>
      <c r="E1719">
        <v>56.4</v>
      </c>
      <c r="F1719">
        <v>51</v>
      </c>
      <c r="G1719">
        <v>2876.4</v>
      </c>
      <c r="H1719" t="s">
        <v>12</v>
      </c>
      <c r="I1719" t="str">
        <f t="shared" si="79"/>
        <v>Medium Value</v>
      </c>
      <c r="J1719" t="str">
        <f t="shared" si="80"/>
        <v>Low Risk</v>
      </c>
      <c r="K1719" s="3" t="str">
        <f t="shared" si="78"/>
        <v>4+ Years</v>
      </c>
    </row>
    <row r="1720" spans="1:11" x14ac:dyDescent="0.3">
      <c r="A1720" t="s">
        <v>1737</v>
      </c>
      <c r="B1720" t="s">
        <v>9</v>
      </c>
      <c r="C1720" t="s">
        <v>30</v>
      </c>
      <c r="D1720" t="s">
        <v>16</v>
      </c>
      <c r="E1720">
        <v>20.100000000000001</v>
      </c>
      <c r="F1720">
        <v>6</v>
      </c>
      <c r="G1720">
        <v>120.6</v>
      </c>
      <c r="H1720" t="s">
        <v>12</v>
      </c>
      <c r="I1720" t="str">
        <f t="shared" si="79"/>
        <v>Low Value</v>
      </c>
      <c r="J1720" t="str">
        <f t="shared" si="80"/>
        <v>High Risk</v>
      </c>
      <c r="K1720" s="3" t="str">
        <f t="shared" si="78"/>
        <v>0-1 Year</v>
      </c>
    </row>
    <row r="1721" spans="1:11" x14ac:dyDescent="0.3">
      <c r="A1721" t="s">
        <v>1738</v>
      </c>
      <c r="B1721" t="s">
        <v>9</v>
      </c>
      <c r="C1721" t="s">
        <v>10</v>
      </c>
      <c r="D1721" t="s">
        <v>11</v>
      </c>
      <c r="E1721">
        <v>94.9</v>
      </c>
      <c r="F1721">
        <v>3</v>
      </c>
      <c r="G1721">
        <v>284.7</v>
      </c>
      <c r="H1721" t="s">
        <v>12</v>
      </c>
      <c r="I1721" t="str">
        <f t="shared" si="79"/>
        <v>Low Value</v>
      </c>
      <c r="J1721" t="str">
        <f t="shared" si="80"/>
        <v>High Risk</v>
      </c>
      <c r="K1721" s="3" t="str">
        <f t="shared" si="78"/>
        <v>0-1 Year</v>
      </c>
    </row>
    <row r="1722" spans="1:11" x14ac:dyDescent="0.3">
      <c r="A1722" t="s">
        <v>1739</v>
      </c>
      <c r="B1722" t="s">
        <v>9</v>
      </c>
      <c r="C1722" t="s">
        <v>10</v>
      </c>
      <c r="D1722" t="s">
        <v>11</v>
      </c>
      <c r="E1722">
        <v>94.2</v>
      </c>
      <c r="F1722">
        <v>17</v>
      </c>
      <c r="G1722">
        <v>1601.4</v>
      </c>
      <c r="H1722" t="s">
        <v>12</v>
      </c>
      <c r="I1722" t="str">
        <f t="shared" si="79"/>
        <v>Low Value</v>
      </c>
      <c r="J1722" t="str">
        <f t="shared" si="80"/>
        <v>Medium Risk</v>
      </c>
      <c r="K1722" s="3" t="str">
        <f t="shared" si="78"/>
        <v>1-2 Years</v>
      </c>
    </row>
    <row r="1723" spans="1:11" x14ac:dyDescent="0.3">
      <c r="A1723" t="s">
        <v>1740</v>
      </c>
      <c r="B1723" t="s">
        <v>14</v>
      </c>
      <c r="C1723" t="s">
        <v>10</v>
      </c>
      <c r="D1723" t="s">
        <v>11</v>
      </c>
      <c r="E1723">
        <v>49.9</v>
      </c>
      <c r="F1723">
        <v>30</v>
      </c>
      <c r="G1723">
        <v>1497</v>
      </c>
      <c r="H1723" t="s">
        <v>12</v>
      </c>
      <c r="I1723" t="str">
        <f t="shared" si="79"/>
        <v>Low Value</v>
      </c>
      <c r="J1723" t="str">
        <f t="shared" si="80"/>
        <v>Low Risk</v>
      </c>
      <c r="K1723" s="3" t="str">
        <f t="shared" si="78"/>
        <v>2-4 Years</v>
      </c>
    </row>
    <row r="1724" spans="1:11" x14ac:dyDescent="0.3">
      <c r="A1724" t="s">
        <v>1741</v>
      </c>
      <c r="B1724" t="s">
        <v>14</v>
      </c>
      <c r="C1724" t="s">
        <v>10</v>
      </c>
      <c r="D1724" t="s">
        <v>11</v>
      </c>
      <c r="E1724">
        <v>71.05</v>
      </c>
      <c r="F1724">
        <v>31</v>
      </c>
      <c r="G1724">
        <v>2202.5499999999902</v>
      </c>
      <c r="H1724" t="s">
        <v>12</v>
      </c>
      <c r="I1724" t="str">
        <f t="shared" si="79"/>
        <v>Medium Value</v>
      </c>
      <c r="J1724" t="str">
        <f t="shared" si="80"/>
        <v>Low Risk</v>
      </c>
      <c r="K1724" s="3" t="str">
        <f t="shared" si="78"/>
        <v>2-4 Years</v>
      </c>
    </row>
    <row r="1725" spans="1:11" x14ac:dyDescent="0.3">
      <c r="A1725" t="s">
        <v>1742</v>
      </c>
      <c r="B1725" t="s">
        <v>9</v>
      </c>
      <c r="C1725" t="s">
        <v>30</v>
      </c>
      <c r="D1725" t="s">
        <v>20</v>
      </c>
      <c r="E1725">
        <v>81.650000000000006</v>
      </c>
      <c r="F1725">
        <v>45</v>
      </c>
      <c r="G1725">
        <v>3674.25</v>
      </c>
      <c r="H1725" t="s">
        <v>12</v>
      </c>
      <c r="I1725" t="str">
        <f t="shared" si="79"/>
        <v>Medium Value</v>
      </c>
      <c r="J1725" t="str">
        <f t="shared" si="80"/>
        <v>Low Risk</v>
      </c>
      <c r="K1725" s="3" t="str">
        <f t="shared" si="78"/>
        <v>2-4 Years</v>
      </c>
    </row>
    <row r="1726" spans="1:11" x14ac:dyDescent="0.3">
      <c r="A1726" t="s">
        <v>1743</v>
      </c>
      <c r="B1726" t="s">
        <v>14</v>
      </c>
      <c r="C1726" t="s">
        <v>15</v>
      </c>
      <c r="D1726" t="s">
        <v>20</v>
      </c>
      <c r="E1726">
        <v>89.45</v>
      </c>
      <c r="F1726">
        <v>64</v>
      </c>
      <c r="G1726">
        <v>5724.8</v>
      </c>
      <c r="H1726" t="s">
        <v>12</v>
      </c>
      <c r="I1726" t="str">
        <f t="shared" si="79"/>
        <v>High Value</v>
      </c>
      <c r="J1726" t="str">
        <f t="shared" si="80"/>
        <v>Low Risk</v>
      </c>
      <c r="K1726" s="3" t="str">
        <f t="shared" si="78"/>
        <v>4+ Years</v>
      </c>
    </row>
    <row r="1727" spans="1:11" x14ac:dyDescent="0.3">
      <c r="A1727" t="s">
        <v>1744</v>
      </c>
      <c r="B1727" t="s">
        <v>14</v>
      </c>
      <c r="C1727" t="s">
        <v>10</v>
      </c>
      <c r="D1727" t="s">
        <v>11</v>
      </c>
      <c r="E1727">
        <v>59.85</v>
      </c>
      <c r="F1727">
        <v>1</v>
      </c>
      <c r="G1727">
        <v>59.85</v>
      </c>
      <c r="H1727" t="s">
        <v>18</v>
      </c>
      <c r="I1727" t="str">
        <f t="shared" si="79"/>
        <v>Low Value</v>
      </c>
      <c r="J1727" t="str">
        <f t="shared" si="80"/>
        <v>High Risk</v>
      </c>
      <c r="K1727" s="3" t="str">
        <f t="shared" si="78"/>
        <v>0-1 Year</v>
      </c>
    </row>
    <row r="1728" spans="1:11" x14ac:dyDescent="0.3">
      <c r="A1728" t="s">
        <v>1745</v>
      </c>
      <c r="B1728" t="s">
        <v>9</v>
      </c>
      <c r="C1728" t="s">
        <v>10</v>
      </c>
      <c r="D1728" t="s">
        <v>11</v>
      </c>
      <c r="E1728">
        <v>69.599999999999994</v>
      </c>
      <c r="F1728">
        <v>1</v>
      </c>
      <c r="G1728">
        <v>69.599999999999994</v>
      </c>
      <c r="H1728" t="s">
        <v>18</v>
      </c>
      <c r="I1728" t="str">
        <f t="shared" si="79"/>
        <v>Low Value</v>
      </c>
      <c r="J1728" t="str">
        <f t="shared" si="80"/>
        <v>High Risk</v>
      </c>
      <c r="K1728" s="3" t="str">
        <f t="shared" si="78"/>
        <v>0-1 Year</v>
      </c>
    </row>
    <row r="1729" spans="1:11" x14ac:dyDescent="0.3">
      <c r="A1729" t="s">
        <v>1746</v>
      </c>
      <c r="B1729" t="s">
        <v>14</v>
      </c>
      <c r="C1729" t="s">
        <v>15</v>
      </c>
      <c r="D1729" t="s">
        <v>11</v>
      </c>
      <c r="E1729">
        <v>99</v>
      </c>
      <c r="F1729">
        <v>61</v>
      </c>
      <c r="G1729">
        <v>6039</v>
      </c>
      <c r="H1729" t="s">
        <v>12</v>
      </c>
      <c r="I1729" t="str">
        <f t="shared" si="79"/>
        <v>High Value</v>
      </c>
      <c r="J1729" t="str">
        <f t="shared" si="80"/>
        <v>Low Risk</v>
      </c>
      <c r="K1729" s="3" t="str">
        <f t="shared" si="78"/>
        <v>4+ Years</v>
      </c>
    </row>
    <row r="1730" spans="1:11" x14ac:dyDescent="0.3">
      <c r="A1730" t="s">
        <v>1747</v>
      </c>
      <c r="B1730" t="s">
        <v>14</v>
      </c>
      <c r="C1730" t="s">
        <v>10</v>
      </c>
      <c r="D1730" t="s">
        <v>16</v>
      </c>
      <c r="E1730">
        <v>19.05</v>
      </c>
      <c r="F1730">
        <v>1</v>
      </c>
      <c r="G1730">
        <v>19.05</v>
      </c>
      <c r="H1730" t="s">
        <v>12</v>
      </c>
      <c r="I1730" t="str">
        <f t="shared" si="79"/>
        <v>Low Value</v>
      </c>
      <c r="J1730" t="str">
        <f t="shared" si="80"/>
        <v>High Risk</v>
      </c>
      <c r="K1730" s="3" t="str">
        <f t="shared" si="78"/>
        <v>0-1 Year</v>
      </c>
    </row>
    <row r="1731" spans="1:11" x14ac:dyDescent="0.3">
      <c r="A1731" t="s">
        <v>1748</v>
      </c>
      <c r="B1731" t="s">
        <v>14</v>
      </c>
      <c r="C1731" t="s">
        <v>10</v>
      </c>
      <c r="D1731" t="s">
        <v>11</v>
      </c>
      <c r="E1731">
        <v>45.4</v>
      </c>
      <c r="F1731">
        <v>9</v>
      </c>
      <c r="G1731">
        <v>408.599999999999</v>
      </c>
      <c r="H1731" t="s">
        <v>18</v>
      </c>
      <c r="I1731" t="str">
        <f t="shared" si="79"/>
        <v>Low Value</v>
      </c>
      <c r="J1731" t="str">
        <f t="shared" si="80"/>
        <v>High Risk</v>
      </c>
      <c r="K1731" s="3" t="str">
        <f t="shared" ref="K1731:K1794" si="81">IF(F1731&lt;=12,"0-1 Year",
IF(F1731&lt;=24,"1-2 Years",
IF(F1731&lt;=48,"2-4 Years","4+ Years")))</f>
        <v>0-1 Year</v>
      </c>
    </row>
    <row r="1732" spans="1:11" x14ac:dyDescent="0.3">
      <c r="A1732" t="s">
        <v>1749</v>
      </c>
      <c r="B1732" t="s">
        <v>14</v>
      </c>
      <c r="C1732" t="s">
        <v>30</v>
      </c>
      <c r="D1732" t="s">
        <v>20</v>
      </c>
      <c r="E1732">
        <v>114.45</v>
      </c>
      <c r="F1732">
        <v>72</v>
      </c>
      <c r="G1732">
        <v>8240.4</v>
      </c>
      <c r="H1732" t="s">
        <v>12</v>
      </c>
      <c r="I1732" t="str">
        <f t="shared" ref="I1732:I1795" si="82">IF(G1732&gt;5000,"High Value",
IF(G1732&gt;2000,"Medium Value","Low Value"))</f>
        <v>High Value</v>
      </c>
      <c r="J1732" t="str">
        <f t="shared" ref="J1732:J1795" si="83">IF(F1732&lt;12,"High Risk",
IF(F1732&lt;24,"Medium Risk","Low Risk"))</f>
        <v>Low Risk</v>
      </c>
      <c r="K1732" s="3" t="str">
        <f t="shared" si="81"/>
        <v>4+ Years</v>
      </c>
    </row>
    <row r="1733" spans="1:11" x14ac:dyDescent="0.3">
      <c r="A1733" t="s">
        <v>1750</v>
      </c>
      <c r="B1733" t="s">
        <v>9</v>
      </c>
      <c r="C1733" t="s">
        <v>10</v>
      </c>
      <c r="D1733" t="s">
        <v>16</v>
      </c>
      <c r="E1733">
        <v>19.5</v>
      </c>
      <c r="F1733">
        <v>1</v>
      </c>
      <c r="G1733">
        <v>19.5</v>
      </c>
      <c r="H1733" t="s">
        <v>18</v>
      </c>
      <c r="I1733" t="str">
        <f t="shared" si="82"/>
        <v>Low Value</v>
      </c>
      <c r="J1733" t="str">
        <f t="shared" si="83"/>
        <v>High Risk</v>
      </c>
      <c r="K1733" s="3" t="str">
        <f t="shared" si="81"/>
        <v>0-1 Year</v>
      </c>
    </row>
    <row r="1734" spans="1:11" x14ac:dyDescent="0.3">
      <c r="A1734" t="s">
        <v>1751</v>
      </c>
      <c r="B1734" t="s">
        <v>9</v>
      </c>
      <c r="C1734" t="s">
        <v>10</v>
      </c>
      <c r="D1734" t="s">
        <v>16</v>
      </c>
      <c r="E1734">
        <v>44.25</v>
      </c>
      <c r="F1734">
        <v>7</v>
      </c>
      <c r="G1734">
        <v>309.75</v>
      </c>
      <c r="H1734" t="s">
        <v>12</v>
      </c>
      <c r="I1734" t="str">
        <f t="shared" si="82"/>
        <v>Low Value</v>
      </c>
      <c r="J1734" t="str">
        <f t="shared" si="83"/>
        <v>High Risk</v>
      </c>
      <c r="K1734" s="3" t="str">
        <f t="shared" si="81"/>
        <v>0-1 Year</v>
      </c>
    </row>
    <row r="1735" spans="1:11" x14ac:dyDescent="0.3">
      <c r="A1735" t="s">
        <v>1752</v>
      </c>
      <c r="B1735" t="s">
        <v>9</v>
      </c>
      <c r="C1735" t="s">
        <v>15</v>
      </c>
      <c r="D1735" t="s">
        <v>20</v>
      </c>
      <c r="E1735">
        <v>90.55</v>
      </c>
      <c r="F1735">
        <v>66</v>
      </c>
      <c r="G1735">
        <v>5976.3</v>
      </c>
      <c r="H1735" t="s">
        <v>12</v>
      </c>
      <c r="I1735" t="str">
        <f t="shared" si="82"/>
        <v>High Value</v>
      </c>
      <c r="J1735" t="str">
        <f t="shared" si="83"/>
        <v>Low Risk</v>
      </c>
      <c r="K1735" s="3" t="str">
        <f t="shared" si="81"/>
        <v>4+ Years</v>
      </c>
    </row>
    <row r="1736" spans="1:11" x14ac:dyDescent="0.3">
      <c r="A1736" t="s">
        <v>1753</v>
      </c>
      <c r="B1736" t="s">
        <v>14</v>
      </c>
      <c r="C1736" t="s">
        <v>10</v>
      </c>
      <c r="D1736" t="s">
        <v>11</v>
      </c>
      <c r="E1736">
        <v>69.900000000000006</v>
      </c>
      <c r="F1736">
        <v>1</v>
      </c>
      <c r="G1736">
        <v>69.900000000000006</v>
      </c>
      <c r="H1736" t="s">
        <v>18</v>
      </c>
      <c r="I1736" t="str">
        <f t="shared" si="82"/>
        <v>Low Value</v>
      </c>
      <c r="J1736" t="str">
        <f t="shared" si="83"/>
        <v>High Risk</v>
      </c>
      <c r="K1736" s="3" t="str">
        <f t="shared" si="81"/>
        <v>0-1 Year</v>
      </c>
    </row>
    <row r="1737" spans="1:11" x14ac:dyDescent="0.3">
      <c r="A1737" t="s">
        <v>1754</v>
      </c>
      <c r="B1737" t="s">
        <v>14</v>
      </c>
      <c r="C1737" t="s">
        <v>10</v>
      </c>
      <c r="D1737" t="s">
        <v>20</v>
      </c>
      <c r="E1737">
        <v>20.399999999999999</v>
      </c>
      <c r="F1737">
        <v>40</v>
      </c>
      <c r="G1737">
        <v>816</v>
      </c>
      <c r="H1737" t="s">
        <v>12</v>
      </c>
      <c r="I1737" t="str">
        <f t="shared" si="82"/>
        <v>Low Value</v>
      </c>
      <c r="J1737" t="str">
        <f t="shared" si="83"/>
        <v>Low Risk</v>
      </c>
      <c r="K1737" s="3" t="str">
        <f t="shared" si="81"/>
        <v>2-4 Years</v>
      </c>
    </row>
    <row r="1738" spans="1:11" x14ac:dyDescent="0.3">
      <c r="A1738" t="s">
        <v>1755</v>
      </c>
      <c r="B1738" t="s">
        <v>14</v>
      </c>
      <c r="C1738" t="s">
        <v>10</v>
      </c>
      <c r="D1738" t="s">
        <v>20</v>
      </c>
      <c r="E1738">
        <v>71.400000000000006</v>
      </c>
      <c r="F1738">
        <v>16</v>
      </c>
      <c r="G1738">
        <v>1142.4000000000001</v>
      </c>
      <c r="H1738" t="s">
        <v>12</v>
      </c>
      <c r="I1738" t="str">
        <f t="shared" si="82"/>
        <v>Low Value</v>
      </c>
      <c r="J1738" t="str">
        <f t="shared" si="83"/>
        <v>Medium Risk</v>
      </c>
      <c r="K1738" s="3" t="str">
        <f t="shared" si="81"/>
        <v>1-2 Years</v>
      </c>
    </row>
    <row r="1739" spans="1:11" x14ac:dyDescent="0.3">
      <c r="A1739" t="s">
        <v>1756</v>
      </c>
      <c r="B1739" t="s">
        <v>9</v>
      </c>
      <c r="C1739" t="s">
        <v>10</v>
      </c>
      <c r="D1739" t="s">
        <v>20</v>
      </c>
      <c r="E1739">
        <v>87.15</v>
      </c>
      <c r="F1739">
        <v>2</v>
      </c>
      <c r="G1739">
        <v>174.3</v>
      </c>
      <c r="H1739" t="s">
        <v>18</v>
      </c>
      <c r="I1739" t="str">
        <f t="shared" si="82"/>
        <v>Low Value</v>
      </c>
      <c r="J1739" t="str">
        <f t="shared" si="83"/>
        <v>High Risk</v>
      </c>
      <c r="K1739" s="3" t="str">
        <f t="shared" si="81"/>
        <v>0-1 Year</v>
      </c>
    </row>
    <row r="1740" spans="1:11" x14ac:dyDescent="0.3">
      <c r="A1740" t="s">
        <v>1757</v>
      </c>
      <c r="B1740" t="s">
        <v>14</v>
      </c>
      <c r="C1740" t="s">
        <v>30</v>
      </c>
      <c r="D1740" t="s">
        <v>24</v>
      </c>
      <c r="E1740">
        <v>24.85</v>
      </c>
      <c r="F1740">
        <v>67</v>
      </c>
      <c r="G1740">
        <v>1664.95</v>
      </c>
      <c r="H1740" t="s">
        <v>12</v>
      </c>
      <c r="I1740" t="str">
        <f t="shared" si="82"/>
        <v>Low Value</v>
      </c>
      <c r="J1740" t="str">
        <f t="shared" si="83"/>
        <v>Low Risk</v>
      </c>
      <c r="K1740" s="3" t="str">
        <f t="shared" si="81"/>
        <v>4+ Years</v>
      </c>
    </row>
    <row r="1741" spans="1:11" x14ac:dyDescent="0.3">
      <c r="A1741" t="s">
        <v>1758</v>
      </c>
      <c r="B1741" t="s">
        <v>9</v>
      </c>
      <c r="C1741" t="s">
        <v>15</v>
      </c>
      <c r="D1741" t="s">
        <v>20</v>
      </c>
      <c r="E1741">
        <v>104.45</v>
      </c>
      <c r="F1741">
        <v>41</v>
      </c>
      <c r="G1741">
        <v>4282.45</v>
      </c>
      <c r="H1741" t="s">
        <v>12</v>
      </c>
      <c r="I1741" t="str">
        <f t="shared" si="82"/>
        <v>Medium Value</v>
      </c>
      <c r="J1741" t="str">
        <f t="shared" si="83"/>
        <v>Low Risk</v>
      </c>
      <c r="K1741" s="3" t="str">
        <f t="shared" si="81"/>
        <v>2-4 Years</v>
      </c>
    </row>
    <row r="1742" spans="1:11" x14ac:dyDescent="0.3">
      <c r="A1742" t="s">
        <v>1759</v>
      </c>
      <c r="B1742" t="s">
        <v>9</v>
      </c>
      <c r="C1742" t="s">
        <v>30</v>
      </c>
      <c r="D1742" t="s">
        <v>24</v>
      </c>
      <c r="E1742">
        <v>19.8</v>
      </c>
      <c r="F1742">
        <v>56</v>
      </c>
      <c r="G1742">
        <v>1108.8</v>
      </c>
      <c r="H1742" t="s">
        <v>12</v>
      </c>
      <c r="I1742" t="str">
        <f t="shared" si="82"/>
        <v>Low Value</v>
      </c>
      <c r="J1742" t="str">
        <f t="shared" si="83"/>
        <v>Low Risk</v>
      </c>
      <c r="K1742" s="3" t="str">
        <f t="shared" si="81"/>
        <v>4+ Years</v>
      </c>
    </row>
    <row r="1743" spans="1:11" x14ac:dyDescent="0.3">
      <c r="A1743" t="s">
        <v>1760</v>
      </c>
      <c r="B1743" t="s">
        <v>9</v>
      </c>
      <c r="C1743" t="s">
        <v>30</v>
      </c>
      <c r="D1743" t="s">
        <v>20</v>
      </c>
      <c r="E1743">
        <v>116.45</v>
      </c>
      <c r="F1743">
        <v>72</v>
      </c>
      <c r="G1743">
        <v>8384.4</v>
      </c>
      <c r="H1743" t="s">
        <v>12</v>
      </c>
      <c r="I1743" t="str">
        <f t="shared" si="82"/>
        <v>High Value</v>
      </c>
      <c r="J1743" t="str">
        <f t="shared" si="83"/>
        <v>Low Risk</v>
      </c>
      <c r="K1743" s="3" t="str">
        <f t="shared" si="81"/>
        <v>4+ Years</v>
      </c>
    </row>
    <row r="1744" spans="1:11" x14ac:dyDescent="0.3">
      <c r="A1744" t="s">
        <v>1761</v>
      </c>
      <c r="B1744" t="s">
        <v>9</v>
      </c>
      <c r="C1744" t="s">
        <v>10</v>
      </c>
      <c r="D1744" t="s">
        <v>20</v>
      </c>
      <c r="E1744">
        <v>84.75</v>
      </c>
      <c r="F1744">
        <v>3</v>
      </c>
      <c r="G1744">
        <v>254.25</v>
      </c>
      <c r="H1744" t="s">
        <v>18</v>
      </c>
      <c r="I1744" t="str">
        <f t="shared" si="82"/>
        <v>Low Value</v>
      </c>
      <c r="J1744" t="str">
        <f t="shared" si="83"/>
        <v>High Risk</v>
      </c>
      <c r="K1744" s="3" t="str">
        <f t="shared" si="81"/>
        <v>0-1 Year</v>
      </c>
    </row>
    <row r="1745" spans="1:11" x14ac:dyDescent="0.3">
      <c r="A1745" t="s">
        <v>1762</v>
      </c>
      <c r="B1745" t="s">
        <v>9</v>
      </c>
      <c r="C1745" t="s">
        <v>30</v>
      </c>
      <c r="D1745" t="s">
        <v>24</v>
      </c>
      <c r="E1745">
        <v>20.05</v>
      </c>
      <c r="F1745">
        <v>54</v>
      </c>
      <c r="G1745">
        <v>1082.7</v>
      </c>
      <c r="H1745" t="s">
        <v>12</v>
      </c>
      <c r="I1745" t="str">
        <f t="shared" si="82"/>
        <v>Low Value</v>
      </c>
      <c r="J1745" t="str">
        <f t="shared" si="83"/>
        <v>Low Risk</v>
      </c>
      <c r="K1745" s="3" t="str">
        <f t="shared" si="81"/>
        <v>4+ Years</v>
      </c>
    </row>
    <row r="1746" spans="1:11" x14ac:dyDescent="0.3">
      <c r="A1746" t="s">
        <v>1763</v>
      </c>
      <c r="B1746" t="s">
        <v>14</v>
      </c>
      <c r="C1746" t="s">
        <v>10</v>
      </c>
      <c r="D1746" t="s">
        <v>11</v>
      </c>
      <c r="E1746">
        <v>110.75</v>
      </c>
      <c r="F1746">
        <v>52</v>
      </c>
      <c r="G1746">
        <v>5759</v>
      </c>
      <c r="H1746" t="s">
        <v>12</v>
      </c>
      <c r="I1746" t="str">
        <f t="shared" si="82"/>
        <v>High Value</v>
      </c>
      <c r="J1746" t="str">
        <f t="shared" si="83"/>
        <v>Low Risk</v>
      </c>
      <c r="K1746" s="3" t="str">
        <f t="shared" si="81"/>
        <v>4+ Years</v>
      </c>
    </row>
    <row r="1747" spans="1:11" x14ac:dyDescent="0.3">
      <c r="A1747" t="s">
        <v>1764</v>
      </c>
      <c r="B1747" t="s">
        <v>9</v>
      </c>
      <c r="C1747" t="s">
        <v>30</v>
      </c>
      <c r="D1747" t="s">
        <v>20</v>
      </c>
      <c r="E1747">
        <v>89.7</v>
      </c>
      <c r="F1747">
        <v>50</v>
      </c>
      <c r="G1747">
        <v>4485</v>
      </c>
      <c r="H1747" t="s">
        <v>12</v>
      </c>
      <c r="I1747" t="str">
        <f t="shared" si="82"/>
        <v>Medium Value</v>
      </c>
      <c r="J1747" t="str">
        <f t="shared" si="83"/>
        <v>Low Risk</v>
      </c>
      <c r="K1747" s="3" t="str">
        <f t="shared" si="81"/>
        <v>4+ Years</v>
      </c>
    </row>
    <row r="1748" spans="1:11" x14ac:dyDescent="0.3">
      <c r="A1748" t="s">
        <v>1765</v>
      </c>
      <c r="B1748" t="s">
        <v>14</v>
      </c>
      <c r="C1748" t="s">
        <v>10</v>
      </c>
      <c r="D1748" t="s">
        <v>11</v>
      </c>
      <c r="E1748">
        <v>89.95</v>
      </c>
      <c r="F1748">
        <v>14</v>
      </c>
      <c r="G1748">
        <v>1259.3</v>
      </c>
      <c r="H1748" t="s">
        <v>18</v>
      </c>
      <c r="I1748" t="str">
        <f t="shared" si="82"/>
        <v>Low Value</v>
      </c>
      <c r="J1748" t="str">
        <f t="shared" si="83"/>
        <v>Medium Risk</v>
      </c>
      <c r="K1748" s="3" t="str">
        <f t="shared" si="81"/>
        <v>1-2 Years</v>
      </c>
    </row>
    <row r="1749" spans="1:11" x14ac:dyDescent="0.3">
      <c r="A1749" t="s">
        <v>1766</v>
      </c>
      <c r="B1749" t="s">
        <v>14</v>
      </c>
      <c r="C1749" t="s">
        <v>15</v>
      </c>
      <c r="D1749" t="s">
        <v>24</v>
      </c>
      <c r="E1749">
        <v>48.7</v>
      </c>
      <c r="F1749">
        <v>27</v>
      </c>
      <c r="G1749">
        <v>1314.9</v>
      </c>
      <c r="H1749" t="s">
        <v>12</v>
      </c>
      <c r="I1749" t="str">
        <f t="shared" si="82"/>
        <v>Low Value</v>
      </c>
      <c r="J1749" t="str">
        <f t="shared" si="83"/>
        <v>Low Risk</v>
      </c>
      <c r="K1749" s="3" t="str">
        <f t="shared" si="81"/>
        <v>2-4 Years</v>
      </c>
    </row>
    <row r="1750" spans="1:11" x14ac:dyDescent="0.3">
      <c r="A1750" t="s">
        <v>1767</v>
      </c>
      <c r="B1750" t="s">
        <v>9</v>
      </c>
      <c r="C1750" t="s">
        <v>30</v>
      </c>
      <c r="D1750" t="s">
        <v>20</v>
      </c>
      <c r="E1750">
        <v>96.6</v>
      </c>
      <c r="F1750">
        <v>72</v>
      </c>
      <c r="G1750">
        <v>6955.2</v>
      </c>
      <c r="H1750" t="s">
        <v>12</v>
      </c>
      <c r="I1750" t="str">
        <f t="shared" si="82"/>
        <v>High Value</v>
      </c>
      <c r="J1750" t="str">
        <f t="shared" si="83"/>
        <v>Low Risk</v>
      </c>
      <c r="K1750" s="3" t="str">
        <f t="shared" si="81"/>
        <v>4+ Years</v>
      </c>
    </row>
    <row r="1751" spans="1:11" x14ac:dyDescent="0.3">
      <c r="A1751" t="s">
        <v>1768</v>
      </c>
      <c r="B1751" t="s">
        <v>14</v>
      </c>
      <c r="C1751" t="s">
        <v>15</v>
      </c>
      <c r="D1751" t="s">
        <v>24</v>
      </c>
      <c r="E1751">
        <v>74.3</v>
      </c>
      <c r="F1751">
        <v>62</v>
      </c>
      <c r="G1751">
        <v>4606.5999999999904</v>
      </c>
      <c r="H1751" t="s">
        <v>12</v>
      </c>
      <c r="I1751" t="str">
        <f t="shared" si="82"/>
        <v>Medium Value</v>
      </c>
      <c r="J1751" t="str">
        <f t="shared" si="83"/>
        <v>Low Risk</v>
      </c>
      <c r="K1751" s="3" t="str">
        <f t="shared" si="81"/>
        <v>4+ Years</v>
      </c>
    </row>
    <row r="1752" spans="1:11" x14ac:dyDescent="0.3">
      <c r="A1752" t="s">
        <v>1769</v>
      </c>
      <c r="B1752" t="s">
        <v>9</v>
      </c>
      <c r="C1752" t="s">
        <v>10</v>
      </c>
      <c r="D1752" t="s">
        <v>11</v>
      </c>
      <c r="E1752">
        <v>54.3</v>
      </c>
      <c r="F1752">
        <v>12</v>
      </c>
      <c r="G1752">
        <v>651.599999999999</v>
      </c>
      <c r="H1752" t="s">
        <v>12</v>
      </c>
      <c r="I1752" t="str">
        <f t="shared" si="82"/>
        <v>Low Value</v>
      </c>
      <c r="J1752" t="str">
        <f t="shared" si="83"/>
        <v>Medium Risk</v>
      </c>
      <c r="K1752" s="3" t="str">
        <f t="shared" si="81"/>
        <v>0-1 Year</v>
      </c>
    </row>
    <row r="1753" spans="1:11" x14ac:dyDescent="0.3">
      <c r="A1753" t="s">
        <v>1770</v>
      </c>
      <c r="B1753" t="s">
        <v>9</v>
      </c>
      <c r="C1753" t="s">
        <v>15</v>
      </c>
      <c r="D1753" t="s">
        <v>20</v>
      </c>
      <c r="E1753">
        <v>74.849999999999994</v>
      </c>
      <c r="F1753">
        <v>44</v>
      </c>
      <c r="G1753">
        <v>3293.3999999999901</v>
      </c>
      <c r="H1753" t="s">
        <v>12</v>
      </c>
      <c r="I1753" t="str">
        <f t="shared" si="82"/>
        <v>Medium Value</v>
      </c>
      <c r="J1753" t="str">
        <f t="shared" si="83"/>
        <v>Low Risk</v>
      </c>
      <c r="K1753" s="3" t="str">
        <f t="shared" si="81"/>
        <v>2-4 Years</v>
      </c>
    </row>
    <row r="1754" spans="1:11" x14ac:dyDescent="0.3">
      <c r="A1754" t="s">
        <v>1771</v>
      </c>
      <c r="B1754" t="s">
        <v>14</v>
      </c>
      <c r="C1754" t="s">
        <v>30</v>
      </c>
      <c r="D1754" t="s">
        <v>20</v>
      </c>
      <c r="E1754">
        <v>79.95</v>
      </c>
      <c r="F1754">
        <v>54</v>
      </c>
      <c r="G1754">
        <v>4317.3</v>
      </c>
      <c r="H1754" t="s">
        <v>12</v>
      </c>
      <c r="I1754" t="str">
        <f t="shared" si="82"/>
        <v>Medium Value</v>
      </c>
      <c r="J1754" t="str">
        <f t="shared" si="83"/>
        <v>Low Risk</v>
      </c>
      <c r="K1754" s="3" t="str">
        <f t="shared" si="81"/>
        <v>4+ Years</v>
      </c>
    </row>
    <row r="1755" spans="1:11" x14ac:dyDescent="0.3">
      <c r="A1755" t="s">
        <v>1772</v>
      </c>
      <c r="B1755" t="s">
        <v>9</v>
      </c>
      <c r="C1755" t="s">
        <v>30</v>
      </c>
      <c r="D1755" t="s">
        <v>20</v>
      </c>
      <c r="E1755">
        <v>20.05</v>
      </c>
      <c r="F1755">
        <v>68</v>
      </c>
      <c r="G1755">
        <v>1363.4</v>
      </c>
      <c r="H1755" t="s">
        <v>12</v>
      </c>
      <c r="I1755" t="str">
        <f t="shared" si="82"/>
        <v>Low Value</v>
      </c>
      <c r="J1755" t="str">
        <f t="shared" si="83"/>
        <v>Low Risk</v>
      </c>
      <c r="K1755" s="3" t="str">
        <f t="shared" si="81"/>
        <v>4+ Years</v>
      </c>
    </row>
    <row r="1756" spans="1:11" x14ac:dyDescent="0.3">
      <c r="A1756" t="s">
        <v>1773</v>
      </c>
      <c r="B1756" t="s">
        <v>14</v>
      </c>
      <c r="C1756" t="s">
        <v>10</v>
      </c>
      <c r="D1756" t="s">
        <v>16</v>
      </c>
      <c r="E1756">
        <v>19.399999999999999</v>
      </c>
      <c r="F1756">
        <v>20</v>
      </c>
      <c r="G1756">
        <v>388</v>
      </c>
      <c r="H1756" t="s">
        <v>12</v>
      </c>
      <c r="I1756" t="str">
        <f t="shared" si="82"/>
        <v>Low Value</v>
      </c>
      <c r="J1756" t="str">
        <f t="shared" si="83"/>
        <v>Medium Risk</v>
      </c>
      <c r="K1756" s="3" t="str">
        <f t="shared" si="81"/>
        <v>1-2 Years</v>
      </c>
    </row>
    <row r="1757" spans="1:11" x14ac:dyDescent="0.3">
      <c r="A1757" t="s">
        <v>1774</v>
      </c>
      <c r="B1757" t="s">
        <v>14</v>
      </c>
      <c r="C1757" t="s">
        <v>15</v>
      </c>
      <c r="D1757" t="s">
        <v>20</v>
      </c>
      <c r="E1757">
        <v>54.9</v>
      </c>
      <c r="F1757">
        <v>50</v>
      </c>
      <c r="G1757">
        <v>2745</v>
      </c>
      <c r="H1757" t="s">
        <v>12</v>
      </c>
      <c r="I1757" t="str">
        <f t="shared" si="82"/>
        <v>Medium Value</v>
      </c>
      <c r="J1757" t="str">
        <f t="shared" si="83"/>
        <v>Low Risk</v>
      </c>
      <c r="K1757" s="3" t="str">
        <f t="shared" si="81"/>
        <v>4+ Years</v>
      </c>
    </row>
    <row r="1758" spans="1:11" x14ac:dyDescent="0.3">
      <c r="A1758" t="s">
        <v>1775</v>
      </c>
      <c r="B1758" t="s">
        <v>14</v>
      </c>
      <c r="C1758" t="s">
        <v>30</v>
      </c>
      <c r="D1758" t="s">
        <v>24</v>
      </c>
      <c r="E1758">
        <v>24.45</v>
      </c>
      <c r="F1758">
        <v>58</v>
      </c>
      <c r="G1758">
        <v>1418.1</v>
      </c>
      <c r="H1758" t="s">
        <v>12</v>
      </c>
      <c r="I1758" t="str">
        <f t="shared" si="82"/>
        <v>Low Value</v>
      </c>
      <c r="J1758" t="str">
        <f t="shared" si="83"/>
        <v>Low Risk</v>
      </c>
      <c r="K1758" s="3" t="str">
        <f t="shared" si="81"/>
        <v>4+ Years</v>
      </c>
    </row>
    <row r="1759" spans="1:11" x14ac:dyDescent="0.3">
      <c r="A1759" t="s">
        <v>1776</v>
      </c>
      <c r="B1759" t="s">
        <v>14</v>
      </c>
      <c r="C1759" t="s">
        <v>10</v>
      </c>
      <c r="D1759" t="s">
        <v>20</v>
      </c>
      <c r="E1759">
        <v>89.65</v>
      </c>
      <c r="F1759">
        <v>35</v>
      </c>
      <c r="G1759">
        <v>3137.75</v>
      </c>
      <c r="H1759" t="s">
        <v>12</v>
      </c>
      <c r="I1759" t="str">
        <f t="shared" si="82"/>
        <v>Medium Value</v>
      </c>
      <c r="J1759" t="str">
        <f t="shared" si="83"/>
        <v>Low Risk</v>
      </c>
      <c r="K1759" s="3" t="str">
        <f t="shared" si="81"/>
        <v>2-4 Years</v>
      </c>
    </row>
    <row r="1760" spans="1:11" x14ac:dyDescent="0.3">
      <c r="A1760" t="s">
        <v>1777</v>
      </c>
      <c r="B1760" t="s">
        <v>9</v>
      </c>
      <c r="C1760" t="s">
        <v>10</v>
      </c>
      <c r="D1760" t="s">
        <v>11</v>
      </c>
      <c r="E1760">
        <v>45.4</v>
      </c>
      <c r="F1760">
        <v>2</v>
      </c>
      <c r="G1760">
        <v>90.8</v>
      </c>
      <c r="H1760" t="s">
        <v>12</v>
      </c>
      <c r="I1760" t="str">
        <f t="shared" si="82"/>
        <v>Low Value</v>
      </c>
      <c r="J1760" t="str">
        <f t="shared" si="83"/>
        <v>High Risk</v>
      </c>
      <c r="K1760" s="3" t="str">
        <f t="shared" si="81"/>
        <v>0-1 Year</v>
      </c>
    </row>
    <row r="1761" spans="1:11" x14ac:dyDescent="0.3">
      <c r="A1761" t="s">
        <v>1778</v>
      </c>
      <c r="B1761" t="s">
        <v>14</v>
      </c>
      <c r="C1761" t="s">
        <v>30</v>
      </c>
      <c r="D1761" t="s">
        <v>16</v>
      </c>
      <c r="E1761">
        <v>75.7</v>
      </c>
      <c r="F1761">
        <v>63</v>
      </c>
      <c r="G1761">
        <v>4769.1000000000004</v>
      </c>
      <c r="H1761" t="s">
        <v>12</v>
      </c>
      <c r="I1761" t="str">
        <f t="shared" si="82"/>
        <v>Medium Value</v>
      </c>
      <c r="J1761" t="str">
        <f t="shared" si="83"/>
        <v>Low Risk</v>
      </c>
      <c r="K1761" s="3" t="str">
        <f t="shared" si="81"/>
        <v>4+ Years</v>
      </c>
    </row>
    <row r="1762" spans="1:11" x14ac:dyDescent="0.3">
      <c r="A1762" t="s">
        <v>1779</v>
      </c>
      <c r="B1762" t="s">
        <v>9</v>
      </c>
      <c r="C1762" t="s">
        <v>15</v>
      </c>
      <c r="D1762" t="s">
        <v>24</v>
      </c>
      <c r="E1762">
        <v>110.65</v>
      </c>
      <c r="F1762">
        <v>58</v>
      </c>
      <c r="G1762">
        <v>6417.7</v>
      </c>
      <c r="H1762" t="s">
        <v>12</v>
      </c>
      <c r="I1762" t="str">
        <f t="shared" si="82"/>
        <v>High Value</v>
      </c>
      <c r="J1762" t="str">
        <f t="shared" si="83"/>
        <v>Low Risk</v>
      </c>
      <c r="K1762" s="3" t="str">
        <f t="shared" si="81"/>
        <v>4+ Years</v>
      </c>
    </row>
    <row r="1763" spans="1:11" x14ac:dyDescent="0.3">
      <c r="A1763" t="s">
        <v>1780</v>
      </c>
      <c r="B1763" t="s">
        <v>9</v>
      </c>
      <c r="C1763" t="s">
        <v>15</v>
      </c>
      <c r="D1763" t="s">
        <v>16</v>
      </c>
      <c r="E1763">
        <v>20.55</v>
      </c>
      <c r="F1763">
        <v>27</v>
      </c>
      <c r="G1763">
        <v>554.85</v>
      </c>
      <c r="H1763" t="s">
        <v>12</v>
      </c>
      <c r="I1763" t="str">
        <f t="shared" si="82"/>
        <v>Low Value</v>
      </c>
      <c r="J1763" t="str">
        <f t="shared" si="83"/>
        <v>Low Risk</v>
      </c>
      <c r="K1763" s="3" t="str">
        <f t="shared" si="81"/>
        <v>2-4 Years</v>
      </c>
    </row>
    <row r="1764" spans="1:11" x14ac:dyDescent="0.3">
      <c r="A1764" t="s">
        <v>1781</v>
      </c>
      <c r="B1764" t="s">
        <v>9</v>
      </c>
      <c r="C1764" t="s">
        <v>30</v>
      </c>
      <c r="D1764" t="s">
        <v>24</v>
      </c>
      <c r="E1764">
        <v>115.15</v>
      </c>
      <c r="F1764">
        <v>71</v>
      </c>
      <c r="G1764">
        <v>8175.65</v>
      </c>
      <c r="H1764" t="s">
        <v>12</v>
      </c>
      <c r="I1764" t="str">
        <f t="shared" si="82"/>
        <v>High Value</v>
      </c>
      <c r="J1764" t="str">
        <f t="shared" si="83"/>
        <v>Low Risk</v>
      </c>
      <c r="K1764" s="3" t="str">
        <f t="shared" si="81"/>
        <v>4+ Years</v>
      </c>
    </row>
    <row r="1765" spans="1:11" x14ac:dyDescent="0.3">
      <c r="A1765" t="s">
        <v>1782</v>
      </c>
      <c r="B1765" t="s">
        <v>9</v>
      </c>
      <c r="C1765" t="s">
        <v>15</v>
      </c>
      <c r="D1765" t="s">
        <v>24</v>
      </c>
      <c r="E1765">
        <v>58.55</v>
      </c>
      <c r="F1765">
        <v>63</v>
      </c>
      <c r="G1765">
        <v>3688.6499999999901</v>
      </c>
      <c r="H1765" t="s">
        <v>12</v>
      </c>
      <c r="I1765" t="str">
        <f t="shared" si="82"/>
        <v>Medium Value</v>
      </c>
      <c r="J1765" t="str">
        <f t="shared" si="83"/>
        <v>Low Risk</v>
      </c>
      <c r="K1765" s="3" t="str">
        <f t="shared" si="81"/>
        <v>4+ Years</v>
      </c>
    </row>
    <row r="1766" spans="1:11" x14ac:dyDescent="0.3">
      <c r="A1766" t="s">
        <v>1783</v>
      </c>
      <c r="B1766" t="s">
        <v>14</v>
      </c>
      <c r="C1766" t="s">
        <v>10</v>
      </c>
      <c r="D1766" t="s">
        <v>20</v>
      </c>
      <c r="E1766">
        <v>93.25</v>
      </c>
      <c r="F1766">
        <v>71</v>
      </c>
      <c r="G1766">
        <v>6620.75</v>
      </c>
      <c r="H1766" t="s">
        <v>12</v>
      </c>
      <c r="I1766" t="str">
        <f t="shared" si="82"/>
        <v>High Value</v>
      </c>
      <c r="J1766" t="str">
        <f t="shared" si="83"/>
        <v>Low Risk</v>
      </c>
      <c r="K1766" s="3" t="str">
        <f t="shared" si="81"/>
        <v>4+ Years</v>
      </c>
    </row>
    <row r="1767" spans="1:11" x14ac:dyDescent="0.3">
      <c r="A1767" t="s">
        <v>1784</v>
      </c>
      <c r="B1767" t="s">
        <v>9</v>
      </c>
      <c r="C1767" t="s">
        <v>10</v>
      </c>
      <c r="D1767" t="s">
        <v>11</v>
      </c>
      <c r="E1767">
        <v>113.2</v>
      </c>
      <c r="F1767">
        <v>41</v>
      </c>
      <c r="G1767">
        <v>4641.2</v>
      </c>
      <c r="H1767" t="s">
        <v>18</v>
      </c>
      <c r="I1767" t="str">
        <f t="shared" si="82"/>
        <v>Medium Value</v>
      </c>
      <c r="J1767" t="str">
        <f t="shared" si="83"/>
        <v>Low Risk</v>
      </c>
      <c r="K1767" s="3" t="str">
        <f t="shared" si="81"/>
        <v>2-4 Years</v>
      </c>
    </row>
    <row r="1768" spans="1:11" x14ac:dyDescent="0.3">
      <c r="A1768" t="s">
        <v>1785</v>
      </c>
      <c r="B1768" t="s">
        <v>14</v>
      </c>
      <c r="C1768" t="s">
        <v>10</v>
      </c>
      <c r="D1768" t="s">
        <v>11</v>
      </c>
      <c r="E1768">
        <v>90.5</v>
      </c>
      <c r="F1768">
        <v>13</v>
      </c>
      <c r="G1768">
        <v>1176.5</v>
      </c>
      <c r="H1768" t="s">
        <v>18</v>
      </c>
      <c r="I1768" t="str">
        <f t="shared" si="82"/>
        <v>Low Value</v>
      </c>
      <c r="J1768" t="str">
        <f t="shared" si="83"/>
        <v>Medium Risk</v>
      </c>
      <c r="K1768" s="3" t="str">
        <f t="shared" si="81"/>
        <v>1-2 Years</v>
      </c>
    </row>
    <row r="1769" spans="1:11" x14ac:dyDescent="0.3">
      <c r="A1769" t="s">
        <v>1786</v>
      </c>
      <c r="B1769" t="s">
        <v>14</v>
      </c>
      <c r="C1769" t="s">
        <v>10</v>
      </c>
      <c r="D1769" t="s">
        <v>11</v>
      </c>
      <c r="E1769">
        <v>79</v>
      </c>
      <c r="F1769">
        <v>2</v>
      </c>
      <c r="G1769">
        <v>158</v>
      </c>
      <c r="H1769" t="s">
        <v>18</v>
      </c>
      <c r="I1769" t="str">
        <f t="shared" si="82"/>
        <v>Low Value</v>
      </c>
      <c r="J1769" t="str">
        <f t="shared" si="83"/>
        <v>High Risk</v>
      </c>
      <c r="K1769" s="3" t="str">
        <f t="shared" si="81"/>
        <v>0-1 Year</v>
      </c>
    </row>
    <row r="1770" spans="1:11" x14ac:dyDescent="0.3">
      <c r="A1770" t="s">
        <v>1787</v>
      </c>
      <c r="B1770" t="s">
        <v>9</v>
      </c>
      <c r="C1770" t="s">
        <v>30</v>
      </c>
      <c r="D1770" t="s">
        <v>20</v>
      </c>
      <c r="E1770">
        <v>19.350000000000001</v>
      </c>
      <c r="F1770">
        <v>68</v>
      </c>
      <c r="G1770">
        <v>1315.8</v>
      </c>
      <c r="H1770" t="s">
        <v>12</v>
      </c>
      <c r="I1770" t="str">
        <f t="shared" si="82"/>
        <v>Low Value</v>
      </c>
      <c r="J1770" t="str">
        <f t="shared" si="83"/>
        <v>Low Risk</v>
      </c>
      <c r="K1770" s="3" t="str">
        <f t="shared" si="81"/>
        <v>4+ Years</v>
      </c>
    </row>
    <row r="1771" spans="1:11" x14ac:dyDescent="0.3">
      <c r="A1771" t="s">
        <v>1788</v>
      </c>
      <c r="B1771" t="s">
        <v>14</v>
      </c>
      <c r="C1771" t="s">
        <v>10</v>
      </c>
      <c r="D1771" t="s">
        <v>16</v>
      </c>
      <c r="E1771">
        <v>48.75</v>
      </c>
      <c r="F1771">
        <v>1</v>
      </c>
      <c r="G1771">
        <v>48.75</v>
      </c>
      <c r="H1771" t="s">
        <v>12</v>
      </c>
      <c r="I1771" t="str">
        <f t="shared" si="82"/>
        <v>Low Value</v>
      </c>
      <c r="J1771" t="str">
        <f t="shared" si="83"/>
        <v>High Risk</v>
      </c>
      <c r="K1771" s="3" t="str">
        <f t="shared" si="81"/>
        <v>0-1 Year</v>
      </c>
    </row>
    <row r="1772" spans="1:11" x14ac:dyDescent="0.3">
      <c r="A1772" t="s">
        <v>1789</v>
      </c>
      <c r="B1772" t="s">
        <v>14</v>
      </c>
      <c r="C1772" t="s">
        <v>30</v>
      </c>
      <c r="D1772" t="s">
        <v>11</v>
      </c>
      <c r="E1772">
        <v>109.05</v>
      </c>
      <c r="F1772">
        <v>65</v>
      </c>
      <c r="G1772">
        <v>7088.25</v>
      </c>
      <c r="H1772" t="s">
        <v>12</v>
      </c>
      <c r="I1772" t="str">
        <f t="shared" si="82"/>
        <v>High Value</v>
      </c>
      <c r="J1772" t="str">
        <f t="shared" si="83"/>
        <v>Low Risk</v>
      </c>
      <c r="K1772" s="3" t="str">
        <f t="shared" si="81"/>
        <v>4+ Years</v>
      </c>
    </row>
    <row r="1773" spans="1:11" x14ac:dyDescent="0.3">
      <c r="A1773" t="s">
        <v>1790</v>
      </c>
      <c r="B1773" t="s">
        <v>14</v>
      </c>
      <c r="C1773" t="s">
        <v>30</v>
      </c>
      <c r="D1773" t="s">
        <v>20</v>
      </c>
      <c r="E1773">
        <v>25</v>
      </c>
      <c r="F1773">
        <v>72</v>
      </c>
      <c r="G1773">
        <v>1800</v>
      </c>
      <c r="H1773" t="s">
        <v>12</v>
      </c>
      <c r="I1773" t="str">
        <f t="shared" si="82"/>
        <v>Low Value</v>
      </c>
      <c r="J1773" t="str">
        <f t="shared" si="83"/>
        <v>Low Risk</v>
      </c>
      <c r="K1773" s="3" t="str">
        <f t="shared" si="81"/>
        <v>4+ Years</v>
      </c>
    </row>
    <row r="1774" spans="1:11" x14ac:dyDescent="0.3">
      <c r="A1774" t="s">
        <v>1791</v>
      </c>
      <c r="B1774" t="s">
        <v>9</v>
      </c>
      <c r="C1774" t="s">
        <v>10</v>
      </c>
      <c r="D1774" t="s">
        <v>24</v>
      </c>
      <c r="E1774">
        <v>54.9</v>
      </c>
      <c r="F1774">
        <v>28</v>
      </c>
      <c r="G1774">
        <v>1537.2</v>
      </c>
      <c r="H1774" t="s">
        <v>12</v>
      </c>
      <c r="I1774" t="str">
        <f t="shared" si="82"/>
        <v>Low Value</v>
      </c>
      <c r="J1774" t="str">
        <f t="shared" si="83"/>
        <v>Low Risk</v>
      </c>
      <c r="K1774" s="3" t="str">
        <f t="shared" si="81"/>
        <v>2-4 Years</v>
      </c>
    </row>
    <row r="1775" spans="1:11" x14ac:dyDescent="0.3">
      <c r="A1775" t="s">
        <v>1792</v>
      </c>
      <c r="B1775" t="s">
        <v>14</v>
      </c>
      <c r="C1775" t="s">
        <v>30</v>
      </c>
      <c r="D1775" t="s">
        <v>24</v>
      </c>
      <c r="E1775">
        <v>24.75</v>
      </c>
      <c r="F1775">
        <v>72</v>
      </c>
      <c r="G1775">
        <v>1782</v>
      </c>
      <c r="H1775" t="s">
        <v>12</v>
      </c>
      <c r="I1775" t="str">
        <f t="shared" si="82"/>
        <v>Low Value</v>
      </c>
      <c r="J1775" t="str">
        <f t="shared" si="83"/>
        <v>Low Risk</v>
      </c>
      <c r="K1775" s="3" t="str">
        <f t="shared" si="81"/>
        <v>4+ Years</v>
      </c>
    </row>
    <row r="1776" spans="1:11" x14ac:dyDescent="0.3">
      <c r="A1776" t="s">
        <v>1793</v>
      </c>
      <c r="B1776" t="s">
        <v>9</v>
      </c>
      <c r="C1776" t="s">
        <v>10</v>
      </c>
      <c r="D1776" t="s">
        <v>11</v>
      </c>
      <c r="E1776">
        <v>91.15</v>
      </c>
      <c r="F1776">
        <v>2</v>
      </c>
      <c r="G1776">
        <v>182.3</v>
      </c>
      <c r="H1776" t="s">
        <v>12</v>
      </c>
      <c r="I1776" t="str">
        <f t="shared" si="82"/>
        <v>Low Value</v>
      </c>
      <c r="J1776" t="str">
        <f t="shared" si="83"/>
        <v>High Risk</v>
      </c>
      <c r="K1776" s="3" t="str">
        <f t="shared" si="81"/>
        <v>0-1 Year</v>
      </c>
    </row>
    <row r="1777" spans="1:11" x14ac:dyDescent="0.3">
      <c r="A1777" t="s">
        <v>1794</v>
      </c>
      <c r="B1777" t="s">
        <v>9</v>
      </c>
      <c r="C1777" t="s">
        <v>15</v>
      </c>
      <c r="D1777" t="s">
        <v>20</v>
      </c>
      <c r="E1777">
        <v>20.149999999999999</v>
      </c>
      <c r="F1777">
        <v>18</v>
      </c>
      <c r="G1777">
        <v>362.7</v>
      </c>
      <c r="H1777" t="s">
        <v>18</v>
      </c>
      <c r="I1777" t="str">
        <f t="shared" si="82"/>
        <v>Low Value</v>
      </c>
      <c r="J1777" t="str">
        <f t="shared" si="83"/>
        <v>Medium Risk</v>
      </c>
      <c r="K1777" s="3" t="str">
        <f t="shared" si="81"/>
        <v>1-2 Years</v>
      </c>
    </row>
    <row r="1778" spans="1:11" x14ac:dyDescent="0.3">
      <c r="A1778" t="s">
        <v>1795</v>
      </c>
      <c r="B1778" t="s">
        <v>14</v>
      </c>
      <c r="C1778" t="s">
        <v>15</v>
      </c>
      <c r="D1778" t="s">
        <v>11</v>
      </c>
      <c r="E1778">
        <v>104.35</v>
      </c>
      <c r="F1778">
        <v>60</v>
      </c>
      <c r="G1778">
        <v>6261</v>
      </c>
      <c r="H1778" t="s">
        <v>12</v>
      </c>
      <c r="I1778" t="str">
        <f t="shared" si="82"/>
        <v>High Value</v>
      </c>
      <c r="J1778" t="str">
        <f t="shared" si="83"/>
        <v>Low Risk</v>
      </c>
      <c r="K1778" s="3" t="str">
        <f t="shared" si="81"/>
        <v>4+ Years</v>
      </c>
    </row>
    <row r="1779" spans="1:11" x14ac:dyDescent="0.3">
      <c r="A1779" t="s">
        <v>1796</v>
      </c>
      <c r="B1779" t="s">
        <v>9</v>
      </c>
      <c r="C1779" t="s">
        <v>10</v>
      </c>
      <c r="D1779" t="s">
        <v>11</v>
      </c>
      <c r="E1779">
        <v>66.05</v>
      </c>
      <c r="F1779">
        <v>26</v>
      </c>
      <c r="G1779">
        <v>1717.3</v>
      </c>
      <c r="H1779" t="s">
        <v>12</v>
      </c>
      <c r="I1779" t="str">
        <f t="shared" si="82"/>
        <v>Low Value</v>
      </c>
      <c r="J1779" t="str">
        <f t="shared" si="83"/>
        <v>Low Risk</v>
      </c>
      <c r="K1779" s="3" t="str">
        <f t="shared" si="81"/>
        <v>2-4 Years</v>
      </c>
    </row>
    <row r="1780" spans="1:11" x14ac:dyDescent="0.3">
      <c r="A1780" t="s">
        <v>1797</v>
      </c>
      <c r="B1780" t="s">
        <v>14</v>
      </c>
      <c r="C1780" t="s">
        <v>10</v>
      </c>
      <c r="D1780" t="s">
        <v>11</v>
      </c>
      <c r="E1780">
        <v>71.650000000000006</v>
      </c>
      <c r="F1780">
        <v>1</v>
      </c>
      <c r="G1780">
        <v>71.650000000000006</v>
      </c>
      <c r="H1780" t="s">
        <v>18</v>
      </c>
      <c r="I1780" t="str">
        <f t="shared" si="82"/>
        <v>Low Value</v>
      </c>
      <c r="J1780" t="str">
        <f t="shared" si="83"/>
        <v>High Risk</v>
      </c>
      <c r="K1780" s="3" t="str">
        <f t="shared" si="81"/>
        <v>0-1 Year</v>
      </c>
    </row>
    <row r="1781" spans="1:11" x14ac:dyDescent="0.3">
      <c r="A1781" t="s">
        <v>1798</v>
      </c>
      <c r="B1781" t="s">
        <v>9</v>
      </c>
      <c r="C1781" t="s">
        <v>10</v>
      </c>
      <c r="D1781" t="s">
        <v>16</v>
      </c>
      <c r="E1781">
        <v>20.350000000000001</v>
      </c>
      <c r="F1781">
        <v>4</v>
      </c>
      <c r="G1781">
        <v>81.400000000000006</v>
      </c>
      <c r="H1781" t="s">
        <v>18</v>
      </c>
      <c r="I1781" t="str">
        <f t="shared" si="82"/>
        <v>Low Value</v>
      </c>
      <c r="J1781" t="str">
        <f t="shared" si="83"/>
        <v>High Risk</v>
      </c>
      <c r="K1781" s="3" t="str">
        <f t="shared" si="81"/>
        <v>0-1 Year</v>
      </c>
    </row>
    <row r="1782" spans="1:11" x14ac:dyDescent="0.3">
      <c r="A1782" t="s">
        <v>1799</v>
      </c>
      <c r="B1782" t="s">
        <v>14</v>
      </c>
      <c r="C1782" t="s">
        <v>30</v>
      </c>
      <c r="D1782" t="s">
        <v>24</v>
      </c>
      <c r="E1782">
        <v>92.2</v>
      </c>
      <c r="F1782">
        <v>68</v>
      </c>
      <c r="G1782">
        <v>6269.6</v>
      </c>
      <c r="H1782" t="s">
        <v>12</v>
      </c>
      <c r="I1782" t="str">
        <f t="shared" si="82"/>
        <v>High Value</v>
      </c>
      <c r="J1782" t="str">
        <f t="shared" si="83"/>
        <v>Low Risk</v>
      </c>
      <c r="K1782" s="3" t="str">
        <f t="shared" si="81"/>
        <v>4+ Years</v>
      </c>
    </row>
    <row r="1783" spans="1:11" x14ac:dyDescent="0.3">
      <c r="A1783" t="s">
        <v>1800</v>
      </c>
      <c r="B1783" t="s">
        <v>9</v>
      </c>
      <c r="C1783" t="s">
        <v>10</v>
      </c>
      <c r="D1783" t="s">
        <v>24</v>
      </c>
      <c r="E1783">
        <v>84.25</v>
      </c>
      <c r="F1783">
        <v>38</v>
      </c>
      <c r="G1783">
        <v>3201.5</v>
      </c>
      <c r="H1783" t="s">
        <v>18</v>
      </c>
      <c r="I1783" t="str">
        <f t="shared" si="82"/>
        <v>Medium Value</v>
      </c>
      <c r="J1783" t="str">
        <f t="shared" si="83"/>
        <v>Low Risk</v>
      </c>
      <c r="K1783" s="3" t="str">
        <f t="shared" si="81"/>
        <v>2-4 Years</v>
      </c>
    </row>
    <row r="1784" spans="1:11" x14ac:dyDescent="0.3">
      <c r="A1784" t="s">
        <v>1801</v>
      </c>
      <c r="B1784" t="s">
        <v>9</v>
      </c>
      <c r="C1784" t="s">
        <v>15</v>
      </c>
      <c r="D1784" t="s">
        <v>20</v>
      </c>
      <c r="E1784">
        <v>105.2</v>
      </c>
      <c r="F1784">
        <v>42</v>
      </c>
      <c r="G1784">
        <v>4418.3999999999996</v>
      </c>
      <c r="H1784" t="s">
        <v>12</v>
      </c>
      <c r="I1784" t="str">
        <f t="shared" si="82"/>
        <v>Medium Value</v>
      </c>
      <c r="J1784" t="str">
        <f t="shared" si="83"/>
        <v>Low Risk</v>
      </c>
      <c r="K1784" s="3" t="str">
        <f t="shared" si="81"/>
        <v>2-4 Years</v>
      </c>
    </row>
    <row r="1785" spans="1:11" x14ac:dyDescent="0.3">
      <c r="A1785" t="s">
        <v>1802</v>
      </c>
      <c r="B1785" t="s">
        <v>9</v>
      </c>
      <c r="C1785" t="s">
        <v>30</v>
      </c>
      <c r="D1785" t="s">
        <v>20</v>
      </c>
      <c r="E1785">
        <v>19.600000000000001</v>
      </c>
      <c r="F1785">
        <v>57</v>
      </c>
      <c r="G1785">
        <v>1117.2</v>
      </c>
      <c r="H1785" t="s">
        <v>12</v>
      </c>
      <c r="I1785" t="str">
        <f t="shared" si="82"/>
        <v>Low Value</v>
      </c>
      <c r="J1785" t="str">
        <f t="shared" si="83"/>
        <v>Low Risk</v>
      </c>
      <c r="K1785" s="3" t="str">
        <f t="shared" si="81"/>
        <v>4+ Years</v>
      </c>
    </row>
    <row r="1786" spans="1:11" x14ac:dyDescent="0.3">
      <c r="A1786" t="s">
        <v>1803</v>
      </c>
      <c r="B1786" t="s">
        <v>14</v>
      </c>
      <c r="C1786" t="s">
        <v>10</v>
      </c>
      <c r="D1786" t="s">
        <v>11</v>
      </c>
      <c r="E1786">
        <v>30.4</v>
      </c>
      <c r="F1786">
        <v>54</v>
      </c>
      <c r="G1786">
        <v>1641.6</v>
      </c>
      <c r="H1786" t="s">
        <v>12</v>
      </c>
      <c r="I1786" t="str">
        <f t="shared" si="82"/>
        <v>Low Value</v>
      </c>
      <c r="J1786" t="str">
        <f t="shared" si="83"/>
        <v>Low Risk</v>
      </c>
      <c r="K1786" s="3" t="str">
        <f t="shared" si="81"/>
        <v>4+ Years</v>
      </c>
    </row>
    <row r="1787" spans="1:11" x14ac:dyDescent="0.3">
      <c r="A1787" t="s">
        <v>1804</v>
      </c>
      <c r="B1787" t="s">
        <v>9</v>
      </c>
      <c r="C1787" t="s">
        <v>10</v>
      </c>
      <c r="D1787" t="s">
        <v>20</v>
      </c>
      <c r="E1787">
        <v>78.099999999999994</v>
      </c>
      <c r="F1787">
        <v>12</v>
      </c>
      <c r="G1787">
        <v>937.19999999999902</v>
      </c>
      <c r="H1787" t="s">
        <v>18</v>
      </c>
      <c r="I1787" t="str">
        <f t="shared" si="82"/>
        <v>Low Value</v>
      </c>
      <c r="J1787" t="str">
        <f t="shared" si="83"/>
        <v>Medium Risk</v>
      </c>
      <c r="K1787" s="3" t="str">
        <f t="shared" si="81"/>
        <v>0-1 Year</v>
      </c>
    </row>
    <row r="1788" spans="1:11" x14ac:dyDescent="0.3">
      <c r="A1788" t="s">
        <v>1805</v>
      </c>
      <c r="B1788" t="s">
        <v>9</v>
      </c>
      <c r="C1788" t="s">
        <v>15</v>
      </c>
      <c r="D1788" t="s">
        <v>16</v>
      </c>
      <c r="E1788">
        <v>61.5</v>
      </c>
      <c r="F1788">
        <v>44</v>
      </c>
      <c r="G1788">
        <v>2706</v>
      </c>
      <c r="H1788" t="s">
        <v>12</v>
      </c>
      <c r="I1788" t="str">
        <f t="shared" si="82"/>
        <v>Medium Value</v>
      </c>
      <c r="J1788" t="str">
        <f t="shared" si="83"/>
        <v>Low Risk</v>
      </c>
      <c r="K1788" s="3" t="str">
        <f t="shared" si="81"/>
        <v>2-4 Years</v>
      </c>
    </row>
    <row r="1789" spans="1:11" x14ac:dyDescent="0.3">
      <c r="A1789" t="s">
        <v>1806</v>
      </c>
      <c r="B1789" t="s">
        <v>14</v>
      </c>
      <c r="C1789" t="s">
        <v>10</v>
      </c>
      <c r="D1789" t="s">
        <v>20</v>
      </c>
      <c r="E1789">
        <v>69.400000000000006</v>
      </c>
      <c r="F1789">
        <v>42</v>
      </c>
      <c r="G1789">
        <v>2914.8</v>
      </c>
      <c r="H1789" t="s">
        <v>12</v>
      </c>
      <c r="I1789" t="str">
        <f t="shared" si="82"/>
        <v>Medium Value</v>
      </c>
      <c r="J1789" t="str">
        <f t="shared" si="83"/>
        <v>Low Risk</v>
      </c>
      <c r="K1789" s="3" t="str">
        <f t="shared" si="81"/>
        <v>2-4 Years</v>
      </c>
    </row>
    <row r="1790" spans="1:11" x14ac:dyDescent="0.3">
      <c r="A1790" t="s">
        <v>1807</v>
      </c>
      <c r="B1790" t="s">
        <v>14</v>
      </c>
      <c r="C1790" t="s">
        <v>30</v>
      </c>
      <c r="D1790" t="s">
        <v>20</v>
      </c>
      <c r="E1790">
        <v>24.75</v>
      </c>
      <c r="F1790">
        <v>72</v>
      </c>
      <c r="G1790">
        <v>1782</v>
      </c>
      <c r="H1790" t="s">
        <v>12</v>
      </c>
      <c r="I1790" t="str">
        <f t="shared" si="82"/>
        <v>Low Value</v>
      </c>
      <c r="J1790" t="str">
        <f t="shared" si="83"/>
        <v>Low Risk</v>
      </c>
      <c r="K1790" s="3" t="str">
        <f t="shared" si="81"/>
        <v>4+ Years</v>
      </c>
    </row>
    <row r="1791" spans="1:11" x14ac:dyDescent="0.3">
      <c r="A1791" t="s">
        <v>1808</v>
      </c>
      <c r="B1791" t="s">
        <v>9</v>
      </c>
      <c r="C1791" t="s">
        <v>30</v>
      </c>
      <c r="D1791" t="s">
        <v>16</v>
      </c>
      <c r="E1791">
        <v>91.05</v>
      </c>
      <c r="F1791">
        <v>71</v>
      </c>
      <c r="G1791">
        <v>6464.55</v>
      </c>
      <c r="H1791" t="s">
        <v>12</v>
      </c>
      <c r="I1791" t="str">
        <f t="shared" si="82"/>
        <v>High Value</v>
      </c>
      <c r="J1791" t="str">
        <f t="shared" si="83"/>
        <v>Low Risk</v>
      </c>
      <c r="K1791" s="3" t="str">
        <f t="shared" si="81"/>
        <v>4+ Years</v>
      </c>
    </row>
    <row r="1792" spans="1:11" x14ac:dyDescent="0.3">
      <c r="A1792" t="s">
        <v>1809</v>
      </c>
      <c r="B1792" t="s">
        <v>9</v>
      </c>
      <c r="C1792" t="s">
        <v>10</v>
      </c>
      <c r="D1792" t="s">
        <v>16</v>
      </c>
      <c r="E1792">
        <v>89.65</v>
      </c>
      <c r="F1792">
        <v>19</v>
      </c>
      <c r="G1792">
        <v>1703.35</v>
      </c>
      <c r="H1792" t="s">
        <v>18</v>
      </c>
      <c r="I1792" t="str">
        <f t="shared" si="82"/>
        <v>Low Value</v>
      </c>
      <c r="J1792" t="str">
        <f t="shared" si="83"/>
        <v>Medium Risk</v>
      </c>
      <c r="K1792" s="3" t="str">
        <f t="shared" si="81"/>
        <v>1-2 Years</v>
      </c>
    </row>
    <row r="1793" spans="1:11" x14ac:dyDescent="0.3">
      <c r="A1793" t="s">
        <v>1810</v>
      </c>
      <c r="B1793" t="s">
        <v>9</v>
      </c>
      <c r="C1793" t="s">
        <v>10</v>
      </c>
      <c r="D1793" t="s">
        <v>24</v>
      </c>
      <c r="E1793">
        <v>73.650000000000006</v>
      </c>
      <c r="F1793">
        <v>23</v>
      </c>
      <c r="G1793">
        <v>1693.95</v>
      </c>
      <c r="H1793" t="s">
        <v>12</v>
      </c>
      <c r="I1793" t="str">
        <f t="shared" si="82"/>
        <v>Low Value</v>
      </c>
      <c r="J1793" t="str">
        <f t="shared" si="83"/>
        <v>Medium Risk</v>
      </c>
      <c r="K1793" s="3" t="str">
        <f t="shared" si="81"/>
        <v>1-2 Years</v>
      </c>
    </row>
    <row r="1794" spans="1:11" x14ac:dyDescent="0.3">
      <c r="A1794" t="s">
        <v>1811</v>
      </c>
      <c r="B1794" t="s">
        <v>9</v>
      </c>
      <c r="C1794" t="s">
        <v>30</v>
      </c>
      <c r="D1794" t="s">
        <v>24</v>
      </c>
      <c r="E1794">
        <v>19.399999999999999</v>
      </c>
      <c r="F1794">
        <v>30</v>
      </c>
      <c r="G1794">
        <v>582</v>
      </c>
      <c r="H1794" t="s">
        <v>12</v>
      </c>
      <c r="I1794" t="str">
        <f t="shared" si="82"/>
        <v>Low Value</v>
      </c>
      <c r="J1794" t="str">
        <f t="shared" si="83"/>
        <v>Low Risk</v>
      </c>
      <c r="K1794" s="3" t="str">
        <f t="shared" si="81"/>
        <v>2-4 Years</v>
      </c>
    </row>
    <row r="1795" spans="1:11" x14ac:dyDescent="0.3">
      <c r="A1795" t="s">
        <v>1812</v>
      </c>
      <c r="B1795" t="s">
        <v>14</v>
      </c>
      <c r="C1795" t="s">
        <v>15</v>
      </c>
      <c r="D1795" t="s">
        <v>20</v>
      </c>
      <c r="E1795">
        <v>26.2</v>
      </c>
      <c r="F1795">
        <v>35</v>
      </c>
      <c r="G1795">
        <v>917</v>
      </c>
      <c r="H1795" t="s">
        <v>12</v>
      </c>
      <c r="I1795" t="str">
        <f t="shared" si="82"/>
        <v>Low Value</v>
      </c>
      <c r="J1795" t="str">
        <f t="shared" si="83"/>
        <v>Low Risk</v>
      </c>
      <c r="K1795" s="3" t="str">
        <f t="shared" ref="K1795:K1858" si="84">IF(F1795&lt;=12,"0-1 Year",
IF(F1795&lt;=24,"1-2 Years",
IF(F1795&lt;=48,"2-4 Years","4+ Years")))</f>
        <v>2-4 Years</v>
      </c>
    </row>
    <row r="1796" spans="1:11" x14ac:dyDescent="0.3">
      <c r="A1796" t="s">
        <v>1813</v>
      </c>
      <c r="B1796" t="s">
        <v>9</v>
      </c>
      <c r="C1796" t="s">
        <v>10</v>
      </c>
      <c r="D1796" t="s">
        <v>11</v>
      </c>
      <c r="E1796">
        <v>98.7</v>
      </c>
      <c r="F1796">
        <v>10</v>
      </c>
      <c r="G1796">
        <v>987</v>
      </c>
      <c r="H1796" t="s">
        <v>18</v>
      </c>
      <c r="I1796" t="str">
        <f t="shared" ref="I1796:I1859" si="85">IF(G1796&gt;5000,"High Value",
IF(G1796&gt;2000,"Medium Value","Low Value"))</f>
        <v>Low Value</v>
      </c>
      <c r="J1796" t="str">
        <f t="shared" ref="J1796:J1859" si="86">IF(F1796&lt;12,"High Risk",
IF(F1796&lt;24,"Medium Risk","Low Risk"))</f>
        <v>High Risk</v>
      </c>
      <c r="K1796" s="3" t="str">
        <f t="shared" si="84"/>
        <v>0-1 Year</v>
      </c>
    </row>
    <row r="1797" spans="1:11" x14ac:dyDescent="0.3">
      <c r="A1797" t="s">
        <v>1814</v>
      </c>
      <c r="B1797" t="s">
        <v>14</v>
      </c>
      <c r="C1797" t="s">
        <v>10</v>
      </c>
      <c r="D1797" t="s">
        <v>20</v>
      </c>
      <c r="E1797">
        <v>43.85</v>
      </c>
      <c r="F1797">
        <v>1</v>
      </c>
      <c r="G1797">
        <v>43.85</v>
      </c>
      <c r="H1797" t="s">
        <v>12</v>
      </c>
      <c r="I1797" t="str">
        <f t="shared" si="85"/>
        <v>Low Value</v>
      </c>
      <c r="J1797" t="str">
        <f t="shared" si="86"/>
        <v>High Risk</v>
      </c>
      <c r="K1797" s="3" t="str">
        <f t="shared" si="84"/>
        <v>0-1 Year</v>
      </c>
    </row>
    <row r="1798" spans="1:11" x14ac:dyDescent="0.3">
      <c r="A1798" t="s">
        <v>1815</v>
      </c>
      <c r="B1798" t="s">
        <v>14</v>
      </c>
      <c r="C1798" t="s">
        <v>10</v>
      </c>
      <c r="D1798" t="s">
        <v>16</v>
      </c>
      <c r="E1798">
        <v>69.7</v>
      </c>
      <c r="F1798">
        <v>22</v>
      </c>
      <c r="G1798">
        <v>1533.4</v>
      </c>
      <c r="H1798" t="s">
        <v>12</v>
      </c>
      <c r="I1798" t="str">
        <f t="shared" si="85"/>
        <v>Low Value</v>
      </c>
      <c r="J1798" t="str">
        <f t="shared" si="86"/>
        <v>Medium Risk</v>
      </c>
      <c r="K1798" s="3" t="str">
        <f t="shared" si="84"/>
        <v>1-2 Years</v>
      </c>
    </row>
    <row r="1799" spans="1:11" x14ac:dyDescent="0.3">
      <c r="A1799" t="s">
        <v>1816</v>
      </c>
      <c r="B1799" t="s">
        <v>14</v>
      </c>
      <c r="C1799" t="s">
        <v>30</v>
      </c>
      <c r="D1799" t="s">
        <v>16</v>
      </c>
      <c r="E1799">
        <v>38.549999999999997</v>
      </c>
      <c r="F1799">
        <v>7</v>
      </c>
      <c r="G1799">
        <v>269.849999999999</v>
      </c>
      <c r="H1799" t="s">
        <v>12</v>
      </c>
      <c r="I1799" t="str">
        <f t="shared" si="85"/>
        <v>Low Value</v>
      </c>
      <c r="J1799" t="str">
        <f t="shared" si="86"/>
        <v>High Risk</v>
      </c>
      <c r="K1799" s="3" t="str">
        <f t="shared" si="84"/>
        <v>0-1 Year</v>
      </c>
    </row>
    <row r="1800" spans="1:11" x14ac:dyDescent="0.3">
      <c r="A1800" t="s">
        <v>1817</v>
      </c>
      <c r="B1800" t="s">
        <v>9</v>
      </c>
      <c r="C1800" t="s">
        <v>30</v>
      </c>
      <c r="D1800" t="s">
        <v>16</v>
      </c>
      <c r="E1800">
        <v>53.1</v>
      </c>
      <c r="F1800">
        <v>36</v>
      </c>
      <c r="G1800">
        <v>1911.6</v>
      </c>
      <c r="H1800" t="s">
        <v>12</v>
      </c>
      <c r="I1800" t="str">
        <f t="shared" si="85"/>
        <v>Low Value</v>
      </c>
      <c r="J1800" t="str">
        <f t="shared" si="86"/>
        <v>Low Risk</v>
      </c>
      <c r="K1800" s="3" t="str">
        <f t="shared" si="84"/>
        <v>2-4 Years</v>
      </c>
    </row>
    <row r="1801" spans="1:11" x14ac:dyDescent="0.3">
      <c r="A1801" t="s">
        <v>1818</v>
      </c>
      <c r="B1801" t="s">
        <v>9</v>
      </c>
      <c r="C1801" t="s">
        <v>10</v>
      </c>
      <c r="D1801" t="s">
        <v>16</v>
      </c>
      <c r="E1801">
        <v>20.65</v>
      </c>
      <c r="F1801">
        <v>34</v>
      </c>
      <c r="G1801">
        <v>702.099999999999</v>
      </c>
      <c r="H1801" t="s">
        <v>12</v>
      </c>
      <c r="I1801" t="str">
        <f t="shared" si="85"/>
        <v>Low Value</v>
      </c>
      <c r="J1801" t="str">
        <f t="shared" si="86"/>
        <v>Low Risk</v>
      </c>
      <c r="K1801" s="3" t="str">
        <f t="shared" si="84"/>
        <v>2-4 Years</v>
      </c>
    </row>
    <row r="1802" spans="1:11" x14ac:dyDescent="0.3">
      <c r="A1802" t="s">
        <v>1819</v>
      </c>
      <c r="B1802" t="s">
        <v>14</v>
      </c>
      <c r="C1802" t="s">
        <v>30</v>
      </c>
      <c r="D1802" t="s">
        <v>24</v>
      </c>
      <c r="E1802">
        <v>64.45</v>
      </c>
      <c r="F1802">
        <v>72</v>
      </c>
      <c r="G1802">
        <v>4640.3999999999996</v>
      </c>
      <c r="H1802" t="s">
        <v>12</v>
      </c>
      <c r="I1802" t="str">
        <f t="shared" si="85"/>
        <v>Medium Value</v>
      </c>
      <c r="J1802" t="str">
        <f t="shared" si="86"/>
        <v>Low Risk</v>
      </c>
      <c r="K1802" s="3" t="str">
        <f t="shared" si="84"/>
        <v>4+ Years</v>
      </c>
    </row>
    <row r="1803" spans="1:11" x14ac:dyDescent="0.3">
      <c r="A1803" t="s">
        <v>1820</v>
      </c>
      <c r="B1803" t="s">
        <v>14</v>
      </c>
      <c r="C1803" t="s">
        <v>30</v>
      </c>
      <c r="D1803" t="s">
        <v>24</v>
      </c>
      <c r="E1803">
        <v>25.1</v>
      </c>
      <c r="F1803">
        <v>36</v>
      </c>
      <c r="G1803">
        <v>903.6</v>
      </c>
      <c r="H1803" t="s">
        <v>12</v>
      </c>
      <c r="I1803" t="str">
        <f t="shared" si="85"/>
        <v>Low Value</v>
      </c>
      <c r="J1803" t="str">
        <f t="shared" si="86"/>
        <v>Low Risk</v>
      </c>
      <c r="K1803" s="3" t="str">
        <f t="shared" si="84"/>
        <v>2-4 Years</v>
      </c>
    </row>
    <row r="1804" spans="1:11" x14ac:dyDescent="0.3">
      <c r="A1804" t="s">
        <v>1821</v>
      </c>
      <c r="B1804" t="s">
        <v>9</v>
      </c>
      <c r="C1804" t="s">
        <v>10</v>
      </c>
      <c r="D1804" t="s">
        <v>11</v>
      </c>
      <c r="E1804">
        <v>76.349999999999994</v>
      </c>
      <c r="F1804">
        <v>1</v>
      </c>
      <c r="G1804">
        <v>76.349999999999994</v>
      </c>
      <c r="H1804" t="s">
        <v>18</v>
      </c>
      <c r="I1804" t="str">
        <f t="shared" si="85"/>
        <v>Low Value</v>
      </c>
      <c r="J1804" t="str">
        <f t="shared" si="86"/>
        <v>High Risk</v>
      </c>
      <c r="K1804" s="3" t="str">
        <f t="shared" si="84"/>
        <v>0-1 Year</v>
      </c>
    </row>
    <row r="1805" spans="1:11" x14ac:dyDescent="0.3">
      <c r="A1805" t="s">
        <v>1822</v>
      </c>
      <c r="B1805" t="s">
        <v>9</v>
      </c>
      <c r="C1805" t="s">
        <v>10</v>
      </c>
      <c r="D1805" t="s">
        <v>11</v>
      </c>
      <c r="E1805">
        <v>79.150000000000006</v>
      </c>
      <c r="F1805">
        <v>23</v>
      </c>
      <c r="G1805">
        <v>1820.45</v>
      </c>
      <c r="H1805" t="s">
        <v>18</v>
      </c>
      <c r="I1805" t="str">
        <f t="shared" si="85"/>
        <v>Low Value</v>
      </c>
      <c r="J1805" t="str">
        <f t="shared" si="86"/>
        <v>Medium Risk</v>
      </c>
      <c r="K1805" s="3" t="str">
        <f t="shared" si="84"/>
        <v>1-2 Years</v>
      </c>
    </row>
    <row r="1806" spans="1:11" x14ac:dyDescent="0.3">
      <c r="A1806" t="s">
        <v>1823</v>
      </c>
      <c r="B1806" t="s">
        <v>14</v>
      </c>
      <c r="C1806" t="s">
        <v>10</v>
      </c>
      <c r="D1806" t="s">
        <v>11</v>
      </c>
      <c r="E1806">
        <v>85</v>
      </c>
      <c r="F1806">
        <v>32</v>
      </c>
      <c r="G1806">
        <v>2720</v>
      </c>
      <c r="H1806" t="s">
        <v>18</v>
      </c>
      <c r="I1806" t="str">
        <f t="shared" si="85"/>
        <v>Medium Value</v>
      </c>
      <c r="J1806" t="str">
        <f t="shared" si="86"/>
        <v>Low Risk</v>
      </c>
      <c r="K1806" s="3" t="str">
        <f t="shared" si="84"/>
        <v>2-4 Years</v>
      </c>
    </row>
    <row r="1807" spans="1:11" x14ac:dyDescent="0.3">
      <c r="A1807" t="s">
        <v>1824</v>
      </c>
      <c r="B1807" t="s">
        <v>9</v>
      </c>
      <c r="C1807" t="s">
        <v>15</v>
      </c>
      <c r="D1807" t="s">
        <v>24</v>
      </c>
      <c r="E1807">
        <v>95.15</v>
      </c>
      <c r="F1807">
        <v>71</v>
      </c>
      <c r="G1807">
        <v>6755.65</v>
      </c>
      <c r="H1807" t="s">
        <v>12</v>
      </c>
      <c r="I1807" t="str">
        <f t="shared" si="85"/>
        <v>High Value</v>
      </c>
      <c r="J1807" t="str">
        <f t="shared" si="86"/>
        <v>Low Risk</v>
      </c>
      <c r="K1807" s="3" t="str">
        <f t="shared" si="84"/>
        <v>4+ Years</v>
      </c>
    </row>
    <row r="1808" spans="1:11" x14ac:dyDescent="0.3">
      <c r="A1808" t="s">
        <v>1825</v>
      </c>
      <c r="B1808" t="s">
        <v>9</v>
      </c>
      <c r="C1808" t="s">
        <v>10</v>
      </c>
      <c r="D1808" t="s">
        <v>16</v>
      </c>
      <c r="E1808">
        <v>79.349999999999994</v>
      </c>
      <c r="F1808">
        <v>23</v>
      </c>
      <c r="G1808">
        <v>1825.05</v>
      </c>
      <c r="H1808" t="s">
        <v>12</v>
      </c>
      <c r="I1808" t="str">
        <f t="shared" si="85"/>
        <v>Low Value</v>
      </c>
      <c r="J1808" t="str">
        <f t="shared" si="86"/>
        <v>Medium Risk</v>
      </c>
      <c r="K1808" s="3" t="str">
        <f t="shared" si="84"/>
        <v>1-2 Years</v>
      </c>
    </row>
    <row r="1809" spans="1:11" x14ac:dyDescent="0.3">
      <c r="A1809" t="s">
        <v>1826</v>
      </c>
      <c r="B1809" t="s">
        <v>14</v>
      </c>
      <c r="C1809" t="s">
        <v>15</v>
      </c>
      <c r="D1809" t="s">
        <v>20</v>
      </c>
      <c r="E1809">
        <v>96.65</v>
      </c>
      <c r="F1809">
        <v>17</v>
      </c>
      <c r="G1809">
        <v>1643.05</v>
      </c>
      <c r="H1809" t="s">
        <v>12</v>
      </c>
      <c r="I1809" t="str">
        <f t="shared" si="85"/>
        <v>Low Value</v>
      </c>
      <c r="J1809" t="str">
        <f t="shared" si="86"/>
        <v>Medium Risk</v>
      </c>
      <c r="K1809" s="3" t="str">
        <f t="shared" si="84"/>
        <v>1-2 Years</v>
      </c>
    </row>
    <row r="1810" spans="1:11" x14ac:dyDescent="0.3">
      <c r="A1810" t="s">
        <v>1827</v>
      </c>
      <c r="B1810" t="s">
        <v>14</v>
      </c>
      <c r="C1810" t="s">
        <v>10</v>
      </c>
      <c r="D1810" t="s">
        <v>11</v>
      </c>
      <c r="E1810">
        <v>75.5</v>
      </c>
      <c r="F1810">
        <v>1</v>
      </c>
      <c r="G1810">
        <v>75.5</v>
      </c>
      <c r="H1810" t="s">
        <v>12</v>
      </c>
      <c r="I1810" t="str">
        <f t="shared" si="85"/>
        <v>Low Value</v>
      </c>
      <c r="J1810" t="str">
        <f t="shared" si="86"/>
        <v>High Risk</v>
      </c>
      <c r="K1810" s="3" t="str">
        <f t="shared" si="84"/>
        <v>0-1 Year</v>
      </c>
    </row>
    <row r="1811" spans="1:11" x14ac:dyDescent="0.3">
      <c r="A1811" t="s">
        <v>1828</v>
      </c>
      <c r="B1811" t="s">
        <v>14</v>
      </c>
      <c r="C1811" t="s">
        <v>30</v>
      </c>
      <c r="D1811" t="s">
        <v>16</v>
      </c>
      <c r="E1811">
        <v>19.7</v>
      </c>
      <c r="F1811">
        <v>12</v>
      </c>
      <c r="G1811">
        <v>236.39999999999901</v>
      </c>
      <c r="H1811" t="s">
        <v>12</v>
      </c>
      <c r="I1811" t="str">
        <f t="shared" si="85"/>
        <v>Low Value</v>
      </c>
      <c r="J1811" t="str">
        <f t="shared" si="86"/>
        <v>Medium Risk</v>
      </c>
      <c r="K1811" s="3" t="str">
        <f t="shared" si="84"/>
        <v>0-1 Year</v>
      </c>
    </row>
    <row r="1812" spans="1:11" x14ac:dyDescent="0.3">
      <c r="A1812" t="s">
        <v>1829</v>
      </c>
      <c r="B1812" t="s">
        <v>9</v>
      </c>
      <c r="C1812" t="s">
        <v>30</v>
      </c>
      <c r="D1812" t="s">
        <v>24</v>
      </c>
      <c r="E1812">
        <v>20.5</v>
      </c>
      <c r="F1812">
        <v>72</v>
      </c>
      <c r="G1812">
        <v>1476</v>
      </c>
      <c r="H1812" t="s">
        <v>12</v>
      </c>
      <c r="I1812" t="str">
        <f t="shared" si="85"/>
        <v>Low Value</v>
      </c>
      <c r="J1812" t="str">
        <f t="shared" si="86"/>
        <v>Low Risk</v>
      </c>
      <c r="K1812" s="3" t="str">
        <f t="shared" si="84"/>
        <v>4+ Years</v>
      </c>
    </row>
    <row r="1813" spans="1:11" x14ac:dyDescent="0.3">
      <c r="A1813" t="s">
        <v>1830</v>
      </c>
      <c r="B1813" t="s">
        <v>14</v>
      </c>
      <c r="C1813" t="s">
        <v>10</v>
      </c>
      <c r="D1813" t="s">
        <v>16</v>
      </c>
      <c r="E1813">
        <v>19.2</v>
      </c>
      <c r="F1813">
        <v>1</v>
      </c>
      <c r="G1813">
        <v>19.2</v>
      </c>
      <c r="H1813" t="s">
        <v>12</v>
      </c>
      <c r="I1813" t="str">
        <f t="shared" si="85"/>
        <v>Low Value</v>
      </c>
      <c r="J1813" t="str">
        <f t="shared" si="86"/>
        <v>High Risk</v>
      </c>
      <c r="K1813" s="3" t="str">
        <f t="shared" si="84"/>
        <v>0-1 Year</v>
      </c>
    </row>
    <row r="1814" spans="1:11" x14ac:dyDescent="0.3">
      <c r="A1814" t="s">
        <v>1831</v>
      </c>
      <c r="B1814" t="s">
        <v>14</v>
      </c>
      <c r="C1814" t="s">
        <v>30</v>
      </c>
      <c r="D1814" t="s">
        <v>20</v>
      </c>
      <c r="E1814">
        <v>98.35</v>
      </c>
      <c r="F1814">
        <v>72</v>
      </c>
      <c r="G1814">
        <v>7081.2</v>
      </c>
      <c r="H1814" t="s">
        <v>12</v>
      </c>
      <c r="I1814" t="str">
        <f t="shared" si="85"/>
        <v>High Value</v>
      </c>
      <c r="J1814" t="str">
        <f t="shared" si="86"/>
        <v>Low Risk</v>
      </c>
      <c r="K1814" s="3" t="str">
        <f t="shared" si="84"/>
        <v>4+ Years</v>
      </c>
    </row>
    <row r="1815" spans="1:11" x14ac:dyDescent="0.3">
      <c r="A1815" t="s">
        <v>1832</v>
      </c>
      <c r="B1815" t="s">
        <v>14</v>
      </c>
      <c r="C1815" t="s">
        <v>10</v>
      </c>
      <c r="D1815" t="s">
        <v>20</v>
      </c>
      <c r="E1815">
        <v>74.349999999999994</v>
      </c>
      <c r="F1815">
        <v>60</v>
      </c>
      <c r="G1815">
        <v>4461</v>
      </c>
      <c r="H1815" t="s">
        <v>12</v>
      </c>
      <c r="I1815" t="str">
        <f t="shared" si="85"/>
        <v>Medium Value</v>
      </c>
      <c r="J1815" t="str">
        <f t="shared" si="86"/>
        <v>Low Risk</v>
      </c>
      <c r="K1815" s="3" t="str">
        <f t="shared" si="84"/>
        <v>4+ Years</v>
      </c>
    </row>
    <row r="1816" spans="1:11" x14ac:dyDescent="0.3">
      <c r="A1816" t="s">
        <v>1833</v>
      </c>
      <c r="B1816" t="s">
        <v>9</v>
      </c>
      <c r="C1816" t="s">
        <v>30</v>
      </c>
      <c r="D1816" t="s">
        <v>24</v>
      </c>
      <c r="E1816">
        <v>51.35</v>
      </c>
      <c r="F1816">
        <v>61</v>
      </c>
      <c r="G1816">
        <v>3132.35</v>
      </c>
      <c r="H1816" t="s">
        <v>12</v>
      </c>
      <c r="I1816" t="str">
        <f t="shared" si="85"/>
        <v>Medium Value</v>
      </c>
      <c r="J1816" t="str">
        <f t="shared" si="86"/>
        <v>Low Risk</v>
      </c>
      <c r="K1816" s="3" t="str">
        <f t="shared" si="84"/>
        <v>4+ Years</v>
      </c>
    </row>
    <row r="1817" spans="1:11" x14ac:dyDescent="0.3">
      <c r="A1817" t="s">
        <v>1834</v>
      </c>
      <c r="B1817" t="s">
        <v>9</v>
      </c>
      <c r="C1817" t="s">
        <v>10</v>
      </c>
      <c r="D1817" t="s">
        <v>16</v>
      </c>
      <c r="E1817">
        <v>45.65</v>
      </c>
      <c r="F1817">
        <v>6</v>
      </c>
      <c r="G1817">
        <v>273.89999999999998</v>
      </c>
      <c r="H1817" t="s">
        <v>12</v>
      </c>
      <c r="I1817" t="str">
        <f t="shared" si="85"/>
        <v>Low Value</v>
      </c>
      <c r="J1817" t="str">
        <f t="shared" si="86"/>
        <v>High Risk</v>
      </c>
      <c r="K1817" s="3" t="str">
        <f t="shared" si="84"/>
        <v>0-1 Year</v>
      </c>
    </row>
    <row r="1818" spans="1:11" x14ac:dyDescent="0.3">
      <c r="A1818" t="s">
        <v>1835</v>
      </c>
      <c r="B1818" t="s">
        <v>14</v>
      </c>
      <c r="C1818" t="s">
        <v>10</v>
      </c>
      <c r="D1818" t="s">
        <v>11</v>
      </c>
      <c r="E1818">
        <v>85.3</v>
      </c>
      <c r="F1818">
        <v>32</v>
      </c>
      <c r="G1818">
        <v>2729.6</v>
      </c>
      <c r="H1818" t="s">
        <v>18</v>
      </c>
      <c r="I1818" t="str">
        <f t="shared" si="85"/>
        <v>Medium Value</v>
      </c>
      <c r="J1818" t="str">
        <f t="shared" si="86"/>
        <v>Low Risk</v>
      </c>
      <c r="K1818" s="3" t="str">
        <f t="shared" si="84"/>
        <v>2-4 Years</v>
      </c>
    </row>
    <row r="1819" spans="1:11" x14ac:dyDescent="0.3">
      <c r="A1819" t="s">
        <v>1836</v>
      </c>
      <c r="B1819" t="s">
        <v>9</v>
      </c>
      <c r="C1819" t="s">
        <v>10</v>
      </c>
      <c r="D1819" t="s">
        <v>24</v>
      </c>
      <c r="E1819">
        <v>86.55</v>
      </c>
      <c r="F1819">
        <v>31</v>
      </c>
      <c r="G1819">
        <v>2683.0499999999902</v>
      </c>
      <c r="H1819" t="s">
        <v>18</v>
      </c>
      <c r="I1819" t="str">
        <f t="shared" si="85"/>
        <v>Medium Value</v>
      </c>
      <c r="J1819" t="str">
        <f t="shared" si="86"/>
        <v>Low Risk</v>
      </c>
      <c r="K1819" s="3" t="str">
        <f t="shared" si="84"/>
        <v>2-4 Years</v>
      </c>
    </row>
    <row r="1820" spans="1:11" x14ac:dyDescent="0.3">
      <c r="A1820" t="s">
        <v>1837</v>
      </c>
      <c r="B1820" t="s">
        <v>14</v>
      </c>
      <c r="C1820" t="s">
        <v>10</v>
      </c>
      <c r="D1820" t="s">
        <v>24</v>
      </c>
      <c r="E1820">
        <v>73.849999999999994</v>
      </c>
      <c r="F1820">
        <v>19</v>
      </c>
      <c r="G1820">
        <v>1403.1499999999901</v>
      </c>
      <c r="H1820" t="s">
        <v>18</v>
      </c>
      <c r="I1820" t="str">
        <f t="shared" si="85"/>
        <v>Low Value</v>
      </c>
      <c r="J1820" t="str">
        <f t="shared" si="86"/>
        <v>Medium Risk</v>
      </c>
      <c r="K1820" s="3" t="str">
        <f t="shared" si="84"/>
        <v>1-2 Years</v>
      </c>
    </row>
    <row r="1821" spans="1:11" x14ac:dyDescent="0.3">
      <c r="A1821" t="s">
        <v>1838</v>
      </c>
      <c r="B1821" t="s">
        <v>14</v>
      </c>
      <c r="C1821" t="s">
        <v>30</v>
      </c>
      <c r="D1821" t="s">
        <v>20</v>
      </c>
      <c r="E1821">
        <v>20.3</v>
      </c>
      <c r="F1821">
        <v>72</v>
      </c>
      <c r="G1821">
        <v>1461.6</v>
      </c>
      <c r="H1821" t="s">
        <v>12</v>
      </c>
      <c r="I1821" t="str">
        <f t="shared" si="85"/>
        <v>Low Value</v>
      </c>
      <c r="J1821" t="str">
        <f t="shared" si="86"/>
        <v>Low Risk</v>
      </c>
      <c r="K1821" s="3" t="str">
        <f t="shared" si="84"/>
        <v>4+ Years</v>
      </c>
    </row>
    <row r="1822" spans="1:11" x14ac:dyDescent="0.3">
      <c r="A1822" t="s">
        <v>1839</v>
      </c>
      <c r="B1822" t="s">
        <v>9</v>
      </c>
      <c r="C1822" t="s">
        <v>10</v>
      </c>
      <c r="D1822" t="s">
        <v>11</v>
      </c>
      <c r="E1822">
        <v>54.2</v>
      </c>
      <c r="F1822">
        <v>32</v>
      </c>
      <c r="G1822">
        <v>1734.4</v>
      </c>
      <c r="H1822" t="s">
        <v>12</v>
      </c>
      <c r="I1822" t="str">
        <f t="shared" si="85"/>
        <v>Low Value</v>
      </c>
      <c r="J1822" t="str">
        <f t="shared" si="86"/>
        <v>Low Risk</v>
      </c>
      <c r="K1822" s="3" t="str">
        <f t="shared" si="84"/>
        <v>2-4 Years</v>
      </c>
    </row>
    <row r="1823" spans="1:11" x14ac:dyDescent="0.3">
      <c r="A1823" t="s">
        <v>1840</v>
      </c>
      <c r="B1823" t="s">
        <v>14</v>
      </c>
      <c r="C1823" t="s">
        <v>10</v>
      </c>
      <c r="D1823" t="s">
        <v>11</v>
      </c>
      <c r="E1823">
        <v>90.65</v>
      </c>
      <c r="F1823">
        <v>65</v>
      </c>
      <c r="G1823">
        <v>5892.25</v>
      </c>
      <c r="H1823" t="s">
        <v>12</v>
      </c>
      <c r="I1823" t="str">
        <f t="shared" si="85"/>
        <v>High Value</v>
      </c>
      <c r="J1823" t="str">
        <f t="shared" si="86"/>
        <v>Low Risk</v>
      </c>
      <c r="K1823" s="3" t="str">
        <f t="shared" si="84"/>
        <v>4+ Years</v>
      </c>
    </row>
    <row r="1824" spans="1:11" x14ac:dyDescent="0.3">
      <c r="A1824" t="s">
        <v>1841</v>
      </c>
      <c r="B1824" t="s">
        <v>9</v>
      </c>
      <c r="C1824" t="s">
        <v>10</v>
      </c>
      <c r="D1824" t="s">
        <v>20</v>
      </c>
      <c r="E1824">
        <v>50.9</v>
      </c>
      <c r="F1824">
        <v>45</v>
      </c>
      <c r="G1824">
        <v>2290.5</v>
      </c>
      <c r="H1824" t="s">
        <v>12</v>
      </c>
      <c r="I1824" t="str">
        <f t="shared" si="85"/>
        <v>Medium Value</v>
      </c>
      <c r="J1824" t="str">
        <f t="shared" si="86"/>
        <v>Low Risk</v>
      </c>
      <c r="K1824" s="3" t="str">
        <f t="shared" si="84"/>
        <v>2-4 Years</v>
      </c>
    </row>
    <row r="1825" spans="1:11" x14ac:dyDescent="0.3">
      <c r="A1825" t="s">
        <v>1842</v>
      </c>
      <c r="B1825" t="s">
        <v>14</v>
      </c>
      <c r="C1825" t="s">
        <v>15</v>
      </c>
      <c r="D1825" t="s">
        <v>11</v>
      </c>
      <c r="E1825">
        <v>25.05</v>
      </c>
      <c r="F1825">
        <v>42</v>
      </c>
      <c r="G1825">
        <v>1052.0999999999999</v>
      </c>
      <c r="H1825" t="s">
        <v>12</v>
      </c>
      <c r="I1825" t="str">
        <f t="shared" si="85"/>
        <v>Low Value</v>
      </c>
      <c r="J1825" t="str">
        <f t="shared" si="86"/>
        <v>Low Risk</v>
      </c>
      <c r="K1825" s="3" t="str">
        <f t="shared" si="84"/>
        <v>2-4 Years</v>
      </c>
    </row>
    <row r="1826" spans="1:11" x14ac:dyDescent="0.3">
      <c r="A1826" t="s">
        <v>1843</v>
      </c>
      <c r="B1826" t="s">
        <v>14</v>
      </c>
      <c r="C1826" t="s">
        <v>10</v>
      </c>
      <c r="D1826" t="s">
        <v>11</v>
      </c>
      <c r="E1826">
        <v>74.849999999999994</v>
      </c>
      <c r="F1826">
        <v>8</v>
      </c>
      <c r="G1826">
        <v>598.79999999999995</v>
      </c>
      <c r="H1826" t="s">
        <v>12</v>
      </c>
      <c r="I1826" t="str">
        <f t="shared" si="85"/>
        <v>Low Value</v>
      </c>
      <c r="J1826" t="str">
        <f t="shared" si="86"/>
        <v>High Risk</v>
      </c>
      <c r="K1826" s="3" t="str">
        <f t="shared" si="84"/>
        <v>0-1 Year</v>
      </c>
    </row>
    <row r="1827" spans="1:11" x14ac:dyDescent="0.3">
      <c r="A1827" t="s">
        <v>1844</v>
      </c>
      <c r="B1827" t="s">
        <v>14</v>
      </c>
      <c r="C1827" t="s">
        <v>30</v>
      </c>
      <c r="D1827" t="s">
        <v>16</v>
      </c>
      <c r="E1827">
        <v>20.5</v>
      </c>
      <c r="F1827">
        <v>32</v>
      </c>
      <c r="G1827">
        <v>656</v>
      </c>
      <c r="H1827" t="s">
        <v>12</v>
      </c>
      <c r="I1827" t="str">
        <f t="shared" si="85"/>
        <v>Low Value</v>
      </c>
      <c r="J1827" t="str">
        <f t="shared" si="86"/>
        <v>Low Risk</v>
      </c>
      <c r="K1827" s="3" t="str">
        <f t="shared" si="84"/>
        <v>2-4 Years</v>
      </c>
    </row>
    <row r="1828" spans="1:11" x14ac:dyDescent="0.3">
      <c r="A1828" t="s">
        <v>1845</v>
      </c>
      <c r="B1828" t="s">
        <v>9</v>
      </c>
      <c r="C1828" t="s">
        <v>10</v>
      </c>
      <c r="D1828" t="s">
        <v>16</v>
      </c>
      <c r="E1828">
        <v>63.55</v>
      </c>
      <c r="F1828">
        <v>22</v>
      </c>
      <c r="G1828">
        <v>1398.1</v>
      </c>
      <c r="H1828" t="s">
        <v>12</v>
      </c>
      <c r="I1828" t="str">
        <f t="shared" si="85"/>
        <v>Low Value</v>
      </c>
      <c r="J1828" t="str">
        <f t="shared" si="86"/>
        <v>Medium Risk</v>
      </c>
      <c r="K1828" s="3" t="str">
        <f t="shared" si="84"/>
        <v>1-2 Years</v>
      </c>
    </row>
    <row r="1829" spans="1:11" x14ac:dyDescent="0.3">
      <c r="A1829" t="s">
        <v>1846</v>
      </c>
      <c r="B1829" t="s">
        <v>14</v>
      </c>
      <c r="C1829" t="s">
        <v>10</v>
      </c>
      <c r="D1829" t="s">
        <v>11</v>
      </c>
      <c r="E1829">
        <v>44.85</v>
      </c>
      <c r="F1829">
        <v>57</v>
      </c>
      <c r="G1829">
        <v>2556.4499999999998</v>
      </c>
      <c r="H1829" t="s">
        <v>18</v>
      </c>
      <c r="I1829" t="str">
        <f t="shared" si="85"/>
        <v>Medium Value</v>
      </c>
      <c r="J1829" t="str">
        <f t="shared" si="86"/>
        <v>Low Risk</v>
      </c>
      <c r="K1829" s="3" t="str">
        <f t="shared" si="84"/>
        <v>4+ Years</v>
      </c>
    </row>
    <row r="1830" spans="1:11" x14ac:dyDescent="0.3">
      <c r="A1830" t="s">
        <v>1847</v>
      </c>
      <c r="B1830" t="s">
        <v>14</v>
      </c>
      <c r="C1830" t="s">
        <v>10</v>
      </c>
      <c r="D1830" t="s">
        <v>11</v>
      </c>
      <c r="E1830">
        <v>47.95</v>
      </c>
      <c r="F1830">
        <v>1</v>
      </c>
      <c r="G1830">
        <v>47.95</v>
      </c>
      <c r="H1830" t="s">
        <v>12</v>
      </c>
      <c r="I1830" t="str">
        <f t="shared" si="85"/>
        <v>Low Value</v>
      </c>
      <c r="J1830" t="str">
        <f t="shared" si="86"/>
        <v>High Risk</v>
      </c>
      <c r="K1830" s="3" t="str">
        <f t="shared" si="84"/>
        <v>0-1 Year</v>
      </c>
    </row>
    <row r="1831" spans="1:11" x14ac:dyDescent="0.3">
      <c r="A1831" t="s">
        <v>1848</v>
      </c>
      <c r="B1831" t="s">
        <v>14</v>
      </c>
      <c r="C1831" t="s">
        <v>10</v>
      </c>
      <c r="D1831" t="s">
        <v>11</v>
      </c>
      <c r="E1831">
        <v>45.1</v>
      </c>
      <c r="F1831">
        <v>1</v>
      </c>
      <c r="G1831">
        <v>45.1</v>
      </c>
      <c r="H1831" t="s">
        <v>18</v>
      </c>
      <c r="I1831" t="str">
        <f t="shared" si="85"/>
        <v>Low Value</v>
      </c>
      <c r="J1831" t="str">
        <f t="shared" si="86"/>
        <v>High Risk</v>
      </c>
      <c r="K1831" s="3" t="str">
        <f t="shared" si="84"/>
        <v>0-1 Year</v>
      </c>
    </row>
    <row r="1832" spans="1:11" x14ac:dyDescent="0.3">
      <c r="A1832" t="s">
        <v>1849</v>
      </c>
      <c r="B1832" t="s">
        <v>9</v>
      </c>
      <c r="C1832" t="s">
        <v>10</v>
      </c>
      <c r="D1832" t="s">
        <v>11</v>
      </c>
      <c r="E1832">
        <v>45</v>
      </c>
      <c r="F1832">
        <v>1</v>
      </c>
      <c r="G1832">
        <v>45</v>
      </c>
      <c r="H1832" t="s">
        <v>12</v>
      </c>
      <c r="I1832" t="str">
        <f t="shared" si="85"/>
        <v>Low Value</v>
      </c>
      <c r="J1832" t="str">
        <f t="shared" si="86"/>
        <v>High Risk</v>
      </c>
      <c r="K1832" s="3" t="str">
        <f t="shared" si="84"/>
        <v>0-1 Year</v>
      </c>
    </row>
    <row r="1833" spans="1:11" x14ac:dyDescent="0.3">
      <c r="A1833" t="s">
        <v>1850</v>
      </c>
      <c r="B1833" t="s">
        <v>14</v>
      </c>
      <c r="C1833" t="s">
        <v>10</v>
      </c>
      <c r="D1833" t="s">
        <v>11</v>
      </c>
      <c r="E1833">
        <v>96</v>
      </c>
      <c r="F1833">
        <v>24</v>
      </c>
      <c r="G1833">
        <v>2304</v>
      </c>
      <c r="H1833" t="s">
        <v>18</v>
      </c>
      <c r="I1833" t="str">
        <f t="shared" si="85"/>
        <v>Medium Value</v>
      </c>
      <c r="J1833" t="str">
        <f t="shared" si="86"/>
        <v>Low Risk</v>
      </c>
      <c r="K1833" s="3" t="str">
        <f t="shared" si="84"/>
        <v>1-2 Years</v>
      </c>
    </row>
    <row r="1834" spans="1:11" x14ac:dyDescent="0.3">
      <c r="A1834" t="s">
        <v>1851</v>
      </c>
      <c r="B1834" t="s">
        <v>14</v>
      </c>
      <c r="C1834" t="s">
        <v>10</v>
      </c>
      <c r="D1834" t="s">
        <v>20</v>
      </c>
      <c r="E1834">
        <v>20.05</v>
      </c>
      <c r="F1834">
        <v>1</v>
      </c>
      <c r="G1834">
        <v>20.05</v>
      </c>
      <c r="H1834" t="s">
        <v>18</v>
      </c>
      <c r="I1834" t="str">
        <f t="shared" si="85"/>
        <v>Low Value</v>
      </c>
      <c r="J1834" t="str">
        <f t="shared" si="86"/>
        <v>High Risk</v>
      </c>
      <c r="K1834" s="3" t="str">
        <f t="shared" si="84"/>
        <v>0-1 Year</v>
      </c>
    </row>
    <row r="1835" spans="1:11" x14ac:dyDescent="0.3">
      <c r="A1835" t="s">
        <v>1852</v>
      </c>
      <c r="B1835" t="s">
        <v>14</v>
      </c>
      <c r="C1835" t="s">
        <v>10</v>
      </c>
      <c r="D1835" t="s">
        <v>11</v>
      </c>
      <c r="E1835">
        <v>90.05</v>
      </c>
      <c r="F1835">
        <v>54</v>
      </c>
      <c r="G1835">
        <v>4862.7</v>
      </c>
      <c r="H1835" t="s">
        <v>12</v>
      </c>
      <c r="I1835" t="str">
        <f t="shared" si="85"/>
        <v>Medium Value</v>
      </c>
      <c r="J1835" t="str">
        <f t="shared" si="86"/>
        <v>Low Risk</v>
      </c>
      <c r="K1835" s="3" t="str">
        <f t="shared" si="84"/>
        <v>4+ Years</v>
      </c>
    </row>
    <row r="1836" spans="1:11" x14ac:dyDescent="0.3">
      <c r="A1836" t="s">
        <v>1853</v>
      </c>
      <c r="B1836" t="s">
        <v>9</v>
      </c>
      <c r="C1836" t="s">
        <v>30</v>
      </c>
      <c r="D1836" t="s">
        <v>24</v>
      </c>
      <c r="E1836">
        <v>25.3</v>
      </c>
      <c r="F1836">
        <v>4</v>
      </c>
      <c r="G1836">
        <v>101.2</v>
      </c>
      <c r="H1836" t="s">
        <v>12</v>
      </c>
      <c r="I1836" t="str">
        <f t="shared" si="85"/>
        <v>Low Value</v>
      </c>
      <c r="J1836" t="str">
        <f t="shared" si="86"/>
        <v>High Risk</v>
      </c>
      <c r="K1836" s="3" t="str">
        <f t="shared" si="84"/>
        <v>0-1 Year</v>
      </c>
    </row>
    <row r="1837" spans="1:11" x14ac:dyDescent="0.3">
      <c r="A1837" t="s">
        <v>1854</v>
      </c>
      <c r="B1837" t="s">
        <v>14</v>
      </c>
      <c r="C1837" t="s">
        <v>30</v>
      </c>
      <c r="D1837" t="s">
        <v>20</v>
      </c>
      <c r="E1837">
        <v>108.65</v>
      </c>
      <c r="F1837">
        <v>65</v>
      </c>
      <c r="G1837">
        <v>7062.25</v>
      </c>
      <c r="H1837" t="s">
        <v>18</v>
      </c>
      <c r="I1837" t="str">
        <f t="shared" si="85"/>
        <v>High Value</v>
      </c>
      <c r="J1837" t="str">
        <f t="shared" si="86"/>
        <v>Low Risk</v>
      </c>
      <c r="K1837" s="3" t="str">
        <f t="shared" si="84"/>
        <v>4+ Years</v>
      </c>
    </row>
    <row r="1838" spans="1:11" x14ac:dyDescent="0.3">
      <c r="A1838" t="s">
        <v>1855</v>
      </c>
      <c r="B1838" t="s">
        <v>9</v>
      </c>
      <c r="C1838" t="s">
        <v>15</v>
      </c>
      <c r="D1838" t="s">
        <v>11</v>
      </c>
      <c r="E1838">
        <v>24.3</v>
      </c>
      <c r="F1838">
        <v>56</v>
      </c>
      <c r="G1838">
        <v>1360.8</v>
      </c>
      <c r="H1838" t="s">
        <v>12</v>
      </c>
      <c r="I1838" t="str">
        <f t="shared" si="85"/>
        <v>Low Value</v>
      </c>
      <c r="J1838" t="str">
        <f t="shared" si="86"/>
        <v>Low Risk</v>
      </c>
      <c r="K1838" s="3" t="str">
        <f t="shared" si="84"/>
        <v>4+ Years</v>
      </c>
    </row>
    <row r="1839" spans="1:11" x14ac:dyDescent="0.3">
      <c r="A1839" t="s">
        <v>1856</v>
      </c>
      <c r="B1839" t="s">
        <v>14</v>
      </c>
      <c r="C1839" t="s">
        <v>10</v>
      </c>
      <c r="D1839" t="s">
        <v>11</v>
      </c>
      <c r="E1839">
        <v>75.95</v>
      </c>
      <c r="F1839">
        <v>45</v>
      </c>
      <c r="G1839">
        <v>3417.75</v>
      </c>
      <c r="H1839" t="s">
        <v>12</v>
      </c>
      <c r="I1839" t="str">
        <f t="shared" si="85"/>
        <v>Medium Value</v>
      </c>
      <c r="J1839" t="str">
        <f t="shared" si="86"/>
        <v>Low Risk</v>
      </c>
      <c r="K1839" s="3" t="str">
        <f t="shared" si="84"/>
        <v>2-4 Years</v>
      </c>
    </row>
    <row r="1840" spans="1:11" x14ac:dyDescent="0.3">
      <c r="A1840" t="s">
        <v>1857</v>
      </c>
      <c r="B1840" t="s">
        <v>9</v>
      </c>
      <c r="C1840" t="s">
        <v>30</v>
      </c>
      <c r="D1840" t="s">
        <v>24</v>
      </c>
      <c r="E1840">
        <v>19.7</v>
      </c>
      <c r="F1840">
        <v>71</v>
      </c>
      <c r="G1840">
        <v>1398.7</v>
      </c>
      <c r="H1840" t="s">
        <v>12</v>
      </c>
      <c r="I1840" t="str">
        <f t="shared" si="85"/>
        <v>Low Value</v>
      </c>
      <c r="J1840" t="str">
        <f t="shared" si="86"/>
        <v>Low Risk</v>
      </c>
      <c r="K1840" s="3" t="str">
        <f t="shared" si="84"/>
        <v>4+ Years</v>
      </c>
    </row>
    <row r="1841" spans="1:11" x14ac:dyDescent="0.3">
      <c r="A1841" t="s">
        <v>1858</v>
      </c>
      <c r="B1841" t="s">
        <v>14</v>
      </c>
      <c r="C1841" t="s">
        <v>15</v>
      </c>
      <c r="D1841" t="s">
        <v>24</v>
      </c>
      <c r="E1841">
        <v>66.400000000000006</v>
      </c>
      <c r="F1841">
        <v>59</v>
      </c>
      <c r="G1841">
        <v>3917.6</v>
      </c>
      <c r="H1841" t="s">
        <v>12</v>
      </c>
      <c r="I1841" t="str">
        <f t="shared" si="85"/>
        <v>Medium Value</v>
      </c>
      <c r="J1841" t="str">
        <f t="shared" si="86"/>
        <v>Low Risk</v>
      </c>
      <c r="K1841" s="3" t="str">
        <f t="shared" si="84"/>
        <v>4+ Years</v>
      </c>
    </row>
    <row r="1842" spans="1:11" x14ac:dyDescent="0.3">
      <c r="A1842" t="s">
        <v>1859</v>
      </c>
      <c r="B1842" t="s">
        <v>14</v>
      </c>
      <c r="C1842" t="s">
        <v>15</v>
      </c>
      <c r="D1842" t="s">
        <v>20</v>
      </c>
      <c r="E1842">
        <v>35.75</v>
      </c>
      <c r="F1842">
        <v>69</v>
      </c>
      <c r="G1842">
        <v>2466.75</v>
      </c>
      <c r="H1842" t="s">
        <v>12</v>
      </c>
      <c r="I1842" t="str">
        <f t="shared" si="85"/>
        <v>Medium Value</v>
      </c>
      <c r="J1842" t="str">
        <f t="shared" si="86"/>
        <v>Low Risk</v>
      </c>
      <c r="K1842" s="3" t="str">
        <f t="shared" si="84"/>
        <v>4+ Years</v>
      </c>
    </row>
    <row r="1843" spans="1:11" x14ac:dyDescent="0.3">
      <c r="A1843" t="s">
        <v>1860</v>
      </c>
      <c r="B1843" t="s">
        <v>14</v>
      </c>
      <c r="C1843" t="s">
        <v>15</v>
      </c>
      <c r="D1843" t="s">
        <v>16</v>
      </c>
      <c r="E1843">
        <v>18.8</v>
      </c>
      <c r="F1843">
        <v>19</v>
      </c>
      <c r="G1843">
        <v>357.2</v>
      </c>
      <c r="H1843" t="s">
        <v>12</v>
      </c>
      <c r="I1843" t="str">
        <f t="shared" si="85"/>
        <v>Low Value</v>
      </c>
      <c r="J1843" t="str">
        <f t="shared" si="86"/>
        <v>Medium Risk</v>
      </c>
      <c r="K1843" s="3" t="str">
        <f t="shared" si="84"/>
        <v>1-2 Years</v>
      </c>
    </row>
    <row r="1844" spans="1:11" x14ac:dyDescent="0.3">
      <c r="A1844" t="s">
        <v>1861</v>
      </c>
      <c r="B1844" t="s">
        <v>9</v>
      </c>
      <c r="C1844" t="s">
        <v>30</v>
      </c>
      <c r="D1844" t="s">
        <v>24</v>
      </c>
      <c r="E1844">
        <v>19.399999999999999</v>
      </c>
      <c r="F1844">
        <v>55</v>
      </c>
      <c r="G1844">
        <v>1067</v>
      </c>
      <c r="H1844" t="s">
        <v>12</v>
      </c>
      <c r="I1844" t="str">
        <f t="shared" si="85"/>
        <v>Low Value</v>
      </c>
      <c r="J1844" t="str">
        <f t="shared" si="86"/>
        <v>Low Risk</v>
      </c>
      <c r="K1844" s="3" t="str">
        <f t="shared" si="84"/>
        <v>4+ Years</v>
      </c>
    </row>
    <row r="1845" spans="1:11" x14ac:dyDescent="0.3">
      <c r="A1845" t="s">
        <v>1862</v>
      </c>
      <c r="B1845" t="s">
        <v>9</v>
      </c>
      <c r="C1845" t="s">
        <v>15</v>
      </c>
      <c r="D1845" t="s">
        <v>16</v>
      </c>
      <c r="E1845">
        <v>19.3</v>
      </c>
      <c r="F1845">
        <v>38</v>
      </c>
      <c r="G1845">
        <v>733.4</v>
      </c>
      <c r="H1845" t="s">
        <v>12</v>
      </c>
      <c r="I1845" t="str">
        <f t="shared" si="85"/>
        <v>Low Value</v>
      </c>
      <c r="J1845" t="str">
        <f t="shared" si="86"/>
        <v>Low Risk</v>
      </c>
      <c r="K1845" s="3" t="str">
        <f t="shared" si="84"/>
        <v>2-4 Years</v>
      </c>
    </row>
    <row r="1846" spans="1:11" x14ac:dyDescent="0.3">
      <c r="A1846" t="s">
        <v>1863</v>
      </c>
      <c r="B1846" t="s">
        <v>14</v>
      </c>
      <c r="C1846" t="s">
        <v>10</v>
      </c>
      <c r="D1846" t="s">
        <v>11</v>
      </c>
      <c r="E1846">
        <v>45.55</v>
      </c>
      <c r="F1846">
        <v>10</v>
      </c>
      <c r="G1846">
        <v>455.5</v>
      </c>
      <c r="H1846" t="s">
        <v>18</v>
      </c>
      <c r="I1846" t="str">
        <f t="shared" si="85"/>
        <v>Low Value</v>
      </c>
      <c r="J1846" t="str">
        <f t="shared" si="86"/>
        <v>High Risk</v>
      </c>
      <c r="K1846" s="3" t="str">
        <f t="shared" si="84"/>
        <v>0-1 Year</v>
      </c>
    </row>
    <row r="1847" spans="1:11" x14ac:dyDescent="0.3">
      <c r="A1847" t="s">
        <v>1864</v>
      </c>
      <c r="B1847" t="s">
        <v>9</v>
      </c>
      <c r="C1847" t="s">
        <v>10</v>
      </c>
      <c r="D1847" t="s">
        <v>24</v>
      </c>
      <c r="E1847">
        <v>67.45</v>
      </c>
      <c r="F1847">
        <v>47</v>
      </c>
      <c r="G1847">
        <v>3170.15</v>
      </c>
      <c r="H1847" t="s">
        <v>12</v>
      </c>
      <c r="I1847" t="str">
        <f t="shared" si="85"/>
        <v>Medium Value</v>
      </c>
      <c r="J1847" t="str">
        <f t="shared" si="86"/>
        <v>Low Risk</v>
      </c>
      <c r="K1847" s="3" t="str">
        <f t="shared" si="84"/>
        <v>2-4 Years</v>
      </c>
    </row>
    <row r="1848" spans="1:11" x14ac:dyDescent="0.3">
      <c r="A1848" t="s">
        <v>1865</v>
      </c>
      <c r="B1848" t="s">
        <v>9</v>
      </c>
      <c r="C1848" t="s">
        <v>10</v>
      </c>
      <c r="D1848" t="s">
        <v>11</v>
      </c>
      <c r="E1848">
        <v>35.1</v>
      </c>
      <c r="F1848">
        <v>2</v>
      </c>
      <c r="G1848">
        <v>70.2</v>
      </c>
      <c r="H1848" t="s">
        <v>18</v>
      </c>
      <c r="I1848" t="str">
        <f t="shared" si="85"/>
        <v>Low Value</v>
      </c>
      <c r="J1848" t="str">
        <f t="shared" si="86"/>
        <v>High Risk</v>
      </c>
      <c r="K1848" s="3" t="str">
        <f t="shared" si="84"/>
        <v>0-1 Year</v>
      </c>
    </row>
    <row r="1849" spans="1:11" x14ac:dyDescent="0.3">
      <c r="A1849" t="s">
        <v>1866</v>
      </c>
      <c r="B1849" t="s">
        <v>14</v>
      </c>
      <c r="C1849" t="s">
        <v>10</v>
      </c>
      <c r="D1849" t="s">
        <v>24</v>
      </c>
      <c r="E1849">
        <v>46.2</v>
      </c>
      <c r="F1849">
        <v>1</v>
      </c>
      <c r="G1849">
        <v>46.2</v>
      </c>
      <c r="H1849" t="s">
        <v>18</v>
      </c>
      <c r="I1849" t="str">
        <f t="shared" si="85"/>
        <v>Low Value</v>
      </c>
      <c r="J1849" t="str">
        <f t="shared" si="86"/>
        <v>High Risk</v>
      </c>
      <c r="K1849" s="3" t="str">
        <f t="shared" si="84"/>
        <v>0-1 Year</v>
      </c>
    </row>
    <row r="1850" spans="1:11" x14ac:dyDescent="0.3">
      <c r="A1850" t="s">
        <v>1867</v>
      </c>
      <c r="B1850" t="s">
        <v>9</v>
      </c>
      <c r="C1850" t="s">
        <v>10</v>
      </c>
      <c r="D1850" t="s">
        <v>11</v>
      </c>
      <c r="E1850">
        <v>45.15</v>
      </c>
      <c r="F1850">
        <v>1</v>
      </c>
      <c r="G1850">
        <v>45.15</v>
      </c>
      <c r="H1850" t="s">
        <v>18</v>
      </c>
      <c r="I1850" t="str">
        <f t="shared" si="85"/>
        <v>Low Value</v>
      </c>
      <c r="J1850" t="str">
        <f t="shared" si="86"/>
        <v>High Risk</v>
      </c>
      <c r="K1850" s="3" t="str">
        <f t="shared" si="84"/>
        <v>0-1 Year</v>
      </c>
    </row>
    <row r="1851" spans="1:11" x14ac:dyDescent="0.3">
      <c r="A1851" t="s">
        <v>1868</v>
      </c>
      <c r="B1851" t="s">
        <v>14</v>
      </c>
      <c r="C1851" t="s">
        <v>10</v>
      </c>
      <c r="D1851" t="s">
        <v>11</v>
      </c>
      <c r="E1851">
        <v>43.3</v>
      </c>
      <c r="F1851">
        <v>1</v>
      </c>
      <c r="G1851">
        <v>43.3</v>
      </c>
      <c r="H1851" t="s">
        <v>18</v>
      </c>
      <c r="I1851" t="str">
        <f t="shared" si="85"/>
        <v>Low Value</v>
      </c>
      <c r="J1851" t="str">
        <f t="shared" si="86"/>
        <v>High Risk</v>
      </c>
      <c r="K1851" s="3" t="str">
        <f t="shared" si="84"/>
        <v>0-1 Year</v>
      </c>
    </row>
    <row r="1852" spans="1:11" x14ac:dyDescent="0.3">
      <c r="A1852" t="s">
        <v>1869</v>
      </c>
      <c r="B1852" t="s">
        <v>14</v>
      </c>
      <c r="C1852" t="s">
        <v>30</v>
      </c>
      <c r="D1852" t="s">
        <v>16</v>
      </c>
      <c r="E1852">
        <v>20.100000000000001</v>
      </c>
      <c r="F1852">
        <v>46</v>
      </c>
      <c r="G1852">
        <v>924.6</v>
      </c>
      <c r="H1852" t="s">
        <v>12</v>
      </c>
      <c r="I1852" t="str">
        <f t="shared" si="85"/>
        <v>Low Value</v>
      </c>
      <c r="J1852" t="str">
        <f t="shared" si="86"/>
        <v>Low Risk</v>
      </c>
      <c r="K1852" s="3" t="str">
        <f t="shared" si="84"/>
        <v>2-4 Years</v>
      </c>
    </row>
    <row r="1853" spans="1:11" x14ac:dyDescent="0.3">
      <c r="A1853" t="s">
        <v>1870</v>
      </c>
      <c r="B1853" t="s">
        <v>9</v>
      </c>
      <c r="C1853" t="s">
        <v>10</v>
      </c>
      <c r="D1853" t="s">
        <v>24</v>
      </c>
      <c r="E1853">
        <v>57.15</v>
      </c>
      <c r="F1853">
        <v>38</v>
      </c>
      <c r="G1853">
        <v>2171.6999999999998</v>
      </c>
      <c r="H1853" t="s">
        <v>18</v>
      </c>
      <c r="I1853" t="str">
        <f t="shared" si="85"/>
        <v>Medium Value</v>
      </c>
      <c r="J1853" t="str">
        <f t="shared" si="86"/>
        <v>Low Risk</v>
      </c>
      <c r="K1853" s="3" t="str">
        <f t="shared" si="84"/>
        <v>2-4 Years</v>
      </c>
    </row>
    <row r="1854" spans="1:11" x14ac:dyDescent="0.3">
      <c r="A1854" t="s">
        <v>1871</v>
      </c>
      <c r="B1854" t="s">
        <v>9</v>
      </c>
      <c r="C1854" t="s">
        <v>30</v>
      </c>
      <c r="D1854" t="s">
        <v>24</v>
      </c>
      <c r="E1854">
        <v>58.9</v>
      </c>
      <c r="F1854">
        <v>65</v>
      </c>
      <c r="G1854">
        <v>3828.5</v>
      </c>
      <c r="H1854" t="s">
        <v>12</v>
      </c>
      <c r="I1854" t="str">
        <f t="shared" si="85"/>
        <v>Medium Value</v>
      </c>
      <c r="J1854" t="str">
        <f t="shared" si="86"/>
        <v>Low Risk</v>
      </c>
      <c r="K1854" s="3" t="str">
        <f t="shared" si="84"/>
        <v>4+ Years</v>
      </c>
    </row>
    <row r="1855" spans="1:11" x14ac:dyDescent="0.3">
      <c r="A1855" t="s">
        <v>1872</v>
      </c>
      <c r="B1855" t="s">
        <v>9</v>
      </c>
      <c r="C1855" t="s">
        <v>10</v>
      </c>
      <c r="D1855" t="s">
        <v>11</v>
      </c>
      <c r="E1855">
        <v>73.2</v>
      </c>
      <c r="F1855">
        <v>19</v>
      </c>
      <c r="G1855">
        <v>1390.8</v>
      </c>
      <c r="H1855" t="s">
        <v>18</v>
      </c>
      <c r="I1855" t="str">
        <f t="shared" si="85"/>
        <v>Low Value</v>
      </c>
      <c r="J1855" t="str">
        <f t="shared" si="86"/>
        <v>Medium Risk</v>
      </c>
      <c r="K1855" s="3" t="str">
        <f t="shared" si="84"/>
        <v>1-2 Years</v>
      </c>
    </row>
    <row r="1856" spans="1:11" x14ac:dyDescent="0.3">
      <c r="A1856" t="s">
        <v>1873</v>
      </c>
      <c r="B1856" t="s">
        <v>14</v>
      </c>
      <c r="C1856" t="s">
        <v>10</v>
      </c>
      <c r="D1856" t="s">
        <v>11</v>
      </c>
      <c r="E1856">
        <v>85.35</v>
      </c>
      <c r="F1856">
        <v>52</v>
      </c>
      <c r="G1856">
        <v>4438.2</v>
      </c>
      <c r="H1856" t="s">
        <v>18</v>
      </c>
      <c r="I1856" t="str">
        <f t="shared" si="85"/>
        <v>Medium Value</v>
      </c>
      <c r="J1856" t="str">
        <f t="shared" si="86"/>
        <v>Low Risk</v>
      </c>
      <c r="K1856" s="3" t="str">
        <f t="shared" si="84"/>
        <v>4+ Years</v>
      </c>
    </row>
    <row r="1857" spans="1:11" x14ac:dyDescent="0.3">
      <c r="A1857" t="s">
        <v>1874</v>
      </c>
      <c r="B1857" t="s">
        <v>14</v>
      </c>
      <c r="C1857" t="s">
        <v>30</v>
      </c>
      <c r="D1857" t="s">
        <v>16</v>
      </c>
      <c r="E1857">
        <v>19.45</v>
      </c>
      <c r="F1857">
        <v>71</v>
      </c>
      <c r="G1857">
        <v>1380.95</v>
      </c>
      <c r="H1857" t="s">
        <v>12</v>
      </c>
      <c r="I1857" t="str">
        <f t="shared" si="85"/>
        <v>Low Value</v>
      </c>
      <c r="J1857" t="str">
        <f t="shared" si="86"/>
        <v>Low Risk</v>
      </c>
      <c r="K1857" s="3" t="str">
        <f t="shared" si="84"/>
        <v>4+ Years</v>
      </c>
    </row>
    <row r="1858" spans="1:11" x14ac:dyDescent="0.3">
      <c r="A1858" t="s">
        <v>1875</v>
      </c>
      <c r="B1858" t="s">
        <v>9</v>
      </c>
      <c r="C1858" t="s">
        <v>10</v>
      </c>
      <c r="D1858" t="s">
        <v>16</v>
      </c>
      <c r="E1858">
        <v>45.95</v>
      </c>
      <c r="F1858">
        <v>1</v>
      </c>
      <c r="G1858">
        <v>45.95</v>
      </c>
      <c r="H1858" t="s">
        <v>18</v>
      </c>
      <c r="I1858" t="str">
        <f t="shared" si="85"/>
        <v>Low Value</v>
      </c>
      <c r="J1858" t="str">
        <f t="shared" si="86"/>
        <v>High Risk</v>
      </c>
      <c r="K1858" s="3" t="str">
        <f t="shared" si="84"/>
        <v>0-1 Year</v>
      </c>
    </row>
    <row r="1859" spans="1:11" x14ac:dyDescent="0.3">
      <c r="A1859" t="s">
        <v>1876</v>
      </c>
      <c r="B1859" t="s">
        <v>9</v>
      </c>
      <c r="C1859" t="s">
        <v>10</v>
      </c>
      <c r="D1859" t="s">
        <v>11</v>
      </c>
      <c r="E1859">
        <v>50.5</v>
      </c>
      <c r="F1859">
        <v>52</v>
      </c>
      <c r="G1859">
        <v>2626</v>
      </c>
      <c r="H1859" t="s">
        <v>12</v>
      </c>
      <c r="I1859" t="str">
        <f t="shared" si="85"/>
        <v>Medium Value</v>
      </c>
      <c r="J1859" t="str">
        <f t="shared" si="86"/>
        <v>Low Risk</v>
      </c>
      <c r="K1859" s="3" t="str">
        <f t="shared" ref="K1859:K1922" si="87">IF(F1859&lt;=12,"0-1 Year",
IF(F1859&lt;=24,"1-2 Years",
IF(F1859&lt;=48,"2-4 Years","4+ Years")))</f>
        <v>4+ Years</v>
      </c>
    </row>
    <row r="1860" spans="1:11" x14ac:dyDescent="0.3">
      <c r="A1860" t="s">
        <v>1877</v>
      </c>
      <c r="B1860" t="s">
        <v>14</v>
      </c>
      <c r="C1860" t="s">
        <v>15</v>
      </c>
      <c r="D1860" t="s">
        <v>16</v>
      </c>
      <c r="E1860">
        <v>25.1</v>
      </c>
      <c r="F1860">
        <v>6</v>
      </c>
      <c r="G1860">
        <v>150.6</v>
      </c>
      <c r="H1860" t="s">
        <v>12</v>
      </c>
      <c r="I1860" t="str">
        <f t="shared" ref="I1860:I1923" si="88">IF(G1860&gt;5000,"High Value",
IF(G1860&gt;2000,"Medium Value","Low Value"))</f>
        <v>Low Value</v>
      </c>
      <c r="J1860" t="str">
        <f t="shared" ref="J1860:J1923" si="89">IF(F1860&lt;12,"High Risk",
IF(F1860&lt;24,"Medium Risk","Low Risk"))</f>
        <v>High Risk</v>
      </c>
      <c r="K1860" s="3" t="str">
        <f t="shared" si="87"/>
        <v>0-1 Year</v>
      </c>
    </row>
    <row r="1861" spans="1:11" x14ac:dyDescent="0.3">
      <c r="A1861" t="s">
        <v>1878</v>
      </c>
      <c r="B1861" t="s">
        <v>9</v>
      </c>
      <c r="C1861" t="s">
        <v>15</v>
      </c>
      <c r="D1861" t="s">
        <v>16</v>
      </c>
      <c r="E1861">
        <v>60.7</v>
      </c>
      <c r="F1861">
        <v>26</v>
      </c>
      <c r="G1861">
        <v>1578.2</v>
      </c>
      <c r="H1861" t="s">
        <v>12</v>
      </c>
      <c r="I1861" t="str">
        <f t="shared" si="88"/>
        <v>Low Value</v>
      </c>
      <c r="J1861" t="str">
        <f t="shared" si="89"/>
        <v>Low Risk</v>
      </c>
      <c r="K1861" s="3" t="str">
        <f t="shared" si="87"/>
        <v>2-4 Years</v>
      </c>
    </row>
    <row r="1862" spans="1:11" x14ac:dyDescent="0.3">
      <c r="A1862" t="s">
        <v>1879</v>
      </c>
      <c r="B1862" t="s">
        <v>14</v>
      </c>
      <c r="C1862" t="s">
        <v>15</v>
      </c>
      <c r="D1862" t="s">
        <v>11</v>
      </c>
      <c r="E1862">
        <v>99</v>
      </c>
      <c r="F1862">
        <v>48</v>
      </c>
      <c r="G1862">
        <v>4752</v>
      </c>
      <c r="H1862" t="s">
        <v>12</v>
      </c>
      <c r="I1862" t="str">
        <f t="shared" si="88"/>
        <v>Medium Value</v>
      </c>
      <c r="J1862" t="str">
        <f t="shared" si="89"/>
        <v>Low Risk</v>
      </c>
      <c r="K1862" s="3" t="str">
        <f t="shared" si="87"/>
        <v>2-4 Years</v>
      </c>
    </row>
    <row r="1863" spans="1:11" x14ac:dyDescent="0.3">
      <c r="A1863" t="s">
        <v>1880</v>
      </c>
      <c r="B1863" t="s">
        <v>9</v>
      </c>
      <c r="C1863" t="s">
        <v>15</v>
      </c>
      <c r="D1863" t="s">
        <v>20</v>
      </c>
      <c r="E1863">
        <v>104.4</v>
      </c>
      <c r="F1863">
        <v>64</v>
      </c>
      <c r="G1863">
        <v>6681.6</v>
      </c>
      <c r="H1863" t="s">
        <v>12</v>
      </c>
      <c r="I1863" t="str">
        <f t="shared" si="88"/>
        <v>High Value</v>
      </c>
      <c r="J1863" t="str">
        <f t="shared" si="89"/>
        <v>Low Risk</v>
      </c>
      <c r="K1863" s="3" t="str">
        <f t="shared" si="87"/>
        <v>4+ Years</v>
      </c>
    </row>
    <row r="1864" spans="1:11" x14ac:dyDescent="0.3">
      <c r="A1864" t="s">
        <v>1881</v>
      </c>
      <c r="B1864" t="s">
        <v>9</v>
      </c>
      <c r="C1864" t="s">
        <v>10</v>
      </c>
      <c r="D1864" t="s">
        <v>11</v>
      </c>
      <c r="E1864">
        <v>83.75</v>
      </c>
      <c r="F1864">
        <v>3</v>
      </c>
      <c r="G1864">
        <v>251.25</v>
      </c>
      <c r="H1864" t="s">
        <v>18</v>
      </c>
      <c r="I1864" t="str">
        <f t="shared" si="88"/>
        <v>Low Value</v>
      </c>
      <c r="J1864" t="str">
        <f t="shared" si="89"/>
        <v>High Risk</v>
      </c>
      <c r="K1864" s="3" t="str">
        <f t="shared" si="87"/>
        <v>0-1 Year</v>
      </c>
    </row>
    <row r="1865" spans="1:11" x14ac:dyDescent="0.3">
      <c r="A1865" t="s">
        <v>1882</v>
      </c>
      <c r="B1865" t="s">
        <v>14</v>
      </c>
      <c r="C1865" t="s">
        <v>10</v>
      </c>
      <c r="D1865" t="s">
        <v>20</v>
      </c>
      <c r="E1865">
        <v>44.05</v>
      </c>
      <c r="F1865">
        <v>1</v>
      </c>
      <c r="G1865">
        <v>44.05</v>
      </c>
      <c r="H1865" t="s">
        <v>12</v>
      </c>
      <c r="I1865" t="str">
        <f t="shared" si="88"/>
        <v>Low Value</v>
      </c>
      <c r="J1865" t="str">
        <f t="shared" si="89"/>
        <v>High Risk</v>
      </c>
      <c r="K1865" s="3" t="str">
        <f t="shared" si="87"/>
        <v>0-1 Year</v>
      </c>
    </row>
    <row r="1866" spans="1:11" x14ac:dyDescent="0.3">
      <c r="A1866" t="s">
        <v>1883</v>
      </c>
      <c r="B1866" t="s">
        <v>14</v>
      </c>
      <c r="C1866" t="s">
        <v>30</v>
      </c>
      <c r="D1866" t="s">
        <v>24</v>
      </c>
      <c r="E1866">
        <v>24.1</v>
      </c>
      <c r="F1866">
        <v>72</v>
      </c>
      <c r="G1866">
        <v>1735.2</v>
      </c>
      <c r="H1866" t="s">
        <v>12</v>
      </c>
      <c r="I1866" t="str">
        <f t="shared" si="88"/>
        <v>Low Value</v>
      </c>
      <c r="J1866" t="str">
        <f t="shared" si="89"/>
        <v>Low Risk</v>
      </c>
      <c r="K1866" s="3" t="str">
        <f t="shared" si="87"/>
        <v>4+ Years</v>
      </c>
    </row>
    <row r="1867" spans="1:11" x14ac:dyDescent="0.3">
      <c r="A1867" t="s">
        <v>1884</v>
      </c>
      <c r="B1867" t="s">
        <v>14</v>
      </c>
      <c r="C1867" t="s">
        <v>10</v>
      </c>
      <c r="D1867" t="s">
        <v>16</v>
      </c>
      <c r="E1867">
        <v>45.55</v>
      </c>
      <c r="F1867">
        <v>1</v>
      </c>
      <c r="G1867">
        <v>45.55</v>
      </c>
      <c r="H1867" t="s">
        <v>12</v>
      </c>
      <c r="I1867" t="str">
        <f t="shared" si="88"/>
        <v>Low Value</v>
      </c>
      <c r="J1867" t="str">
        <f t="shared" si="89"/>
        <v>High Risk</v>
      </c>
      <c r="K1867" s="3" t="str">
        <f t="shared" si="87"/>
        <v>0-1 Year</v>
      </c>
    </row>
    <row r="1868" spans="1:11" x14ac:dyDescent="0.3">
      <c r="A1868" t="s">
        <v>1885</v>
      </c>
      <c r="B1868" t="s">
        <v>9</v>
      </c>
      <c r="C1868" t="s">
        <v>10</v>
      </c>
      <c r="D1868" t="s">
        <v>11</v>
      </c>
      <c r="E1868">
        <v>93.8</v>
      </c>
      <c r="F1868">
        <v>51</v>
      </c>
      <c r="G1868">
        <v>4783.8</v>
      </c>
      <c r="H1868" t="s">
        <v>12</v>
      </c>
      <c r="I1868" t="str">
        <f t="shared" si="88"/>
        <v>Medium Value</v>
      </c>
      <c r="J1868" t="str">
        <f t="shared" si="89"/>
        <v>Low Risk</v>
      </c>
      <c r="K1868" s="3" t="str">
        <f t="shared" si="87"/>
        <v>4+ Years</v>
      </c>
    </row>
    <row r="1869" spans="1:11" x14ac:dyDescent="0.3">
      <c r="A1869" t="s">
        <v>1886</v>
      </c>
      <c r="B1869" t="s">
        <v>9</v>
      </c>
      <c r="C1869" t="s">
        <v>30</v>
      </c>
      <c r="D1869" t="s">
        <v>20</v>
      </c>
      <c r="E1869">
        <v>19.7</v>
      </c>
      <c r="F1869">
        <v>41</v>
      </c>
      <c r="G1869">
        <v>807.69999999999902</v>
      </c>
      <c r="H1869" t="s">
        <v>12</v>
      </c>
      <c r="I1869" t="str">
        <f t="shared" si="88"/>
        <v>Low Value</v>
      </c>
      <c r="J1869" t="str">
        <f t="shared" si="89"/>
        <v>Low Risk</v>
      </c>
      <c r="K1869" s="3" t="str">
        <f t="shared" si="87"/>
        <v>2-4 Years</v>
      </c>
    </row>
    <row r="1870" spans="1:11" x14ac:dyDescent="0.3">
      <c r="A1870" t="s">
        <v>1887</v>
      </c>
      <c r="B1870" t="s">
        <v>9</v>
      </c>
      <c r="C1870" t="s">
        <v>30</v>
      </c>
      <c r="D1870" t="s">
        <v>24</v>
      </c>
      <c r="E1870">
        <v>70.650000000000006</v>
      </c>
      <c r="F1870">
        <v>72</v>
      </c>
      <c r="G1870">
        <v>5086.8</v>
      </c>
      <c r="H1870" t="s">
        <v>12</v>
      </c>
      <c r="I1870" t="str">
        <f t="shared" si="88"/>
        <v>High Value</v>
      </c>
      <c r="J1870" t="str">
        <f t="shared" si="89"/>
        <v>Low Risk</v>
      </c>
      <c r="K1870" s="3" t="str">
        <f t="shared" si="87"/>
        <v>4+ Years</v>
      </c>
    </row>
    <row r="1871" spans="1:11" x14ac:dyDescent="0.3">
      <c r="A1871" t="s">
        <v>1888</v>
      </c>
      <c r="B1871" t="s">
        <v>9</v>
      </c>
      <c r="C1871" t="s">
        <v>30</v>
      </c>
      <c r="D1871" t="s">
        <v>24</v>
      </c>
      <c r="E1871">
        <v>86.45</v>
      </c>
      <c r="F1871">
        <v>43</v>
      </c>
      <c r="G1871">
        <v>3717.35</v>
      </c>
      <c r="H1871" t="s">
        <v>12</v>
      </c>
      <c r="I1871" t="str">
        <f t="shared" si="88"/>
        <v>Medium Value</v>
      </c>
      <c r="J1871" t="str">
        <f t="shared" si="89"/>
        <v>Low Risk</v>
      </c>
      <c r="K1871" s="3" t="str">
        <f t="shared" si="87"/>
        <v>2-4 Years</v>
      </c>
    </row>
    <row r="1872" spans="1:11" x14ac:dyDescent="0.3">
      <c r="A1872" t="s">
        <v>1889</v>
      </c>
      <c r="B1872" t="s">
        <v>14</v>
      </c>
      <c r="C1872" t="s">
        <v>30</v>
      </c>
      <c r="D1872" t="s">
        <v>24</v>
      </c>
      <c r="E1872">
        <v>114.1</v>
      </c>
      <c r="F1872">
        <v>72</v>
      </c>
      <c r="G1872">
        <v>8215.1999999999898</v>
      </c>
      <c r="H1872" t="s">
        <v>12</v>
      </c>
      <c r="I1872" t="str">
        <f t="shared" si="88"/>
        <v>High Value</v>
      </c>
      <c r="J1872" t="str">
        <f t="shared" si="89"/>
        <v>Low Risk</v>
      </c>
      <c r="K1872" s="3" t="str">
        <f t="shared" si="87"/>
        <v>4+ Years</v>
      </c>
    </row>
    <row r="1873" spans="1:11" x14ac:dyDescent="0.3">
      <c r="A1873" t="s">
        <v>1890</v>
      </c>
      <c r="B1873" t="s">
        <v>14</v>
      </c>
      <c r="C1873" t="s">
        <v>15</v>
      </c>
      <c r="D1873" t="s">
        <v>24</v>
      </c>
      <c r="E1873">
        <v>95.2</v>
      </c>
      <c r="F1873">
        <v>47</v>
      </c>
      <c r="G1873">
        <v>4474.3999999999996</v>
      </c>
      <c r="H1873" t="s">
        <v>12</v>
      </c>
      <c r="I1873" t="str">
        <f t="shared" si="88"/>
        <v>Medium Value</v>
      </c>
      <c r="J1873" t="str">
        <f t="shared" si="89"/>
        <v>Low Risk</v>
      </c>
      <c r="K1873" s="3" t="str">
        <f t="shared" si="87"/>
        <v>2-4 Years</v>
      </c>
    </row>
    <row r="1874" spans="1:11" x14ac:dyDescent="0.3">
      <c r="A1874" t="s">
        <v>1891</v>
      </c>
      <c r="B1874" t="s">
        <v>14</v>
      </c>
      <c r="C1874" t="s">
        <v>30</v>
      </c>
      <c r="D1874" t="s">
        <v>24</v>
      </c>
      <c r="E1874">
        <v>88.55</v>
      </c>
      <c r="F1874">
        <v>72</v>
      </c>
      <c r="G1874">
        <v>6375.5999999999904</v>
      </c>
      <c r="H1874" t="s">
        <v>12</v>
      </c>
      <c r="I1874" t="str">
        <f t="shared" si="88"/>
        <v>High Value</v>
      </c>
      <c r="J1874" t="str">
        <f t="shared" si="89"/>
        <v>Low Risk</v>
      </c>
      <c r="K1874" s="3" t="str">
        <f t="shared" si="87"/>
        <v>4+ Years</v>
      </c>
    </row>
    <row r="1875" spans="1:11" x14ac:dyDescent="0.3">
      <c r="A1875" t="s">
        <v>1892</v>
      </c>
      <c r="B1875" t="s">
        <v>14</v>
      </c>
      <c r="C1875" t="s">
        <v>10</v>
      </c>
      <c r="D1875" t="s">
        <v>24</v>
      </c>
      <c r="E1875">
        <v>20.75</v>
      </c>
      <c r="F1875">
        <v>3</v>
      </c>
      <c r="G1875">
        <v>62.25</v>
      </c>
      <c r="H1875" t="s">
        <v>12</v>
      </c>
      <c r="I1875" t="str">
        <f t="shared" si="88"/>
        <v>Low Value</v>
      </c>
      <c r="J1875" t="str">
        <f t="shared" si="89"/>
        <v>High Risk</v>
      </c>
      <c r="K1875" s="3" t="str">
        <f t="shared" si="87"/>
        <v>0-1 Year</v>
      </c>
    </row>
    <row r="1876" spans="1:11" x14ac:dyDescent="0.3">
      <c r="A1876" t="s">
        <v>1893</v>
      </c>
      <c r="B1876" t="s">
        <v>14</v>
      </c>
      <c r="C1876" t="s">
        <v>10</v>
      </c>
      <c r="D1876" t="s">
        <v>11</v>
      </c>
      <c r="E1876">
        <v>70.05</v>
      </c>
      <c r="F1876">
        <v>1</v>
      </c>
      <c r="G1876">
        <v>70.05</v>
      </c>
      <c r="H1876" t="s">
        <v>18</v>
      </c>
      <c r="I1876" t="str">
        <f t="shared" si="88"/>
        <v>Low Value</v>
      </c>
      <c r="J1876" t="str">
        <f t="shared" si="89"/>
        <v>High Risk</v>
      </c>
      <c r="K1876" s="3" t="str">
        <f t="shared" si="87"/>
        <v>0-1 Year</v>
      </c>
    </row>
    <row r="1877" spans="1:11" x14ac:dyDescent="0.3">
      <c r="A1877" t="s">
        <v>1894</v>
      </c>
      <c r="B1877" t="s">
        <v>14</v>
      </c>
      <c r="C1877" t="s">
        <v>10</v>
      </c>
      <c r="D1877" t="s">
        <v>11</v>
      </c>
      <c r="E1877">
        <v>86</v>
      </c>
      <c r="F1877">
        <v>2</v>
      </c>
      <c r="G1877">
        <v>172</v>
      </c>
      <c r="H1877" t="s">
        <v>18</v>
      </c>
      <c r="I1877" t="str">
        <f t="shared" si="88"/>
        <v>Low Value</v>
      </c>
      <c r="J1877" t="str">
        <f t="shared" si="89"/>
        <v>High Risk</v>
      </c>
      <c r="K1877" s="3" t="str">
        <f t="shared" si="87"/>
        <v>0-1 Year</v>
      </c>
    </row>
    <row r="1878" spans="1:11" x14ac:dyDescent="0.3">
      <c r="A1878" t="s">
        <v>1895</v>
      </c>
      <c r="B1878" t="s">
        <v>14</v>
      </c>
      <c r="C1878" t="s">
        <v>10</v>
      </c>
      <c r="D1878" t="s">
        <v>20</v>
      </c>
      <c r="E1878">
        <v>44.65</v>
      </c>
      <c r="F1878">
        <v>26</v>
      </c>
      <c r="G1878">
        <v>1160.8999999999901</v>
      </c>
      <c r="H1878" t="s">
        <v>12</v>
      </c>
      <c r="I1878" t="str">
        <f t="shared" si="88"/>
        <v>Low Value</v>
      </c>
      <c r="J1878" t="str">
        <f t="shared" si="89"/>
        <v>Low Risk</v>
      </c>
      <c r="K1878" s="3" t="str">
        <f t="shared" si="87"/>
        <v>2-4 Years</v>
      </c>
    </row>
    <row r="1879" spans="1:11" x14ac:dyDescent="0.3">
      <c r="A1879" t="s">
        <v>1896</v>
      </c>
      <c r="B1879" t="s">
        <v>14</v>
      </c>
      <c r="C1879" t="s">
        <v>10</v>
      </c>
      <c r="D1879" t="s">
        <v>16</v>
      </c>
      <c r="E1879">
        <v>60.2</v>
      </c>
      <c r="F1879">
        <v>29</v>
      </c>
      <c r="G1879">
        <v>1745.8</v>
      </c>
      <c r="H1879" t="s">
        <v>12</v>
      </c>
      <c r="I1879" t="str">
        <f t="shared" si="88"/>
        <v>Low Value</v>
      </c>
      <c r="J1879" t="str">
        <f t="shared" si="89"/>
        <v>Low Risk</v>
      </c>
      <c r="K1879" s="3" t="str">
        <f t="shared" si="87"/>
        <v>2-4 Years</v>
      </c>
    </row>
    <row r="1880" spans="1:11" x14ac:dyDescent="0.3">
      <c r="A1880" t="s">
        <v>1897</v>
      </c>
      <c r="B1880" t="s">
        <v>9</v>
      </c>
      <c r="C1880" t="s">
        <v>10</v>
      </c>
      <c r="D1880" t="s">
        <v>20</v>
      </c>
      <c r="E1880">
        <v>100.5</v>
      </c>
      <c r="F1880">
        <v>35</v>
      </c>
      <c r="G1880">
        <v>3517.5</v>
      </c>
      <c r="H1880" t="s">
        <v>18</v>
      </c>
      <c r="I1880" t="str">
        <f t="shared" si="88"/>
        <v>Medium Value</v>
      </c>
      <c r="J1880" t="str">
        <f t="shared" si="89"/>
        <v>Low Risk</v>
      </c>
      <c r="K1880" s="3" t="str">
        <f t="shared" si="87"/>
        <v>2-4 Years</v>
      </c>
    </row>
    <row r="1881" spans="1:11" x14ac:dyDescent="0.3">
      <c r="A1881" t="s">
        <v>1898</v>
      </c>
      <c r="B1881" t="s">
        <v>14</v>
      </c>
      <c r="C1881" t="s">
        <v>15</v>
      </c>
      <c r="D1881" t="s">
        <v>20</v>
      </c>
      <c r="E1881">
        <v>55.45</v>
      </c>
      <c r="F1881">
        <v>27</v>
      </c>
      <c r="G1881">
        <v>1497.15</v>
      </c>
      <c r="H1881" t="s">
        <v>12</v>
      </c>
      <c r="I1881" t="str">
        <f t="shared" si="88"/>
        <v>Low Value</v>
      </c>
      <c r="J1881" t="str">
        <f t="shared" si="89"/>
        <v>Low Risk</v>
      </c>
      <c r="K1881" s="3" t="str">
        <f t="shared" si="87"/>
        <v>2-4 Years</v>
      </c>
    </row>
    <row r="1882" spans="1:11" x14ac:dyDescent="0.3">
      <c r="A1882" t="s">
        <v>1899</v>
      </c>
      <c r="B1882" t="s">
        <v>14</v>
      </c>
      <c r="C1882" t="s">
        <v>10</v>
      </c>
      <c r="D1882" t="s">
        <v>24</v>
      </c>
      <c r="E1882">
        <v>70.3</v>
      </c>
      <c r="F1882">
        <v>24</v>
      </c>
      <c r="G1882">
        <v>1687.19999999999</v>
      </c>
      <c r="H1882" t="s">
        <v>12</v>
      </c>
      <c r="I1882" t="str">
        <f t="shared" si="88"/>
        <v>Low Value</v>
      </c>
      <c r="J1882" t="str">
        <f t="shared" si="89"/>
        <v>Low Risk</v>
      </c>
      <c r="K1882" s="3" t="str">
        <f t="shared" si="87"/>
        <v>1-2 Years</v>
      </c>
    </row>
    <row r="1883" spans="1:11" x14ac:dyDescent="0.3">
      <c r="A1883" t="s">
        <v>1900</v>
      </c>
      <c r="B1883" t="s">
        <v>14</v>
      </c>
      <c r="C1883" t="s">
        <v>30</v>
      </c>
      <c r="D1883" t="s">
        <v>20</v>
      </c>
      <c r="E1883">
        <v>60.4</v>
      </c>
      <c r="F1883">
        <v>67</v>
      </c>
      <c r="G1883">
        <v>4046.7999999999902</v>
      </c>
      <c r="H1883" t="s">
        <v>12</v>
      </c>
      <c r="I1883" t="str">
        <f t="shared" si="88"/>
        <v>Medium Value</v>
      </c>
      <c r="J1883" t="str">
        <f t="shared" si="89"/>
        <v>Low Risk</v>
      </c>
      <c r="K1883" s="3" t="str">
        <f t="shared" si="87"/>
        <v>4+ Years</v>
      </c>
    </row>
    <row r="1884" spans="1:11" x14ac:dyDescent="0.3">
      <c r="A1884" t="s">
        <v>1901</v>
      </c>
      <c r="B1884" t="s">
        <v>9</v>
      </c>
      <c r="C1884" t="s">
        <v>10</v>
      </c>
      <c r="D1884" t="s">
        <v>11</v>
      </c>
      <c r="E1884">
        <v>72.650000000000006</v>
      </c>
      <c r="F1884">
        <v>16</v>
      </c>
      <c r="G1884">
        <v>1162.4000000000001</v>
      </c>
      <c r="H1884" t="s">
        <v>18</v>
      </c>
      <c r="I1884" t="str">
        <f t="shared" si="88"/>
        <v>Low Value</v>
      </c>
      <c r="J1884" t="str">
        <f t="shared" si="89"/>
        <v>Medium Risk</v>
      </c>
      <c r="K1884" s="3" t="str">
        <f t="shared" si="87"/>
        <v>1-2 Years</v>
      </c>
    </row>
    <row r="1885" spans="1:11" x14ac:dyDescent="0.3">
      <c r="A1885" t="s">
        <v>1902</v>
      </c>
      <c r="B1885" t="s">
        <v>9</v>
      </c>
      <c r="C1885" t="s">
        <v>15</v>
      </c>
      <c r="D1885" t="s">
        <v>20</v>
      </c>
      <c r="E1885">
        <v>55.8</v>
      </c>
      <c r="F1885">
        <v>23</v>
      </c>
      <c r="G1885">
        <v>1283.3999999999901</v>
      </c>
      <c r="H1885" t="s">
        <v>12</v>
      </c>
      <c r="I1885" t="str">
        <f t="shared" si="88"/>
        <v>Low Value</v>
      </c>
      <c r="J1885" t="str">
        <f t="shared" si="89"/>
        <v>Medium Risk</v>
      </c>
      <c r="K1885" s="3" t="str">
        <f t="shared" si="87"/>
        <v>1-2 Years</v>
      </c>
    </row>
    <row r="1886" spans="1:11" x14ac:dyDescent="0.3">
      <c r="A1886" t="s">
        <v>1903</v>
      </c>
      <c r="B1886" t="s">
        <v>14</v>
      </c>
      <c r="C1886" t="s">
        <v>10</v>
      </c>
      <c r="D1886" t="s">
        <v>16</v>
      </c>
      <c r="E1886">
        <v>31.1</v>
      </c>
      <c r="F1886">
        <v>14</v>
      </c>
      <c r="G1886">
        <v>435.4</v>
      </c>
      <c r="H1886" t="s">
        <v>12</v>
      </c>
      <c r="I1886" t="str">
        <f t="shared" si="88"/>
        <v>Low Value</v>
      </c>
      <c r="J1886" t="str">
        <f t="shared" si="89"/>
        <v>Medium Risk</v>
      </c>
      <c r="K1886" s="3" t="str">
        <f t="shared" si="87"/>
        <v>1-2 Years</v>
      </c>
    </row>
    <row r="1887" spans="1:11" x14ac:dyDescent="0.3">
      <c r="A1887" t="s">
        <v>1904</v>
      </c>
      <c r="B1887" t="s">
        <v>9</v>
      </c>
      <c r="C1887" t="s">
        <v>10</v>
      </c>
      <c r="D1887" t="s">
        <v>11</v>
      </c>
      <c r="E1887">
        <v>21</v>
      </c>
      <c r="F1887">
        <v>1</v>
      </c>
      <c r="G1887">
        <v>21</v>
      </c>
      <c r="H1887" t="s">
        <v>18</v>
      </c>
      <c r="I1887" t="str">
        <f t="shared" si="88"/>
        <v>Low Value</v>
      </c>
      <c r="J1887" t="str">
        <f t="shared" si="89"/>
        <v>High Risk</v>
      </c>
      <c r="K1887" s="3" t="str">
        <f t="shared" si="87"/>
        <v>0-1 Year</v>
      </c>
    </row>
    <row r="1888" spans="1:11" x14ac:dyDescent="0.3">
      <c r="A1888" t="s">
        <v>1905</v>
      </c>
      <c r="B1888" t="s">
        <v>9</v>
      </c>
      <c r="C1888" t="s">
        <v>10</v>
      </c>
      <c r="D1888" t="s">
        <v>16</v>
      </c>
      <c r="E1888">
        <v>45.1</v>
      </c>
      <c r="F1888">
        <v>1</v>
      </c>
      <c r="G1888">
        <v>45.1</v>
      </c>
      <c r="H1888" t="s">
        <v>18</v>
      </c>
      <c r="I1888" t="str">
        <f t="shared" si="88"/>
        <v>Low Value</v>
      </c>
      <c r="J1888" t="str">
        <f t="shared" si="89"/>
        <v>High Risk</v>
      </c>
      <c r="K1888" s="3" t="str">
        <f t="shared" si="87"/>
        <v>0-1 Year</v>
      </c>
    </row>
    <row r="1889" spans="1:11" x14ac:dyDescent="0.3">
      <c r="A1889" t="s">
        <v>1906</v>
      </c>
      <c r="B1889" t="s">
        <v>14</v>
      </c>
      <c r="C1889" t="s">
        <v>10</v>
      </c>
      <c r="D1889" t="s">
        <v>24</v>
      </c>
      <c r="E1889">
        <v>50.95</v>
      </c>
      <c r="F1889">
        <v>4</v>
      </c>
      <c r="G1889">
        <v>203.8</v>
      </c>
      <c r="H1889" t="s">
        <v>12</v>
      </c>
      <c r="I1889" t="str">
        <f t="shared" si="88"/>
        <v>Low Value</v>
      </c>
      <c r="J1889" t="str">
        <f t="shared" si="89"/>
        <v>High Risk</v>
      </c>
      <c r="K1889" s="3" t="str">
        <f t="shared" si="87"/>
        <v>0-1 Year</v>
      </c>
    </row>
    <row r="1890" spans="1:11" x14ac:dyDescent="0.3">
      <c r="A1890" t="s">
        <v>1907</v>
      </c>
      <c r="B1890" t="s">
        <v>14</v>
      </c>
      <c r="C1890" t="s">
        <v>10</v>
      </c>
      <c r="D1890" t="s">
        <v>11</v>
      </c>
      <c r="E1890">
        <v>69.099999999999994</v>
      </c>
      <c r="F1890">
        <v>16</v>
      </c>
      <c r="G1890">
        <v>1105.5999999999999</v>
      </c>
      <c r="H1890" t="s">
        <v>12</v>
      </c>
      <c r="I1890" t="str">
        <f t="shared" si="88"/>
        <v>Low Value</v>
      </c>
      <c r="J1890" t="str">
        <f t="shared" si="89"/>
        <v>Medium Risk</v>
      </c>
      <c r="K1890" s="3" t="str">
        <f t="shared" si="87"/>
        <v>1-2 Years</v>
      </c>
    </row>
    <row r="1891" spans="1:11" x14ac:dyDescent="0.3">
      <c r="A1891" t="s">
        <v>1908</v>
      </c>
      <c r="B1891" t="s">
        <v>9</v>
      </c>
      <c r="C1891" t="s">
        <v>10</v>
      </c>
      <c r="D1891" t="s">
        <v>11</v>
      </c>
      <c r="E1891">
        <v>43.95</v>
      </c>
      <c r="F1891">
        <v>46</v>
      </c>
      <c r="G1891">
        <v>2021.7</v>
      </c>
      <c r="H1891" t="s">
        <v>12</v>
      </c>
      <c r="I1891" t="str">
        <f t="shared" si="88"/>
        <v>Medium Value</v>
      </c>
      <c r="J1891" t="str">
        <f t="shared" si="89"/>
        <v>Low Risk</v>
      </c>
      <c r="K1891" s="3" t="str">
        <f t="shared" si="87"/>
        <v>2-4 Years</v>
      </c>
    </row>
    <row r="1892" spans="1:11" x14ac:dyDescent="0.3">
      <c r="A1892" t="s">
        <v>1909</v>
      </c>
      <c r="B1892" t="s">
        <v>14</v>
      </c>
      <c r="C1892" t="s">
        <v>30</v>
      </c>
      <c r="D1892" t="s">
        <v>20</v>
      </c>
      <c r="E1892">
        <v>86.5</v>
      </c>
      <c r="F1892">
        <v>68</v>
      </c>
      <c r="G1892">
        <v>5882</v>
      </c>
      <c r="H1892" t="s">
        <v>12</v>
      </c>
      <c r="I1892" t="str">
        <f t="shared" si="88"/>
        <v>High Value</v>
      </c>
      <c r="J1892" t="str">
        <f t="shared" si="89"/>
        <v>Low Risk</v>
      </c>
      <c r="K1892" s="3" t="str">
        <f t="shared" si="87"/>
        <v>4+ Years</v>
      </c>
    </row>
    <row r="1893" spans="1:11" x14ac:dyDescent="0.3">
      <c r="A1893" t="s">
        <v>1910</v>
      </c>
      <c r="B1893" t="s">
        <v>14</v>
      </c>
      <c r="C1893" t="s">
        <v>10</v>
      </c>
      <c r="D1893" t="s">
        <v>11</v>
      </c>
      <c r="E1893">
        <v>69.95</v>
      </c>
      <c r="F1893">
        <v>38</v>
      </c>
      <c r="G1893">
        <v>2658.1</v>
      </c>
      <c r="H1893" t="s">
        <v>12</v>
      </c>
      <c r="I1893" t="str">
        <f t="shared" si="88"/>
        <v>Medium Value</v>
      </c>
      <c r="J1893" t="str">
        <f t="shared" si="89"/>
        <v>Low Risk</v>
      </c>
      <c r="K1893" s="3" t="str">
        <f t="shared" si="87"/>
        <v>2-4 Years</v>
      </c>
    </row>
    <row r="1894" spans="1:11" x14ac:dyDescent="0.3">
      <c r="A1894" t="s">
        <v>1911</v>
      </c>
      <c r="B1894" t="s">
        <v>14</v>
      </c>
      <c r="C1894" t="s">
        <v>10</v>
      </c>
      <c r="D1894" t="s">
        <v>20</v>
      </c>
      <c r="E1894">
        <v>50.4</v>
      </c>
      <c r="F1894">
        <v>30</v>
      </c>
      <c r="G1894">
        <v>1512</v>
      </c>
      <c r="H1894" t="s">
        <v>18</v>
      </c>
      <c r="I1894" t="str">
        <f t="shared" si="88"/>
        <v>Low Value</v>
      </c>
      <c r="J1894" t="str">
        <f t="shared" si="89"/>
        <v>Low Risk</v>
      </c>
      <c r="K1894" s="3" t="str">
        <f t="shared" si="87"/>
        <v>2-4 Years</v>
      </c>
    </row>
    <row r="1895" spans="1:11" x14ac:dyDescent="0.3">
      <c r="A1895" t="s">
        <v>1912</v>
      </c>
      <c r="B1895" t="s">
        <v>9</v>
      </c>
      <c r="C1895" t="s">
        <v>10</v>
      </c>
      <c r="D1895" t="s">
        <v>11</v>
      </c>
      <c r="E1895">
        <v>78.95</v>
      </c>
      <c r="F1895">
        <v>5</v>
      </c>
      <c r="G1895">
        <v>394.75</v>
      </c>
      <c r="H1895" t="s">
        <v>18</v>
      </c>
      <c r="I1895" t="str">
        <f t="shared" si="88"/>
        <v>Low Value</v>
      </c>
      <c r="J1895" t="str">
        <f t="shared" si="89"/>
        <v>High Risk</v>
      </c>
      <c r="K1895" s="3" t="str">
        <f t="shared" si="87"/>
        <v>0-1 Year</v>
      </c>
    </row>
    <row r="1896" spans="1:11" x14ac:dyDescent="0.3">
      <c r="A1896" t="s">
        <v>1913</v>
      </c>
      <c r="B1896" t="s">
        <v>14</v>
      </c>
      <c r="C1896" t="s">
        <v>10</v>
      </c>
      <c r="D1896" t="s">
        <v>24</v>
      </c>
      <c r="E1896">
        <v>90.95</v>
      </c>
      <c r="F1896">
        <v>17</v>
      </c>
      <c r="G1896">
        <v>1546.15</v>
      </c>
      <c r="H1896" t="s">
        <v>12</v>
      </c>
      <c r="I1896" t="str">
        <f t="shared" si="88"/>
        <v>Low Value</v>
      </c>
      <c r="J1896" t="str">
        <f t="shared" si="89"/>
        <v>Medium Risk</v>
      </c>
      <c r="K1896" s="3" t="str">
        <f t="shared" si="87"/>
        <v>1-2 Years</v>
      </c>
    </row>
    <row r="1897" spans="1:11" x14ac:dyDescent="0.3">
      <c r="A1897" t="s">
        <v>1914</v>
      </c>
      <c r="B1897" t="s">
        <v>14</v>
      </c>
      <c r="C1897" t="s">
        <v>30</v>
      </c>
      <c r="D1897" t="s">
        <v>16</v>
      </c>
      <c r="E1897">
        <v>19.899999999999999</v>
      </c>
      <c r="F1897">
        <v>4</v>
      </c>
      <c r="G1897">
        <v>79.599999999999994</v>
      </c>
      <c r="H1897" t="s">
        <v>12</v>
      </c>
      <c r="I1897" t="str">
        <f t="shared" si="88"/>
        <v>Low Value</v>
      </c>
      <c r="J1897" t="str">
        <f t="shared" si="89"/>
        <v>High Risk</v>
      </c>
      <c r="K1897" s="3" t="str">
        <f t="shared" si="87"/>
        <v>0-1 Year</v>
      </c>
    </row>
    <row r="1898" spans="1:11" x14ac:dyDescent="0.3">
      <c r="A1898" t="s">
        <v>1915</v>
      </c>
      <c r="B1898" t="s">
        <v>9</v>
      </c>
      <c r="C1898" t="s">
        <v>15</v>
      </c>
      <c r="D1898" t="s">
        <v>11</v>
      </c>
      <c r="E1898">
        <v>20.149999999999999</v>
      </c>
      <c r="F1898">
        <v>12</v>
      </c>
      <c r="G1898">
        <v>241.79999999999899</v>
      </c>
      <c r="H1898" t="s">
        <v>12</v>
      </c>
      <c r="I1898" t="str">
        <f t="shared" si="88"/>
        <v>Low Value</v>
      </c>
      <c r="J1898" t="str">
        <f t="shared" si="89"/>
        <v>Medium Risk</v>
      </c>
      <c r="K1898" s="3" t="str">
        <f t="shared" si="87"/>
        <v>0-1 Year</v>
      </c>
    </row>
    <row r="1899" spans="1:11" x14ac:dyDescent="0.3">
      <c r="A1899" t="s">
        <v>1916</v>
      </c>
      <c r="B1899" t="s">
        <v>14</v>
      </c>
      <c r="C1899" t="s">
        <v>30</v>
      </c>
      <c r="D1899" t="s">
        <v>24</v>
      </c>
      <c r="E1899">
        <v>90.6</v>
      </c>
      <c r="F1899">
        <v>72</v>
      </c>
      <c r="G1899">
        <v>6523.2</v>
      </c>
      <c r="H1899" t="s">
        <v>12</v>
      </c>
      <c r="I1899" t="str">
        <f t="shared" si="88"/>
        <v>High Value</v>
      </c>
      <c r="J1899" t="str">
        <f t="shared" si="89"/>
        <v>Low Risk</v>
      </c>
      <c r="K1899" s="3" t="str">
        <f t="shared" si="87"/>
        <v>4+ Years</v>
      </c>
    </row>
    <row r="1900" spans="1:11" x14ac:dyDescent="0.3">
      <c r="A1900" t="s">
        <v>1917</v>
      </c>
      <c r="B1900" t="s">
        <v>14</v>
      </c>
      <c r="C1900" t="s">
        <v>10</v>
      </c>
      <c r="D1900" t="s">
        <v>11</v>
      </c>
      <c r="E1900">
        <v>92</v>
      </c>
      <c r="F1900">
        <v>3</v>
      </c>
      <c r="G1900">
        <v>276</v>
      </c>
      <c r="H1900" t="s">
        <v>12</v>
      </c>
      <c r="I1900" t="str">
        <f t="shared" si="88"/>
        <v>Low Value</v>
      </c>
      <c r="J1900" t="str">
        <f t="shared" si="89"/>
        <v>High Risk</v>
      </c>
      <c r="K1900" s="3" t="str">
        <f t="shared" si="87"/>
        <v>0-1 Year</v>
      </c>
    </row>
    <row r="1901" spans="1:11" x14ac:dyDescent="0.3">
      <c r="A1901" t="s">
        <v>1918</v>
      </c>
      <c r="B1901" t="s">
        <v>14</v>
      </c>
      <c r="C1901" t="s">
        <v>10</v>
      </c>
      <c r="D1901" t="s">
        <v>11</v>
      </c>
      <c r="E1901">
        <v>94.45</v>
      </c>
      <c r="F1901">
        <v>56</v>
      </c>
      <c r="G1901">
        <v>5289.2</v>
      </c>
      <c r="H1901" t="s">
        <v>18</v>
      </c>
      <c r="I1901" t="str">
        <f t="shared" si="88"/>
        <v>High Value</v>
      </c>
      <c r="J1901" t="str">
        <f t="shared" si="89"/>
        <v>Low Risk</v>
      </c>
      <c r="K1901" s="3" t="str">
        <f t="shared" si="87"/>
        <v>4+ Years</v>
      </c>
    </row>
    <row r="1902" spans="1:11" x14ac:dyDescent="0.3">
      <c r="A1902" t="s">
        <v>1919</v>
      </c>
      <c r="B1902" t="s">
        <v>9</v>
      </c>
      <c r="C1902" t="s">
        <v>15</v>
      </c>
      <c r="D1902" t="s">
        <v>16</v>
      </c>
      <c r="E1902">
        <v>24.85</v>
      </c>
      <c r="F1902">
        <v>41</v>
      </c>
      <c r="G1902">
        <v>1018.85</v>
      </c>
      <c r="H1902" t="s">
        <v>12</v>
      </c>
      <c r="I1902" t="str">
        <f t="shared" si="88"/>
        <v>Low Value</v>
      </c>
      <c r="J1902" t="str">
        <f t="shared" si="89"/>
        <v>Low Risk</v>
      </c>
      <c r="K1902" s="3" t="str">
        <f t="shared" si="87"/>
        <v>2-4 Years</v>
      </c>
    </row>
    <row r="1903" spans="1:11" x14ac:dyDescent="0.3">
      <c r="A1903" t="s">
        <v>1920</v>
      </c>
      <c r="B1903" t="s">
        <v>14</v>
      </c>
      <c r="C1903" t="s">
        <v>15</v>
      </c>
      <c r="D1903" t="s">
        <v>24</v>
      </c>
      <c r="E1903">
        <v>36</v>
      </c>
      <c r="F1903">
        <v>40</v>
      </c>
      <c r="G1903">
        <v>1440</v>
      </c>
      <c r="H1903" t="s">
        <v>12</v>
      </c>
      <c r="I1903" t="str">
        <f t="shared" si="88"/>
        <v>Low Value</v>
      </c>
      <c r="J1903" t="str">
        <f t="shared" si="89"/>
        <v>Low Risk</v>
      </c>
      <c r="K1903" s="3" t="str">
        <f t="shared" si="87"/>
        <v>2-4 Years</v>
      </c>
    </row>
    <row r="1904" spans="1:11" x14ac:dyDescent="0.3">
      <c r="A1904" t="s">
        <v>1921</v>
      </c>
      <c r="B1904" t="s">
        <v>9</v>
      </c>
      <c r="C1904" t="s">
        <v>10</v>
      </c>
      <c r="D1904" t="s">
        <v>11</v>
      </c>
      <c r="E1904">
        <v>78.5</v>
      </c>
      <c r="F1904">
        <v>7</v>
      </c>
      <c r="G1904">
        <v>549.5</v>
      </c>
      <c r="H1904" t="s">
        <v>12</v>
      </c>
      <c r="I1904" t="str">
        <f t="shared" si="88"/>
        <v>Low Value</v>
      </c>
      <c r="J1904" t="str">
        <f t="shared" si="89"/>
        <v>High Risk</v>
      </c>
      <c r="K1904" s="3" t="str">
        <f t="shared" si="87"/>
        <v>0-1 Year</v>
      </c>
    </row>
    <row r="1905" spans="1:11" x14ac:dyDescent="0.3">
      <c r="A1905" t="s">
        <v>1922</v>
      </c>
      <c r="B1905" t="s">
        <v>14</v>
      </c>
      <c r="C1905" t="s">
        <v>30</v>
      </c>
      <c r="D1905" t="s">
        <v>24</v>
      </c>
      <c r="E1905">
        <v>19.95</v>
      </c>
      <c r="F1905">
        <v>69</v>
      </c>
      <c r="G1905">
        <v>1376.55</v>
      </c>
      <c r="H1905" t="s">
        <v>12</v>
      </c>
      <c r="I1905" t="str">
        <f t="shared" si="88"/>
        <v>Low Value</v>
      </c>
      <c r="J1905" t="str">
        <f t="shared" si="89"/>
        <v>Low Risk</v>
      </c>
      <c r="K1905" s="3" t="str">
        <f t="shared" si="87"/>
        <v>4+ Years</v>
      </c>
    </row>
    <row r="1906" spans="1:11" x14ac:dyDescent="0.3">
      <c r="A1906" t="s">
        <v>1923</v>
      </c>
      <c r="B1906" t="s">
        <v>14</v>
      </c>
      <c r="C1906" t="s">
        <v>15</v>
      </c>
      <c r="D1906" t="s">
        <v>16</v>
      </c>
      <c r="E1906">
        <v>20.65</v>
      </c>
      <c r="F1906">
        <v>7</v>
      </c>
      <c r="G1906">
        <v>144.54999999999899</v>
      </c>
      <c r="H1906" t="s">
        <v>12</v>
      </c>
      <c r="I1906" t="str">
        <f t="shared" si="88"/>
        <v>Low Value</v>
      </c>
      <c r="J1906" t="str">
        <f t="shared" si="89"/>
        <v>High Risk</v>
      </c>
      <c r="K1906" s="3" t="str">
        <f t="shared" si="87"/>
        <v>0-1 Year</v>
      </c>
    </row>
    <row r="1907" spans="1:11" x14ac:dyDescent="0.3">
      <c r="A1907" t="s">
        <v>1924</v>
      </c>
      <c r="B1907" t="s">
        <v>9</v>
      </c>
      <c r="C1907" t="s">
        <v>10</v>
      </c>
      <c r="D1907" t="s">
        <v>11</v>
      </c>
      <c r="E1907">
        <v>30.5</v>
      </c>
      <c r="F1907">
        <v>5</v>
      </c>
      <c r="G1907">
        <v>152.5</v>
      </c>
      <c r="H1907" t="s">
        <v>12</v>
      </c>
      <c r="I1907" t="str">
        <f t="shared" si="88"/>
        <v>Low Value</v>
      </c>
      <c r="J1907" t="str">
        <f t="shared" si="89"/>
        <v>High Risk</v>
      </c>
      <c r="K1907" s="3" t="str">
        <f t="shared" si="87"/>
        <v>0-1 Year</v>
      </c>
    </row>
    <row r="1908" spans="1:11" x14ac:dyDescent="0.3">
      <c r="A1908" t="s">
        <v>1925</v>
      </c>
      <c r="B1908" t="s">
        <v>9</v>
      </c>
      <c r="C1908" t="s">
        <v>30</v>
      </c>
      <c r="D1908" t="s">
        <v>24</v>
      </c>
      <c r="E1908">
        <v>106.1</v>
      </c>
      <c r="F1908">
        <v>72</v>
      </c>
      <c r="G1908">
        <v>7639.2</v>
      </c>
      <c r="H1908" t="s">
        <v>12</v>
      </c>
      <c r="I1908" t="str">
        <f t="shared" si="88"/>
        <v>High Value</v>
      </c>
      <c r="J1908" t="str">
        <f t="shared" si="89"/>
        <v>Low Risk</v>
      </c>
      <c r="K1908" s="3" t="str">
        <f t="shared" si="87"/>
        <v>4+ Years</v>
      </c>
    </row>
    <row r="1909" spans="1:11" x14ac:dyDescent="0.3">
      <c r="A1909" t="s">
        <v>1926</v>
      </c>
      <c r="B1909" t="s">
        <v>14</v>
      </c>
      <c r="C1909" t="s">
        <v>15</v>
      </c>
      <c r="D1909" t="s">
        <v>20</v>
      </c>
      <c r="E1909">
        <v>20.5</v>
      </c>
      <c r="F1909">
        <v>44</v>
      </c>
      <c r="G1909">
        <v>902</v>
      </c>
      <c r="H1909" t="s">
        <v>12</v>
      </c>
      <c r="I1909" t="str">
        <f t="shared" si="88"/>
        <v>Low Value</v>
      </c>
      <c r="J1909" t="str">
        <f t="shared" si="89"/>
        <v>Low Risk</v>
      </c>
      <c r="K1909" s="3" t="str">
        <f t="shared" si="87"/>
        <v>2-4 Years</v>
      </c>
    </row>
    <row r="1910" spans="1:11" x14ac:dyDescent="0.3">
      <c r="A1910" t="s">
        <v>1927</v>
      </c>
      <c r="B1910" t="s">
        <v>9</v>
      </c>
      <c r="C1910" t="s">
        <v>15</v>
      </c>
      <c r="D1910" t="s">
        <v>11</v>
      </c>
      <c r="E1910">
        <v>95.5</v>
      </c>
      <c r="F1910">
        <v>65</v>
      </c>
      <c r="G1910">
        <v>6207.5</v>
      </c>
      <c r="H1910" t="s">
        <v>12</v>
      </c>
      <c r="I1910" t="str">
        <f t="shared" si="88"/>
        <v>High Value</v>
      </c>
      <c r="J1910" t="str">
        <f t="shared" si="89"/>
        <v>Low Risk</v>
      </c>
      <c r="K1910" s="3" t="str">
        <f t="shared" si="87"/>
        <v>4+ Years</v>
      </c>
    </row>
    <row r="1911" spans="1:11" x14ac:dyDescent="0.3">
      <c r="A1911" t="s">
        <v>1928</v>
      </c>
      <c r="B1911" t="s">
        <v>9</v>
      </c>
      <c r="C1911" t="s">
        <v>10</v>
      </c>
      <c r="D1911" t="s">
        <v>11</v>
      </c>
      <c r="E1911">
        <v>64.599999999999994</v>
      </c>
      <c r="F1911">
        <v>3</v>
      </c>
      <c r="G1911">
        <v>193.79999999999899</v>
      </c>
      <c r="H1911" t="s">
        <v>12</v>
      </c>
      <c r="I1911" t="str">
        <f t="shared" si="88"/>
        <v>Low Value</v>
      </c>
      <c r="J1911" t="str">
        <f t="shared" si="89"/>
        <v>High Risk</v>
      </c>
      <c r="K1911" s="3" t="str">
        <f t="shared" si="87"/>
        <v>0-1 Year</v>
      </c>
    </row>
    <row r="1912" spans="1:11" x14ac:dyDescent="0.3">
      <c r="A1912" t="s">
        <v>1929</v>
      </c>
      <c r="B1912" t="s">
        <v>14</v>
      </c>
      <c r="C1912" t="s">
        <v>10</v>
      </c>
      <c r="D1912" t="s">
        <v>24</v>
      </c>
      <c r="E1912">
        <v>51.1</v>
      </c>
      <c r="F1912">
        <v>24</v>
      </c>
      <c r="G1912">
        <v>1226.4000000000001</v>
      </c>
      <c r="H1912" t="s">
        <v>12</v>
      </c>
      <c r="I1912" t="str">
        <f t="shared" si="88"/>
        <v>Low Value</v>
      </c>
      <c r="J1912" t="str">
        <f t="shared" si="89"/>
        <v>Low Risk</v>
      </c>
      <c r="K1912" s="3" t="str">
        <f t="shared" si="87"/>
        <v>1-2 Years</v>
      </c>
    </row>
    <row r="1913" spans="1:11" x14ac:dyDescent="0.3">
      <c r="A1913" t="s">
        <v>1930</v>
      </c>
      <c r="B1913" t="s">
        <v>9</v>
      </c>
      <c r="C1913" t="s">
        <v>10</v>
      </c>
      <c r="D1913" t="s">
        <v>20</v>
      </c>
      <c r="E1913">
        <v>84.8</v>
      </c>
      <c r="F1913">
        <v>44</v>
      </c>
      <c r="G1913">
        <v>3731.2</v>
      </c>
      <c r="H1913" t="s">
        <v>18</v>
      </c>
      <c r="I1913" t="str">
        <f t="shared" si="88"/>
        <v>Medium Value</v>
      </c>
      <c r="J1913" t="str">
        <f t="shared" si="89"/>
        <v>Low Risk</v>
      </c>
      <c r="K1913" s="3" t="str">
        <f t="shared" si="87"/>
        <v>2-4 Years</v>
      </c>
    </row>
    <row r="1914" spans="1:11" x14ac:dyDescent="0.3">
      <c r="A1914" t="s">
        <v>1931</v>
      </c>
      <c r="B1914" t="s">
        <v>9</v>
      </c>
      <c r="C1914" t="s">
        <v>30</v>
      </c>
      <c r="D1914" t="s">
        <v>24</v>
      </c>
      <c r="E1914">
        <v>89.1</v>
      </c>
      <c r="F1914">
        <v>72</v>
      </c>
      <c r="G1914">
        <v>6415.2</v>
      </c>
      <c r="H1914" t="s">
        <v>12</v>
      </c>
      <c r="I1914" t="str">
        <f t="shared" si="88"/>
        <v>High Value</v>
      </c>
      <c r="J1914" t="str">
        <f t="shared" si="89"/>
        <v>Low Risk</v>
      </c>
      <c r="K1914" s="3" t="str">
        <f t="shared" si="87"/>
        <v>4+ Years</v>
      </c>
    </row>
    <row r="1915" spans="1:11" x14ac:dyDescent="0.3">
      <c r="A1915" t="s">
        <v>1932</v>
      </c>
      <c r="B1915" t="s">
        <v>14</v>
      </c>
      <c r="C1915" t="s">
        <v>10</v>
      </c>
      <c r="D1915" t="s">
        <v>11</v>
      </c>
      <c r="E1915">
        <v>54.95</v>
      </c>
      <c r="F1915">
        <v>24</v>
      </c>
      <c r="G1915">
        <v>1318.8</v>
      </c>
      <c r="H1915" t="s">
        <v>12</v>
      </c>
      <c r="I1915" t="str">
        <f t="shared" si="88"/>
        <v>Low Value</v>
      </c>
      <c r="J1915" t="str">
        <f t="shared" si="89"/>
        <v>Low Risk</v>
      </c>
      <c r="K1915" s="3" t="str">
        <f t="shared" si="87"/>
        <v>1-2 Years</v>
      </c>
    </row>
    <row r="1916" spans="1:11" x14ac:dyDescent="0.3">
      <c r="A1916" t="s">
        <v>1933</v>
      </c>
      <c r="B1916" t="s">
        <v>14</v>
      </c>
      <c r="C1916" t="s">
        <v>10</v>
      </c>
      <c r="D1916" t="s">
        <v>16</v>
      </c>
      <c r="E1916">
        <v>50.9</v>
      </c>
      <c r="F1916">
        <v>1</v>
      </c>
      <c r="G1916">
        <v>50.9</v>
      </c>
      <c r="H1916" t="s">
        <v>18</v>
      </c>
      <c r="I1916" t="str">
        <f t="shared" si="88"/>
        <v>Low Value</v>
      </c>
      <c r="J1916" t="str">
        <f t="shared" si="89"/>
        <v>High Risk</v>
      </c>
      <c r="K1916" s="3" t="str">
        <f t="shared" si="87"/>
        <v>0-1 Year</v>
      </c>
    </row>
    <row r="1917" spans="1:11" x14ac:dyDescent="0.3">
      <c r="A1917" t="s">
        <v>1934</v>
      </c>
      <c r="B1917" t="s">
        <v>14</v>
      </c>
      <c r="C1917" t="s">
        <v>10</v>
      </c>
      <c r="D1917" t="s">
        <v>20</v>
      </c>
      <c r="E1917">
        <v>20.45</v>
      </c>
      <c r="F1917">
        <v>22</v>
      </c>
      <c r="G1917">
        <v>449.9</v>
      </c>
      <c r="H1917" t="s">
        <v>12</v>
      </c>
      <c r="I1917" t="str">
        <f t="shared" si="88"/>
        <v>Low Value</v>
      </c>
      <c r="J1917" t="str">
        <f t="shared" si="89"/>
        <v>Medium Risk</v>
      </c>
      <c r="K1917" s="3" t="str">
        <f t="shared" si="87"/>
        <v>1-2 Years</v>
      </c>
    </row>
    <row r="1918" spans="1:11" x14ac:dyDescent="0.3">
      <c r="A1918" t="s">
        <v>1935</v>
      </c>
      <c r="B1918" t="s">
        <v>14</v>
      </c>
      <c r="C1918" t="s">
        <v>30</v>
      </c>
      <c r="D1918" t="s">
        <v>24</v>
      </c>
      <c r="E1918">
        <v>85.95</v>
      </c>
      <c r="F1918">
        <v>70</v>
      </c>
      <c r="G1918">
        <v>6016.5</v>
      </c>
      <c r="H1918" t="s">
        <v>12</v>
      </c>
      <c r="I1918" t="str">
        <f t="shared" si="88"/>
        <v>High Value</v>
      </c>
      <c r="J1918" t="str">
        <f t="shared" si="89"/>
        <v>Low Risk</v>
      </c>
      <c r="K1918" s="3" t="str">
        <f t="shared" si="87"/>
        <v>4+ Years</v>
      </c>
    </row>
    <row r="1919" spans="1:11" x14ac:dyDescent="0.3">
      <c r="A1919" t="s">
        <v>1936</v>
      </c>
      <c r="B1919" t="s">
        <v>14</v>
      </c>
      <c r="C1919" t="s">
        <v>10</v>
      </c>
      <c r="D1919" t="s">
        <v>11</v>
      </c>
      <c r="E1919">
        <v>60.35</v>
      </c>
      <c r="F1919">
        <v>25</v>
      </c>
      <c r="G1919">
        <v>1508.75</v>
      </c>
      <c r="H1919" t="s">
        <v>12</v>
      </c>
      <c r="I1919" t="str">
        <f t="shared" si="88"/>
        <v>Low Value</v>
      </c>
      <c r="J1919" t="str">
        <f t="shared" si="89"/>
        <v>Low Risk</v>
      </c>
      <c r="K1919" s="3" t="str">
        <f t="shared" si="87"/>
        <v>2-4 Years</v>
      </c>
    </row>
    <row r="1920" spans="1:11" x14ac:dyDescent="0.3">
      <c r="A1920" t="s">
        <v>1937</v>
      </c>
      <c r="B1920" t="s">
        <v>14</v>
      </c>
      <c r="C1920" t="s">
        <v>30</v>
      </c>
      <c r="D1920" t="s">
        <v>20</v>
      </c>
      <c r="E1920">
        <v>19.8</v>
      </c>
      <c r="F1920">
        <v>37</v>
      </c>
      <c r="G1920">
        <v>732.6</v>
      </c>
      <c r="H1920" t="s">
        <v>12</v>
      </c>
      <c r="I1920" t="str">
        <f t="shared" si="88"/>
        <v>Low Value</v>
      </c>
      <c r="J1920" t="str">
        <f t="shared" si="89"/>
        <v>Low Risk</v>
      </c>
      <c r="K1920" s="3" t="str">
        <f t="shared" si="87"/>
        <v>2-4 Years</v>
      </c>
    </row>
    <row r="1921" spans="1:11" x14ac:dyDescent="0.3">
      <c r="A1921" t="s">
        <v>1938</v>
      </c>
      <c r="B1921" t="s">
        <v>9</v>
      </c>
      <c r="C1921" t="s">
        <v>10</v>
      </c>
      <c r="D1921" t="s">
        <v>20</v>
      </c>
      <c r="E1921">
        <v>85.35</v>
      </c>
      <c r="F1921">
        <v>22</v>
      </c>
      <c r="G1921">
        <v>1877.69999999999</v>
      </c>
      <c r="H1921" t="s">
        <v>12</v>
      </c>
      <c r="I1921" t="str">
        <f t="shared" si="88"/>
        <v>Low Value</v>
      </c>
      <c r="J1921" t="str">
        <f t="shared" si="89"/>
        <v>Medium Risk</v>
      </c>
      <c r="K1921" s="3" t="str">
        <f t="shared" si="87"/>
        <v>1-2 Years</v>
      </c>
    </row>
    <row r="1922" spans="1:11" x14ac:dyDescent="0.3">
      <c r="A1922" t="s">
        <v>1939</v>
      </c>
      <c r="B1922" t="s">
        <v>9</v>
      </c>
      <c r="C1922" t="s">
        <v>30</v>
      </c>
      <c r="D1922" t="s">
        <v>20</v>
      </c>
      <c r="E1922">
        <v>72.099999999999994</v>
      </c>
      <c r="F1922">
        <v>59</v>
      </c>
      <c r="G1922">
        <v>4253.8999999999996</v>
      </c>
      <c r="H1922" t="s">
        <v>12</v>
      </c>
      <c r="I1922" t="str">
        <f t="shared" si="88"/>
        <v>Medium Value</v>
      </c>
      <c r="J1922" t="str">
        <f t="shared" si="89"/>
        <v>Low Risk</v>
      </c>
      <c r="K1922" s="3" t="str">
        <f t="shared" si="87"/>
        <v>4+ Years</v>
      </c>
    </row>
    <row r="1923" spans="1:11" x14ac:dyDescent="0.3">
      <c r="A1923" t="s">
        <v>1940</v>
      </c>
      <c r="B1923" t="s">
        <v>14</v>
      </c>
      <c r="C1923" t="s">
        <v>10</v>
      </c>
      <c r="D1923" t="s">
        <v>11</v>
      </c>
      <c r="E1923">
        <v>99.8</v>
      </c>
      <c r="F1923">
        <v>49</v>
      </c>
      <c r="G1923">
        <v>4890.2</v>
      </c>
      <c r="H1923" t="s">
        <v>18</v>
      </c>
      <c r="I1923" t="str">
        <f t="shared" si="88"/>
        <v>Medium Value</v>
      </c>
      <c r="J1923" t="str">
        <f t="shared" si="89"/>
        <v>Low Risk</v>
      </c>
      <c r="K1923" s="3" t="str">
        <f t="shared" ref="K1923:K1986" si="90">IF(F1923&lt;=12,"0-1 Year",
IF(F1923&lt;=24,"1-2 Years",
IF(F1923&lt;=48,"2-4 Years","4+ Years")))</f>
        <v>4+ Years</v>
      </c>
    </row>
    <row r="1924" spans="1:11" x14ac:dyDescent="0.3">
      <c r="A1924" t="s">
        <v>1941</v>
      </c>
      <c r="B1924" t="s">
        <v>14</v>
      </c>
      <c r="C1924" t="s">
        <v>10</v>
      </c>
      <c r="D1924" t="s">
        <v>20</v>
      </c>
      <c r="E1924">
        <v>107.35</v>
      </c>
      <c r="F1924">
        <v>47</v>
      </c>
      <c r="G1924">
        <v>5045.45</v>
      </c>
      <c r="H1924" t="s">
        <v>18</v>
      </c>
      <c r="I1924" t="str">
        <f t="shared" ref="I1924:I1987" si="91">IF(G1924&gt;5000,"High Value",
IF(G1924&gt;2000,"Medium Value","Low Value"))</f>
        <v>High Value</v>
      </c>
      <c r="J1924" t="str">
        <f t="shared" ref="J1924:J1987" si="92">IF(F1924&lt;12,"High Risk",
IF(F1924&lt;24,"Medium Risk","Low Risk"))</f>
        <v>Low Risk</v>
      </c>
      <c r="K1924" s="3" t="str">
        <f t="shared" si="90"/>
        <v>2-4 Years</v>
      </c>
    </row>
    <row r="1925" spans="1:11" x14ac:dyDescent="0.3">
      <c r="A1925" t="s">
        <v>1942</v>
      </c>
      <c r="B1925" t="s">
        <v>9</v>
      </c>
      <c r="C1925" t="s">
        <v>10</v>
      </c>
      <c r="D1925" t="s">
        <v>16</v>
      </c>
      <c r="E1925">
        <v>19.55</v>
      </c>
      <c r="F1925">
        <v>31</v>
      </c>
      <c r="G1925">
        <v>606.04999999999995</v>
      </c>
      <c r="H1925" t="s">
        <v>18</v>
      </c>
      <c r="I1925" t="str">
        <f t="shared" si="91"/>
        <v>Low Value</v>
      </c>
      <c r="J1925" t="str">
        <f t="shared" si="92"/>
        <v>Low Risk</v>
      </c>
      <c r="K1925" s="3" t="str">
        <f t="shared" si="90"/>
        <v>2-4 Years</v>
      </c>
    </row>
    <row r="1926" spans="1:11" x14ac:dyDescent="0.3">
      <c r="A1926" t="s">
        <v>1943</v>
      </c>
      <c r="B1926" t="s">
        <v>14</v>
      </c>
      <c r="C1926" t="s">
        <v>10</v>
      </c>
      <c r="D1926" t="s">
        <v>11</v>
      </c>
      <c r="E1926">
        <v>81.05</v>
      </c>
      <c r="F1926">
        <v>1</v>
      </c>
      <c r="G1926">
        <v>81.05</v>
      </c>
      <c r="H1926" t="s">
        <v>12</v>
      </c>
      <c r="I1926" t="str">
        <f t="shared" si="91"/>
        <v>Low Value</v>
      </c>
      <c r="J1926" t="str">
        <f t="shared" si="92"/>
        <v>High Risk</v>
      </c>
      <c r="K1926" s="3" t="str">
        <f t="shared" si="90"/>
        <v>0-1 Year</v>
      </c>
    </row>
    <row r="1927" spans="1:11" x14ac:dyDescent="0.3">
      <c r="A1927" t="s">
        <v>1944</v>
      </c>
      <c r="B1927" t="s">
        <v>14</v>
      </c>
      <c r="C1927" t="s">
        <v>10</v>
      </c>
      <c r="D1927" t="s">
        <v>11</v>
      </c>
      <c r="E1927">
        <v>20.5</v>
      </c>
      <c r="F1927">
        <v>3</v>
      </c>
      <c r="G1927">
        <v>61.5</v>
      </c>
      <c r="H1927" t="s">
        <v>12</v>
      </c>
      <c r="I1927" t="str">
        <f t="shared" si="91"/>
        <v>Low Value</v>
      </c>
      <c r="J1927" t="str">
        <f t="shared" si="92"/>
        <v>High Risk</v>
      </c>
      <c r="K1927" s="3" t="str">
        <f t="shared" si="90"/>
        <v>0-1 Year</v>
      </c>
    </row>
    <row r="1928" spans="1:11" x14ac:dyDescent="0.3">
      <c r="A1928" t="s">
        <v>1945</v>
      </c>
      <c r="B1928" t="s">
        <v>9</v>
      </c>
      <c r="C1928" t="s">
        <v>15</v>
      </c>
      <c r="D1928" t="s">
        <v>20</v>
      </c>
      <c r="E1928">
        <v>111.8</v>
      </c>
      <c r="F1928">
        <v>53</v>
      </c>
      <c r="G1928">
        <v>5925.4</v>
      </c>
      <c r="H1928" t="s">
        <v>12</v>
      </c>
      <c r="I1928" t="str">
        <f t="shared" si="91"/>
        <v>High Value</v>
      </c>
      <c r="J1928" t="str">
        <f t="shared" si="92"/>
        <v>Low Risk</v>
      </c>
      <c r="K1928" s="3" t="str">
        <f t="shared" si="90"/>
        <v>4+ Years</v>
      </c>
    </row>
    <row r="1929" spans="1:11" x14ac:dyDescent="0.3">
      <c r="A1929" t="s">
        <v>1946</v>
      </c>
      <c r="B1929" t="s">
        <v>14</v>
      </c>
      <c r="C1929" t="s">
        <v>10</v>
      </c>
      <c r="D1929" t="s">
        <v>16</v>
      </c>
      <c r="E1929">
        <v>20.2</v>
      </c>
      <c r="F1929">
        <v>1</v>
      </c>
      <c r="G1929">
        <v>20.2</v>
      </c>
      <c r="H1929" t="s">
        <v>12</v>
      </c>
      <c r="I1929" t="str">
        <f t="shared" si="91"/>
        <v>Low Value</v>
      </c>
      <c r="J1929" t="str">
        <f t="shared" si="92"/>
        <v>High Risk</v>
      </c>
      <c r="K1929" s="3" t="str">
        <f t="shared" si="90"/>
        <v>0-1 Year</v>
      </c>
    </row>
    <row r="1930" spans="1:11" x14ac:dyDescent="0.3">
      <c r="A1930" t="s">
        <v>1947</v>
      </c>
      <c r="B1930" t="s">
        <v>14</v>
      </c>
      <c r="C1930" t="s">
        <v>15</v>
      </c>
      <c r="D1930" t="s">
        <v>16</v>
      </c>
      <c r="E1930">
        <v>19.7</v>
      </c>
      <c r="F1930">
        <v>20</v>
      </c>
      <c r="G1930">
        <v>394</v>
      </c>
      <c r="H1930" t="s">
        <v>12</v>
      </c>
      <c r="I1930" t="str">
        <f t="shared" si="91"/>
        <v>Low Value</v>
      </c>
      <c r="J1930" t="str">
        <f t="shared" si="92"/>
        <v>Medium Risk</v>
      </c>
      <c r="K1930" s="3" t="str">
        <f t="shared" si="90"/>
        <v>1-2 Years</v>
      </c>
    </row>
    <row r="1931" spans="1:11" x14ac:dyDescent="0.3">
      <c r="A1931" t="s">
        <v>1948</v>
      </c>
      <c r="B1931" t="s">
        <v>9</v>
      </c>
      <c r="C1931" t="s">
        <v>10</v>
      </c>
      <c r="D1931" t="s">
        <v>11</v>
      </c>
      <c r="E1931">
        <v>79.099999999999994</v>
      </c>
      <c r="F1931">
        <v>3</v>
      </c>
      <c r="G1931">
        <v>237.29999999999899</v>
      </c>
      <c r="H1931" t="s">
        <v>18</v>
      </c>
      <c r="I1931" t="str">
        <f t="shared" si="91"/>
        <v>Low Value</v>
      </c>
      <c r="J1931" t="str">
        <f t="shared" si="92"/>
        <v>High Risk</v>
      </c>
      <c r="K1931" s="3" t="str">
        <f t="shared" si="90"/>
        <v>0-1 Year</v>
      </c>
    </row>
    <row r="1932" spans="1:11" x14ac:dyDescent="0.3">
      <c r="A1932" t="s">
        <v>1949</v>
      </c>
      <c r="B1932" t="s">
        <v>9</v>
      </c>
      <c r="C1932" t="s">
        <v>15</v>
      </c>
      <c r="D1932" t="s">
        <v>20</v>
      </c>
      <c r="E1932">
        <v>19.850000000000001</v>
      </c>
      <c r="F1932">
        <v>51</v>
      </c>
      <c r="G1932">
        <v>1012.35</v>
      </c>
      <c r="H1932" t="s">
        <v>12</v>
      </c>
      <c r="I1932" t="str">
        <f t="shared" si="91"/>
        <v>Low Value</v>
      </c>
      <c r="J1932" t="str">
        <f t="shared" si="92"/>
        <v>Low Risk</v>
      </c>
      <c r="K1932" s="3" t="str">
        <f t="shared" si="90"/>
        <v>4+ Years</v>
      </c>
    </row>
    <row r="1933" spans="1:11" x14ac:dyDescent="0.3">
      <c r="A1933" t="s">
        <v>1950</v>
      </c>
      <c r="B1933" t="s">
        <v>9</v>
      </c>
      <c r="C1933" t="s">
        <v>15</v>
      </c>
      <c r="D1933" t="s">
        <v>20</v>
      </c>
      <c r="E1933">
        <v>60.5</v>
      </c>
      <c r="F1933">
        <v>51</v>
      </c>
      <c r="G1933">
        <v>3085.5</v>
      </c>
      <c r="H1933" t="s">
        <v>12</v>
      </c>
      <c r="I1933" t="str">
        <f t="shared" si="91"/>
        <v>Medium Value</v>
      </c>
      <c r="J1933" t="str">
        <f t="shared" si="92"/>
        <v>Low Risk</v>
      </c>
      <c r="K1933" s="3" t="str">
        <f t="shared" si="90"/>
        <v>4+ Years</v>
      </c>
    </row>
    <row r="1934" spans="1:11" x14ac:dyDescent="0.3">
      <c r="A1934" t="s">
        <v>1951</v>
      </c>
      <c r="B1934" t="s">
        <v>9</v>
      </c>
      <c r="C1934" t="s">
        <v>30</v>
      </c>
      <c r="D1934" t="s">
        <v>16</v>
      </c>
      <c r="E1934">
        <v>19.55</v>
      </c>
      <c r="F1934">
        <v>13</v>
      </c>
      <c r="G1934">
        <v>254.15</v>
      </c>
      <c r="H1934" t="s">
        <v>12</v>
      </c>
      <c r="I1934" t="str">
        <f t="shared" si="91"/>
        <v>Low Value</v>
      </c>
      <c r="J1934" t="str">
        <f t="shared" si="92"/>
        <v>Medium Risk</v>
      </c>
      <c r="K1934" s="3" t="str">
        <f t="shared" si="90"/>
        <v>1-2 Years</v>
      </c>
    </row>
    <row r="1935" spans="1:11" x14ac:dyDescent="0.3">
      <c r="A1935" t="s">
        <v>1952</v>
      </c>
      <c r="B1935" t="s">
        <v>9</v>
      </c>
      <c r="C1935" t="s">
        <v>10</v>
      </c>
      <c r="D1935" t="s">
        <v>16</v>
      </c>
      <c r="E1935">
        <v>20.9</v>
      </c>
      <c r="F1935">
        <v>1</v>
      </c>
      <c r="G1935">
        <v>20.9</v>
      </c>
      <c r="H1935" t="s">
        <v>12</v>
      </c>
      <c r="I1935" t="str">
        <f t="shared" si="91"/>
        <v>Low Value</v>
      </c>
      <c r="J1935" t="str">
        <f t="shared" si="92"/>
        <v>High Risk</v>
      </c>
      <c r="K1935" s="3" t="str">
        <f t="shared" si="90"/>
        <v>0-1 Year</v>
      </c>
    </row>
    <row r="1936" spans="1:11" x14ac:dyDescent="0.3">
      <c r="A1936" t="s">
        <v>1953</v>
      </c>
      <c r="B1936" t="s">
        <v>14</v>
      </c>
      <c r="C1936" t="s">
        <v>10</v>
      </c>
      <c r="D1936" t="s">
        <v>16</v>
      </c>
      <c r="E1936">
        <v>21.05</v>
      </c>
      <c r="F1936">
        <v>1</v>
      </c>
      <c r="G1936">
        <v>21.05</v>
      </c>
      <c r="H1936" t="s">
        <v>12</v>
      </c>
      <c r="I1936" t="str">
        <f t="shared" si="91"/>
        <v>Low Value</v>
      </c>
      <c r="J1936" t="str">
        <f t="shared" si="92"/>
        <v>High Risk</v>
      </c>
      <c r="K1936" s="3" t="str">
        <f t="shared" si="90"/>
        <v>0-1 Year</v>
      </c>
    </row>
    <row r="1937" spans="1:11" x14ac:dyDescent="0.3">
      <c r="A1937" t="s">
        <v>1954</v>
      </c>
      <c r="B1937" t="s">
        <v>14</v>
      </c>
      <c r="C1937" t="s">
        <v>15</v>
      </c>
      <c r="D1937" t="s">
        <v>11</v>
      </c>
      <c r="E1937">
        <v>71.5</v>
      </c>
      <c r="F1937">
        <v>63</v>
      </c>
      <c r="G1937">
        <v>4504.5</v>
      </c>
      <c r="H1937" t="s">
        <v>12</v>
      </c>
      <c r="I1937" t="str">
        <f t="shared" si="91"/>
        <v>Medium Value</v>
      </c>
      <c r="J1937" t="str">
        <f t="shared" si="92"/>
        <v>Low Risk</v>
      </c>
      <c r="K1937" s="3" t="str">
        <f t="shared" si="90"/>
        <v>4+ Years</v>
      </c>
    </row>
    <row r="1938" spans="1:11" x14ac:dyDescent="0.3">
      <c r="A1938" t="s">
        <v>1955</v>
      </c>
      <c r="B1938" t="s">
        <v>14</v>
      </c>
      <c r="C1938" t="s">
        <v>10</v>
      </c>
      <c r="D1938" t="s">
        <v>16</v>
      </c>
      <c r="E1938">
        <v>54.65</v>
      </c>
      <c r="F1938">
        <v>3</v>
      </c>
      <c r="G1938">
        <v>163.95</v>
      </c>
      <c r="H1938" t="s">
        <v>12</v>
      </c>
      <c r="I1938" t="str">
        <f t="shared" si="91"/>
        <v>Low Value</v>
      </c>
      <c r="J1938" t="str">
        <f t="shared" si="92"/>
        <v>High Risk</v>
      </c>
      <c r="K1938" s="3" t="str">
        <f t="shared" si="90"/>
        <v>0-1 Year</v>
      </c>
    </row>
    <row r="1939" spans="1:11" x14ac:dyDescent="0.3">
      <c r="A1939" t="s">
        <v>1956</v>
      </c>
      <c r="B1939" t="s">
        <v>14</v>
      </c>
      <c r="C1939" t="s">
        <v>30</v>
      </c>
      <c r="D1939" t="s">
        <v>24</v>
      </c>
      <c r="E1939">
        <v>19.2</v>
      </c>
      <c r="F1939">
        <v>46</v>
      </c>
      <c r="G1939">
        <v>883.19999999999902</v>
      </c>
      <c r="H1939" t="s">
        <v>12</v>
      </c>
      <c r="I1939" t="str">
        <f t="shared" si="91"/>
        <v>Low Value</v>
      </c>
      <c r="J1939" t="str">
        <f t="shared" si="92"/>
        <v>Low Risk</v>
      </c>
      <c r="K1939" s="3" t="str">
        <f t="shared" si="90"/>
        <v>2-4 Years</v>
      </c>
    </row>
    <row r="1940" spans="1:11" x14ac:dyDescent="0.3">
      <c r="A1940" t="s">
        <v>1957</v>
      </c>
      <c r="B1940" t="s">
        <v>14</v>
      </c>
      <c r="C1940" t="s">
        <v>10</v>
      </c>
      <c r="D1940" t="s">
        <v>24</v>
      </c>
      <c r="E1940">
        <v>49.8</v>
      </c>
      <c r="F1940">
        <v>1</v>
      </c>
      <c r="G1940">
        <v>49.8</v>
      </c>
      <c r="H1940" t="s">
        <v>12</v>
      </c>
      <c r="I1940" t="str">
        <f t="shared" si="91"/>
        <v>Low Value</v>
      </c>
      <c r="J1940" t="str">
        <f t="shared" si="92"/>
        <v>High Risk</v>
      </c>
      <c r="K1940" s="3" t="str">
        <f t="shared" si="90"/>
        <v>0-1 Year</v>
      </c>
    </row>
    <row r="1941" spans="1:11" x14ac:dyDescent="0.3">
      <c r="A1941" t="s">
        <v>1958</v>
      </c>
      <c r="B1941" t="s">
        <v>14</v>
      </c>
      <c r="C1941" t="s">
        <v>10</v>
      </c>
      <c r="D1941" t="s">
        <v>16</v>
      </c>
      <c r="E1941">
        <v>25.5</v>
      </c>
      <c r="F1941">
        <v>8</v>
      </c>
      <c r="G1941">
        <v>204</v>
      </c>
      <c r="H1941" t="s">
        <v>18</v>
      </c>
      <c r="I1941" t="str">
        <f t="shared" si="91"/>
        <v>Low Value</v>
      </c>
      <c r="J1941" t="str">
        <f t="shared" si="92"/>
        <v>High Risk</v>
      </c>
      <c r="K1941" s="3" t="str">
        <f t="shared" si="90"/>
        <v>0-1 Year</v>
      </c>
    </row>
    <row r="1942" spans="1:11" x14ac:dyDescent="0.3">
      <c r="A1942" t="s">
        <v>1959</v>
      </c>
      <c r="B1942" t="s">
        <v>9</v>
      </c>
      <c r="C1942" t="s">
        <v>30</v>
      </c>
      <c r="D1942" t="s">
        <v>20</v>
      </c>
      <c r="E1942">
        <v>20.5</v>
      </c>
      <c r="F1942">
        <v>71</v>
      </c>
      <c r="G1942">
        <v>1455.5</v>
      </c>
      <c r="H1942" t="s">
        <v>12</v>
      </c>
      <c r="I1942" t="str">
        <f t="shared" si="91"/>
        <v>Low Value</v>
      </c>
      <c r="J1942" t="str">
        <f t="shared" si="92"/>
        <v>Low Risk</v>
      </c>
      <c r="K1942" s="3" t="str">
        <f t="shared" si="90"/>
        <v>4+ Years</v>
      </c>
    </row>
    <row r="1943" spans="1:11" x14ac:dyDescent="0.3">
      <c r="A1943" t="s">
        <v>1960</v>
      </c>
      <c r="B1943" t="s">
        <v>14</v>
      </c>
      <c r="C1943" t="s">
        <v>10</v>
      </c>
      <c r="D1943" t="s">
        <v>24</v>
      </c>
      <c r="E1943">
        <v>90.4</v>
      </c>
      <c r="F1943">
        <v>55</v>
      </c>
      <c r="G1943">
        <v>4972</v>
      </c>
      <c r="H1943" t="s">
        <v>12</v>
      </c>
      <c r="I1943" t="str">
        <f t="shared" si="91"/>
        <v>Medium Value</v>
      </c>
      <c r="J1943" t="str">
        <f t="shared" si="92"/>
        <v>Low Risk</v>
      </c>
      <c r="K1943" s="3" t="str">
        <f t="shared" si="90"/>
        <v>4+ Years</v>
      </c>
    </row>
    <row r="1944" spans="1:11" x14ac:dyDescent="0.3">
      <c r="A1944" t="s">
        <v>1961</v>
      </c>
      <c r="B1944" t="s">
        <v>9</v>
      </c>
      <c r="C1944" t="s">
        <v>15</v>
      </c>
      <c r="D1944" t="s">
        <v>20</v>
      </c>
      <c r="E1944">
        <v>90.25</v>
      </c>
      <c r="F1944">
        <v>70</v>
      </c>
      <c r="G1944">
        <v>6317.5</v>
      </c>
      <c r="H1944" t="s">
        <v>12</v>
      </c>
      <c r="I1944" t="str">
        <f t="shared" si="91"/>
        <v>High Value</v>
      </c>
      <c r="J1944" t="str">
        <f t="shared" si="92"/>
        <v>Low Risk</v>
      </c>
      <c r="K1944" s="3" t="str">
        <f t="shared" si="90"/>
        <v>4+ Years</v>
      </c>
    </row>
    <row r="1945" spans="1:11" x14ac:dyDescent="0.3">
      <c r="A1945" t="s">
        <v>1962</v>
      </c>
      <c r="B1945" t="s">
        <v>9</v>
      </c>
      <c r="C1945" t="s">
        <v>10</v>
      </c>
      <c r="D1945" t="s">
        <v>11</v>
      </c>
      <c r="E1945">
        <v>80.75</v>
      </c>
      <c r="F1945">
        <v>2</v>
      </c>
      <c r="G1945">
        <v>161.5</v>
      </c>
      <c r="H1945" t="s">
        <v>18</v>
      </c>
      <c r="I1945" t="str">
        <f t="shared" si="91"/>
        <v>Low Value</v>
      </c>
      <c r="J1945" t="str">
        <f t="shared" si="92"/>
        <v>High Risk</v>
      </c>
      <c r="K1945" s="3" t="str">
        <f t="shared" si="90"/>
        <v>0-1 Year</v>
      </c>
    </row>
    <row r="1946" spans="1:11" x14ac:dyDescent="0.3">
      <c r="A1946" t="s">
        <v>1963</v>
      </c>
      <c r="B1946" t="s">
        <v>14</v>
      </c>
      <c r="C1946" t="s">
        <v>30</v>
      </c>
      <c r="D1946" t="s">
        <v>20</v>
      </c>
      <c r="E1946">
        <v>104.6</v>
      </c>
      <c r="F1946">
        <v>67</v>
      </c>
      <c r="G1946">
        <v>7008.2</v>
      </c>
      <c r="H1946" t="s">
        <v>12</v>
      </c>
      <c r="I1946" t="str">
        <f t="shared" si="91"/>
        <v>High Value</v>
      </c>
      <c r="J1946" t="str">
        <f t="shared" si="92"/>
        <v>Low Risk</v>
      </c>
      <c r="K1946" s="3" t="str">
        <f t="shared" si="90"/>
        <v>4+ Years</v>
      </c>
    </row>
    <row r="1947" spans="1:11" x14ac:dyDescent="0.3">
      <c r="A1947" t="s">
        <v>1964</v>
      </c>
      <c r="B1947" t="s">
        <v>14</v>
      </c>
      <c r="C1947" t="s">
        <v>10</v>
      </c>
      <c r="D1947" t="s">
        <v>20</v>
      </c>
      <c r="E1947">
        <v>91.85</v>
      </c>
      <c r="F1947">
        <v>65</v>
      </c>
      <c r="G1947">
        <v>5970.25</v>
      </c>
      <c r="H1947" t="s">
        <v>18</v>
      </c>
      <c r="I1947" t="str">
        <f t="shared" si="91"/>
        <v>High Value</v>
      </c>
      <c r="J1947" t="str">
        <f t="shared" si="92"/>
        <v>Low Risk</v>
      </c>
      <c r="K1947" s="3" t="str">
        <f t="shared" si="90"/>
        <v>4+ Years</v>
      </c>
    </row>
    <row r="1948" spans="1:11" x14ac:dyDescent="0.3">
      <c r="A1948" t="s">
        <v>1965</v>
      </c>
      <c r="B1948" t="s">
        <v>14</v>
      </c>
      <c r="C1948" t="s">
        <v>10</v>
      </c>
      <c r="D1948" t="s">
        <v>24</v>
      </c>
      <c r="E1948">
        <v>50.2</v>
      </c>
      <c r="F1948">
        <v>14</v>
      </c>
      <c r="G1948">
        <v>702.8</v>
      </c>
      <c r="H1948" t="s">
        <v>12</v>
      </c>
      <c r="I1948" t="str">
        <f t="shared" si="91"/>
        <v>Low Value</v>
      </c>
      <c r="J1948" t="str">
        <f t="shared" si="92"/>
        <v>Medium Risk</v>
      </c>
      <c r="K1948" s="3" t="str">
        <f t="shared" si="90"/>
        <v>1-2 Years</v>
      </c>
    </row>
    <row r="1949" spans="1:11" x14ac:dyDescent="0.3">
      <c r="A1949" t="s">
        <v>1966</v>
      </c>
      <c r="B1949" t="s">
        <v>9</v>
      </c>
      <c r="C1949" t="s">
        <v>10</v>
      </c>
      <c r="D1949" t="s">
        <v>20</v>
      </c>
      <c r="E1949">
        <v>95.5</v>
      </c>
      <c r="F1949">
        <v>20</v>
      </c>
      <c r="G1949">
        <v>1910</v>
      </c>
      <c r="H1949" t="s">
        <v>12</v>
      </c>
      <c r="I1949" t="str">
        <f t="shared" si="91"/>
        <v>Low Value</v>
      </c>
      <c r="J1949" t="str">
        <f t="shared" si="92"/>
        <v>Medium Risk</v>
      </c>
      <c r="K1949" s="3" t="str">
        <f t="shared" si="90"/>
        <v>1-2 Years</v>
      </c>
    </row>
    <row r="1950" spans="1:11" x14ac:dyDescent="0.3">
      <c r="A1950" t="s">
        <v>1967</v>
      </c>
      <c r="B1950" t="s">
        <v>14</v>
      </c>
      <c r="C1950" t="s">
        <v>10</v>
      </c>
      <c r="D1950" t="s">
        <v>11</v>
      </c>
      <c r="E1950">
        <v>75.349999999999994</v>
      </c>
      <c r="F1950">
        <v>1</v>
      </c>
      <c r="G1950">
        <v>75.349999999999994</v>
      </c>
      <c r="H1950" t="s">
        <v>18</v>
      </c>
      <c r="I1950" t="str">
        <f t="shared" si="91"/>
        <v>Low Value</v>
      </c>
      <c r="J1950" t="str">
        <f t="shared" si="92"/>
        <v>High Risk</v>
      </c>
      <c r="K1950" s="3" t="str">
        <f t="shared" si="90"/>
        <v>0-1 Year</v>
      </c>
    </row>
    <row r="1951" spans="1:11" x14ac:dyDescent="0.3">
      <c r="A1951" t="s">
        <v>1968</v>
      </c>
      <c r="B1951" t="s">
        <v>14</v>
      </c>
      <c r="C1951" t="s">
        <v>10</v>
      </c>
      <c r="D1951" t="s">
        <v>11</v>
      </c>
      <c r="E1951">
        <v>75.45</v>
      </c>
      <c r="F1951">
        <v>1</v>
      </c>
      <c r="G1951">
        <v>75.45</v>
      </c>
      <c r="H1951" t="s">
        <v>18</v>
      </c>
      <c r="I1951" t="str">
        <f t="shared" si="91"/>
        <v>Low Value</v>
      </c>
      <c r="J1951" t="str">
        <f t="shared" si="92"/>
        <v>High Risk</v>
      </c>
      <c r="K1951" s="3" t="str">
        <f t="shared" si="90"/>
        <v>0-1 Year</v>
      </c>
    </row>
    <row r="1952" spans="1:11" x14ac:dyDescent="0.3">
      <c r="A1952" t="s">
        <v>1969</v>
      </c>
      <c r="B1952" t="s">
        <v>9</v>
      </c>
      <c r="C1952" t="s">
        <v>10</v>
      </c>
      <c r="D1952" t="s">
        <v>20</v>
      </c>
      <c r="E1952">
        <v>95.4</v>
      </c>
      <c r="F1952">
        <v>49</v>
      </c>
      <c r="G1952">
        <v>4674.6000000000004</v>
      </c>
      <c r="H1952" t="s">
        <v>12</v>
      </c>
      <c r="I1952" t="str">
        <f t="shared" si="91"/>
        <v>Medium Value</v>
      </c>
      <c r="J1952" t="str">
        <f t="shared" si="92"/>
        <v>Low Risk</v>
      </c>
      <c r="K1952" s="3" t="str">
        <f t="shared" si="90"/>
        <v>4+ Years</v>
      </c>
    </row>
    <row r="1953" spans="1:11" x14ac:dyDescent="0.3">
      <c r="A1953" t="s">
        <v>1970</v>
      </c>
      <c r="B1953" t="s">
        <v>9</v>
      </c>
      <c r="C1953" t="s">
        <v>30</v>
      </c>
      <c r="D1953" t="s">
        <v>20</v>
      </c>
      <c r="E1953">
        <v>101.3</v>
      </c>
      <c r="F1953">
        <v>72</v>
      </c>
      <c r="G1953">
        <v>7293.5999999999904</v>
      </c>
      <c r="H1953" t="s">
        <v>12</v>
      </c>
      <c r="I1953" t="str">
        <f t="shared" si="91"/>
        <v>High Value</v>
      </c>
      <c r="J1953" t="str">
        <f t="shared" si="92"/>
        <v>Low Risk</v>
      </c>
      <c r="K1953" s="3" t="str">
        <f t="shared" si="90"/>
        <v>4+ Years</v>
      </c>
    </row>
    <row r="1954" spans="1:11" x14ac:dyDescent="0.3">
      <c r="A1954" t="s">
        <v>1971</v>
      </c>
      <c r="B1954" t="s">
        <v>9</v>
      </c>
      <c r="C1954" t="s">
        <v>10</v>
      </c>
      <c r="D1954" t="s">
        <v>11</v>
      </c>
      <c r="E1954">
        <v>53.1</v>
      </c>
      <c r="F1954">
        <v>46</v>
      </c>
      <c r="G1954">
        <v>2442.6</v>
      </c>
      <c r="H1954" t="s">
        <v>12</v>
      </c>
      <c r="I1954" t="str">
        <f t="shared" si="91"/>
        <v>Medium Value</v>
      </c>
      <c r="J1954" t="str">
        <f t="shared" si="92"/>
        <v>Low Risk</v>
      </c>
      <c r="K1954" s="3" t="str">
        <f t="shared" si="90"/>
        <v>2-4 Years</v>
      </c>
    </row>
    <row r="1955" spans="1:11" x14ac:dyDescent="0.3">
      <c r="A1955" t="s">
        <v>1972</v>
      </c>
      <c r="B1955" t="s">
        <v>14</v>
      </c>
      <c r="C1955" t="s">
        <v>10</v>
      </c>
      <c r="D1955" t="s">
        <v>20</v>
      </c>
      <c r="E1955">
        <v>84.85</v>
      </c>
      <c r="F1955">
        <v>24</v>
      </c>
      <c r="G1955">
        <v>2036.3999999999901</v>
      </c>
      <c r="H1955" t="s">
        <v>12</v>
      </c>
      <c r="I1955" t="str">
        <f t="shared" si="91"/>
        <v>Medium Value</v>
      </c>
      <c r="J1955" t="str">
        <f t="shared" si="92"/>
        <v>Low Risk</v>
      </c>
      <c r="K1955" s="3" t="str">
        <f t="shared" si="90"/>
        <v>1-2 Years</v>
      </c>
    </row>
    <row r="1956" spans="1:11" x14ac:dyDescent="0.3">
      <c r="A1956" t="s">
        <v>1973</v>
      </c>
      <c r="B1956" t="s">
        <v>9</v>
      </c>
      <c r="C1956" t="s">
        <v>10</v>
      </c>
      <c r="D1956" t="s">
        <v>11</v>
      </c>
      <c r="E1956">
        <v>34.25</v>
      </c>
      <c r="F1956">
        <v>5</v>
      </c>
      <c r="G1956">
        <v>171.25</v>
      </c>
      <c r="H1956" t="s">
        <v>12</v>
      </c>
      <c r="I1956" t="str">
        <f t="shared" si="91"/>
        <v>Low Value</v>
      </c>
      <c r="J1956" t="str">
        <f t="shared" si="92"/>
        <v>High Risk</v>
      </c>
      <c r="K1956" s="3" t="str">
        <f t="shared" si="90"/>
        <v>0-1 Year</v>
      </c>
    </row>
    <row r="1957" spans="1:11" x14ac:dyDescent="0.3">
      <c r="A1957" t="s">
        <v>1974</v>
      </c>
      <c r="B1957" t="s">
        <v>9</v>
      </c>
      <c r="C1957" t="s">
        <v>10</v>
      </c>
      <c r="D1957" t="s">
        <v>24</v>
      </c>
      <c r="E1957">
        <v>88.6</v>
      </c>
      <c r="F1957">
        <v>33</v>
      </c>
      <c r="G1957">
        <v>2923.7999999999902</v>
      </c>
      <c r="H1957" t="s">
        <v>12</v>
      </c>
      <c r="I1957" t="str">
        <f t="shared" si="91"/>
        <v>Medium Value</v>
      </c>
      <c r="J1957" t="str">
        <f t="shared" si="92"/>
        <v>Low Risk</v>
      </c>
      <c r="K1957" s="3" t="str">
        <f t="shared" si="90"/>
        <v>2-4 Years</v>
      </c>
    </row>
    <row r="1958" spans="1:11" x14ac:dyDescent="0.3">
      <c r="A1958" t="s">
        <v>1975</v>
      </c>
      <c r="B1958" t="s">
        <v>9</v>
      </c>
      <c r="C1958" t="s">
        <v>15</v>
      </c>
      <c r="D1958" t="s">
        <v>20</v>
      </c>
      <c r="E1958">
        <v>60.15</v>
      </c>
      <c r="F1958">
        <v>42</v>
      </c>
      <c r="G1958">
        <v>2526.2999999999902</v>
      </c>
      <c r="H1958" t="s">
        <v>12</v>
      </c>
      <c r="I1958" t="str">
        <f t="shared" si="91"/>
        <v>Medium Value</v>
      </c>
      <c r="J1958" t="str">
        <f t="shared" si="92"/>
        <v>Low Risk</v>
      </c>
      <c r="K1958" s="3" t="str">
        <f t="shared" si="90"/>
        <v>2-4 Years</v>
      </c>
    </row>
    <row r="1959" spans="1:11" x14ac:dyDescent="0.3">
      <c r="A1959" t="s">
        <v>1976</v>
      </c>
      <c r="B1959" t="s">
        <v>14</v>
      </c>
      <c r="C1959" t="s">
        <v>15</v>
      </c>
      <c r="D1959" t="s">
        <v>24</v>
      </c>
      <c r="E1959">
        <v>99.95</v>
      </c>
      <c r="F1959">
        <v>23</v>
      </c>
      <c r="G1959">
        <v>2298.85</v>
      </c>
      <c r="H1959" t="s">
        <v>12</v>
      </c>
      <c r="I1959" t="str">
        <f t="shared" si="91"/>
        <v>Medium Value</v>
      </c>
      <c r="J1959" t="str">
        <f t="shared" si="92"/>
        <v>Medium Risk</v>
      </c>
      <c r="K1959" s="3" t="str">
        <f t="shared" si="90"/>
        <v>1-2 Years</v>
      </c>
    </row>
    <row r="1960" spans="1:11" x14ac:dyDescent="0.3">
      <c r="A1960" t="s">
        <v>1977</v>
      </c>
      <c r="B1960" t="s">
        <v>14</v>
      </c>
      <c r="C1960" t="s">
        <v>10</v>
      </c>
      <c r="D1960" t="s">
        <v>20</v>
      </c>
      <c r="E1960">
        <v>70.7</v>
      </c>
      <c r="F1960">
        <v>8</v>
      </c>
      <c r="G1960">
        <v>565.6</v>
      </c>
      <c r="H1960" t="s">
        <v>12</v>
      </c>
      <c r="I1960" t="str">
        <f t="shared" si="91"/>
        <v>Low Value</v>
      </c>
      <c r="J1960" t="str">
        <f t="shared" si="92"/>
        <v>High Risk</v>
      </c>
      <c r="K1960" s="3" t="str">
        <f t="shared" si="90"/>
        <v>0-1 Year</v>
      </c>
    </row>
    <row r="1961" spans="1:11" x14ac:dyDescent="0.3">
      <c r="A1961" t="s">
        <v>1978</v>
      </c>
      <c r="B1961" t="s">
        <v>14</v>
      </c>
      <c r="C1961" t="s">
        <v>15</v>
      </c>
      <c r="D1961" t="s">
        <v>16</v>
      </c>
      <c r="E1961">
        <v>54.8</v>
      </c>
      <c r="F1961">
        <v>66</v>
      </c>
      <c r="G1961">
        <v>3616.7999999999902</v>
      </c>
      <c r="H1961" t="s">
        <v>12</v>
      </c>
      <c r="I1961" t="str">
        <f t="shared" si="91"/>
        <v>Medium Value</v>
      </c>
      <c r="J1961" t="str">
        <f t="shared" si="92"/>
        <v>Low Risk</v>
      </c>
      <c r="K1961" s="3" t="str">
        <f t="shared" si="90"/>
        <v>4+ Years</v>
      </c>
    </row>
    <row r="1962" spans="1:11" x14ac:dyDescent="0.3">
      <c r="A1962" t="s">
        <v>1979</v>
      </c>
      <c r="B1962" t="s">
        <v>14</v>
      </c>
      <c r="C1962" t="s">
        <v>10</v>
      </c>
      <c r="D1962" t="s">
        <v>20</v>
      </c>
      <c r="E1962">
        <v>49.55</v>
      </c>
      <c r="F1962">
        <v>24</v>
      </c>
      <c r="G1962">
        <v>1189.19999999999</v>
      </c>
      <c r="H1962" t="s">
        <v>18</v>
      </c>
      <c r="I1962" t="str">
        <f t="shared" si="91"/>
        <v>Low Value</v>
      </c>
      <c r="J1962" t="str">
        <f t="shared" si="92"/>
        <v>Low Risk</v>
      </c>
      <c r="K1962" s="3" t="str">
        <f t="shared" si="90"/>
        <v>1-2 Years</v>
      </c>
    </row>
    <row r="1963" spans="1:11" x14ac:dyDescent="0.3">
      <c r="A1963" t="s">
        <v>1980</v>
      </c>
      <c r="B1963" t="s">
        <v>14</v>
      </c>
      <c r="C1963" t="s">
        <v>10</v>
      </c>
      <c r="D1963" t="s">
        <v>24</v>
      </c>
      <c r="E1963">
        <v>54.8</v>
      </c>
      <c r="F1963">
        <v>24</v>
      </c>
      <c r="G1963">
        <v>1315.19999999999</v>
      </c>
      <c r="H1963" t="s">
        <v>12</v>
      </c>
      <c r="I1963" t="str">
        <f t="shared" si="91"/>
        <v>Low Value</v>
      </c>
      <c r="J1963" t="str">
        <f t="shared" si="92"/>
        <v>Low Risk</v>
      </c>
      <c r="K1963" s="3" t="str">
        <f t="shared" si="90"/>
        <v>1-2 Years</v>
      </c>
    </row>
    <row r="1964" spans="1:11" x14ac:dyDescent="0.3">
      <c r="A1964" t="s">
        <v>1981</v>
      </c>
      <c r="B1964" t="s">
        <v>14</v>
      </c>
      <c r="C1964" t="s">
        <v>15</v>
      </c>
      <c r="D1964" t="s">
        <v>24</v>
      </c>
      <c r="E1964">
        <v>78.599999999999994</v>
      </c>
      <c r="F1964">
        <v>69</v>
      </c>
      <c r="G1964">
        <v>5423.4</v>
      </c>
      <c r="H1964" t="s">
        <v>18</v>
      </c>
      <c r="I1964" t="str">
        <f t="shared" si="91"/>
        <v>High Value</v>
      </c>
      <c r="J1964" t="str">
        <f t="shared" si="92"/>
        <v>Low Risk</v>
      </c>
      <c r="K1964" s="3" t="str">
        <f t="shared" si="90"/>
        <v>4+ Years</v>
      </c>
    </row>
    <row r="1965" spans="1:11" x14ac:dyDescent="0.3">
      <c r="A1965" t="s">
        <v>1982</v>
      </c>
      <c r="B1965" t="s">
        <v>9</v>
      </c>
      <c r="C1965" t="s">
        <v>15</v>
      </c>
      <c r="D1965" t="s">
        <v>16</v>
      </c>
      <c r="E1965">
        <v>100.3</v>
      </c>
      <c r="F1965">
        <v>53</v>
      </c>
      <c r="G1965">
        <v>5315.9</v>
      </c>
      <c r="H1965" t="s">
        <v>12</v>
      </c>
      <c r="I1965" t="str">
        <f t="shared" si="91"/>
        <v>High Value</v>
      </c>
      <c r="J1965" t="str">
        <f t="shared" si="92"/>
        <v>Low Risk</v>
      </c>
      <c r="K1965" s="3" t="str">
        <f t="shared" si="90"/>
        <v>4+ Years</v>
      </c>
    </row>
    <row r="1966" spans="1:11" x14ac:dyDescent="0.3">
      <c r="A1966" t="s">
        <v>1983</v>
      </c>
      <c r="B1966" t="s">
        <v>9</v>
      </c>
      <c r="C1966" t="s">
        <v>30</v>
      </c>
      <c r="D1966" t="s">
        <v>11</v>
      </c>
      <c r="E1966">
        <v>53.6</v>
      </c>
      <c r="F1966">
        <v>60</v>
      </c>
      <c r="G1966">
        <v>3216</v>
      </c>
      <c r="H1966" t="s">
        <v>12</v>
      </c>
      <c r="I1966" t="str">
        <f t="shared" si="91"/>
        <v>Medium Value</v>
      </c>
      <c r="J1966" t="str">
        <f t="shared" si="92"/>
        <v>Low Risk</v>
      </c>
      <c r="K1966" s="3" t="str">
        <f t="shared" si="90"/>
        <v>4+ Years</v>
      </c>
    </row>
    <row r="1967" spans="1:11" x14ac:dyDescent="0.3">
      <c r="A1967" t="s">
        <v>1984</v>
      </c>
      <c r="B1967" t="s">
        <v>9</v>
      </c>
      <c r="C1967" t="s">
        <v>10</v>
      </c>
      <c r="D1967" t="s">
        <v>11</v>
      </c>
      <c r="E1967">
        <v>81.099999999999994</v>
      </c>
      <c r="F1967">
        <v>7</v>
      </c>
      <c r="G1967">
        <v>567.69999999999902</v>
      </c>
      <c r="H1967" t="s">
        <v>18</v>
      </c>
      <c r="I1967" t="str">
        <f t="shared" si="91"/>
        <v>Low Value</v>
      </c>
      <c r="J1967" t="str">
        <f t="shared" si="92"/>
        <v>High Risk</v>
      </c>
      <c r="K1967" s="3" t="str">
        <f t="shared" si="90"/>
        <v>0-1 Year</v>
      </c>
    </row>
    <row r="1968" spans="1:11" x14ac:dyDescent="0.3">
      <c r="A1968" t="s">
        <v>1985</v>
      </c>
      <c r="B1968" t="s">
        <v>9</v>
      </c>
      <c r="C1968" t="s">
        <v>15</v>
      </c>
      <c r="D1968" t="s">
        <v>24</v>
      </c>
      <c r="E1968">
        <v>19.350000000000001</v>
      </c>
      <c r="F1968">
        <v>20</v>
      </c>
      <c r="G1968">
        <v>387</v>
      </c>
      <c r="H1968" t="s">
        <v>12</v>
      </c>
      <c r="I1968" t="str">
        <f t="shared" si="91"/>
        <v>Low Value</v>
      </c>
      <c r="J1968" t="str">
        <f t="shared" si="92"/>
        <v>Medium Risk</v>
      </c>
      <c r="K1968" s="3" t="str">
        <f t="shared" si="90"/>
        <v>1-2 Years</v>
      </c>
    </row>
    <row r="1969" spans="1:11" x14ac:dyDescent="0.3">
      <c r="A1969" t="s">
        <v>1986</v>
      </c>
      <c r="B1969" t="s">
        <v>9</v>
      </c>
      <c r="C1969" t="s">
        <v>10</v>
      </c>
      <c r="D1969" t="s">
        <v>11</v>
      </c>
      <c r="E1969">
        <v>85.6</v>
      </c>
      <c r="F1969">
        <v>23</v>
      </c>
      <c r="G1969">
        <v>1968.8</v>
      </c>
      <c r="H1969" t="s">
        <v>12</v>
      </c>
      <c r="I1969" t="str">
        <f t="shared" si="91"/>
        <v>Low Value</v>
      </c>
      <c r="J1969" t="str">
        <f t="shared" si="92"/>
        <v>Medium Risk</v>
      </c>
      <c r="K1969" s="3" t="str">
        <f t="shared" si="90"/>
        <v>1-2 Years</v>
      </c>
    </row>
    <row r="1970" spans="1:11" x14ac:dyDescent="0.3">
      <c r="A1970" t="s">
        <v>1987</v>
      </c>
      <c r="B1970" t="s">
        <v>14</v>
      </c>
      <c r="C1970" t="s">
        <v>30</v>
      </c>
      <c r="D1970" t="s">
        <v>11</v>
      </c>
      <c r="E1970">
        <v>80.8</v>
      </c>
      <c r="F1970">
        <v>72</v>
      </c>
      <c r="G1970">
        <v>5817.5999999999904</v>
      </c>
      <c r="H1970" t="s">
        <v>12</v>
      </c>
      <c r="I1970" t="str">
        <f t="shared" si="91"/>
        <v>High Value</v>
      </c>
      <c r="J1970" t="str">
        <f t="shared" si="92"/>
        <v>Low Risk</v>
      </c>
      <c r="K1970" s="3" t="str">
        <f t="shared" si="90"/>
        <v>4+ Years</v>
      </c>
    </row>
    <row r="1971" spans="1:11" x14ac:dyDescent="0.3">
      <c r="A1971" t="s">
        <v>1988</v>
      </c>
      <c r="B1971" t="s">
        <v>14</v>
      </c>
      <c r="C1971" t="s">
        <v>10</v>
      </c>
      <c r="D1971" t="s">
        <v>11</v>
      </c>
      <c r="E1971">
        <v>74.95</v>
      </c>
      <c r="F1971">
        <v>11</v>
      </c>
      <c r="G1971">
        <v>824.45</v>
      </c>
      <c r="H1971" t="s">
        <v>18</v>
      </c>
      <c r="I1971" t="str">
        <f t="shared" si="91"/>
        <v>Low Value</v>
      </c>
      <c r="J1971" t="str">
        <f t="shared" si="92"/>
        <v>High Risk</v>
      </c>
      <c r="K1971" s="3" t="str">
        <f t="shared" si="90"/>
        <v>0-1 Year</v>
      </c>
    </row>
    <row r="1972" spans="1:11" x14ac:dyDescent="0.3">
      <c r="A1972" t="s">
        <v>1989</v>
      </c>
      <c r="B1972" t="s">
        <v>14</v>
      </c>
      <c r="C1972" t="s">
        <v>30</v>
      </c>
      <c r="D1972" t="s">
        <v>16</v>
      </c>
      <c r="E1972">
        <v>19.600000000000001</v>
      </c>
      <c r="F1972">
        <v>21</v>
      </c>
      <c r="G1972">
        <v>411.6</v>
      </c>
      <c r="H1972" t="s">
        <v>12</v>
      </c>
      <c r="I1972" t="str">
        <f t="shared" si="91"/>
        <v>Low Value</v>
      </c>
      <c r="J1972" t="str">
        <f t="shared" si="92"/>
        <v>Medium Risk</v>
      </c>
      <c r="K1972" s="3" t="str">
        <f t="shared" si="90"/>
        <v>1-2 Years</v>
      </c>
    </row>
    <row r="1973" spans="1:11" x14ac:dyDescent="0.3">
      <c r="A1973" t="s">
        <v>1990</v>
      </c>
      <c r="B1973" t="s">
        <v>14</v>
      </c>
      <c r="C1973" t="s">
        <v>10</v>
      </c>
      <c r="D1973" t="s">
        <v>11</v>
      </c>
      <c r="E1973">
        <v>93.55</v>
      </c>
      <c r="F1973">
        <v>1</v>
      </c>
      <c r="G1973">
        <v>93.55</v>
      </c>
      <c r="H1973" t="s">
        <v>18</v>
      </c>
      <c r="I1973" t="str">
        <f t="shared" si="91"/>
        <v>Low Value</v>
      </c>
      <c r="J1973" t="str">
        <f t="shared" si="92"/>
        <v>High Risk</v>
      </c>
      <c r="K1973" s="3" t="str">
        <f t="shared" si="90"/>
        <v>0-1 Year</v>
      </c>
    </row>
    <row r="1974" spans="1:11" x14ac:dyDescent="0.3">
      <c r="A1974" t="s">
        <v>1991</v>
      </c>
      <c r="B1974" t="s">
        <v>14</v>
      </c>
      <c r="C1974" t="s">
        <v>10</v>
      </c>
      <c r="D1974" t="s">
        <v>11</v>
      </c>
      <c r="E1974">
        <v>90.7</v>
      </c>
      <c r="F1974">
        <v>31</v>
      </c>
      <c r="G1974">
        <v>2811.7</v>
      </c>
      <c r="H1974" t="s">
        <v>12</v>
      </c>
      <c r="I1974" t="str">
        <f t="shared" si="91"/>
        <v>Medium Value</v>
      </c>
      <c r="J1974" t="str">
        <f t="shared" si="92"/>
        <v>Low Risk</v>
      </c>
      <c r="K1974" s="3" t="str">
        <f t="shared" si="90"/>
        <v>2-4 Years</v>
      </c>
    </row>
    <row r="1975" spans="1:11" x14ac:dyDescent="0.3">
      <c r="A1975" t="s">
        <v>1992</v>
      </c>
      <c r="B1975" t="s">
        <v>9</v>
      </c>
      <c r="C1975" t="s">
        <v>30</v>
      </c>
      <c r="D1975" t="s">
        <v>16</v>
      </c>
      <c r="E1975">
        <v>69.75</v>
      </c>
      <c r="F1975">
        <v>57</v>
      </c>
      <c r="G1975">
        <v>3975.75</v>
      </c>
      <c r="H1975" t="s">
        <v>12</v>
      </c>
      <c r="I1975" t="str">
        <f t="shared" si="91"/>
        <v>Medium Value</v>
      </c>
      <c r="J1975" t="str">
        <f t="shared" si="92"/>
        <v>Low Risk</v>
      </c>
      <c r="K1975" s="3" t="str">
        <f t="shared" si="90"/>
        <v>4+ Years</v>
      </c>
    </row>
    <row r="1976" spans="1:11" x14ac:dyDescent="0.3">
      <c r="A1976" t="s">
        <v>1993</v>
      </c>
      <c r="B1976" t="s">
        <v>9</v>
      </c>
      <c r="C1976" t="s">
        <v>30</v>
      </c>
      <c r="D1976" t="s">
        <v>20</v>
      </c>
      <c r="E1976">
        <v>20</v>
      </c>
      <c r="F1976">
        <v>45</v>
      </c>
      <c r="G1976">
        <v>900</v>
      </c>
      <c r="H1976" t="s">
        <v>12</v>
      </c>
      <c r="I1976" t="str">
        <f t="shared" si="91"/>
        <v>Low Value</v>
      </c>
      <c r="J1976" t="str">
        <f t="shared" si="92"/>
        <v>Low Risk</v>
      </c>
      <c r="K1976" s="3" t="str">
        <f t="shared" si="90"/>
        <v>2-4 Years</v>
      </c>
    </row>
    <row r="1977" spans="1:11" x14ac:dyDescent="0.3">
      <c r="A1977" t="s">
        <v>1994</v>
      </c>
      <c r="B1977" t="s">
        <v>14</v>
      </c>
      <c r="C1977" t="s">
        <v>10</v>
      </c>
      <c r="D1977" t="s">
        <v>11</v>
      </c>
      <c r="E1977">
        <v>95.25</v>
      </c>
      <c r="F1977">
        <v>10</v>
      </c>
      <c r="G1977">
        <v>952.5</v>
      </c>
      <c r="H1977" t="s">
        <v>12</v>
      </c>
      <c r="I1977" t="str">
        <f t="shared" si="91"/>
        <v>Low Value</v>
      </c>
      <c r="J1977" t="str">
        <f t="shared" si="92"/>
        <v>High Risk</v>
      </c>
      <c r="K1977" s="3" t="str">
        <f t="shared" si="90"/>
        <v>0-1 Year</v>
      </c>
    </row>
    <row r="1978" spans="1:11" x14ac:dyDescent="0.3">
      <c r="A1978" t="s">
        <v>1995</v>
      </c>
      <c r="B1978" t="s">
        <v>9</v>
      </c>
      <c r="C1978" t="s">
        <v>10</v>
      </c>
      <c r="D1978" t="s">
        <v>24</v>
      </c>
      <c r="E1978">
        <v>102.1</v>
      </c>
      <c r="F1978">
        <v>58</v>
      </c>
      <c r="G1978">
        <v>5921.7999999999902</v>
      </c>
      <c r="H1978" t="s">
        <v>18</v>
      </c>
      <c r="I1978" t="str">
        <f t="shared" si="91"/>
        <v>High Value</v>
      </c>
      <c r="J1978" t="str">
        <f t="shared" si="92"/>
        <v>Low Risk</v>
      </c>
      <c r="K1978" s="3" t="str">
        <f t="shared" si="90"/>
        <v>4+ Years</v>
      </c>
    </row>
    <row r="1979" spans="1:11" x14ac:dyDescent="0.3">
      <c r="A1979" t="s">
        <v>1996</v>
      </c>
      <c r="B1979" t="s">
        <v>14</v>
      </c>
      <c r="C1979" t="s">
        <v>10</v>
      </c>
      <c r="D1979" t="s">
        <v>16</v>
      </c>
      <c r="E1979">
        <v>19.95</v>
      </c>
      <c r="F1979">
        <v>14</v>
      </c>
      <c r="G1979">
        <v>279.3</v>
      </c>
      <c r="H1979" t="s">
        <v>12</v>
      </c>
      <c r="I1979" t="str">
        <f t="shared" si="91"/>
        <v>Low Value</v>
      </c>
      <c r="J1979" t="str">
        <f t="shared" si="92"/>
        <v>Medium Risk</v>
      </c>
      <c r="K1979" s="3" t="str">
        <f t="shared" si="90"/>
        <v>1-2 Years</v>
      </c>
    </row>
    <row r="1980" spans="1:11" x14ac:dyDescent="0.3">
      <c r="A1980" t="s">
        <v>1997</v>
      </c>
      <c r="B1980" t="s">
        <v>14</v>
      </c>
      <c r="C1980" t="s">
        <v>15</v>
      </c>
      <c r="D1980" t="s">
        <v>16</v>
      </c>
      <c r="E1980">
        <v>80.849999999999994</v>
      </c>
      <c r="F1980">
        <v>27</v>
      </c>
      <c r="G1980">
        <v>2182.9499999999998</v>
      </c>
      <c r="H1980" t="s">
        <v>12</v>
      </c>
      <c r="I1980" t="str">
        <f t="shared" si="91"/>
        <v>Medium Value</v>
      </c>
      <c r="J1980" t="str">
        <f t="shared" si="92"/>
        <v>Low Risk</v>
      </c>
      <c r="K1980" s="3" t="str">
        <f t="shared" si="90"/>
        <v>2-4 Years</v>
      </c>
    </row>
    <row r="1981" spans="1:11" x14ac:dyDescent="0.3">
      <c r="A1981" t="s">
        <v>1998</v>
      </c>
      <c r="B1981" t="s">
        <v>9</v>
      </c>
      <c r="C1981" t="s">
        <v>10</v>
      </c>
      <c r="D1981" t="s">
        <v>20</v>
      </c>
      <c r="E1981">
        <v>90.9</v>
      </c>
      <c r="F1981">
        <v>14</v>
      </c>
      <c r="G1981">
        <v>1272.5999999999999</v>
      </c>
      <c r="H1981" t="s">
        <v>18</v>
      </c>
      <c r="I1981" t="str">
        <f t="shared" si="91"/>
        <v>Low Value</v>
      </c>
      <c r="J1981" t="str">
        <f t="shared" si="92"/>
        <v>Medium Risk</v>
      </c>
      <c r="K1981" s="3" t="str">
        <f t="shared" si="90"/>
        <v>1-2 Years</v>
      </c>
    </row>
    <row r="1982" spans="1:11" x14ac:dyDescent="0.3">
      <c r="A1982" t="s">
        <v>1999</v>
      </c>
      <c r="B1982" t="s">
        <v>9</v>
      </c>
      <c r="C1982" t="s">
        <v>10</v>
      </c>
      <c r="D1982" t="s">
        <v>16</v>
      </c>
      <c r="E1982">
        <v>29.2</v>
      </c>
      <c r="F1982">
        <v>12</v>
      </c>
      <c r="G1982">
        <v>350.4</v>
      </c>
      <c r="H1982" t="s">
        <v>18</v>
      </c>
      <c r="I1982" t="str">
        <f t="shared" si="91"/>
        <v>Low Value</v>
      </c>
      <c r="J1982" t="str">
        <f t="shared" si="92"/>
        <v>Medium Risk</v>
      </c>
      <c r="K1982" s="3" t="str">
        <f t="shared" si="90"/>
        <v>0-1 Year</v>
      </c>
    </row>
    <row r="1983" spans="1:11" x14ac:dyDescent="0.3">
      <c r="A1983" t="s">
        <v>2000</v>
      </c>
      <c r="B1983" t="s">
        <v>9</v>
      </c>
      <c r="C1983" t="s">
        <v>30</v>
      </c>
      <c r="D1983" t="s">
        <v>20</v>
      </c>
      <c r="E1983">
        <v>93.3</v>
      </c>
      <c r="F1983">
        <v>69</v>
      </c>
      <c r="G1983">
        <v>6437.7</v>
      </c>
      <c r="H1983" t="s">
        <v>12</v>
      </c>
      <c r="I1983" t="str">
        <f t="shared" si="91"/>
        <v>High Value</v>
      </c>
      <c r="J1983" t="str">
        <f t="shared" si="92"/>
        <v>Low Risk</v>
      </c>
      <c r="K1983" s="3" t="str">
        <f t="shared" si="90"/>
        <v>4+ Years</v>
      </c>
    </row>
    <row r="1984" spans="1:11" x14ac:dyDescent="0.3">
      <c r="A1984" t="s">
        <v>2001</v>
      </c>
      <c r="B1984" t="s">
        <v>9</v>
      </c>
      <c r="C1984" t="s">
        <v>10</v>
      </c>
      <c r="D1984" t="s">
        <v>20</v>
      </c>
      <c r="E1984">
        <v>89.15</v>
      </c>
      <c r="F1984">
        <v>25</v>
      </c>
      <c r="G1984">
        <v>2228.75</v>
      </c>
      <c r="H1984" t="s">
        <v>18</v>
      </c>
      <c r="I1984" t="str">
        <f t="shared" si="91"/>
        <v>Medium Value</v>
      </c>
      <c r="J1984" t="str">
        <f t="shared" si="92"/>
        <v>Low Risk</v>
      </c>
      <c r="K1984" s="3" t="str">
        <f t="shared" si="90"/>
        <v>2-4 Years</v>
      </c>
    </row>
    <row r="1985" spans="1:11" x14ac:dyDescent="0.3">
      <c r="A1985" t="s">
        <v>2002</v>
      </c>
      <c r="B1985" t="s">
        <v>14</v>
      </c>
      <c r="C1985" t="s">
        <v>15</v>
      </c>
      <c r="D1985" t="s">
        <v>11</v>
      </c>
      <c r="E1985">
        <v>108.85</v>
      </c>
      <c r="F1985">
        <v>58</v>
      </c>
      <c r="G1985">
        <v>6313.2999999999902</v>
      </c>
      <c r="H1985" t="s">
        <v>18</v>
      </c>
      <c r="I1985" t="str">
        <f t="shared" si="91"/>
        <v>High Value</v>
      </c>
      <c r="J1985" t="str">
        <f t="shared" si="92"/>
        <v>Low Risk</v>
      </c>
      <c r="K1985" s="3" t="str">
        <f t="shared" si="90"/>
        <v>4+ Years</v>
      </c>
    </row>
    <row r="1986" spans="1:11" x14ac:dyDescent="0.3">
      <c r="A1986" t="s">
        <v>2003</v>
      </c>
      <c r="B1986" t="s">
        <v>9</v>
      </c>
      <c r="C1986" t="s">
        <v>30</v>
      </c>
      <c r="D1986" t="s">
        <v>24</v>
      </c>
      <c r="E1986">
        <v>46.35</v>
      </c>
      <c r="F1986">
        <v>35</v>
      </c>
      <c r="G1986">
        <v>1622.25</v>
      </c>
      <c r="H1986" t="s">
        <v>12</v>
      </c>
      <c r="I1986" t="str">
        <f t="shared" si="91"/>
        <v>Low Value</v>
      </c>
      <c r="J1986" t="str">
        <f t="shared" si="92"/>
        <v>Low Risk</v>
      </c>
      <c r="K1986" s="3" t="str">
        <f t="shared" si="90"/>
        <v>2-4 Years</v>
      </c>
    </row>
    <row r="1987" spans="1:11" x14ac:dyDescent="0.3">
      <c r="A1987" t="s">
        <v>2004</v>
      </c>
      <c r="B1987" t="s">
        <v>9</v>
      </c>
      <c r="C1987" t="s">
        <v>10</v>
      </c>
      <c r="D1987" t="s">
        <v>11</v>
      </c>
      <c r="E1987">
        <v>84.75</v>
      </c>
      <c r="F1987">
        <v>16</v>
      </c>
      <c r="G1987">
        <v>1356</v>
      </c>
      <c r="H1987" t="s">
        <v>18</v>
      </c>
      <c r="I1987" t="str">
        <f t="shared" si="91"/>
        <v>Low Value</v>
      </c>
      <c r="J1987" t="str">
        <f t="shared" si="92"/>
        <v>Medium Risk</v>
      </c>
      <c r="K1987" s="3" t="str">
        <f t="shared" ref="K1987:K2050" si="93">IF(F1987&lt;=12,"0-1 Year",
IF(F1987&lt;=24,"1-2 Years",
IF(F1987&lt;=48,"2-4 Years","4+ Years")))</f>
        <v>1-2 Years</v>
      </c>
    </row>
    <row r="1988" spans="1:11" x14ac:dyDescent="0.3">
      <c r="A1988" t="s">
        <v>2005</v>
      </c>
      <c r="B1988" t="s">
        <v>14</v>
      </c>
      <c r="C1988" t="s">
        <v>15</v>
      </c>
      <c r="D1988" t="s">
        <v>24</v>
      </c>
      <c r="E1988">
        <v>78.75</v>
      </c>
      <c r="F1988">
        <v>45</v>
      </c>
      <c r="G1988">
        <v>3543.75</v>
      </c>
      <c r="H1988" t="s">
        <v>12</v>
      </c>
      <c r="I1988" t="str">
        <f t="shared" ref="I1988:I2051" si="94">IF(G1988&gt;5000,"High Value",
IF(G1988&gt;2000,"Medium Value","Low Value"))</f>
        <v>Medium Value</v>
      </c>
      <c r="J1988" t="str">
        <f t="shared" ref="J1988:J2051" si="95">IF(F1988&lt;12,"High Risk",
IF(F1988&lt;24,"Medium Risk","Low Risk"))</f>
        <v>Low Risk</v>
      </c>
      <c r="K1988" s="3" t="str">
        <f t="shared" si="93"/>
        <v>2-4 Years</v>
      </c>
    </row>
    <row r="1989" spans="1:11" x14ac:dyDescent="0.3">
      <c r="A1989" t="s">
        <v>2006</v>
      </c>
      <c r="B1989" t="s">
        <v>9</v>
      </c>
      <c r="C1989" t="s">
        <v>10</v>
      </c>
      <c r="D1989" t="s">
        <v>11</v>
      </c>
      <c r="E1989">
        <v>83.55</v>
      </c>
      <c r="F1989">
        <v>17</v>
      </c>
      <c r="G1989">
        <v>1420.35</v>
      </c>
      <c r="H1989" t="s">
        <v>12</v>
      </c>
      <c r="I1989" t="str">
        <f t="shared" si="94"/>
        <v>Low Value</v>
      </c>
      <c r="J1989" t="str">
        <f t="shared" si="95"/>
        <v>Medium Risk</v>
      </c>
      <c r="K1989" s="3" t="str">
        <f t="shared" si="93"/>
        <v>1-2 Years</v>
      </c>
    </row>
    <row r="1990" spans="1:11" x14ac:dyDescent="0.3">
      <c r="A1990" t="s">
        <v>2007</v>
      </c>
      <c r="B1990" t="s">
        <v>9</v>
      </c>
      <c r="C1990" t="s">
        <v>10</v>
      </c>
      <c r="D1990" t="s">
        <v>11</v>
      </c>
      <c r="E1990">
        <v>45.7</v>
      </c>
      <c r="F1990">
        <v>1</v>
      </c>
      <c r="G1990">
        <v>45.7</v>
      </c>
      <c r="H1990" t="s">
        <v>18</v>
      </c>
      <c r="I1990" t="str">
        <f t="shared" si="94"/>
        <v>Low Value</v>
      </c>
      <c r="J1990" t="str">
        <f t="shared" si="95"/>
        <v>High Risk</v>
      </c>
      <c r="K1990" s="3" t="str">
        <f t="shared" si="93"/>
        <v>0-1 Year</v>
      </c>
    </row>
    <row r="1991" spans="1:11" x14ac:dyDescent="0.3">
      <c r="A1991" t="s">
        <v>2008</v>
      </c>
      <c r="B1991" t="s">
        <v>14</v>
      </c>
      <c r="C1991" t="s">
        <v>15</v>
      </c>
      <c r="D1991" t="s">
        <v>16</v>
      </c>
      <c r="E1991">
        <v>19.600000000000001</v>
      </c>
      <c r="F1991">
        <v>22</v>
      </c>
      <c r="G1991">
        <v>431.2</v>
      </c>
      <c r="H1991" t="s">
        <v>12</v>
      </c>
      <c r="I1991" t="str">
        <f t="shared" si="94"/>
        <v>Low Value</v>
      </c>
      <c r="J1991" t="str">
        <f t="shared" si="95"/>
        <v>Medium Risk</v>
      </c>
      <c r="K1991" s="3" t="str">
        <f t="shared" si="93"/>
        <v>1-2 Years</v>
      </c>
    </row>
    <row r="1992" spans="1:11" x14ac:dyDescent="0.3">
      <c r="A1992" t="s">
        <v>2009</v>
      </c>
      <c r="B1992" t="s">
        <v>9</v>
      </c>
      <c r="C1992" t="s">
        <v>10</v>
      </c>
      <c r="D1992" t="s">
        <v>11</v>
      </c>
      <c r="E1992">
        <v>69.95</v>
      </c>
      <c r="F1992">
        <v>1</v>
      </c>
      <c r="G1992">
        <v>69.95</v>
      </c>
      <c r="H1992" t="s">
        <v>18</v>
      </c>
      <c r="I1992" t="str">
        <f t="shared" si="94"/>
        <v>Low Value</v>
      </c>
      <c r="J1992" t="str">
        <f t="shared" si="95"/>
        <v>High Risk</v>
      </c>
      <c r="K1992" s="3" t="str">
        <f t="shared" si="93"/>
        <v>0-1 Year</v>
      </c>
    </row>
    <row r="1993" spans="1:11" x14ac:dyDescent="0.3">
      <c r="A1993" t="s">
        <v>2010</v>
      </c>
      <c r="B1993" t="s">
        <v>14</v>
      </c>
      <c r="C1993" t="s">
        <v>30</v>
      </c>
      <c r="D1993" t="s">
        <v>16</v>
      </c>
      <c r="E1993">
        <v>67.849999999999994</v>
      </c>
      <c r="F1993">
        <v>67</v>
      </c>
      <c r="G1993">
        <v>4545.95</v>
      </c>
      <c r="H1993" t="s">
        <v>12</v>
      </c>
      <c r="I1993" t="str">
        <f t="shared" si="94"/>
        <v>Medium Value</v>
      </c>
      <c r="J1993" t="str">
        <f t="shared" si="95"/>
        <v>Low Risk</v>
      </c>
      <c r="K1993" s="3" t="str">
        <f t="shared" si="93"/>
        <v>4+ Years</v>
      </c>
    </row>
    <row r="1994" spans="1:11" x14ac:dyDescent="0.3">
      <c r="A1994" t="s">
        <v>2011</v>
      </c>
      <c r="B1994" t="s">
        <v>9</v>
      </c>
      <c r="C1994" t="s">
        <v>30</v>
      </c>
      <c r="D1994" t="s">
        <v>20</v>
      </c>
      <c r="E1994">
        <v>105.65</v>
      </c>
      <c r="F1994">
        <v>67</v>
      </c>
      <c r="G1994">
        <v>7078.55</v>
      </c>
      <c r="H1994" t="s">
        <v>12</v>
      </c>
      <c r="I1994" t="str">
        <f t="shared" si="94"/>
        <v>High Value</v>
      </c>
      <c r="J1994" t="str">
        <f t="shared" si="95"/>
        <v>Low Risk</v>
      </c>
      <c r="K1994" s="3" t="str">
        <f t="shared" si="93"/>
        <v>4+ Years</v>
      </c>
    </row>
    <row r="1995" spans="1:11" x14ac:dyDescent="0.3">
      <c r="A1995" t="s">
        <v>2012</v>
      </c>
      <c r="B1995" t="s">
        <v>9</v>
      </c>
      <c r="C1995" t="s">
        <v>10</v>
      </c>
      <c r="D1995" t="s">
        <v>11</v>
      </c>
      <c r="E1995">
        <v>44.6</v>
      </c>
      <c r="F1995">
        <v>2</v>
      </c>
      <c r="G1995">
        <v>89.2</v>
      </c>
      <c r="H1995" t="s">
        <v>18</v>
      </c>
      <c r="I1995" t="str">
        <f t="shared" si="94"/>
        <v>Low Value</v>
      </c>
      <c r="J1995" t="str">
        <f t="shared" si="95"/>
        <v>High Risk</v>
      </c>
      <c r="K1995" s="3" t="str">
        <f t="shared" si="93"/>
        <v>0-1 Year</v>
      </c>
    </row>
    <row r="1996" spans="1:11" x14ac:dyDescent="0.3">
      <c r="A1996" t="s">
        <v>2013</v>
      </c>
      <c r="B1996" t="s">
        <v>14</v>
      </c>
      <c r="C1996" t="s">
        <v>10</v>
      </c>
      <c r="D1996" t="s">
        <v>11</v>
      </c>
      <c r="E1996">
        <v>74.95</v>
      </c>
      <c r="F1996">
        <v>23</v>
      </c>
      <c r="G1996">
        <v>1723.85</v>
      </c>
      <c r="H1996" t="s">
        <v>18</v>
      </c>
      <c r="I1996" t="str">
        <f t="shared" si="94"/>
        <v>Low Value</v>
      </c>
      <c r="J1996" t="str">
        <f t="shared" si="95"/>
        <v>Medium Risk</v>
      </c>
      <c r="K1996" s="3" t="str">
        <f t="shared" si="93"/>
        <v>1-2 Years</v>
      </c>
    </row>
    <row r="1997" spans="1:11" x14ac:dyDescent="0.3">
      <c r="A1997" t="s">
        <v>2014</v>
      </c>
      <c r="B1997" t="s">
        <v>9</v>
      </c>
      <c r="C1997" t="s">
        <v>10</v>
      </c>
      <c r="D1997" t="s">
        <v>24</v>
      </c>
      <c r="E1997">
        <v>75.5</v>
      </c>
      <c r="F1997">
        <v>9</v>
      </c>
      <c r="G1997">
        <v>679.5</v>
      </c>
      <c r="H1997" t="s">
        <v>12</v>
      </c>
      <c r="I1997" t="str">
        <f t="shared" si="94"/>
        <v>Low Value</v>
      </c>
      <c r="J1997" t="str">
        <f t="shared" si="95"/>
        <v>High Risk</v>
      </c>
      <c r="K1997" s="3" t="str">
        <f t="shared" si="93"/>
        <v>0-1 Year</v>
      </c>
    </row>
    <row r="1998" spans="1:11" x14ac:dyDescent="0.3">
      <c r="A1998" t="s">
        <v>2015</v>
      </c>
      <c r="B1998" t="s">
        <v>9</v>
      </c>
      <c r="C1998" t="s">
        <v>10</v>
      </c>
      <c r="D1998" t="s">
        <v>16</v>
      </c>
      <c r="E1998">
        <v>20.149999999999999</v>
      </c>
      <c r="F1998">
        <v>5</v>
      </c>
      <c r="G1998">
        <v>100.75</v>
      </c>
      <c r="H1998" t="s">
        <v>12</v>
      </c>
      <c r="I1998" t="str">
        <f t="shared" si="94"/>
        <v>Low Value</v>
      </c>
      <c r="J1998" t="str">
        <f t="shared" si="95"/>
        <v>High Risk</v>
      </c>
      <c r="K1998" s="3" t="str">
        <f t="shared" si="93"/>
        <v>0-1 Year</v>
      </c>
    </row>
    <row r="1999" spans="1:11" x14ac:dyDescent="0.3">
      <c r="A1999" t="s">
        <v>2016</v>
      </c>
      <c r="B1999" t="s">
        <v>14</v>
      </c>
      <c r="C1999" t="s">
        <v>30</v>
      </c>
      <c r="D1999" t="s">
        <v>24</v>
      </c>
      <c r="E1999">
        <v>45.2</v>
      </c>
      <c r="F1999">
        <v>54</v>
      </c>
      <c r="G1999">
        <v>2440.8000000000002</v>
      </c>
      <c r="H1999" t="s">
        <v>12</v>
      </c>
      <c r="I1999" t="str">
        <f t="shared" si="94"/>
        <v>Medium Value</v>
      </c>
      <c r="J1999" t="str">
        <f t="shared" si="95"/>
        <v>Low Risk</v>
      </c>
      <c r="K1999" s="3" t="str">
        <f t="shared" si="93"/>
        <v>4+ Years</v>
      </c>
    </row>
    <row r="2000" spans="1:11" x14ac:dyDescent="0.3">
      <c r="A2000" t="s">
        <v>2017</v>
      </c>
      <c r="B2000" t="s">
        <v>9</v>
      </c>
      <c r="C2000" t="s">
        <v>30</v>
      </c>
      <c r="D2000" t="s">
        <v>11</v>
      </c>
      <c r="E2000">
        <v>95.25</v>
      </c>
      <c r="F2000">
        <v>57</v>
      </c>
      <c r="G2000">
        <v>5429.25</v>
      </c>
      <c r="H2000" t="s">
        <v>18</v>
      </c>
      <c r="I2000" t="str">
        <f t="shared" si="94"/>
        <v>High Value</v>
      </c>
      <c r="J2000" t="str">
        <f t="shared" si="95"/>
        <v>Low Risk</v>
      </c>
      <c r="K2000" s="3" t="str">
        <f t="shared" si="93"/>
        <v>4+ Years</v>
      </c>
    </row>
    <row r="2001" spans="1:11" x14ac:dyDescent="0.3">
      <c r="A2001" t="s">
        <v>2018</v>
      </c>
      <c r="B2001" t="s">
        <v>14</v>
      </c>
      <c r="C2001" t="s">
        <v>10</v>
      </c>
      <c r="D2001" t="s">
        <v>16</v>
      </c>
      <c r="E2001">
        <v>89.85</v>
      </c>
      <c r="F2001">
        <v>24</v>
      </c>
      <c r="G2001">
        <v>2156.3999999999901</v>
      </c>
      <c r="H2001" t="s">
        <v>18</v>
      </c>
      <c r="I2001" t="str">
        <f t="shared" si="94"/>
        <v>Medium Value</v>
      </c>
      <c r="J2001" t="str">
        <f t="shared" si="95"/>
        <v>Low Risk</v>
      </c>
      <c r="K2001" s="3" t="str">
        <f t="shared" si="93"/>
        <v>1-2 Years</v>
      </c>
    </row>
    <row r="2002" spans="1:11" x14ac:dyDescent="0.3">
      <c r="A2002" t="s">
        <v>2019</v>
      </c>
      <c r="B2002" t="s">
        <v>9</v>
      </c>
      <c r="C2002" t="s">
        <v>15</v>
      </c>
      <c r="D2002" t="s">
        <v>16</v>
      </c>
      <c r="E2002">
        <v>100.45</v>
      </c>
      <c r="F2002">
        <v>49</v>
      </c>
      <c r="G2002">
        <v>4922.05</v>
      </c>
      <c r="H2002" t="s">
        <v>18</v>
      </c>
      <c r="I2002" t="str">
        <f t="shared" si="94"/>
        <v>Medium Value</v>
      </c>
      <c r="J2002" t="str">
        <f t="shared" si="95"/>
        <v>Low Risk</v>
      </c>
      <c r="K2002" s="3" t="str">
        <f t="shared" si="93"/>
        <v>4+ Years</v>
      </c>
    </row>
    <row r="2003" spans="1:11" x14ac:dyDescent="0.3">
      <c r="A2003" t="s">
        <v>2020</v>
      </c>
      <c r="B2003" t="s">
        <v>14</v>
      </c>
      <c r="C2003" t="s">
        <v>10</v>
      </c>
      <c r="D2003" t="s">
        <v>11</v>
      </c>
      <c r="E2003">
        <v>47.15</v>
      </c>
      <c r="F2003">
        <v>5</v>
      </c>
      <c r="G2003">
        <v>235.75</v>
      </c>
      <c r="H2003" t="s">
        <v>18</v>
      </c>
      <c r="I2003" t="str">
        <f t="shared" si="94"/>
        <v>Low Value</v>
      </c>
      <c r="J2003" t="str">
        <f t="shared" si="95"/>
        <v>High Risk</v>
      </c>
      <c r="K2003" s="3" t="str">
        <f t="shared" si="93"/>
        <v>0-1 Year</v>
      </c>
    </row>
    <row r="2004" spans="1:11" x14ac:dyDescent="0.3">
      <c r="A2004" t="s">
        <v>2021</v>
      </c>
      <c r="B2004" t="s">
        <v>14</v>
      </c>
      <c r="C2004" t="s">
        <v>10</v>
      </c>
      <c r="D2004" t="s">
        <v>11</v>
      </c>
      <c r="E2004">
        <v>80.2</v>
      </c>
      <c r="F2004">
        <v>2</v>
      </c>
      <c r="G2004">
        <v>160.4</v>
      </c>
      <c r="H2004" t="s">
        <v>18</v>
      </c>
      <c r="I2004" t="str">
        <f t="shared" si="94"/>
        <v>Low Value</v>
      </c>
      <c r="J2004" t="str">
        <f t="shared" si="95"/>
        <v>High Risk</v>
      </c>
      <c r="K2004" s="3" t="str">
        <f t="shared" si="93"/>
        <v>0-1 Year</v>
      </c>
    </row>
    <row r="2005" spans="1:11" x14ac:dyDescent="0.3">
      <c r="A2005" t="s">
        <v>2022</v>
      </c>
      <c r="B2005" t="s">
        <v>9</v>
      </c>
      <c r="C2005" t="s">
        <v>10</v>
      </c>
      <c r="D2005" t="s">
        <v>16</v>
      </c>
      <c r="E2005">
        <v>87.1</v>
      </c>
      <c r="F2005">
        <v>4</v>
      </c>
      <c r="G2005">
        <v>348.4</v>
      </c>
      <c r="H2005" t="s">
        <v>18</v>
      </c>
      <c r="I2005" t="str">
        <f t="shared" si="94"/>
        <v>Low Value</v>
      </c>
      <c r="J2005" t="str">
        <f t="shared" si="95"/>
        <v>High Risk</v>
      </c>
      <c r="K2005" s="3" t="str">
        <f t="shared" si="93"/>
        <v>0-1 Year</v>
      </c>
    </row>
    <row r="2006" spans="1:11" x14ac:dyDescent="0.3">
      <c r="A2006" t="s">
        <v>2023</v>
      </c>
      <c r="B2006" t="s">
        <v>14</v>
      </c>
      <c r="C2006" t="s">
        <v>30</v>
      </c>
      <c r="D2006" t="s">
        <v>20</v>
      </c>
      <c r="E2006">
        <v>79.25</v>
      </c>
      <c r="F2006">
        <v>70</v>
      </c>
      <c r="G2006">
        <v>5547.5</v>
      </c>
      <c r="H2006" t="s">
        <v>12</v>
      </c>
      <c r="I2006" t="str">
        <f t="shared" si="94"/>
        <v>High Value</v>
      </c>
      <c r="J2006" t="str">
        <f t="shared" si="95"/>
        <v>Low Risk</v>
      </c>
      <c r="K2006" s="3" t="str">
        <f t="shared" si="93"/>
        <v>4+ Years</v>
      </c>
    </row>
    <row r="2007" spans="1:11" x14ac:dyDescent="0.3">
      <c r="A2007" t="s">
        <v>2024</v>
      </c>
      <c r="B2007" t="s">
        <v>14</v>
      </c>
      <c r="C2007" t="s">
        <v>10</v>
      </c>
      <c r="D2007" t="s">
        <v>20</v>
      </c>
      <c r="E2007">
        <v>75.900000000000006</v>
      </c>
      <c r="F2007">
        <v>5</v>
      </c>
      <c r="G2007">
        <v>379.5</v>
      </c>
      <c r="H2007" t="s">
        <v>18</v>
      </c>
      <c r="I2007" t="str">
        <f t="shared" si="94"/>
        <v>Low Value</v>
      </c>
      <c r="J2007" t="str">
        <f t="shared" si="95"/>
        <v>High Risk</v>
      </c>
      <c r="K2007" s="3" t="str">
        <f t="shared" si="93"/>
        <v>0-1 Year</v>
      </c>
    </row>
    <row r="2008" spans="1:11" x14ac:dyDescent="0.3">
      <c r="A2008" t="s">
        <v>2025</v>
      </c>
      <c r="B2008" t="s">
        <v>14</v>
      </c>
      <c r="C2008" t="s">
        <v>10</v>
      </c>
      <c r="D2008" t="s">
        <v>11</v>
      </c>
      <c r="E2008">
        <v>85.7</v>
      </c>
      <c r="F2008">
        <v>53</v>
      </c>
      <c r="G2008">
        <v>4542.1000000000004</v>
      </c>
      <c r="H2008" t="s">
        <v>12</v>
      </c>
      <c r="I2008" t="str">
        <f t="shared" si="94"/>
        <v>Medium Value</v>
      </c>
      <c r="J2008" t="str">
        <f t="shared" si="95"/>
        <v>Low Risk</v>
      </c>
      <c r="K2008" s="3" t="str">
        <f t="shared" si="93"/>
        <v>4+ Years</v>
      </c>
    </row>
    <row r="2009" spans="1:11" x14ac:dyDescent="0.3">
      <c r="A2009" t="s">
        <v>2026</v>
      </c>
      <c r="B2009" t="s">
        <v>9</v>
      </c>
      <c r="C2009" t="s">
        <v>10</v>
      </c>
      <c r="D2009" t="s">
        <v>11</v>
      </c>
      <c r="E2009">
        <v>98.75</v>
      </c>
      <c r="F2009">
        <v>47</v>
      </c>
      <c r="G2009">
        <v>4641.25</v>
      </c>
      <c r="H2009" t="s">
        <v>18</v>
      </c>
      <c r="I2009" t="str">
        <f t="shared" si="94"/>
        <v>Medium Value</v>
      </c>
      <c r="J2009" t="str">
        <f t="shared" si="95"/>
        <v>Low Risk</v>
      </c>
      <c r="K2009" s="3" t="str">
        <f t="shared" si="93"/>
        <v>2-4 Years</v>
      </c>
    </row>
    <row r="2010" spans="1:11" x14ac:dyDescent="0.3">
      <c r="A2010" t="s">
        <v>2027</v>
      </c>
      <c r="B2010" t="s">
        <v>9</v>
      </c>
      <c r="C2010" t="s">
        <v>15</v>
      </c>
      <c r="D2010" t="s">
        <v>24</v>
      </c>
      <c r="E2010">
        <v>20.100000000000001</v>
      </c>
      <c r="F2010">
        <v>31</v>
      </c>
      <c r="G2010">
        <v>623.1</v>
      </c>
      <c r="H2010" t="s">
        <v>12</v>
      </c>
      <c r="I2010" t="str">
        <f t="shared" si="94"/>
        <v>Low Value</v>
      </c>
      <c r="J2010" t="str">
        <f t="shared" si="95"/>
        <v>Low Risk</v>
      </c>
      <c r="K2010" s="3" t="str">
        <f t="shared" si="93"/>
        <v>2-4 Years</v>
      </c>
    </row>
    <row r="2011" spans="1:11" x14ac:dyDescent="0.3">
      <c r="A2011" t="s">
        <v>2028</v>
      </c>
      <c r="B2011" t="s">
        <v>14</v>
      </c>
      <c r="C2011" t="s">
        <v>10</v>
      </c>
      <c r="D2011" t="s">
        <v>20</v>
      </c>
      <c r="E2011">
        <v>61.8</v>
      </c>
      <c r="F2011">
        <v>13</v>
      </c>
      <c r="G2011">
        <v>803.4</v>
      </c>
      <c r="H2011" t="s">
        <v>12</v>
      </c>
      <c r="I2011" t="str">
        <f t="shared" si="94"/>
        <v>Low Value</v>
      </c>
      <c r="J2011" t="str">
        <f t="shared" si="95"/>
        <v>Medium Risk</v>
      </c>
      <c r="K2011" s="3" t="str">
        <f t="shared" si="93"/>
        <v>1-2 Years</v>
      </c>
    </row>
    <row r="2012" spans="1:11" x14ac:dyDescent="0.3">
      <c r="A2012" t="s">
        <v>2029</v>
      </c>
      <c r="B2012" t="s">
        <v>9</v>
      </c>
      <c r="C2012" t="s">
        <v>10</v>
      </c>
      <c r="D2012" t="s">
        <v>16</v>
      </c>
      <c r="E2012">
        <v>49.9</v>
      </c>
      <c r="F2012">
        <v>28</v>
      </c>
      <c r="G2012">
        <v>1397.2</v>
      </c>
      <c r="H2012" t="s">
        <v>12</v>
      </c>
      <c r="I2012" t="str">
        <f t="shared" si="94"/>
        <v>Low Value</v>
      </c>
      <c r="J2012" t="str">
        <f t="shared" si="95"/>
        <v>Low Risk</v>
      </c>
      <c r="K2012" s="3" t="str">
        <f t="shared" si="93"/>
        <v>2-4 Years</v>
      </c>
    </row>
    <row r="2013" spans="1:11" x14ac:dyDescent="0.3">
      <c r="A2013" t="s">
        <v>2030</v>
      </c>
      <c r="B2013" t="s">
        <v>9</v>
      </c>
      <c r="C2013" t="s">
        <v>10</v>
      </c>
      <c r="D2013" t="s">
        <v>11</v>
      </c>
      <c r="E2013">
        <v>86.45</v>
      </c>
      <c r="F2013">
        <v>10</v>
      </c>
      <c r="G2013">
        <v>864.5</v>
      </c>
      <c r="H2013" t="s">
        <v>18</v>
      </c>
      <c r="I2013" t="str">
        <f t="shared" si="94"/>
        <v>Low Value</v>
      </c>
      <c r="J2013" t="str">
        <f t="shared" si="95"/>
        <v>High Risk</v>
      </c>
      <c r="K2013" s="3" t="str">
        <f t="shared" si="93"/>
        <v>0-1 Year</v>
      </c>
    </row>
    <row r="2014" spans="1:11" x14ac:dyDescent="0.3">
      <c r="A2014" t="s">
        <v>2031</v>
      </c>
      <c r="B2014" t="s">
        <v>14</v>
      </c>
      <c r="C2014" t="s">
        <v>30</v>
      </c>
      <c r="D2014" t="s">
        <v>20</v>
      </c>
      <c r="E2014">
        <v>20.399999999999999</v>
      </c>
      <c r="F2014">
        <v>38</v>
      </c>
      <c r="G2014">
        <v>775.19999999999902</v>
      </c>
      <c r="H2014" t="s">
        <v>12</v>
      </c>
      <c r="I2014" t="str">
        <f t="shared" si="94"/>
        <v>Low Value</v>
      </c>
      <c r="J2014" t="str">
        <f t="shared" si="95"/>
        <v>Low Risk</v>
      </c>
      <c r="K2014" s="3" t="str">
        <f t="shared" si="93"/>
        <v>2-4 Years</v>
      </c>
    </row>
    <row r="2015" spans="1:11" x14ac:dyDescent="0.3">
      <c r="A2015" t="s">
        <v>2032</v>
      </c>
      <c r="B2015" t="s">
        <v>9</v>
      </c>
      <c r="C2015" t="s">
        <v>10</v>
      </c>
      <c r="D2015" t="s">
        <v>16</v>
      </c>
      <c r="E2015">
        <v>45.3</v>
      </c>
      <c r="F2015">
        <v>1</v>
      </c>
      <c r="G2015">
        <v>45.3</v>
      </c>
      <c r="H2015" t="s">
        <v>18</v>
      </c>
      <c r="I2015" t="str">
        <f t="shared" si="94"/>
        <v>Low Value</v>
      </c>
      <c r="J2015" t="str">
        <f t="shared" si="95"/>
        <v>High Risk</v>
      </c>
      <c r="K2015" s="3" t="str">
        <f t="shared" si="93"/>
        <v>0-1 Year</v>
      </c>
    </row>
    <row r="2016" spans="1:11" x14ac:dyDescent="0.3">
      <c r="A2016" t="s">
        <v>2033</v>
      </c>
      <c r="B2016" t="s">
        <v>14</v>
      </c>
      <c r="C2016" t="s">
        <v>15</v>
      </c>
      <c r="D2016" t="s">
        <v>11</v>
      </c>
      <c r="E2016">
        <v>104.1</v>
      </c>
      <c r="F2016">
        <v>67</v>
      </c>
      <c r="G2016">
        <v>6974.7</v>
      </c>
      <c r="H2016" t="s">
        <v>18</v>
      </c>
      <c r="I2016" t="str">
        <f t="shared" si="94"/>
        <v>High Value</v>
      </c>
      <c r="J2016" t="str">
        <f t="shared" si="95"/>
        <v>Low Risk</v>
      </c>
      <c r="K2016" s="3" t="str">
        <f t="shared" si="93"/>
        <v>4+ Years</v>
      </c>
    </row>
    <row r="2017" spans="1:11" x14ac:dyDescent="0.3">
      <c r="A2017" t="s">
        <v>2034</v>
      </c>
      <c r="B2017" t="s">
        <v>14</v>
      </c>
      <c r="C2017" t="s">
        <v>15</v>
      </c>
      <c r="D2017" t="s">
        <v>16</v>
      </c>
      <c r="E2017">
        <v>75.400000000000006</v>
      </c>
      <c r="F2017">
        <v>52</v>
      </c>
      <c r="G2017">
        <v>3920.8</v>
      </c>
      <c r="H2017" t="s">
        <v>12</v>
      </c>
      <c r="I2017" t="str">
        <f t="shared" si="94"/>
        <v>Medium Value</v>
      </c>
      <c r="J2017" t="str">
        <f t="shared" si="95"/>
        <v>Low Risk</v>
      </c>
      <c r="K2017" s="3" t="str">
        <f t="shared" si="93"/>
        <v>4+ Years</v>
      </c>
    </row>
    <row r="2018" spans="1:11" x14ac:dyDescent="0.3">
      <c r="A2018" t="s">
        <v>2035</v>
      </c>
      <c r="B2018" t="s">
        <v>14</v>
      </c>
      <c r="C2018" t="s">
        <v>30</v>
      </c>
      <c r="D2018" t="s">
        <v>16</v>
      </c>
      <c r="E2018">
        <v>108.15</v>
      </c>
      <c r="F2018">
        <v>62</v>
      </c>
      <c r="G2018">
        <v>6705.3</v>
      </c>
      <c r="H2018" t="s">
        <v>12</v>
      </c>
      <c r="I2018" t="str">
        <f t="shared" si="94"/>
        <v>High Value</v>
      </c>
      <c r="J2018" t="str">
        <f t="shared" si="95"/>
        <v>Low Risk</v>
      </c>
      <c r="K2018" s="3" t="str">
        <f t="shared" si="93"/>
        <v>4+ Years</v>
      </c>
    </row>
    <row r="2019" spans="1:11" x14ac:dyDescent="0.3">
      <c r="A2019" t="s">
        <v>2036</v>
      </c>
      <c r="B2019" t="s">
        <v>9</v>
      </c>
      <c r="C2019" t="s">
        <v>10</v>
      </c>
      <c r="D2019" t="s">
        <v>11</v>
      </c>
      <c r="E2019">
        <v>86.25</v>
      </c>
      <c r="F2019">
        <v>16</v>
      </c>
      <c r="G2019">
        <v>1380</v>
      </c>
      <c r="H2019" t="s">
        <v>12</v>
      </c>
      <c r="I2019" t="str">
        <f t="shared" si="94"/>
        <v>Low Value</v>
      </c>
      <c r="J2019" t="str">
        <f t="shared" si="95"/>
        <v>Medium Risk</v>
      </c>
      <c r="K2019" s="3" t="str">
        <f t="shared" si="93"/>
        <v>1-2 Years</v>
      </c>
    </row>
    <row r="2020" spans="1:11" x14ac:dyDescent="0.3">
      <c r="A2020" t="s">
        <v>2037</v>
      </c>
      <c r="B2020" t="s">
        <v>9</v>
      </c>
      <c r="C2020" t="s">
        <v>10</v>
      </c>
      <c r="D2020" t="s">
        <v>11</v>
      </c>
      <c r="E2020">
        <v>81</v>
      </c>
      <c r="F2020">
        <v>5</v>
      </c>
      <c r="G2020">
        <v>405</v>
      </c>
      <c r="H2020" t="s">
        <v>18</v>
      </c>
      <c r="I2020" t="str">
        <f t="shared" si="94"/>
        <v>Low Value</v>
      </c>
      <c r="J2020" t="str">
        <f t="shared" si="95"/>
        <v>High Risk</v>
      </c>
      <c r="K2020" s="3" t="str">
        <f t="shared" si="93"/>
        <v>0-1 Year</v>
      </c>
    </row>
    <row r="2021" spans="1:11" x14ac:dyDescent="0.3">
      <c r="A2021" t="s">
        <v>2038</v>
      </c>
      <c r="B2021" t="s">
        <v>14</v>
      </c>
      <c r="C2021" t="s">
        <v>15</v>
      </c>
      <c r="D2021" t="s">
        <v>11</v>
      </c>
      <c r="E2021">
        <v>95.7</v>
      </c>
      <c r="F2021">
        <v>12</v>
      </c>
      <c r="G2021">
        <v>1148.4000000000001</v>
      </c>
      <c r="H2021" t="s">
        <v>12</v>
      </c>
      <c r="I2021" t="str">
        <f t="shared" si="94"/>
        <v>Low Value</v>
      </c>
      <c r="J2021" t="str">
        <f t="shared" si="95"/>
        <v>Medium Risk</v>
      </c>
      <c r="K2021" s="3" t="str">
        <f t="shared" si="93"/>
        <v>0-1 Year</v>
      </c>
    </row>
    <row r="2022" spans="1:11" x14ac:dyDescent="0.3">
      <c r="A2022" t="s">
        <v>2039</v>
      </c>
      <c r="B2022" t="s">
        <v>9</v>
      </c>
      <c r="C2022" t="s">
        <v>30</v>
      </c>
      <c r="D2022" t="s">
        <v>20</v>
      </c>
      <c r="E2022">
        <v>116.85</v>
      </c>
      <c r="F2022">
        <v>72</v>
      </c>
      <c r="G2022">
        <v>8413.1999999999898</v>
      </c>
      <c r="H2022" t="s">
        <v>12</v>
      </c>
      <c r="I2022" t="str">
        <f t="shared" si="94"/>
        <v>High Value</v>
      </c>
      <c r="J2022" t="str">
        <f t="shared" si="95"/>
        <v>Low Risk</v>
      </c>
      <c r="K2022" s="3" t="str">
        <f t="shared" si="93"/>
        <v>4+ Years</v>
      </c>
    </row>
    <row r="2023" spans="1:11" x14ac:dyDescent="0.3">
      <c r="A2023" t="s">
        <v>2040</v>
      </c>
      <c r="B2023" t="s">
        <v>14</v>
      </c>
      <c r="C2023" t="s">
        <v>15</v>
      </c>
      <c r="D2023" t="s">
        <v>20</v>
      </c>
      <c r="E2023">
        <v>105.75</v>
      </c>
      <c r="F2023">
        <v>71</v>
      </c>
      <c r="G2023">
        <v>7508.25</v>
      </c>
      <c r="H2023" t="s">
        <v>12</v>
      </c>
      <c r="I2023" t="str">
        <f t="shared" si="94"/>
        <v>High Value</v>
      </c>
      <c r="J2023" t="str">
        <f t="shared" si="95"/>
        <v>Low Risk</v>
      </c>
      <c r="K2023" s="3" t="str">
        <f t="shared" si="93"/>
        <v>4+ Years</v>
      </c>
    </row>
    <row r="2024" spans="1:11" x14ac:dyDescent="0.3">
      <c r="A2024" t="s">
        <v>2041</v>
      </c>
      <c r="B2024" t="s">
        <v>9</v>
      </c>
      <c r="C2024" t="s">
        <v>15</v>
      </c>
      <c r="D2024" t="s">
        <v>16</v>
      </c>
      <c r="E2024">
        <v>20.149999999999999</v>
      </c>
      <c r="F2024">
        <v>24</v>
      </c>
      <c r="G2024">
        <v>483.599999999999</v>
      </c>
      <c r="H2024" t="s">
        <v>12</v>
      </c>
      <c r="I2024" t="str">
        <f t="shared" si="94"/>
        <v>Low Value</v>
      </c>
      <c r="J2024" t="str">
        <f t="shared" si="95"/>
        <v>Low Risk</v>
      </c>
      <c r="K2024" s="3" t="str">
        <f t="shared" si="93"/>
        <v>1-2 Years</v>
      </c>
    </row>
    <row r="2025" spans="1:11" x14ac:dyDescent="0.3">
      <c r="A2025" t="s">
        <v>2042</v>
      </c>
      <c r="B2025" t="s">
        <v>9</v>
      </c>
      <c r="C2025" t="s">
        <v>30</v>
      </c>
      <c r="D2025" t="s">
        <v>16</v>
      </c>
      <c r="E2025">
        <v>19.600000000000001</v>
      </c>
      <c r="F2025">
        <v>15</v>
      </c>
      <c r="G2025">
        <v>294</v>
      </c>
      <c r="H2025" t="s">
        <v>12</v>
      </c>
      <c r="I2025" t="str">
        <f t="shared" si="94"/>
        <v>Low Value</v>
      </c>
      <c r="J2025" t="str">
        <f t="shared" si="95"/>
        <v>Medium Risk</v>
      </c>
      <c r="K2025" s="3" t="str">
        <f t="shared" si="93"/>
        <v>1-2 Years</v>
      </c>
    </row>
    <row r="2026" spans="1:11" x14ac:dyDescent="0.3">
      <c r="A2026" t="s">
        <v>2043</v>
      </c>
      <c r="B2026" t="s">
        <v>14</v>
      </c>
      <c r="C2026" t="s">
        <v>15</v>
      </c>
      <c r="D2026" t="s">
        <v>24</v>
      </c>
      <c r="E2026">
        <v>90.6</v>
      </c>
      <c r="F2026">
        <v>67</v>
      </c>
      <c r="G2026">
        <v>6070.2</v>
      </c>
      <c r="H2026" t="s">
        <v>18</v>
      </c>
      <c r="I2026" t="str">
        <f t="shared" si="94"/>
        <v>High Value</v>
      </c>
      <c r="J2026" t="str">
        <f t="shared" si="95"/>
        <v>Low Risk</v>
      </c>
      <c r="K2026" s="3" t="str">
        <f t="shared" si="93"/>
        <v>4+ Years</v>
      </c>
    </row>
    <row r="2027" spans="1:11" x14ac:dyDescent="0.3">
      <c r="A2027" t="s">
        <v>2044</v>
      </c>
      <c r="B2027" t="s">
        <v>14</v>
      </c>
      <c r="C2027" t="s">
        <v>10</v>
      </c>
      <c r="D2027" t="s">
        <v>20</v>
      </c>
      <c r="E2027">
        <v>60.95</v>
      </c>
      <c r="F2027">
        <v>2</v>
      </c>
      <c r="G2027">
        <v>121.9</v>
      </c>
      <c r="H2027" t="s">
        <v>12</v>
      </c>
      <c r="I2027" t="str">
        <f t="shared" si="94"/>
        <v>Low Value</v>
      </c>
      <c r="J2027" t="str">
        <f t="shared" si="95"/>
        <v>High Risk</v>
      </c>
      <c r="K2027" s="3" t="str">
        <f t="shared" si="93"/>
        <v>0-1 Year</v>
      </c>
    </row>
    <row r="2028" spans="1:11" x14ac:dyDescent="0.3">
      <c r="A2028" t="s">
        <v>2045</v>
      </c>
      <c r="B2028" t="s">
        <v>9</v>
      </c>
      <c r="C2028" t="s">
        <v>10</v>
      </c>
      <c r="D2028" t="s">
        <v>16</v>
      </c>
      <c r="E2028">
        <v>25.05</v>
      </c>
      <c r="F2028">
        <v>5</v>
      </c>
      <c r="G2028">
        <v>125.25</v>
      </c>
      <c r="H2028" t="s">
        <v>12</v>
      </c>
      <c r="I2028" t="str">
        <f t="shared" si="94"/>
        <v>Low Value</v>
      </c>
      <c r="J2028" t="str">
        <f t="shared" si="95"/>
        <v>High Risk</v>
      </c>
      <c r="K2028" s="3" t="str">
        <f t="shared" si="93"/>
        <v>0-1 Year</v>
      </c>
    </row>
    <row r="2029" spans="1:11" x14ac:dyDescent="0.3">
      <c r="A2029" t="s">
        <v>2046</v>
      </c>
      <c r="B2029" t="s">
        <v>9</v>
      </c>
      <c r="C2029" t="s">
        <v>10</v>
      </c>
      <c r="D2029" t="s">
        <v>11</v>
      </c>
      <c r="E2029">
        <v>88.15</v>
      </c>
      <c r="F2029">
        <v>15</v>
      </c>
      <c r="G2029">
        <v>1322.25</v>
      </c>
      <c r="H2029" t="s">
        <v>18</v>
      </c>
      <c r="I2029" t="str">
        <f t="shared" si="94"/>
        <v>Low Value</v>
      </c>
      <c r="J2029" t="str">
        <f t="shared" si="95"/>
        <v>Medium Risk</v>
      </c>
      <c r="K2029" s="3" t="str">
        <f t="shared" si="93"/>
        <v>1-2 Years</v>
      </c>
    </row>
    <row r="2030" spans="1:11" x14ac:dyDescent="0.3">
      <c r="A2030" t="s">
        <v>2047</v>
      </c>
      <c r="B2030" t="s">
        <v>14</v>
      </c>
      <c r="C2030" t="s">
        <v>10</v>
      </c>
      <c r="D2030" t="s">
        <v>16</v>
      </c>
      <c r="E2030">
        <v>20.2</v>
      </c>
      <c r="F2030">
        <v>1</v>
      </c>
      <c r="G2030">
        <v>20.2</v>
      </c>
      <c r="H2030" t="s">
        <v>18</v>
      </c>
      <c r="I2030" t="str">
        <f t="shared" si="94"/>
        <v>Low Value</v>
      </c>
      <c r="J2030" t="str">
        <f t="shared" si="95"/>
        <v>High Risk</v>
      </c>
      <c r="K2030" s="3" t="str">
        <f t="shared" si="93"/>
        <v>0-1 Year</v>
      </c>
    </row>
    <row r="2031" spans="1:11" x14ac:dyDescent="0.3">
      <c r="A2031" t="s">
        <v>2048</v>
      </c>
      <c r="B2031" t="s">
        <v>14</v>
      </c>
      <c r="C2031" t="s">
        <v>15</v>
      </c>
      <c r="D2031" t="s">
        <v>20</v>
      </c>
      <c r="E2031">
        <v>60.3</v>
      </c>
      <c r="F2031">
        <v>41</v>
      </c>
      <c r="G2031">
        <v>2472.2999999999902</v>
      </c>
      <c r="H2031" t="s">
        <v>12</v>
      </c>
      <c r="I2031" t="str">
        <f t="shared" si="94"/>
        <v>Medium Value</v>
      </c>
      <c r="J2031" t="str">
        <f t="shared" si="95"/>
        <v>Low Risk</v>
      </c>
      <c r="K2031" s="3" t="str">
        <f t="shared" si="93"/>
        <v>2-4 Years</v>
      </c>
    </row>
    <row r="2032" spans="1:11" x14ac:dyDescent="0.3">
      <c r="A2032" t="s">
        <v>2049</v>
      </c>
      <c r="B2032" t="s">
        <v>9</v>
      </c>
      <c r="C2032" t="s">
        <v>10</v>
      </c>
      <c r="D2032" t="s">
        <v>11</v>
      </c>
      <c r="E2032">
        <v>63.95</v>
      </c>
      <c r="F2032">
        <v>43</v>
      </c>
      <c r="G2032">
        <v>2749.85</v>
      </c>
      <c r="H2032" t="s">
        <v>12</v>
      </c>
      <c r="I2032" t="str">
        <f t="shared" si="94"/>
        <v>Medium Value</v>
      </c>
      <c r="J2032" t="str">
        <f t="shared" si="95"/>
        <v>Low Risk</v>
      </c>
      <c r="K2032" s="3" t="str">
        <f t="shared" si="93"/>
        <v>2-4 Years</v>
      </c>
    </row>
    <row r="2033" spans="1:11" x14ac:dyDescent="0.3">
      <c r="A2033" t="s">
        <v>2050</v>
      </c>
      <c r="B2033" t="s">
        <v>14</v>
      </c>
      <c r="C2033" t="s">
        <v>10</v>
      </c>
      <c r="D2033" t="s">
        <v>11</v>
      </c>
      <c r="E2033">
        <v>74.3</v>
      </c>
      <c r="F2033">
        <v>1</v>
      </c>
      <c r="G2033">
        <v>74.3</v>
      </c>
      <c r="H2033" t="s">
        <v>12</v>
      </c>
      <c r="I2033" t="str">
        <f t="shared" si="94"/>
        <v>Low Value</v>
      </c>
      <c r="J2033" t="str">
        <f t="shared" si="95"/>
        <v>High Risk</v>
      </c>
      <c r="K2033" s="3" t="str">
        <f t="shared" si="93"/>
        <v>0-1 Year</v>
      </c>
    </row>
    <row r="2034" spans="1:11" x14ac:dyDescent="0.3">
      <c r="A2034" t="s">
        <v>2051</v>
      </c>
      <c r="B2034" t="s">
        <v>9</v>
      </c>
      <c r="C2034" t="s">
        <v>10</v>
      </c>
      <c r="D2034" t="s">
        <v>16</v>
      </c>
      <c r="E2034">
        <v>70.599999999999994</v>
      </c>
      <c r="F2034">
        <v>1</v>
      </c>
      <c r="G2034">
        <v>70.599999999999994</v>
      </c>
      <c r="H2034" t="s">
        <v>12</v>
      </c>
      <c r="I2034" t="str">
        <f t="shared" si="94"/>
        <v>Low Value</v>
      </c>
      <c r="J2034" t="str">
        <f t="shared" si="95"/>
        <v>High Risk</v>
      </c>
      <c r="K2034" s="3" t="str">
        <f t="shared" si="93"/>
        <v>0-1 Year</v>
      </c>
    </row>
    <row r="2035" spans="1:11" x14ac:dyDescent="0.3">
      <c r="A2035" t="s">
        <v>2052</v>
      </c>
      <c r="B2035" t="s">
        <v>9</v>
      </c>
      <c r="C2035" t="s">
        <v>10</v>
      </c>
      <c r="D2035" t="s">
        <v>11</v>
      </c>
      <c r="E2035">
        <v>90.8</v>
      </c>
      <c r="F2035">
        <v>26</v>
      </c>
      <c r="G2035">
        <v>2360.7999999999902</v>
      </c>
      <c r="H2035" t="s">
        <v>18</v>
      </c>
      <c r="I2035" t="str">
        <f t="shared" si="94"/>
        <v>Medium Value</v>
      </c>
      <c r="J2035" t="str">
        <f t="shared" si="95"/>
        <v>Low Risk</v>
      </c>
      <c r="K2035" s="3" t="str">
        <f t="shared" si="93"/>
        <v>2-4 Years</v>
      </c>
    </row>
    <row r="2036" spans="1:11" x14ac:dyDescent="0.3">
      <c r="A2036" t="s">
        <v>2053</v>
      </c>
      <c r="B2036" t="s">
        <v>14</v>
      </c>
      <c r="C2036" t="s">
        <v>10</v>
      </c>
      <c r="D2036" t="s">
        <v>11</v>
      </c>
      <c r="E2036">
        <v>79.349999999999994</v>
      </c>
      <c r="F2036">
        <v>22</v>
      </c>
      <c r="G2036">
        <v>1745.69999999999</v>
      </c>
      <c r="H2036" t="s">
        <v>18</v>
      </c>
      <c r="I2036" t="str">
        <f t="shared" si="94"/>
        <v>Low Value</v>
      </c>
      <c r="J2036" t="str">
        <f t="shared" si="95"/>
        <v>Medium Risk</v>
      </c>
      <c r="K2036" s="3" t="str">
        <f t="shared" si="93"/>
        <v>1-2 Years</v>
      </c>
    </row>
    <row r="2037" spans="1:11" x14ac:dyDescent="0.3">
      <c r="A2037" t="s">
        <v>2054</v>
      </c>
      <c r="B2037" t="s">
        <v>14</v>
      </c>
      <c r="C2037" t="s">
        <v>30</v>
      </c>
      <c r="D2037" t="s">
        <v>20</v>
      </c>
      <c r="E2037">
        <v>90.55</v>
      </c>
      <c r="F2037">
        <v>71</v>
      </c>
      <c r="G2037">
        <v>6429.05</v>
      </c>
      <c r="H2037" t="s">
        <v>12</v>
      </c>
      <c r="I2037" t="str">
        <f t="shared" si="94"/>
        <v>High Value</v>
      </c>
      <c r="J2037" t="str">
        <f t="shared" si="95"/>
        <v>Low Risk</v>
      </c>
      <c r="K2037" s="3" t="str">
        <f t="shared" si="93"/>
        <v>4+ Years</v>
      </c>
    </row>
    <row r="2038" spans="1:11" x14ac:dyDescent="0.3">
      <c r="A2038" t="s">
        <v>2055</v>
      </c>
      <c r="B2038" t="s">
        <v>14</v>
      </c>
      <c r="C2038" t="s">
        <v>30</v>
      </c>
      <c r="D2038" t="s">
        <v>16</v>
      </c>
      <c r="E2038">
        <v>19.45</v>
      </c>
      <c r="F2038">
        <v>7</v>
      </c>
      <c r="G2038">
        <v>136.15</v>
      </c>
      <c r="H2038" t="s">
        <v>12</v>
      </c>
      <c r="I2038" t="str">
        <f t="shared" si="94"/>
        <v>Low Value</v>
      </c>
      <c r="J2038" t="str">
        <f t="shared" si="95"/>
        <v>High Risk</v>
      </c>
      <c r="K2038" s="3" t="str">
        <f t="shared" si="93"/>
        <v>0-1 Year</v>
      </c>
    </row>
    <row r="2039" spans="1:11" x14ac:dyDescent="0.3">
      <c r="A2039" t="s">
        <v>2056</v>
      </c>
      <c r="B2039" t="s">
        <v>9</v>
      </c>
      <c r="C2039" t="s">
        <v>10</v>
      </c>
      <c r="D2039" t="s">
        <v>20</v>
      </c>
      <c r="E2039">
        <v>64.45</v>
      </c>
      <c r="F2039">
        <v>28</v>
      </c>
      <c r="G2039">
        <v>1804.6</v>
      </c>
      <c r="H2039" t="s">
        <v>12</v>
      </c>
      <c r="I2039" t="str">
        <f t="shared" si="94"/>
        <v>Low Value</v>
      </c>
      <c r="J2039" t="str">
        <f t="shared" si="95"/>
        <v>Low Risk</v>
      </c>
      <c r="K2039" s="3" t="str">
        <f t="shared" si="93"/>
        <v>2-4 Years</v>
      </c>
    </row>
    <row r="2040" spans="1:11" x14ac:dyDescent="0.3">
      <c r="A2040" t="s">
        <v>2057</v>
      </c>
      <c r="B2040" t="s">
        <v>14</v>
      </c>
      <c r="C2040" t="s">
        <v>10</v>
      </c>
      <c r="D2040" t="s">
        <v>11</v>
      </c>
      <c r="E2040">
        <v>69.650000000000006</v>
      </c>
      <c r="F2040">
        <v>16</v>
      </c>
      <c r="G2040">
        <v>1114.4000000000001</v>
      </c>
      <c r="H2040" t="s">
        <v>12</v>
      </c>
      <c r="I2040" t="str">
        <f t="shared" si="94"/>
        <v>Low Value</v>
      </c>
      <c r="J2040" t="str">
        <f t="shared" si="95"/>
        <v>Medium Risk</v>
      </c>
      <c r="K2040" s="3" t="str">
        <f t="shared" si="93"/>
        <v>1-2 Years</v>
      </c>
    </row>
    <row r="2041" spans="1:11" x14ac:dyDescent="0.3">
      <c r="A2041" t="s">
        <v>2058</v>
      </c>
      <c r="B2041" t="s">
        <v>14</v>
      </c>
      <c r="C2041" t="s">
        <v>15</v>
      </c>
      <c r="D2041" t="s">
        <v>16</v>
      </c>
      <c r="E2041">
        <v>19.5</v>
      </c>
      <c r="F2041">
        <v>7</v>
      </c>
      <c r="G2041">
        <v>136.5</v>
      </c>
      <c r="H2041" t="s">
        <v>12</v>
      </c>
      <c r="I2041" t="str">
        <f t="shared" si="94"/>
        <v>Low Value</v>
      </c>
      <c r="J2041" t="str">
        <f t="shared" si="95"/>
        <v>High Risk</v>
      </c>
      <c r="K2041" s="3" t="str">
        <f t="shared" si="93"/>
        <v>0-1 Year</v>
      </c>
    </row>
    <row r="2042" spans="1:11" x14ac:dyDescent="0.3">
      <c r="A2042" t="s">
        <v>2059</v>
      </c>
      <c r="B2042" t="s">
        <v>9</v>
      </c>
      <c r="C2042" t="s">
        <v>30</v>
      </c>
      <c r="D2042" t="s">
        <v>20</v>
      </c>
      <c r="E2042">
        <v>110.5</v>
      </c>
      <c r="F2042">
        <v>69</v>
      </c>
      <c r="G2042">
        <v>7624.5</v>
      </c>
      <c r="H2042" t="s">
        <v>12</v>
      </c>
      <c r="I2042" t="str">
        <f t="shared" si="94"/>
        <v>High Value</v>
      </c>
      <c r="J2042" t="str">
        <f t="shared" si="95"/>
        <v>Low Risk</v>
      </c>
      <c r="K2042" s="3" t="str">
        <f t="shared" si="93"/>
        <v>4+ Years</v>
      </c>
    </row>
    <row r="2043" spans="1:11" x14ac:dyDescent="0.3">
      <c r="A2043" t="s">
        <v>2060</v>
      </c>
      <c r="B2043" t="s">
        <v>9</v>
      </c>
      <c r="C2043" t="s">
        <v>10</v>
      </c>
      <c r="D2043" t="s">
        <v>16</v>
      </c>
      <c r="E2043">
        <v>24.7</v>
      </c>
      <c r="F2043">
        <v>1</v>
      </c>
      <c r="G2043">
        <v>24.7</v>
      </c>
      <c r="H2043" t="s">
        <v>12</v>
      </c>
      <c r="I2043" t="str">
        <f t="shared" si="94"/>
        <v>Low Value</v>
      </c>
      <c r="J2043" t="str">
        <f t="shared" si="95"/>
        <v>High Risk</v>
      </c>
      <c r="K2043" s="3" t="str">
        <f t="shared" si="93"/>
        <v>0-1 Year</v>
      </c>
    </row>
    <row r="2044" spans="1:11" x14ac:dyDescent="0.3">
      <c r="A2044" t="s">
        <v>2061</v>
      </c>
      <c r="B2044" t="s">
        <v>14</v>
      </c>
      <c r="C2044" t="s">
        <v>10</v>
      </c>
      <c r="D2044" t="s">
        <v>11</v>
      </c>
      <c r="E2044">
        <v>77.400000000000006</v>
      </c>
      <c r="F2044">
        <v>3</v>
      </c>
      <c r="G2044">
        <v>232.2</v>
      </c>
      <c r="H2044" t="s">
        <v>12</v>
      </c>
      <c r="I2044" t="str">
        <f t="shared" si="94"/>
        <v>Low Value</v>
      </c>
      <c r="J2044" t="str">
        <f t="shared" si="95"/>
        <v>High Risk</v>
      </c>
      <c r="K2044" s="3" t="str">
        <f t="shared" si="93"/>
        <v>0-1 Year</v>
      </c>
    </row>
    <row r="2045" spans="1:11" x14ac:dyDescent="0.3">
      <c r="A2045" t="s">
        <v>2062</v>
      </c>
      <c r="B2045" t="s">
        <v>14</v>
      </c>
      <c r="C2045" t="s">
        <v>10</v>
      </c>
      <c r="D2045" t="s">
        <v>20</v>
      </c>
      <c r="E2045">
        <v>96.8</v>
      </c>
      <c r="F2045">
        <v>21</v>
      </c>
      <c r="G2045">
        <v>2032.8</v>
      </c>
      <c r="H2045" t="s">
        <v>18</v>
      </c>
      <c r="I2045" t="str">
        <f t="shared" si="94"/>
        <v>Medium Value</v>
      </c>
      <c r="J2045" t="str">
        <f t="shared" si="95"/>
        <v>Medium Risk</v>
      </c>
      <c r="K2045" s="3" t="str">
        <f t="shared" si="93"/>
        <v>1-2 Years</v>
      </c>
    </row>
    <row r="2046" spans="1:11" x14ac:dyDescent="0.3">
      <c r="A2046" t="s">
        <v>2063</v>
      </c>
      <c r="B2046" t="s">
        <v>9</v>
      </c>
      <c r="C2046" t="s">
        <v>10</v>
      </c>
      <c r="D2046" t="s">
        <v>20</v>
      </c>
      <c r="E2046">
        <v>85.4</v>
      </c>
      <c r="F2046">
        <v>69</v>
      </c>
      <c r="G2046">
        <v>5892.6</v>
      </c>
      <c r="H2046" t="s">
        <v>12</v>
      </c>
      <c r="I2046" t="str">
        <f t="shared" si="94"/>
        <v>High Value</v>
      </c>
      <c r="J2046" t="str">
        <f t="shared" si="95"/>
        <v>Low Risk</v>
      </c>
      <c r="K2046" s="3" t="str">
        <f t="shared" si="93"/>
        <v>4+ Years</v>
      </c>
    </row>
    <row r="2047" spans="1:11" x14ac:dyDescent="0.3">
      <c r="A2047" t="s">
        <v>2064</v>
      </c>
      <c r="B2047" t="s">
        <v>9</v>
      </c>
      <c r="C2047" t="s">
        <v>30</v>
      </c>
      <c r="D2047" t="s">
        <v>20</v>
      </c>
      <c r="E2047">
        <v>47.6</v>
      </c>
      <c r="F2047">
        <v>71</v>
      </c>
      <c r="G2047">
        <v>3379.6</v>
      </c>
      <c r="H2047" t="s">
        <v>12</v>
      </c>
      <c r="I2047" t="str">
        <f t="shared" si="94"/>
        <v>Medium Value</v>
      </c>
      <c r="J2047" t="str">
        <f t="shared" si="95"/>
        <v>Low Risk</v>
      </c>
      <c r="K2047" s="3" t="str">
        <f t="shared" si="93"/>
        <v>4+ Years</v>
      </c>
    </row>
    <row r="2048" spans="1:11" x14ac:dyDescent="0.3">
      <c r="A2048" t="s">
        <v>2065</v>
      </c>
      <c r="B2048" t="s">
        <v>9</v>
      </c>
      <c r="C2048" t="s">
        <v>30</v>
      </c>
      <c r="D2048" t="s">
        <v>16</v>
      </c>
      <c r="E2048">
        <v>19.399999999999999</v>
      </c>
      <c r="F2048">
        <v>69</v>
      </c>
      <c r="G2048">
        <v>1338.6</v>
      </c>
      <c r="H2048" t="s">
        <v>12</v>
      </c>
      <c r="I2048" t="str">
        <f t="shared" si="94"/>
        <v>Low Value</v>
      </c>
      <c r="J2048" t="str">
        <f t="shared" si="95"/>
        <v>Low Risk</v>
      </c>
      <c r="K2048" s="3" t="str">
        <f t="shared" si="93"/>
        <v>4+ Years</v>
      </c>
    </row>
    <row r="2049" spans="1:11" x14ac:dyDescent="0.3">
      <c r="A2049" t="s">
        <v>2066</v>
      </c>
      <c r="B2049" t="s">
        <v>9</v>
      </c>
      <c r="C2049" t="s">
        <v>10</v>
      </c>
      <c r="D2049" t="s">
        <v>11</v>
      </c>
      <c r="E2049">
        <v>103.85</v>
      </c>
      <c r="F2049">
        <v>48</v>
      </c>
      <c r="G2049">
        <v>4984.7999999999902</v>
      </c>
      <c r="H2049" t="s">
        <v>12</v>
      </c>
      <c r="I2049" t="str">
        <f t="shared" si="94"/>
        <v>Medium Value</v>
      </c>
      <c r="J2049" t="str">
        <f t="shared" si="95"/>
        <v>Low Risk</v>
      </c>
      <c r="K2049" s="3" t="str">
        <f t="shared" si="93"/>
        <v>2-4 Years</v>
      </c>
    </row>
    <row r="2050" spans="1:11" x14ac:dyDescent="0.3">
      <c r="A2050" t="s">
        <v>2067</v>
      </c>
      <c r="B2050" t="s">
        <v>14</v>
      </c>
      <c r="C2050" t="s">
        <v>10</v>
      </c>
      <c r="D2050" t="s">
        <v>20</v>
      </c>
      <c r="E2050">
        <v>83.35</v>
      </c>
      <c r="F2050">
        <v>47</v>
      </c>
      <c r="G2050">
        <v>3917.45</v>
      </c>
      <c r="H2050" t="s">
        <v>18</v>
      </c>
      <c r="I2050" t="str">
        <f t="shared" si="94"/>
        <v>Medium Value</v>
      </c>
      <c r="J2050" t="str">
        <f t="shared" si="95"/>
        <v>Low Risk</v>
      </c>
      <c r="K2050" s="3" t="str">
        <f t="shared" si="93"/>
        <v>2-4 Years</v>
      </c>
    </row>
    <row r="2051" spans="1:11" x14ac:dyDescent="0.3">
      <c r="A2051" t="s">
        <v>2068</v>
      </c>
      <c r="B2051" t="s">
        <v>9</v>
      </c>
      <c r="C2051" t="s">
        <v>10</v>
      </c>
      <c r="D2051" t="s">
        <v>11</v>
      </c>
      <c r="E2051">
        <v>49.4</v>
      </c>
      <c r="F2051">
        <v>2</v>
      </c>
      <c r="G2051">
        <v>98.8</v>
      </c>
      <c r="H2051" t="s">
        <v>18</v>
      </c>
      <c r="I2051" t="str">
        <f t="shared" si="94"/>
        <v>Low Value</v>
      </c>
      <c r="J2051" t="str">
        <f t="shared" si="95"/>
        <v>High Risk</v>
      </c>
      <c r="K2051" s="3" t="str">
        <f t="shared" ref="K2051:K2114" si="96">IF(F2051&lt;=12,"0-1 Year",
IF(F2051&lt;=24,"1-2 Years",
IF(F2051&lt;=48,"2-4 Years","4+ Years")))</f>
        <v>0-1 Year</v>
      </c>
    </row>
    <row r="2052" spans="1:11" x14ac:dyDescent="0.3">
      <c r="A2052" t="s">
        <v>2069</v>
      </c>
      <c r="B2052" t="s">
        <v>14</v>
      </c>
      <c r="C2052" t="s">
        <v>10</v>
      </c>
      <c r="D2052" t="s">
        <v>24</v>
      </c>
      <c r="E2052">
        <v>108.45</v>
      </c>
      <c r="F2052">
        <v>45</v>
      </c>
      <c r="G2052">
        <v>4880.25</v>
      </c>
      <c r="H2052" t="s">
        <v>12</v>
      </c>
      <c r="I2052" t="str">
        <f t="shared" ref="I2052:I2115" si="97">IF(G2052&gt;5000,"High Value",
IF(G2052&gt;2000,"Medium Value","Low Value"))</f>
        <v>Medium Value</v>
      </c>
      <c r="J2052" t="str">
        <f t="shared" ref="J2052:J2115" si="98">IF(F2052&lt;12,"High Risk",
IF(F2052&lt;24,"Medium Risk","Low Risk"))</f>
        <v>Low Risk</v>
      </c>
      <c r="K2052" s="3" t="str">
        <f t="shared" si="96"/>
        <v>2-4 Years</v>
      </c>
    </row>
    <row r="2053" spans="1:11" x14ac:dyDescent="0.3">
      <c r="A2053" t="s">
        <v>2070</v>
      </c>
      <c r="B2053" t="s">
        <v>14</v>
      </c>
      <c r="C2053" t="s">
        <v>10</v>
      </c>
      <c r="D2053" t="s">
        <v>20</v>
      </c>
      <c r="E2053">
        <v>81</v>
      </c>
      <c r="F2053">
        <v>51</v>
      </c>
      <c r="G2053">
        <v>4131</v>
      </c>
      <c r="H2053" t="s">
        <v>12</v>
      </c>
      <c r="I2053" t="str">
        <f t="shared" si="97"/>
        <v>Medium Value</v>
      </c>
      <c r="J2053" t="str">
        <f t="shared" si="98"/>
        <v>Low Risk</v>
      </c>
      <c r="K2053" s="3" t="str">
        <f t="shared" si="96"/>
        <v>4+ Years</v>
      </c>
    </row>
    <row r="2054" spans="1:11" x14ac:dyDescent="0.3">
      <c r="A2054" t="s">
        <v>2071</v>
      </c>
      <c r="B2054" t="s">
        <v>9</v>
      </c>
      <c r="C2054" t="s">
        <v>10</v>
      </c>
      <c r="D2054" t="s">
        <v>11</v>
      </c>
      <c r="E2054">
        <v>79.2</v>
      </c>
      <c r="F2054">
        <v>22</v>
      </c>
      <c r="G2054">
        <v>1742.4</v>
      </c>
      <c r="H2054" t="s">
        <v>18</v>
      </c>
      <c r="I2054" t="str">
        <f t="shared" si="97"/>
        <v>Low Value</v>
      </c>
      <c r="J2054" t="str">
        <f t="shared" si="98"/>
        <v>Medium Risk</v>
      </c>
      <c r="K2054" s="3" t="str">
        <f t="shared" si="96"/>
        <v>1-2 Years</v>
      </c>
    </row>
    <row r="2055" spans="1:11" x14ac:dyDescent="0.3">
      <c r="A2055" t="s">
        <v>2072</v>
      </c>
      <c r="B2055" t="s">
        <v>14</v>
      </c>
      <c r="C2055" t="s">
        <v>30</v>
      </c>
      <c r="D2055" t="s">
        <v>20</v>
      </c>
      <c r="E2055">
        <v>86.65</v>
      </c>
      <c r="F2055">
        <v>72</v>
      </c>
      <c r="G2055">
        <v>6238.8</v>
      </c>
      <c r="H2055" t="s">
        <v>12</v>
      </c>
      <c r="I2055" t="str">
        <f t="shared" si="97"/>
        <v>High Value</v>
      </c>
      <c r="J2055" t="str">
        <f t="shared" si="98"/>
        <v>Low Risk</v>
      </c>
      <c r="K2055" s="3" t="str">
        <f t="shared" si="96"/>
        <v>4+ Years</v>
      </c>
    </row>
    <row r="2056" spans="1:11" x14ac:dyDescent="0.3">
      <c r="A2056" t="s">
        <v>2073</v>
      </c>
      <c r="B2056" t="s">
        <v>14</v>
      </c>
      <c r="C2056" t="s">
        <v>10</v>
      </c>
      <c r="D2056" t="s">
        <v>11</v>
      </c>
      <c r="E2056">
        <v>92.95</v>
      </c>
      <c r="F2056">
        <v>37</v>
      </c>
      <c r="G2056">
        <v>3439.15</v>
      </c>
      <c r="H2056" t="s">
        <v>12</v>
      </c>
      <c r="I2056" t="str">
        <f t="shared" si="97"/>
        <v>Medium Value</v>
      </c>
      <c r="J2056" t="str">
        <f t="shared" si="98"/>
        <v>Low Risk</v>
      </c>
      <c r="K2056" s="3" t="str">
        <f t="shared" si="96"/>
        <v>2-4 Years</v>
      </c>
    </row>
    <row r="2057" spans="1:11" x14ac:dyDescent="0.3">
      <c r="A2057" t="s">
        <v>2074</v>
      </c>
      <c r="B2057" t="s">
        <v>14</v>
      </c>
      <c r="C2057" t="s">
        <v>30</v>
      </c>
      <c r="D2057" t="s">
        <v>11</v>
      </c>
      <c r="E2057">
        <v>90.35</v>
      </c>
      <c r="F2057">
        <v>71</v>
      </c>
      <c r="G2057">
        <v>6414.8499999999904</v>
      </c>
      <c r="H2057" t="s">
        <v>12</v>
      </c>
      <c r="I2057" t="str">
        <f t="shared" si="97"/>
        <v>High Value</v>
      </c>
      <c r="J2057" t="str">
        <f t="shared" si="98"/>
        <v>Low Risk</v>
      </c>
      <c r="K2057" s="3" t="str">
        <f t="shared" si="96"/>
        <v>4+ Years</v>
      </c>
    </row>
    <row r="2058" spans="1:11" x14ac:dyDescent="0.3">
      <c r="A2058" t="s">
        <v>2075</v>
      </c>
      <c r="B2058" t="s">
        <v>14</v>
      </c>
      <c r="C2058" t="s">
        <v>10</v>
      </c>
      <c r="D2058" t="s">
        <v>11</v>
      </c>
      <c r="E2058">
        <v>48.7</v>
      </c>
      <c r="F2058">
        <v>7</v>
      </c>
      <c r="G2058">
        <v>340.9</v>
      </c>
      <c r="H2058" t="s">
        <v>18</v>
      </c>
      <c r="I2058" t="str">
        <f t="shared" si="97"/>
        <v>Low Value</v>
      </c>
      <c r="J2058" t="str">
        <f t="shared" si="98"/>
        <v>High Risk</v>
      </c>
      <c r="K2058" s="3" t="str">
        <f t="shared" si="96"/>
        <v>0-1 Year</v>
      </c>
    </row>
    <row r="2059" spans="1:11" x14ac:dyDescent="0.3">
      <c r="A2059" t="s">
        <v>2076</v>
      </c>
      <c r="B2059" t="s">
        <v>9</v>
      </c>
      <c r="C2059" t="s">
        <v>30</v>
      </c>
      <c r="D2059" t="s">
        <v>24</v>
      </c>
      <c r="E2059">
        <v>25.15</v>
      </c>
      <c r="F2059">
        <v>66</v>
      </c>
      <c r="G2059">
        <v>1659.8999999999901</v>
      </c>
      <c r="H2059" t="s">
        <v>12</v>
      </c>
      <c r="I2059" t="str">
        <f t="shared" si="97"/>
        <v>Low Value</v>
      </c>
      <c r="J2059" t="str">
        <f t="shared" si="98"/>
        <v>Low Risk</v>
      </c>
      <c r="K2059" s="3" t="str">
        <f t="shared" si="96"/>
        <v>4+ Years</v>
      </c>
    </row>
    <row r="2060" spans="1:11" x14ac:dyDescent="0.3">
      <c r="A2060" t="s">
        <v>2077</v>
      </c>
      <c r="B2060" t="s">
        <v>14</v>
      </c>
      <c r="C2060" t="s">
        <v>15</v>
      </c>
      <c r="D2060" t="s">
        <v>20</v>
      </c>
      <c r="E2060">
        <v>76.400000000000006</v>
      </c>
      <c r="F2060">
        <v>51</v>
      </c>
      <c r="G2060">
        <v>3896.4</v>
      </c>
      <c r="H2060" t="s">
        <v>12</v>
      </c>
      <c r="I2060" t="str">
        <f t="shared" si="97"/>
        <v>Medium Value</v>
      </c>
      <c r="J2060" t="str">
        <f t="shared" si="98"/>
        <v>Low Risk</v>
      </c>
      <c r="K2060" s="3" t="str">
        <f t="shared" si="96"/>
        <v>4+ Years</v>
      </c>
    </row>
    <row r="2061" spans="1:11" x14ac:dyDescent="0.3">
      <c r="A2061" t="s">
        <v>2078</v>
      </c>
      <c r="B2061" t="s">
        <v>9</v>
      </c>
      <c r="C2061" t="s">
        <v>15</v>
      </c>
      <c r="D2061" t="s">
        <v>20</v>
      </c>
      <c r="E2061">
        <v>19.55</v>
      </c>
      <c r="F2061">
        <v>30</v>
      </c>
      <c r="G2061">
        <v>586.5</v>
      </c>
      <c r="H2061" t="s">
        <v>12</v>
      </c>
      <c r="I2061" t="str">
        <f t="shared" si="97"/>
        <v>Low Value</v>
      </c>
      <c r="J2061" t="str">
        <f t="shared" si="98"/>
        <v>Low Risk</v>
      </c>
      <c r="K2061" s="3" t="str">
        <f t="shared" si="96"/>
        <v>2-4 Years</v>
      </c>
    </row>
    <row r="2062" spans="1:11" x14ac:dyDescent="0.3">
      <c r="A2062" t="s">
        <v>2079</v>
      </c>
      <c r="B2062" t="s">
        <v>9</v>
      </c>
      <c r="C2062" t="s">
        <v>10</v>
      </c>
      <c r="D2062" t="s">
        <v>11</v>
      </c>
      <c r="E2062">
        <v>85.35</v>
      </c>
      <c r="F2062">
        <v>34</v>
      </c>
      <c r="G2062">
        <v>2901.8999999999901</v>
      </c>
      <c r="H2062" t="s">
        <v>12</v>
      </c>
      <c r="I2062" t="str">
        <f t="shared" si="97"/>
        <v>Medium Value</v>
      </c>
      <c r="J2062" t="str">
        <f t="shared" si="98"/>
        <v>Low Risk</v>
      </c>
      <c r="K2062" s="3" t="str">
        <f t="shared" si="96"/>
        <v>2-4 Years</v>
      </c>
    </row>
    <row r="2063" spans="1:11" x14ac:dyDescent="0.3">
      <c r="A2063" t="s">
        <v>2080</v>
      </c>
      <c r="B2063" t="s">
        <v>14</v>
      </c>
      <c r="C2063" t="s">
        <v>30</v>
      </c>
      <c r="D2063" t="s">
        <v>16</v>
      </c>
      <c r="E2063">
        <v>24.8</v>
      </c>
      <c r="F2063">
        <v>64</v>
      </c>
      <c r="G2063">
        <v>1587.2</v>
      </c>
      <c r="H2063" t="s">
        <v>12</v>
      </c>
      <c r="I2063" t="str">
        <f t="shared" si="97"/>
        <v>Low Value</v>
      </c>
      <c r="J2063" t="str">
        <f t="shared" si="98"/>
        <v>Low Risk</v>
      </c>
      <c r="K2063" s="3" t="str">
        <f t="shared" si="96"/>
        <v>4+ Years</v>
      </c>
    </row>
    <row r="2064" spans="1:11" x14ac:dyDescent="0.3">
      <c r="A2064" t="s">
        <v>2081</v>
      </c>
      <c r="B2064" t="s">
        <v>14</v>
      </c>
      <c r="C2064" t="s">
        <v>15</v>
      </c>
      <c r="D2064" t="s">
        <v>20</v>
      </c>
      <c r="E2064">
        <v>103.15</v>
      </c>
      <c r="F2064">
        <v>65</v>
      </c>
      <c r="G2064">
        <v>6704.75</v>
      </c>
      <c r="H2064" t="s">
        <v>12</v>
      </c>
      <c r="I2064" t="str">
        <f t="shared" si="97"/>
        <v>High Value</v>
      </c>
      <c r="J2064" t="str">
        <f t="shared" si="98"/>
        <v>Low Risk</v>
      </c>
      <c r="K2064" s="3" t="str">
        <f t="shared" si="96"/>
        <v>4+ Years</v>
      </c>
    </row>
    <row r="2065" spans="1:11" x14ac:dyDescent="0.3">
      <c r="A2065" t="s">
        <v>2082</v>
      </c>
      <c r="B2065" t="s">
        <v>14</v>
      </c>
      <c r="C2065" t="s">
        <v>10</v>
      </c>
      <c r="D2065" t="s">
        <v>16</v>
      </c>
      <c r="E2065">
        <v>100.75</v>
      </c>
      <c r="F2065">
        <v>47</v>
      </c>
      <c r="G2065">
        <v>4735.25</v>
      </c>
      <c r="H2065" t="s">
        <v>12</v>
      </c>
      <c r="I2065" t="str">
        <f t="shared" si="97"/>
        <v>Medium Value</v>
      </c>
      <c r="J2065" t="str">
        <f t="shared" si="98"/>
        <v>Low Risk</v>
      </c>
      <c r="K2065" s="3" t="str">
        <f t="shared" si="96"/>
        <v>2-4 Years</v>
      </c>
    </row>
    <row r="2066" spans="1:11" x14ac:dyDescent="0.3">
      <c r="A2066" t="s">
        <v>2083</v>
      </c>
      <c r="B2066" t="s">
        <v>9</v>
      </c>
      <c r="C2066" t="s">
        <v>10</v>
      </c>
      <c r="D2066" t="s">
        <v>11</v>
      </c>
      <c r="E2066">
        <v>95.6</v>
      </c>
      <c r="F2066">
        <v>1</v>
      </c>
      <c r="G2066">
        <v>95.6</v>
      </c>
      <c r="H2066" t="s">
        <v>18</v>
      </c>
      <c r="I2066" t="str">
        <f t="shared" si="97"/>
        <v>Low Value</v>
      </c>
      <c r="J2066" t="str">
        <f t="shared" si="98"/>
        <v>High Risk</v>
      </c>
      <c r="K2066" s="3" t="str">
        <f t="shared" si="96"/>
        <v>0-1 Year</v>
      </c>
    </row>
    <row r="2067" spans="1:11" x14ac:dyDescent="0.3">
      <c r="A2067" t="s">
        <v>2084</v>
      </c>
      <c r="B2067" t="s">
        <v>9</v>
      </c>
      <c r="C2067" t="s">
        <v>10</v>
      </c>
      <c r="D2067" t="s">
        <v>24</v>
      </c>
      <c r="E2067">
        <v>59.75</v>
      </c>
      <c r="F2067">
        <v>49</v>
      </c>
      <c r="G2067">
        <v>2927.75</v>
      </c>
      <c r="H2067" t="s">
        <v>18</v>
      </c>
      <c r="I2067" t="str">
        <f t="shared" si="97"/>
        <v>Medium Value</v>
      </c>
      <c r="J2067" t="str">
        <f t="shared" si="98"/>
        <v>Low Risk</v>
      </c>
      <c r="K2067" s="3" t="str">
        <f t="shared" si="96"/>
        <v>4+ Years</v>
      </c>
    </row>
    <row r="2068" spans="1:11" x14ac:dyDescent="0.3">
      <c r="A2068" t="s">
        <v>2085</v>
      </c>
      <c r="B2068" t="s">
        <v>9</v>
      </c>
      <c r="C2068" t="s">
        <v>30</v>
      </c>
      <c r="D2068" t="s">
        <v>24</v>
      </c>
      <c r="E2068">
        <v>94.1</v>
      </c>
      <c r="F2068">
        <v>67</v>
      </c>
      <c r="G2068">
        <v>6304.7</v>
      </c>
      <c r="H2068" t="s">
        <v>12</v>
      </c>
      <c r="I2068" t="str">
        <f t="shared" si="97"/>
        <v>High Value</v>
      </c>
      <c r="J2068" t="str">
        <f t="shared" si="98"/>
        <v>Low Risk</v>
      </c>
      <c r="K2068" s="3" t="str">
        <f t="shared" si="96"/>
        <v>4+ Years</v>
      </c>
    </row>
    <row r="2069" spans="1:11" x14ac:dyDescent="0.3">
      <c r="A2069" t="s">
        <v>2086</v>
      </c>
      <c r="B2069" t="s">
        <v>14</v>
      </c>
      <c r="C2069" t="s">
        <v>15</v>
      </c>
      <c r="D2069" t="s">
        <v>20</v>
      </c>
      <c r="E2069">
        <v>19.350000000000001</v>
      </c>
      <c r="F2069">
        <v>39</v>
      </c>
      <c r="G2069">
        <v>754.65</v>
      </c>
      <c r="H2069" t="s">
        <v>12</v>
      </c>
      <c r="I2069" t="str">
        <f t="shared" si="97"/>
        <v>Low Value</v>
      </c>
      <c r="J2069" t="str">
        <f t="shared" si="98"/>
        <v>Low Risk</v>
      </c>
      <c r="K2069" s="3" t="str">
        <f t="shared" si="96"/>
        <v>2-4 Years</v>
      </c>
    </row>
    <row r="2070" spans="1:11" x14ac:dyDescent="0.3">
      <c r="A2070" t="s">
        <v>2087</v>
      </c>
      <c r="B2070" t="s">
        <v>14</v>
      </c>
      <c r="C2070" t="s">
        <v>10</v>
      </c>
      <c r="D2070" t="s">
        <v>16</v>
      </c>
      <c r="E2070">
        <v>19.899999999999999</v>
      </c>
      <c r="F2070">
        <v>14</v>
      </c>
      <c r="G2070">
        <v>278.599999999999</v>
      </c>
      <c r="H2070" t="s">
        <v>12</v>
      </c>
      <c r="I2070" t="str">
        <f t="shared" si="97"/>
        <v>Low Value</v>
      </c>
      <c r="J2070" t="str">
        <f t="shared" si="98"/>
        <v>Medium Risk</v>
      </c>
      <c r="K2070" s="3" t="str">
        <f t="shared" si="96"/>
        <v>1-2 Years</v>
      </c>
    </row>
    <row r="2071" spans="1:11" x14ac:dyDescent="0.3">
      <c r="A2071" t="s">
        <v>2088</v>
      </c>
      <c r="B2071" t="s">
        <v>9</v>
      </c>
      <c r="C2071" t="s">
        <v>10</v>
      </c>
      <c r="D2071" t="s">
        <v>24</v>
      </c>
      <c r="E2071">
        <v>108.15</v>
      </c>
      <c r="F2071">
        <v>43</v>
      </c>
      <c r="G2071">
        <v>4650.45</v>
      </c>
      <c r="H2071" t="s">
        <v>18</v>
      </c>
      <c r="I2071" t="str">
        <f t="shared" si="97"/>
        <v>Medium Value</v>
      </c>
      <c r="J2071" t="str">
        <f t="shared" si="98"/>
        <v>Low Risk</v>
      </c>
      <c r="K2071" s="3" t="str">
        <f t="shared" si="96"/>
        <v>2-4 Years</v>
      </c>
    </row>
    <row r="2072" spans="1:11" x14ac:dyDescent="0.3">
      <c r="A2072" t="s">
        <v>2089</v>
      </c>
      <c r="B2072" t="s">
        <v>14</v>
      </c>
      <c r="C2072" t="s">
        <v>10</v>
      </c>
      <c r="D2072" t="s">
        <v>11</v>
      </c>
      <c r="E2072">
        <v>101.05</v>
      </c>
      <c r="F2072">
        <v>56</v>
      </c>
      <c r="G2072">
        <v>5658.8</v>
      </c>
      <c r="H2072" t="s">
        <v>12</v>
      </c>
      <c r="I2072" t="str">
        <f t="shared" si="97"/>
        <v>High Value</v>
      </c>
      <c r="J2072" t="str">
        <f t="shared" si="98"/>
        <v>Low Risk</v>
      </c>
      <c r="K2072" s="3" t="str">
        <f t="shared" si="96"/>
        <v>4+ Years</v>
      </c>
    </row>
    <row r="2073" spans="1:11" x14ac:dyDescent="0.3">
      <c r="A2073" t="s">
        <v>2090</v>
      </c>
      <c r="B2073" t="s">
        <v>9</v>
      </c>
      <c r="C2073" t="s">
        <v>15</v>
      </c>
      <c r="D2073" t="s">
        <v>24</v>
      </c>
      <c r="E2073">
        <v>59.1</v>
      </c>
      <c r="F2073">
        <v>14</v>
      </c>
      <c r="G2073">
        <v>827.4</v>
      </c>
      <c r="H2073" t="s">
        <v>12</v>
      </c>
      <c r="I2073" t="str">
        <f t="shared" si="97"/>
        <v>Low Value</v>
      </c>
      <c r="J2073" t="str">
        <f t="shared" si="98"/>
        <v>Medium Risk</v>
      </c>
      <c r="K2073" s="3" t="str">
        <f t="shared" si="96"/>
        <v>1-2 Years</v>
      </c>
    </row>
    <row r="2074" spans="1:11" x14ac:dyDescent="0.3">
      <c r="A2074" t="s">
        <v>2091</v>
      </c>
      <c r="B2074" t="s">
        <v>9</v>
      </c>
      <c r="C2074" t="s">
        <v>10</v>
      </c>
      <c r="D2074" t="s">
        <v>11</v>
      </c>
      <c r="E2074">
        <v>71.349999999999994</v>
      </c>
      <c r="F2074">
        <v>1</v>
      </c>
      <c r="G2074">
        <v>71.349999999999994</v>
      </c>
      <c r="H2074" t="s">
        <v>18</v>
      </c>
      <c r="I2074" t="str">
        <f t="shared" si="97"/>
        <v>Low Value</v>
      </c>
      <c r="J2074" t="str">
        <f t="shared" si="98"/>
        <v>High Risk</v>
      </c>
      <c r="K2074" s="3" t="str">
        <f t="shared" si="96"/>
        <v>0-1 Year</v>
      </c>
    </row>
    <row r="2075" spans="1:11" x14ac:dyDescent="0.3">
      <c r="A2075" t="s">
        <v>2092</v>
      </c>
      <c r="B2075" t="s">
        <v>14</v>
      </c>
      <c r="C2075" t="s">
        <v>15</v>
      </c>
      <c r="D2075" t="s">
        <v>16</v>
      </c>
      <c r="E2075">
        <v>55.85</v>
      </c>
      <c r="F2075">
        <v>16</v>
      </c>
      <c r="G2075">
        <v>893.6</v>
      </c>
      <c r="H2075" t="s">
        <v>12</v>
      </c>
      <c r="I2075" t="str">
        <f t="shared" si="97"/>
        <v>Low Value</v>
      </c>
      <c r="J2075" t="str">
        <f t="shared" si="98"/>
        <v>Medium Risk</v>
      </c>
      <c r="K2075" s="3" t="str">
        <f t="shared" si="96"/>
        <v>1-2 Years</v>
      </c>
    </row>
    <row r="2076" spans="1:11" x14ac:dyDescent="0.3">
      <c r="A2076" t="s">
        <v>2093</v>
      </c>
      <c r="B2076" t="s">
        <v>14</v>
      </c>
      <c r="C2076" t="s">
        <v>10</v>
      </c>
      <c r="D2076" t="s">
        <v>11</v>
      </c>
      <c r="E2076">
        <v>106.05</v>
      </c>
      <c r="F2076">
        <v>70</v>
      </c>
      <c r="G2076">
        <v>7423.5</v>
      </c>
      <c r="H2076" t="s">
        <v>12</v>
      </c>
      <c r="I2076" t="str">
        <f t="shared" si="97"/>
        <v>High Value</v>
      </c>
      <c r="J2076" t="str">
        <f t="shared" si="98"/>
        <v>Low Risk</v>
      </c>
      <c r="K2076" s="3" t="str">
        <f t="shared" si="96"/>
        <v>4+ Years</v>
      </c>
    </row>
    <row r="2077" spans="1:11" x14ac:dyDescent="0.3">
      <c r="A2077" t="s">
        <v>2094</v>
      </c>
      <c r="B2077" t="s">
        <v>14</v>
      </c>
      <c r="C2077" t="s">
        <v>30</v>
      </c>
      <c r="D2077" t="s">
        <v>24</v>
      </c>
      <c r="E2077">
        <v>84.1</v>
      </c>
      <c r="F2077">
        <v>72</v>
      </c>
      <c r="G2077">
        <v>6055.2</v>
      </c>
      <c r="H2077" t="s">
        <v>12</v>
      </c>
      <c r="I2077" t="str">
        <f t="shared" si="97"/>
        <v>High Value</v>
      </c>
      <c r="J2077" t="str">
        <f t="shared" si="98"/>
        <v>Low Risk</v>
      </c>
      <c r="K2077" s="3" t="str">
        <f t="shared" si="96"/>
        <v>4+ Years</v>
      </c>
    </row>
    <row r="2078" spans="1:11" x14ac:dyDescent="0.3">
      <c r="A2078" t="s">
        <v>2095</v>
      </c>
      <c r="B2078" t="s">
        <v>9</v>
      </c>
      <c r="C2078" t="s">
        <v>10</v>
      </c>
      <c r="D2078" t="s">
        <v>24</v>
      </c>
      <c r="E2078">
        <v>75.3</v>
      </c>
      <c r="F2078">
        <v>23</v>
      </c>
      <c r="G2078">
        <v>1731.8999999999901</v>
      </c>
      <c r="H2078" t="s">
        <v>12</v>
      </c>
      <c r="I2078" t="str">
        <f t="shared" si="97"/>
        <v>Low Value</v>
      </c>
      <c r="J2078" t="str">
        <f t="shared" si="98"/>
        <v>Medium Risk</v>
      </c>
      <c r="K2078" s="3" t="str">
        <f t="shared" si="96"/>
        <v>1-2 Years</v>
      </c>
    </row>
    <row r="2079" spans="1:11" x14ac:dyDescent="0.3">
      <c r="A2079" t="s">
        <v>2096</v>
      </c>
      <c r="B2079" t="s">
        <v>14</v>
      </c>
      <c r="C2079" t="s">
        <v>10</v>
      </c>
      <c r="D2079" t="s">
        <v>16</v>
      </c>
      <c r="E2079">
        <v>24.7</v>
      </c>
      <c r="F2079">
        <v>21</v>
      </c>
      <c r="G2079">
        <v>518.69999999999902</v>
      </c>
      <c r="H2079" t="s">
        <v>12</v>
      </c>
      <c r="I2079" t="str">
        <f t="shared" si="97"/>
        <v>Low Value</v>
      </c>
      <c r="J2079" t="str">
        <f t="shared" si="98"/>
        <v>Medium Risk</v>
      </c>
      <c r="K2079" s="3" t="str">
        <f t="shared" si="96"/>
        <v>1-2 Years</v>
      </c>
    </row>
    <row r="2080" spans="1:11" x14ac:dyDescent="0.3">
      <c r="A2080" t="s">
        <v>2097</v>
      </c>
      <c r="B2080" t="s">
        <v>9</v>
      </c>
      <c r="C2080" t="s">
        <v>10</v>
      </c>
      <c r="D2080" t="s">
        <v>16</v>
      </c>
      <c r="E2080">
        <v>20.149999999999999</v>
      </c>
      <c r="F2080">
        <v>1</v>
      </c>
      <c r="G2080">
        <v>20.149999999999999</v>
      </c>
      <c r="H2080" t="s">
        <v>18</v>
      </c>
      <c r="I2080" t="str">
        <f t="shared" si="97"/>
        <v>Low Value</v>
      </c>
      <c r="J2080" t="str">
        <f t="shared" si="98"/>
        <v>High Risk</v>
      </c>
      <c r="K2080" s="3" t="str">
        <f t="shared" si="96"/>
        <v>0-1 Year</v>
      </c>
    </row>
    <row r="2081" spans="1:11" x14ac:dyDescent="0.3">
      <c r="A2081" t="s">
        <v>2098</v>
      </c>
      <c r="B2081" t="s">
        <v>14</v>
      </c>
      <c r="C2081" t="s">
        <v>10</v>
      </c>
      <c r="D2081" t="s">
        <v>20</v>
      </c>
      <c r="E2081">
        <v>69.75</v>
      </c>
      <c r="F2081">
        <v>1</v>
      </c>
      <c r="G2081">
        <v>69.75</v>
      </c>
      <c r="H2081" t="s">
        <v>18</v>
      </c>
      <c r="I2081" t="str">
        <f t="shared" si="97"/>
        <v>Low Value</v>
      </c>
      <c r="J2081" t="str">
        <f t="shared" si="98"/>
        <v>High Risk</v>
      </c>
      <c r="K2081" s="3" t="str">
        <f t="shared" si="96"/>
        <v>0-1 Year</v>
      </c>
    </row>
    <row r="2082" spans="1:11" x14ac:dyDescent="0.3">
      <c r="A2082" t="s">
        <v>2099</v>
      </c>
      <c r="B2082" t="s">
        <v>9</v>
      </c>
      <c r="C2082" t="s">
        <v>10</v>
      </c>
      <c r="D2082" t="s">
        <v>11</v>
      </c>
      <c r="E2082">
        <v>93.2</v>
      </c>
      <c r="F2082">
        <v>32</v>
      </c>
      <c r="G2082">
        <v>2982.4</v>
      </c>
      <c r="H2082" t="s">
        <v>18</v>
      </c>
      <c r="I2082" t="str">
        <f t="shared" si="97"/>
        <v>Medium Value</v>
      </c>
      <c r="J2082" t="str">
        <f t="shared" si="98"/>
        <v>Low Risk</v>
      </c>
      <c r="K2082" s="3" t="str">
        <f t="shared" si="96"/>
        <v>2-4 Years</v>
      </c>
    </row>
    <row r="2083" spans="1:11" x14ac:dyDescent="0.3">
      <c r="A2083" t="s">
        <v>2100</v>
      </c>
      <c r="B2083" t="s">
        <v>14</v>
      </c>
      <c r="C2083" t="s">
        <v>10</v>
      </c>
      <c r="D2083" t="s">
        <v>11</v>
      </c>
      <c r="E2083">
        <v>80.849999999999994</v>
      </c>
      <c r="F2083">
        <v>17</v>
      </c>
      <c r="G2083">
        <v>1374.44999999999</v>
      </c>
      <c r="H2083" t="s">
        <v>18</v>
      </c>
      <c r="I2083" t="str">
        <f t="shared" si="97"/>
        <v>Low Value</v>
      </c>
      <c r="J2083" t="str">
        <f t="shared" si="98"/>
        <v>Medium Risk</v>
      </c>
      <c r="K2083" s="3" t="str">
        <f t="shared" si="96"/>
        <v>1-2 Years</v>
      </c>
    </row>
    <row r="2084" spans="1:11" x14ac:dyDescent="0.3">
      <c r="A2084" t="s">
        <v>2101</v>
      </c>
      <c r="B2084" t="s">
        <v>9</v>
      </c>
      <c r="C2084" t="s">
        <v>10</v>
      </c>
      <c r="D2084" t="s">
        <v>11</v>
      </c>
      <c r="E2084">
        <v>33.65</v>
      </c>
      <c r="F2084">
        <v>4</v>
      </c>
      <c r="G2084">
        <v>134.6</v>
      </c>
      <c r="H2084" t="s">
        <v>18</v>
      </c>
      <c r="I2084" t="str">
        <f t="shared" si="97"/>
        <v>Low Value</v>
      </c>
      <c r="J2084" t="str">
        <f t="shared" si="98"/>
        <v>High Risk</v>
      </c>
      <c r="K2084" s="3" t="str">
        <f t="shared" si="96"/>
        <v>0-1 Year</v>
      </c>
    </row>
    <row r="2085" spans="1:11" x14ac:dyDescent="0.3">
      <c r="A2085" t="s">
        <v>2102</v>
      </c>
      <c r="B2085" t="s">
        <v>9</v>
      </c>
      <c r="C2085" t="s">
        <v>15</v>
      </c>
      <c r="D2085" t="s">
        <v>11</v>
      </c>
      <c r="E2085">
        <v>55.8</v>
      </c>
      <c r="F2085">
        <v>36</v>
      </c>
      <c r="G2085">
        <v>2008.8</v>
      </c>
      <c r="H2085" t="s">
        <v>12</v>
      </c>
      <c r="I2085" t="str">
        <f t="shared" si="97"/>
        <v>Medium Value</v>
      </c>
      <c r="J2085" t="str">
        <f t="shared" si="98"/>
        <v>Low Risk</v>
      </c>
      <c r="K2085" s="3" t="str">
        <f t="shared" si="96"/>
        <v>2-4 Years</v>
      </c>
    </row>
    <row r="2086" spans="1:11" x14ac:dyDescent="0.3">
      <c r="A2086" t="s">
        <v>2103</v>
      </c>
      <c r="B2086" t="s">
        <v>9</v>
      </c>
      <c r="C2086" t="s">
        <v>30</v>
      </c>
      <c r="D2086" t="s">
        <v>24</v>
      </c>
      <c r="E2086">
        <v>39.700000000000003</v>
      </c>
      <c r="F2086">
        <v>50</v>
      </c>
      <c r="G2086">
        <v>1985</v>
      </c>
      <c r="H2086" t="s">
        <v>12</v>
      </c>
      <c r="I2086" t="str">
        <f t="shared" si="97"/>
        <v>Low Value</v>
      </c>
      <c r="J2086" t="str">
        <f t="shared" si="98"/>
        <v>Low Risk</v>
      </c>
      <c r="K2086" s="3" t="str">
        <f t="shared" si="96"/>
        <v>4+ Years</v>
      </c>
    </row>
    <row r="2087" spans="1:11" x14ac:dyDescent="0.3">
      <c r="A2087" t="s">
        <v>2104</v>
      </c>
      <c r="B2087" t="s">
        <v>9</v>
      </c>
      <c r="C2087" t="s">
        <v>10</v>
      </c>
      <c r="D2087" t="s">
        <v>24</v>
      </c>
      <c r="E2087">
        <v>29.5</v>
      </c>
      <c r="F2087">
        <v>48</v>
      </c>
      <c r="G2087">
        <v>1416</v>
      </c>
      <c r="H2087" t="s">
        <v>12</v>
      </c>
      <c r="I2087" t="str">
        <f t="shared" si="97"/>
        <v>Low Value</v>
      </c>
      <c r="J2087" t="str">
        <f t="shared" si="98"/>
        <v>Low Risk</v>
      </c>
      <c r="K2087" s="3" t="str">
        <f t="shared" si="96"/>
        <v>2-4 Years</v>
      </c>
    </row>
    <row r="2088" spans="1:11" x14ac:dyDescent="0.3">
      <c r="A2088" t="s">
        <v>2105</v>
      </c>
      <c r="B2088" t="s">
        <v>9</v>
      </c>
      <c r="C2088" t="s">
        <v>30</v>
      </c>
      <c r="D2088" t="s">
        <v>24</v>
      </c>
      <c r="E2088">
        <v>20.149999999999999</v>
      </c>
      <c r="F2088">
        <v>50</v>
      </c>
      <c r="G2088">
        <v>1007.49999999999</v>
      </c>
      <c r="H2088" t="s">
        <v>12</v>
      </c>
      <c r="I2088" t="str">
        <f t="shared" si="97"/>
        <v>Low Value</v>
      </c>
      <c r="J2088" t="str">
        <f t="shared" si="98"/>
        <v>Low Risk</v>
      </c>
      <c r="K2088" s="3" t="str">
        <f t="shared" si="96"/>
        <v>4+ Years</v>
      </c>
    </row>
    <row r="2089" spans="1:11" x14ac:dyDescent="0.3">
      <c r="A2089" t="s">
        <v>2106</v>
      </c>
      <c r="B2089" t="s">
        <v>14</v>
      </c>
      <c r="C2089" t="s">
        <v>30</v>
      </c>
      <c r="D2089" t="s">
        <v>24</v>
      </c>
      <c r="E2089">
        <v>79.55</v>
      </c>
      <c r="F2089">
        <v>72</v>
      </c>
      <c r="G2089">
        <v>5727.5999999999904</v>
      </c>
      <c r="H2089" t="s">
        <v>12</v>
      </c>
      <c r="I2089" t="str">
        <f t="shared" si="97"/>
        <v>High Value</v>
      </c>
      <c r="J2089" t="str">
        <f t="shared" si="98"/>
        <v>Low Risk</v>
      </c>
      <c r="K2089" s="3" t="str">
        <f t="shared" si="96"/>
        <v>4+ Years</v>
      </c>
    </row>
    <row r="2090" spans="1:11" x14ac:dyDescent="0.3">
      <c r="A2090" t="s">
        <v>2107</v>
      </c>
      <c r="B2090" t="s">
        <v>14</v>
      </c>
      <c r="C2090" t="s">
        <v>10</v>
      </c>
      <c r="D2090" t="s">
        <v>24</v>
      </c>
      <c r="E2090">
        <v>24.8</v>
      </c>
      <c r="F2090">
        <v>10</v>
      </c>
      <c r="G2090">
        <v>248</v>
      </c>
      <c r="H2090" t="s">
        <v>12</v>
      </c>
      <c r="I2090" t="str">
        <f t="shared" si="97"/>
        <v>Low Value</v>
      </c>
      <c r="J2090" t="str">
        <f t="shared" si="98"/>
        <v>High Risk</v>
      </c>
      <c r="K2090" s="3" t="str">
        <f t="shared" si="96"/>
        <v>0-1 Year</v>
      </c>
    </row>
    <row r="2091" spans="1:11" x14ac:dyDescent="0.3">
      <c r="A2091" t="s">
        <v>2108</v>
      </c>
      <c r="B2091" t="s">
        <v>9</v>
      </c>
      <c r="C2091" t="s">
        <v>10</v>
      </c>
      <c r="D2091" t="s">
        <v>16</v>
      </c>
      <c r="E2091">
        <v>19.649999999999999</v>
      </c>
      <c r="F2091">
        <v>18</v>
      </c>
      <c r="G2091">
        <v>353.7</v>
      </c>
      <c r="H2091" t="s">
        <v>12</v>
      </c>
      <c r="I2091" t="str">
        <f t="shared" si="97"/>
        <v>Low Value</v>
      </c>
      <c r="J2091" t="str">
        <f t="shared" si="98"/>
        <v>Medium Risk</v>
      </c>
      <c r="K2091" s="3" t="str">
        <f t="shared" si="96"/>
        <v>1-2 Years</v>
      </c>
    </row>
    <row r="2092" spans="1:11" x14ac:dyDescent="0.3">
      <c r="A2092" t="s">
        <v>2109</v>
      </c>
      <c r="B2092" t="s">
        <v>14</v>
      </c>
      <c r="C2092" t="s">
        <v>10</v>
      </c>
      <c r="D2092" t="s">
        <v>11</v>
      </c>
      <c r="E2092">
        <v>79.95</v>
      </c>
      <c r="F2092">
        <v>1</v>
      </c>
      <c r="G2092">
        <v>79.95</v>
      </c>
      <c r="H2092" t="s">
        <v>18</v>
      </c>
      <c r="I2092" t="str">
        <f t="shared" si="97"/>
        <v>Low Value</v>
      </c>
      <c r="J2092" t="str">
        <f t="shared" si="98"/>
        <v>High Risk</v>
      </c>
      <c r="K2092" s="3" t="str">
        <f t="shared" si="96"/>
        <v>0-1 Year</v>
      </c>
    </row>
    <row r="2093" spans="1:11" x14ac:dyDescent="0.3">
      <c r="A2093" t="s">
        <v>2110</v>
      </c>
      <c r="B2093" t="s">
        <v>9</v>
      </c>
      <c r="C2093" t="s">
        <v>10</v>
      </c>
      <c r="D2093" t="s">
        <v>11</v>
      </c>
      <c r="E2093">
        <v>19.3</v>
      </c>
      <c r="F2093">
        <v>1</v>
      </c>
      <c r="G2093">
        <v>19.3</v>
      </c>
      <c r="H2093" t="s">
        <v>18</v>
      </c>
      <c r="I2093" t="str">
        <f t="shared" si="97"/>
        <v>Low Value</v>
      </c>
      <c r="J2093" t="str">
        <f t="shared" si="98"/>
        <v>High Risk</v>
      </c>
      <c r="K2093" s="3" t="str">
        <f t="shared" si="96"/>
        <v>0-1 Year</v>
      </c>
    </row>
    <row r="2094" spans="1:11" x14ac:dyDescent="0.3">
      <c r="A2094" t="s">
        <v>2111</v>
      </c>
      <c r="B2094" t="s">
        <v>14</v>
      </c>
      <c r="C2094" t="s">
        <v>10</v>
      </c>
      <c r="D2094" t="s">
        <v>11</v>
      </c>
      <c r="E2094">
        <v>94.05</v>
      </c>
      <c r="F2094">
        <v>9</v>
      </c>
      <c r="G2094">
        <v>846.44999999999902</v>
      </c>
      <c r="H2094" t="s">
        <v>12</v>
      </c>
      <c r="I2094" t="str">
        <f t="shared" si="97"/>
        <v>Low Value</v>
      </c>
      <c r="J2094" t="str">
        <f t="shared" si="98"/>
        <v>High Risk</v>
      </c>
      <c r="K2094" s="3" t="str">
        <f t="shared" si="96"/>
        <v>0-1 Year</v>
      </c>
    </row>
    <row r="2095" spans="1:11" x14ac:dyDescent="0.3">
      <c r="A2095" t="s">
        <v>2112</v>
      </c>
      <c r="B2095" t="s">
        <v>14</v>
      </c>
      <c r="C2095" t="s">
        <v>10</v>
      </c>
      <c r="D2095" t="s">
        <v>16</v>
      </c>
      <c r="E2095">
        <v>90.75</v>
      </c>
      <c r="F2095">
        <v>2</v>
      </c>
      <c r="G2095">
        <v>181.5</v>
      </c>
      <c r="H2095" t="s">
        <v>12</v>
      </c>
      <c r="I2095" t="str">
        <f t="shared" si="97"/>
        <v>Low Value</v>
      </c>
      <c r="J2095" t="str">
        <f t="shared" si="98"/>
        <v>High Risk</v>
      </c>
      <c r="K2095" s="3" t="str">
        <f t="shared" si="96"/>
        <v>0-1 Year</v>
      </c>
    </row>
    <row r="2096" spans="1:11" x14ac:dyDescent="0.3">
      <c r="A2096" t="s">
        <v>2113</v>
      </c>
      <c r="B2096" t="s">
        <v>9</v>
      </c>
      <c r="C2096" t="s">
        <v>10</v>
      </c>
      <c r="D2096" t="s">
        <v>24</v>
      </c>
      <c r="E2096">
        <v>78.849999999999994</v>
      </c>
      <c r="F2096">
        <v>40</v>
      </c>
      <c r="G2096">
        <v>3154</v>
      </c>
      <c r="H2096" t="s">
        <v>12</v>
      </c>
      <c r="I2096" t="str">
        <f t="shared" si="97"/>
        <v>Medium Value</v>
      </c>
      <c r="J2096" t="str">
        <f t="shared" si="98"/>
        <v>Low Risk</v>
      </c>
      <c r="K2096" s="3" t="str">
        <f t="shared" si="96"/>
        <v>2-4 Years</v>
      </c>
    </row>
    <row r="2097" spans="1:11" x14ac:dyDescent="0.3">
      <c r="A2097" t="s">
        <v>2114</v>
      </c>
      <c r="B2097" t="s">
        <v>14</v>
      </c>
      <c r="C2097" t="s">
        <v>15</v>
      </c>
      <c r="D2097" t="s">
        <v>20</v>
      </c>
      <c r="E2097">
        <v>99.5</v>
      </c>
      <c r="F2097">
        <v>69</v>
      </c>
      <c r="G2097">
        <v>6865.5</v>
      </c>
      <c r="H2097" t="s">
        <v>12</v>
      </c>
      <c r="I2097" t="str">
        <f t="shared" si="97"/>
        <v>High Value</v>
      </c>
      <c r="J2097" t="str">
        <f t="shared" si="98"/>
        <v>Low Risk</v>
      </c>
      <c r="K2097" s="3" t="str">
        <f t="shared" si="96"/>
        <v>4+ Years</v>
      </c>
    </row>
    <row r="2098" spans="1:11" x14ac:dyDescent="0.3">
      <c r="A2098" t="s">
        <v>2115</v>
      </c>
      <c r="B2098" t="s">
        <v>9</v>
      </c>
      <c r="C2098" t="s">
        <v>15</v>
      </c>
      <c r="D2098" t="s">
        <v>11</v>
      </c>
      <c r="E2098">
        <v>99.2</v>
      </c>
      <c r="F2098">
        <v>37</v>
      </c>
      <c r="G2098">
        <v>3670.4</v>
      </c>
      <c r="H2098" t="s">
        <v>18</v>
      </c>
      <c r="I2098" t="str">
        <f t="shared" si="97"/>
        <v>Medium Value</v>
      </c>
      <c r="J2098" t="str">
        <f t="shared" si="98"/>
        <v>Low Risk</v>
      </c>
      <c r="K2098" s="3" t="str">
        <f t="shared" si="96"/>
        <v>2-4 Years</v>
      </c>
    </row>
    <row r="2099" spans="1:11" x14ac:dyDescent="0.3">
      <c r="A2099" t="s">
        <v>2116</v>
      </c>
      <c r="B2099" t="s">
        <v>14</v>
      </c>
      <c r="C2099" t="s">
        <v>10</v>
      </c>
      <c r="D2099" t="s">
        <v>24</v>
      </c>
      <c r="E2099">
        <v>80.55</v>
      </c>
      <c r="F2099">
        <v>18</v>
      </c>
      <c r="G2099">
        <v>1449.8999999999901</v>
      </c>
      <c r="H2099" t="s">
        <v>12</v>
      </c>
      <c r="I2099" t="str">
        <f t="shared" si="97"/>
        <v>Low Value</v>
      </c>
      <c r="J2099" t="str">
        <f t="shared" si="98"/>
        <v>Medium Risk</v>
      </c>
      <c r="K2099" s="3" t="str">
        <f t="shared" si="96"/>
        <v>1-2 Years</v>
      </c>
    </row>
    <row r="2100" spans="1:11" x14ac:dyDescent="0.3">
      <c r="A2100" t="s">
        <v>2117</v>
      </c>
      <c r="B2100" t="s">
        <v>14</v>
      </c>
      <c r="C2100" t="s">
        <v>10</v>
      </c>
      <c r="D2100" t="s">
        <v>11</v>
      </c>
      <c r="E2100">
        <v>70.2</v>
      </c>
      <c r="F2100">
        <v>11</v>
      </c>
      <c r="G2100">
        <v>772.2</v>
      </c>
      <c r="H2100" t="s">
        <v>12</v>
      </c>
      <c r="I2100" t="str">
        <f t="shared" si="97"/>
        <v>Low Value</v>
      </c>
      <c r="J2100" t="str">
        <f t="shared" si="98"/>
        <v>High Risk</v>
      </c>
      <c r="K2100" s="3" t="str">
        <f t="shared" si="96"/>
        <v>0-1 Year</v>
      </c>
    </row>
    <row r="2101" spans="1:11" x14ac:dyDescent="0.3">
      <c r="A2101" t="s">
        <v>2118</v>
      </c>
      <c r="B2101" t="s">
        <v>9</v>
      </c>
      <c r="C2101" t="s">
        <v>10</v>
      </c>
      <c r="D2101" t="s">
        <v>24</v>
      </c>
      <c r="E2101">
        <v>85.2</v>
      </c>
      <c r="F2101">
        <v>8</v>
      </c>
      <c r="G2101">
        <v>681.6</v>
      </c>
      <c r="H2101" t="s">
        <v>18</v>
      </c>
      <c r="I2101" t="str">
        <f t="shared" si="97"/>
        <v>Low Value</v>
      </c>
      <c r="J2101" t="str">
        <f t="shared" si="98"/>
        <v>High Risk</v>
      </c>
      <c r="K2101" s="3" t="str">
        <f t="shared" si="96"/>
        <v>0-1 Year</v>
      </c>
    </row>
    <row r="2102" spans="1:11" x14ac:dyDescent="0.3">
      <c r="A2102" t="s">
        <v>2119</v>
      </c>
      <c r="B2102" t="s">
        <v>9</v>
      </c>
      <c r="C2102" t="s">
        <v>10</v>
      </c>
      <c r="D2102" t="s">
        <v>11</v>
      </c>
      <c r="E2102">
        <v>75.25</v>
      </c>
      <c r="F2102">
        <v>3</v>
      </c>
      <c r="G2102">
        <v>225.75</v>
      </c>
      <c r="H2102" t="s">
        <v>18</v>
      </c>
      <c r="I2102" t="str">
        <f t="shared" si="97"/>
        <v>Low Value</v>
      </c>
      <c r="J2102" t="str">
        <f t="shared" si="98"/>
        <v>High Risk</v>
      </c>
      <c r="K2102" s="3" t="str">
        <f t="shared" si="96"/>
        <v>0-1 Year</v>
      </c>
    </row>
    <row r="2103" spans="1:11" x14ac:dyDescent="0.3">
      <c r="A2103" t="s">
        <v>2120</v>
      </c>
      <c r="B2103" t="s">
        <v>14</v>
      </c>
      <c r="C2103" t="s">
        <v>15</v>
      </c>
      <c r="D2103" t="s">
        <v>24</v>
      </c>
      <c r="E2103">
        <v>59.45</v>
      </c>
      <c r="F2103">
        <v>55</v>
      </c>
      <c r="G2103">
        <v>3269.75</v>
      </c>
      <c r="H2103" t="s">
        <v>12</v>
      </c>
      <c r="I2103" t="str">
        <f t="shared" si="97"/>
        <v>Medium Value</v>
      </c>
      <c r="J2103" t="str">
        <f t="shared" si="98"/>
        <v>Low Risk</v>
      </c>
      <c r="K2103" s="3" t="str">
        <f t="shared" si="96"/>
        <v>4+ Years</v>
      </c>
    </row>
    <row r="2104" spans="1:11" x14ac:dyDescent="0.3">
      <c r="A2104" t="s">
        <v>2121</v>
      </c>
      <c r="B2104" t="s">
        <v>14</v>
      </c>
      <c r="C2104" t="s">
        <v>10</v>
      </c>
      <c r="D2104" t="s">
        <v>11</v>
      </c>
      <c r="E2104">
        <v>93.35</v>
      </c>
      <c r="F2104">
        <v>33</v>
      </c>
      <c r="G2104">
        <v>3080.5499999999902</v>
      </c>
      <c r="H2104" t="s">
        <v>12</v>
      </c>
      <c r="I2104" t="str">
        <f t="shared" si="97"/>
        <v>Medium Value</v>
      </c>
      <c r="J2104" t="str">
        <f t="shared" si="98"/>
        <v>Low Risk</v>
      </c>
      <c r="K2104" s="3" t="str">
        <f t="shared" si="96"/>
        <v>2-4 Years</v>
      </c>
    </row>
    <row r="2105" spans="1:11" x14ac:dyDescent="0.3">
      <c r="A2105" t="s">
        <v>2122</v>
      </c>
      <c r="B2105" t="s">
        <v>9</v>
      </c>
      <c r="C2105" t="s">
        <v>10</v>
      </c>
      <c r="D2105" t="s">
        <v>20</v>
      </c>
      <c r="E2105">
        <v>44.95</v>
      </c>
      <c r="F2105">
        <v>46</v>
      </c>
      <c r="G2105">
        <v>2067.6999999999998</v>
      </c>
      <c r="H2105" t="s">
        <v>12</v>
      </c>
      <c r="I2105" t="str">
        <f t="shared" si="97"/>
        <v>Medium Value</v>
      </c>
      <c r="J2105" t="str">
        <f t="shared" si="98"/>
        <v>Low Risk</v>
      </c>
      <c r="K2105" s="3" t="str">
        <f t="shared" si="96"/>
        <v>2-4 Years</v>
      </c>
    </row>
    <row r="2106" spans="1:11" x14ac:dyDescent="0.3">
      <c r="A2106" t="s">
        <v>2123</v>
      </c>
      <c r="B2106" t="s">
        <v>14</v>
      </c>
      <c r="C2106" t="s">
        <v>30</v>
      </c>
      <c r="D2106" t="s">
        <v>20</v>
      </c>
      <c r="E2106">
        <v>26.1</v>
      </c>
      <c r="F2106">
        <v>34</v>
      </c>
      <c r="G2106">
        <v>887.4</v>
      </c>
      <c r="H2106" t="s">
        <v>12</v>
      </c>
      <c r="I2106" t="str">
        <f t="shared" si="97"/>
        <v>Low Value</v>
      </c>
      <c r="J2106" t="str">
        <f t="shared" si="98"/>
        <v>Low Risk</v>
      </c>
      <c r="K2106" s="3" t="str">
        <f t="shared" si="96"/>
        <v>2-4 Years</v>
      </c>
    </row>
    <row r="2107" spans="1:11" x14ac:dyDescent="0.3">
      <c r="A2107" t="s">
        <v>2124</v>
      </c>
      <c r="B2107" t="s">
        <v>9</v>
      </c>
      <c r="C2107" t="s">
        <v>10</v>
      </c>
      <c r="D2107" t="s">
        <v>11</v>
      </c>
      <c r="E2107">
        <v>20.2</v>
      </c>
      <c r="F2107">
        <v>3</v>
      </c>
      <c r="G2107">
        <v>60.599999999999902</v>
      </c>
      <c r="H2107" t="s">
        <v>12</v>
      </c>
      <c r="I2107" t="str">
        <f t="shared" si="97"/>
        <v>Low Value</v>
      </c>
      <c r="J2107" t="str">
        <f t="shared" si="98"/>
        <v>High Risk</v>
      </c>
      <c r="K2107" s="3" t="str">
        <f t="shared" si="96"/>
        <v>0-1 Year</v>
      </c>
    </row>
    <row r="2108" spans="1:11" x14ac:dyDescent="0.3">
      <c r="A2108" t="s">
        <v>2125</v>
      </c>
      <c r="B2108" t="s">
        <v>14</v>
      </c>
      <c r="C2108" t="s">
        <v>30</v>
      </c>
      <c r="D2108" t="s">
        <v>16</v>
      </c>
      <c r="E2108">
        <v>21.25</v>
      </c>
      <c r="F2108">
        <v>30</v>
      </c>
      <c r="G2108">
        <v>637.5</v>
      </c>
      <c r="H2108" t="s">
        <v>12</v>
      </c>
      <c r="I2108" t="str">
        <f t="shared" si="97"/>
        <v>Low Value</v>
      </c>
      <c r="J2108" t="str">
        <f t="shared" si="98"/>
        <v>Low Risk</v>
      </c>
      <c r="K2108" s="3" t="str">
        <f t="shared" si="96"/>
        <v>2-4 Years</v>
      </c>
    </row>
    <row r="2109" spans="1:11" x14ac:dyDescent="0.3">
      <c r="A2109" t="s">
        <v>2126</v>
      </c>
      <c r="B2109" t="s">
        <v>9</v>
      </c>
      <c r="C2109" t="s">
        <v>15</v>
      </c>
      <c r="D2109" t="s">
        <v>11</v>
      </c>
      <c r="E2109">
        <v>59.4</v>
      </c>
      <c r="F2109">
        <v>33</v>
      </c>
      <c r="G2109">
        <v>1960.2</v>
      </c>
      <c r="H2109" t="s">
        <v>12</v>
      </c>
      <c r="I2109" t="str">
        <f t="shared" si="97"/>
        <v>Low Value</v>
      </c>
      <c r="J2109" t="str">
        <f t="shared" si="98"/>
        <v>Low Risk</v>
      </c>
      <c r="K2109" s="3" t="str">
        <f t="shared" si="96"/>
        <v>2-4 Years</v>
      </c>
    </row>
    <row r="2110" spans="1:11" x14ac:dyDescent="0.3">
      <c r="A2110" t="s">
        <v>2127</v>
      </c>
      <c r="B2110" t="s">
        <v>14</v>
      </c>
      <c r="C2110" t="s">
        <v>15</v>
      </c>
      <c r="D2110" t="s">
        <v>24</v>
      </c>
      <c r="E2110">
        <v>95</v>
      </c>
      <c r="F2110">
        <v>45</v>
      </c>
      <c r="G2110">
        <v>4275</v>
      </c>
      <c r="H2110" t="s">
        <v>12</v>
      </c>
      <c r="I2110" t="str">
        <f t="shared" si="97"/>
        <v>Medium Value</v>
      </c>
      <c r="J2110" t="str">
        <f t="shared" si="98"/>
        <v>Low Risk</v>
      </c>
      <c r="K2110" s="3" t="str">
        <f t="shared" si="96"/>
        <v>2-4 Years</v>
      </c>
    </row>
    <row r="2111" spans="1:11" x14ac:dyDescent="0.3">
      <c r="A2111" t="s">
        <v>2128</v>
      </c>
      <c r="B2111" t="s">
        <v>14</v>
      </c>
      <c r="C2111" t="s">
        <v>10</v>
      </c>
      <c r="D2111" t="s">
        <v>16</v>
      </c>
      <c r="E2111">
        <v>61.9</v>
      </c>
      <c r="F2111">
        <v>40</v>
      </c>
      <c r="G2111">
        <v>2476</v>
      </c>
      <c r="H2111" t="s">
        <v>12</v>
      </c>
      <c r="I2111" t="str">
        <f t="shared" si="97"/>
        <v>Medium Value</v>
      </c>
      <c r="J2111" t="str">
        <f t="shared" si="98"/>
        <v>Low Risk</v>
      </c>
      <c r="K2111" s="3" t="str">
        <f t="shared" si="96"/>
        <v>2-4 Years</v>
      </c>
    </row>
    <row r="2112" spans="1:11" x14ac:dyDescent="0.3">
      <c r="A2112" t="s">
        <v>2129</v>
      </c>
      <c r="B2112" t="s">
        <v>9</v>
      </c>
      <c r="C2112" t="s">
        <v>30</v>
      </c>
      <c r="D2112" t="s">
        <v>11</v>
      </c>
      <c r="E2112">
        <v>118.65</v>
      </c>
      <c r="F2112">
        <v>71</v>
      </c>
      <c r="G2112">
        <v>8424.15</v>
      </c>
      <c r="H2112" t="s">
        <v>12</v>
      </c>
      <c r="I2112" t="str">
        <f t="shared" si="97"/>
        <v>High Value</v>
      </c>
      <c r="J2112" t="str">
        <f t="shared" si="98"/>
        <v>Low Risk</v>
      </c>
      <c r="K2112" s="3" t="str">
        <f t="shared" si="96"/>
        <v>4+ Years</v>
      </c>
    </row>
    <row r="2113" spans="1:11" x14ac:dyDescent="0.3">
      <c r="A2113" t="s">
        <v>2130</v>
      </c>
      <c r="B2113" t="s">
        <v>14</v>
      </c>
      <c r="C2113" t="s">
        <v>10</v>
      </c>
      <c r="D2113" t="s">
        <v>11</v>
      </c>
      <c r="E2113">
        <v>54.35</v>
      </c>
      <c r="F2113">
        <v>1</v>
      </c>
      <c r="G2113">
        <v>54.35</v>
      </c>
      <c r="H2113" t="s">
        <v>18</v>
      </c>
      <c r="I2113" t="str">
        <f t="shared" si="97"/>
        <v>Low Value</v>
      </c>
      <c r="J2113" t="str">
        <f t="shared" si="98"/>
        <v>High Risk</v>
      </c>
      <c r="K2113" s="3" t="str">
        <f t="shared" si="96"/>
        <v>0-1 Year</v>
      </c>
    </row>
    <row r="2114" spans="1:11" x14ac:dyDescent="0.3">
      <c r="A2114" t="s">
        <v>2131</v>
      </c>
      <c r="B2114" t="s">
        <v>9</v>
      </c>
      <c r="C2114" t="s">
        <v>30</v>
      </c>
      <c r="D2114" t="s">
        <v>20</v>
      </c>
      <c r="E2114">
        <v>64.45</v>
      </c>
      <c r="F2114">
        <v>72</v>
      </c>
      <c r="G2114">
        <v>4640.3999999999996</v>
      </c>
      <c r="H2114" t="s">
        <v>12</v>
      </c>
      <c r="I2114" t="str">
        <f t="shared" si="97"/>
        <v>Medium Value</v>
      </c>
      <c r="J2114" t="str">
        <f t="shared" si="98"/>
        <v>Low Risk</v>
      </c>
      <c r="K2114" s="3" t="str">
        <f t="shared" si="96"/>
        <v>4+ Years</v>
      </c>
    </row>
    <row r="2115" spans="1:11" x14ac:dyDescent="0.3">
      <c r="A2115" t="s">
        <v>2132</v>
      </c>
      <c r="B2115" t="s">
        <v>9</v>
      </c>
      <c r="C2115" t="s">
        <v>10</v>
      </c>
      <c r="D2115" t="s">
        <v>11</v>
      </c>
      <c r="E2115">
        <v>80.150000000000006</v>
      </c>
      <c r="F2115">
        <v>22</v>
      </c>
      <c r="G2115">
        <v>1763.3</v>
      </c>
      <c r="H2115" t="s">
        <v>12</v>
      </c>
      <c r="I2115" t="str">
        <f t="shared" si="97"/>
        <v>Low Value</v>
      </c>
      <c r="J2115" t="str">
        <f t="shared" si="98"/>
        <v>Medium Risk</v>
      </c>
      <c r="K2115" s="3" t="str">
        <f t="shared" ref="K2115:K2178" si="99">IF(F2115&lt;=12,"0-1 Year",
IF(F2115&lt;=24,"1-2 Years",
IF(F2115&lt;=48,"2-4 Years","4+ Years")))</f>
        <v>1-2 Years</v>
      </c>
    </row>
    <row r="2116" spans="1:11" x14ac:dyDescent="0.3">
      <c r="A2116" t="s">
        <v>2133</v>
      </c>
      <c r="B2116" t="s">
        <v>14</v>
      </c>
      <c r="C2116" t="s">
        <v>15</v>
      </c>
      <c r="D2116" t="s">
        <v>20</v>
      </c>
      <c r="E2116">
        <v>20.2</v>
      </c>
      <c r="F2116">
        <v>46</v>
      </c>
      <c r="G2116">
        <v>929.19999999999902</v>
      </c>
      <c r="H2116" t="s">
        <v>12</v>
      </c>
      <c r="I2116" t="str">
        <f t="shared" ref="I2116:I2179" si="100">IF(G2116&gt;5000,"High Value",
IF(G2116&gt;2000,"Medium Value","Low Value"))</f>
        <v>Low Value</v>
      </c>
      <c r="J2116" t="str">
        <f t="shared" ref="J2116:J2179" si="101">IF(F2116&lt;12,"High Risk",
IF(F2116&lt;24,"Medium Risk","Low Risk"))</f>
        <v>Low Risk</v>
      </c>
      <c r="K2116" s="3" t="str">
        <f t="shared" si="99"/>
        <v>2-4 Years</v>
      </c>
    </row>
    <row r="2117" spans="1:11" x14ac:dyDescent="0.3">
      <c r="A2117" t="s">
        <v>2134</v>
      </c>
      <c r="B2117" t="s">
        <v>9</v>
      </c>
      <c r="C2117" t="s">
        <v>30</v>
      </c>
      <c r="D2117" t="s">
        <v>16</v>
      </c>
      <c r="E2117">
        <v>21</v>
      </c>
      <c r="F2117">
        <v>55</v>
      </c>
      <c r="G2117">
        <v>1155</v>
      </c>
      <c r="H2117" t="s">
        <v>12</v>
      </c>
      <c r="I2117" t="str">
        <f t="shared" si="100"/>
        <v>Low Value</v>
      </c>
      <c r="J2117" t="str">
        <f t="shared" si="101"/>
        <v>Low Risk</v>
      </c>
      <c r="K2117" s="3" t="str">
        <f t="shared" si="99"/>
        <v>4+ Years</v>
      </c>
    </row>
    <row r="2118" spans="1:11" x14ac:dyDescent="0.3">
      <c r="A2118" t="s">
        <v>2135</v>
      </c>
      <c r="B2118" t="s">
        <v>14</v>
      </c>
      <c r="C2118" t="s">
        <v>10</v>
      </c>
      <c r="D2118" t="s">
        <v>16</v>
      </c>
      <c r="E2118">
        <v>20.45</v>
      </c>
      <c r="F2118">
        <v>1</v>
      </c>
      <c r="G2118">
        <v>20.45</v>
      </c>
      <c r="H2118" t="s">
        <v>12</v>
      </c>
      <c r="I2118" t="str">
        <f t="shared" si="100"/>
        <v>Low Value</v>
      </c>
      <c r="J2118" t="str">
        <f t="shared" si="101"/>
        <v>High Risk</v>
      </c>
      <c r="K2118" s="3" t="str">
        <f t="shared" si="99"/>
        <v>0-1 Year</v>
      </c>
    </row>
    <row r="2119" spans="1:11" x14ac:dyDescent="0.3">
      <c r="A2119" t="s">
        <v>2136</v>
      </c>
      <c r="B2119" t="s">
        <v>9</v>
      </c>
      <c r="C2119" t="s">
        <v>15</v>
      </c>
      <c r="D2119" t="s">
        <v>16</v>
      </c>
      <c r="E2119">
        <v>75.849999999999994</v>
      </c>
      <c r="F2119">
        <v>12</v>
      </c>
      <c r="G2119">
        <v>910.19999999999902</v>
      </c>
      <c r="H2119" t="s">
        <v>12</v>
      </c>
      <c r="I2119" t="str">
        <f t="shared" si="100"/>
        <v>Low Value</v>
      </c>
      <c r="J2119" t="str">
        <f t="shared" si="101"/>
        <v>Medium Risk</v>
      </c>
      <c r="K2119" s="3" t="str">
        <f t="shared" si="99"/>
        <v>0-1 Year</v>
      </c>
    </row>
    <row r="2120" spans="1:11" x14ac:dyDescent="0.3">
      <c r="A2120" t="s">
        <v>2137</v>
      </c>
      <c r="B2120" t="s">
        <v>14</v>
      </c>
      <c r="C2120" t="s">
        <v>10</v>
      </c>
      <c r="D2120" t="s">
        <v>11</v>
      </c>
      <c r="E2120">
        <v>80.45</v>
      </c>
      <c r="F2120">
        <v>31</v>
      </c>
      <c r="G2120">
        <v>2493.9499999999998</v>
      </c>
      <c r="H2120" t="s">
        <v>12</v>
      </c>
      <c r="I2120" t="str">
        <f t="shared" si="100"/>
        <v>Medium Value</v>
      </c>
      <c r="J2120" t="str">
        <f t="shared" si="101"/>
        <v>Low Risk</v>
      </c>
      <c r="K2120" s="3" t="str">
        <f t="shared" si="99"/>
        <v>2-4 Years</v>
      </c>
    </row>
    <row r="2121" spans="1:11" x14ac:dyDescent="0.3">
      <c r="A2121" t="s">
        <v>2138</v>
      </c>
      <c r="B2121" t="s">
        <v>14</v>
      </c>
      <c r="C2121" t="s">
        <v>10</v>
      </c>
      <c r="D2121" t="s">
        <v>11</v>
      </c>
      <c r="E2121">
        <v>24.95</v>
      </c>
      <c r="F2121">
        <v>5</v>
      </c>
      <c r="G2121">
        <v>124.75</v>
      </c>
      <c r="H2121" t="s">
        <v>18</v>
      </c>
      <c r="I2121" t="str">
        <f t="shared" si="100"/>
        <v>Low Value</v>
      </c>
      <c r="J2121" t="str">
        <f t="shared" si="101"/>
        <v>High Risk</v>
      </c>
      <c r="K2121" s="3" t="str">
        <f t="shared" si="99"/>
        <v>0-1 Year</v>
      </c>
    </row>
    <row r="2122" spans="1:11" x14ac:dyDescent="0.3">
      <c r="A2122" t="s">
        <v>2139</v>
      </c>
      <c r="B2122" t="s">
        <v>9</v>
      </c>
      <c r="C2122" t="s">
        <v>30</v>
      </c>
      <c r="D2122" t="s">
        <v>11</v>
      </c>
      <c r="E2122">
        <v>75.5</v>
      </c>
      <c r="F2122">
        <v>67</v>
      </c>
      <c r="G2122">
        <v>5058.5</v>
      </c>
      <c r="H2122" t="s">
        <v>12</v>
      </c>
      <c r="I2122" t="str">
        <f t="shared" si="100"/>
        <v>High Value</v>
      </c>
      <c r="J2122" t="str">
        <f t="shared" si="101"/>
        <v>Low Risk</v>
      </c>
      <c r="K2122" s="3" t="str">
        <f t="shared" si="99"/>
        <v>4+ Years</v>
      </c>
    </row>
    <row r="2123" spans="1:11" x14ac:dyDescent="0.3">
      <c r="A2123" t="s">
        <v>2140</v>
      </c>
      <c r="B2123" t="s">
        <v>14</v>
      </c>
      <c r="C2123" t="s">
        <v>10</v>
      </c>
      <c r="D2123" t="s">
        <v>16</v>
      </c>
      <c r="E2123">
        <v>44.45</v>
      </c>
      <c r="F2123">
        <v>1</v>
      </c>
      <c r="G2123">
        <v>44.45</v>
      </c>
      <c r="H2123" t="s">
        <v>12</v>
      </c>
      <c r="I2123" t="str">
        <f t="shared" si="100"/>
        <v>Low Value</v>
      </c>
      <c r="J2123" t="str">
        <f t="shared" si="101"/>
        <v>High Risk</v>
      </c>
      <c r="K2123" s="3" t="str">
        <f t="shared" si="99"/>
        <v>0-1 Year</v>
      </c>
    </row>
    <row r="2124" spans="1:11" x14ac:dyDescent="0.3">
      <c r="A2124" t="s">
        <v>2141</v>
      </c>
      <c r="B2124" t="s">
        <v>14</v>
      </c>
      <c r="C2124" t="s">
        <v>15</v>
      </c>
      <c r="D2124" t="s">
        <v>11</v>
      </c>
      <c r="E2124">
        <v>42.35</v>
      </c>
      <c r="F2124">
        <v>40</v>
      </c>
      <c r="G2124">
        <v>1694</v>
      </c>
      <c r="H2124" t="s">
        <v>18</v>
      </c>
      <c r="I2124" t="str">
        <f t="shared" si="100"/>
        <v>Low Value</v>
      </c>
      <c r="J2124" t="str">
        <f t="shared" si="101"/>
        <v>Low Risk</v>
      </c>
      <c r="K2124" s="3" t="str">
        <f t="shared" si="99"/>
        <v>2-4 Years</v>
      </c>
    </row>
    <row r="2125" spans="1:11" x14ac:dyDescent="0.3">
      <c r="A2125" t="s">
        <v>2142</v>
      </c>
      <c r="B2125" t="s">
        <v>14</v>
      </c>
      <c r="C2125" t="s">
        <v>10</v>
      </c>
      <c r="D2125" t="s">
        <v>24</v>
      </c>
      <c r="E2125">
        <v>74.55</v>
      </c>
      <c r="F2125">
        <v>41</v>
      </c>
      <c r="G2125">
        <v>3056.5499999999902</v>
      </c>
      <c r="H2125" t="s">
        <v>12</v>
      </c>
      <c r="I2125" t="str">
        <f t="shared" si="100"/>
        <v>Medium Value</v>
      </c>
      <c r="J2125" t="str">
        <f t="shared" si="101"/>
        <v>Low Risk</v>
      </c>
      <c r="K2125" s="3" t="str">
        <f t="shared" si="99"/>
        <v>2-4 Years</v>
      </c>
    </row>
    <row r="2126" spans="1:11" x14ac:dyDescent="0.3">
      <c r="A2126" t="s">
        <v>2143</v>
      </c>
      <c r="B2126" t="s">
        <v>14</v>
      </c>
      <c r="C2126" t="s">
        <v>10</v>
      </c>
      <c r="D2126" t="s">
        <v>11</v>
      </c>
      <c r="E2126">
        <v>75.3</v>
      </c>
      <c r="F2126">
        <v>1</v>
      </c>
      <c r="G2126">
        <v>75.3</v>
      </c>
      <c r="H2126" t="s">
        <v>18</v>
      </c>
      <c r="I2126" t="str">
        <f t="shared" si="100"/>
        <v>Low Value</v>
      </c>
      <c r="J2126" t="str">
        <f t="shared" si="101"/>
        <v>High Risk</v>
      </c>
      <c r="K2126" s="3" t="str">
        <f t="shared" si="99"/>
        <v>0-1 Year</v>
      </c>
    </row>
    <row r="2127" spans="1:11" x14ac:dyDescent="0.3">
      <c r="A2127" t="s">
        <v>2144</v>
      </c>
      <c r="B2127" t="s">
        <v>14</v>
      </c>
      <c r="C2127" t="s">
        <v>15</v>
      </c>
      <c r="D2127" t="s">
        <v>11</v>
      </c>
      <c r="E2127">
        <v>94.8</v>
      </c>
      <c r="F2127">
        <v>51</v>
      </c>
      <c r="G2127">
        <v>4834.8</v>
      </c>
      <c r="H2127" t="s">
        <v>18</v>
      </c>
      <c r="I2127" t="str">
        <f t="shared" si="100"/>
        <v>Medium Value</v>
      </c>
      <c r="J2127" t="str">
        <f t="shared" si="101"/>
        <v>Low Risk</v>
      </c>
      <c r="K2127" s="3" t="str">
        <f t="shared" si="99"/>
        <v>4+ Years</v>
      </c>
    </row>
    <row r="2128" spans="1:11" x14ac:dyDescent="0.3">
      <c r="A2128" t="s">
        <v>2145</v>
      </c>
      <c r="B2128" t="s">
        <v>14</v>
      </c>
      <c r="C2128" t="s">
        <v>30</v>
      </c>
      <c r="D2128" t="s">
        <v>24</v>
      </c>
      <c r="E2128">
        <v>48.15</v>
      </c>
      <c r="F2128">
        <v>42</v>
      </c>
      <c r="G2128">
        <v>2022.3</v>
      </c>
      <c r="H2128" t="s">
        <v>12</v>
      </c>
      <c r="I2128" t="str">
        <f t="shared" si="100"/>
        <v>Medium Value</v>
      </c>
      <c r="J2128" t="str">
        <f t="shared" si="101"/>
        <v>Low Risk</v>
      </c>
      <c r="K2128" s="3" t="str">
        <f t="shared" si="99"/>
        <v>2-4 Years</v>
      </c>
    </row>
    <row r="2129" spans="1:11" x14ac:dyDescent="0.3">
      <c r="A2129" t="s">
        <v>2146</v>
      </c>
      <c r="B2129" t="s">
        <v>14</v>
      </c>
      <c r="C2129" t="s">
        <v>15</v>
      </c>
      <c r="D2129" t="s">
        <v>16</v>
      </c>
      <c r="E2129">
        <v>19.649999999999999</v>
      </c>
      <c r="F2129">
        <v>23</v>
      </c>
      <c r="G2129">
        <v>451.95</v>
      </c>
      <c r="H2129" t="s">
        <v>12</v>
      </c>
      <c r="I2129" t="str">
        <f t="shared" si="100"/>
        <v>Low Value</v>
      </c>
      <c r="J2129" t="str">
        <f t="shared" si="101"/>
        <v>Medium Risk</v>
      </c>
      <c r="K2129" s="3" t="str">
        <f t="shared" si="99"/>
        <v>1-2 Years</v>
      </c>
    </row>
    <row r="2130" spans="1:11" x14ac:dyDescent="0.3">
      <c r="A2130" t="s">
        <v>2147</v>
      </c>
      <c r="B2130" t="s">
        <v>9</v>
      </c>
      <c r="C2130" t="s">
        <v>10</v>
      </c>
      <c r="D2130" t="s">
        <v>11</v>
      </c>
      <c r="E2130">
        <v>70.55</v>
      </c>
      <c r="F2130">
        <v>1</v>
      </c>
      <c r="G2130">
        <v>70.55</v>
      </c>
      <c r="H2130" t="s">
        <v>18</v>
      </c>
      <c r="I2130" t="str">
        <f t="shared" si="100"/>
        <v>Low Value</v>
      </c>
      <c r="J2130" t="str">
        <f t="shared" si="101"/>
        <v>High Risk</v>
      </c>
      <c r="K2130" s="3" t="str">
        <f t="shared" si="99"/>
        <v>0-1 Year</v>
      </c>
    </row>
    <row r="2131" spans="1:11" x14ac:dyDescent="0.3">
      <c r="A2131" t="s">
        <v>2148</v>
      </c>
      <c r="B2131" t="s">
        <v>9</v>
      </c>
      <c r="C2131" t="s">
        <v>10</v>
      </c>
      <c r="D2131" t="s">
        <v>16</v>
      </c>
      <c r="E2131">
        <v>20.149999999999999</v>
      </c>
      <c r="F2131">
        <v>1</v>
      </c>
      <c r="G2131">
        <v>20.149999999999999</v>
      </c>
      <c r="H2131" t="s">
        <v>12</v>
      </c>
      <c r="I2131" t="str">
        <f t="shared" si="100"/>
        <v>Low Value</v>
      </c>
      <c r="J2131" t="str">
        <f t="shared" si="101"/>
        <v>High Risk</v>
      </c>
      <c r="K2131" s="3" t="str">
        <f t="shared" si="99"/>
        <v>0-1 Year</v>
      </c>
    </row>
    <row r="2132" spans="1:11" x14ac:dyDescent="0.3">
      <c r="A2132" t="s">
        <v>2149</v>
      </c>
      <c r="B2132" t="s">
        <v>9</v>
      </c>
      <c r="C2132" t="s">
        <v>10</v>
      </c>
      <c r="D2132" t="s">
        <v>24</v>
      </c>
      <c r="E2132">
        <v>106.6</v>
      </c>
      <c r="F2132">
        <v>56</v>
      </c>
      <c r="G2132">
        <v>5969.5999999999904</v>
      </c>
      <c r="H2132" t="s">
        <v>12</v>
      </c>
      <c r="I2132" t="str">
        <f t="shared" si="100"/>
        <v>High Value</v>
      </c>
      <c r="J2132" t="str">
        <f t="shared" si="101"/>
        <v>Low Risk</v>
      </c>
      <c r="K2132" s="3" t="str">
        <f t="shared" si="99"/>
        <v>4+ Years</v>
      </c>
    </row>
    <row r="2133" spans="1:11" x14ac:dyDescent="0.3">
      <c r="A2133" t="s">
        <v>2150</v>
      </c>
      <c r="B2133" t="s">
        <v>14</v>
      </c>
      <c r="C2133" t="s">
        <v>10</v>
      </c>
      <c r="D2133" t="s">
        <v>11</v>
      </c>
      <c r="E2133">
        <v>91</v>
      </c>
      <c r="F2133">
        <v>15</v>
      </c>
      <c r="G2133">
        <v>1365</v>
      </c>
      <c r="H2133" t="s">
        <v>12</v>
      </c>
      <c r="I2133" t="str">
        <f t="shared" si="100"/>
        <v>Low Value</v>
      </c>
      <c r="J2133" t="str">
        <f t="shared" si="101"/>
        <v>Medium Risk</v>
      </c>
      <c r="K2133" s="3" t="str">
        <f t="shared" si="99"/>
        <v>1-2 Years</v>
      </c>
    </row>
    <row r="2134" spans="1:11" x14ac:dyDescent="0.3">
      <c r="A2134" t="s">
        <v>2151</v>
      </c>
      <c r="B2134" t="s">
        <v>14</v>
      </c>
      <c r="C2134" t="s">
        <v>30</v>
      </c>
      <c r="D2134" t="s">
        <v>20</v>
      </c>
      <c r="E2134">
        <v>25.4</v>
      </c>
      <c r="F2134">
        <v>12</v>
      </c>
      <c r="G2134">
        <v>304.79999999999899</v>
      </c>
      <c r="H2134" t="s">
        <v>12</v>
      </c>
      <c r="I2134" t="str">
        <f t="shared" si="100"/>
        <v>Low Value</v>
      </c>
      <c r="J2134" t="str">
        <f t="shared" si="101"/>
        <v>Medium Risk</v>
      </c>
      <c r="K2134" s="3" t="str">
        <f t="shared" si="99"/>
        <v>0-1 Year</v>
      </c>
    </row>
    <row r="2135" spans="1:11" x14ac:dyDescent="0.3">
      <c r="A2135" t="s">
        <v>2152</v>
      </c>
      <c r="B2135" t="s">
        <v>9</v>
      </c>
      <c r="C2135" t="s">
        <v>30</v>
      </c>
      <c r="D2135" t="s">
        <v>20</v>
      </c>
      <c r="E2135">
        <v>69.95</v>
      </c>
      <c r="F2135">
        <v>54</v>
      </c>
      <c r="G2135">
        <v>3777.3</v>
      </c>
      <c r="H2135" t="s">
        <v>12</v>
      </c>
      <c r="I2135" t="str">
        <f t="shared" si="100"/>
        <v>Medium Value</v>
      </c>
      <c r="J2135" t="str">
        <f t="shared" si="101"/>
        <v>Low Risk</v>
      </c>
      <c r="K2135" s="3" t="str">
        <f t="shared" si="99"/>
        <v>4+ Years</v>
      </c>
    </row>
    <row r="2136" spans="1:11" x14ac:dyDescent="0.3">
      <c r="A2136" t="s">
        <v>2153</v>
      </c>
      <c r="B2136" t="s">
        <v>9</v>
      </c>
      <c r="C2136" t="s">
        <v>10</v>
      </c>
      <c r="D2136" t="s">
        <v>11</v>
      </c>
      <c r="E2136">
        <v>66.849999999999994</v>
      </c>
      <c r="F2136">
        <v>7</v>
      </c>
      <c r="G2136">
        <v>467.94999999999902</v>
      </c>
      <c r="H2136" t="s">
        <v>12</v>
      </c>
      <c r="I2136" t="str">
        <f t="shared" si="100"/>
        <v>Low Value</v>
      </c>
      <c r="J2136" t="str">
        <f t="shared" si="101"/>
        <v>High Risk</v>
      </c>
      <c r="K2136" s="3" t="str">
        <f t="shared" si="99"/>
        <v>0-1 Year</v>
      </c>
    </row>
    <row r="2137" spans="1:11" x14ac:dyDescent="0.3">
      <c r="A2137" t="s">
        <v>2154</v>
      </c>
      <c r="B2137" t="s">
        <v>9</v>
      </c>
      <c r="C2137" t="s">
        <v>10</v>
      </c>
      <c r="D2137" t="s">
        <v>24</v>
      </c>
      <c r="E2137">
        <v>86.15</v>
      </c>
      <c r="F2137">
        <v>33</v>
      </c>
      <c r="G2137">
        <v>2842.95</v>
      </c>
      <c r="H2137" t="s">
        <v>18</v>
      </c>
      <c r="I2137" t="str">
        <f t="shared" si="100"/>
        <v>Medium Value</v>
      </c>
      <c r="J2137" t="str">
        <f t="shared" si="101"/>
        <v>Low Risk</v>
      </c>
      <c r="K2137" s="3" t="str">
        <f t="shared" si="99"/>
        <v>2-4 Years</v>
      </c>
    </row>
    <row r="2138" spans="1:11" x14ac:dyDescent="0.3">
      <c r="A2138" t="s">
        <v>2155</v>
      </c>
      <c r="B2138" t="s">
        <v>14</v>
      </c>
      <c r="C2138" t="s">
        <v>10</v>
      </c>
      <c r="D2138" t="s">
        <v>11</v>
      </c>
      <c r="E2138">
        <v>20.149999999999999</v>
      </c>
      <c r="F2138">
        <v>16</v>
      </c>
      <c r="G2138">
        <v>322.39999999999998</v>
      </c>
      <c r="H2138" t="s">
        <v>12</v>
      </c>
      <c r="I2138" t="str">
        <f t="shared" si="100"/>
        <v>Low Value</v>
      </c>
      <c r="J2138" t="str">
        <f t="shared" si="101"/>
        <v>Medium Risk</v>
      </c>
      <c r="K2138" s="3" t="str">
        <f t="shared" si="99"/>
        <v>1-2 Years</v>
      </c>
    </row>
    <row r="2139" spans="1:11" x14ac:dyDescent="0.3">
      <c r="A2139" t="s">
        <v>2156</v>
      </c>
      <c r="B2139" t="s">
        <v>9</v>
      </c>
      <c r="C2139" t="s">
        <v>15</v>
      </c>
      <c r="D2139" t="s">
        <v>16</v>
      </c>
      <c r="E2139">
        <v>64.849999999999994</v>
      </c>
      <c r="F2139">
        <v>21</v>
      </c>
      <c r="G2139">
        <v>1361.85</v>
      </c>
      <c r="H2139" t="s">
        <v>12</v>
      </c>
      <c r="I2139" t="str">
        <f t="shared" si="100"/>
        <v>Low Value</v>
      </c>
      <c r="J2139" t="str">
        <f t="shared" si="101"/>
        <v>Medium Risk</v>
      </c>
      <c r="K2139" s="3" t="str">
        <f t="shared" si="99"/>
        <v>1-2 Years</v>
      </c>
    </row>
    <row r="2140" spans="1:11" x14ac:dyDescent="0.3">
      <c r="A2140" t="s">
        <v>2157</v>
      </c>
      <c r="B2140" t="s">
        <v>14</v>
      </c>
      <c r="C2140" t="s">
        <v>30</v>
      </c>
      <c r="D2140" t="s">
        <v>11</v>
      </c>
      <c r="E2140">
        <v>74.849999999999994</v>
      </c>
      <c r="F2140">
        <v>30</v>
      </c>
      <c r="G2140">
        <v>2245.5</v>
      </c>
      <c r="H2140" t="s">
        <v>12</v>
      </c>
      <c r="I2140" t="str">
        <f t="shared" si="100"/>
        <v>Medium Value</v>
      </c>
      <c r="J2140" t="str">
        <f t="shared" si="101"/>
        <v>Low Risk</v>
      </c>
      <c r="K2140" s="3" t="str">
        <f t="shared" si="99"/>
        <v>2-4 Years</v>
      </c>
    </row>
    <row r="2141" spans="1:11" x14ac:dyDescent="0.3">
      <c r="A2141" t="s">
        <v>2158</v>
      </c>
      <c r="B2141" t="s">
        <v>14</v>
      </c>
      <c r="C2141" t="s">
        <v>10</v>
      </c>
      <c r="D2141" t="s">
        <v>16</v>
      </c>
      <c r="E2141">
        <v>50.5</v>
      </c>
      <c r="F2141">
        <v>3</v>
      </c>
      <c r="G2141">
        <v>151.5</v>
      </c>
      <c r="H2141" t="s">
        <v>12</v>
      </c>
      <c r="I2141" t="str">
        <f t="shared" si="100"/>
        <v>Low Value</v>
      </c>
      <c r="J2141" t="str">
        <f t="shared" si="101"/>
        <v>High Risk</v>
      </c>
      <c r="K2141" s="3" t="str">
        <f t="shared" si="99"/>
        <v>0-1 Year</v>
      </c>
    </row>
    <row r="2142" spans="1:11" x14ac:dyDescent="0.3">
      <c r="A2142" t="s">
        <v>2159</v>
      </c>
      <c r="B2142" t="s">
        <v>14</v>
      </c>
      <c r="C2142" t="s">
        <v>10</v>
      </c>
      <c r="D2142" t="s">
        <v>11</v>
      </c>
      <c r="E2142">
        <v>72.900000000000006</v>
      </c>
      <c r="F2142">
        <v>11</v>
      </c>
      <c r="G2142">
        <v>801.9</v>
      </c>
      <c r="H2142" t="s">
        <v>12</v>
      </c>
      <c r="I2142" t="str">
        <f t="shared" si="100"/>
        <v>Low Value</v>
      </c>
      <c r="J2142" t="str">
        <f t="shared" si="101"/>
        <v>High Risk</v>
      </c>
      <c r="K2142" s="3" t="str">
        <f t="shared" si="99"/>
        <v>0-1 Year</v>
      </c>
    </row>
    <row r="2143" spans="1:11" x14ac:dyDescent="0.3">
      <c r="A2143" t="s">
        <v>2160</v>
      </c>
      <c r="B2143" t="s">
        <v>9</v>
      </c>
      <c r="C2143" t="s">
        <v>15</v>
      </c>
      <c r="D2143" t="s">
        <v>24</v>
      </c>
      <c r="E2143">
        <v>115.05</v>
      </c>
      <c r="F2143">
        <v>62</v>
      </c>
      <c r="G2143">
        <v>7133.0999999999904</v>
      </c>
      <c r="H2143" t="s">
        <v>12</v>
      </c>
      <c r="I2143" t="str">
        <f t="shared" si="100"/>
        <v>High Value</v>
      </c>
      <c r="J2143" t="str">
        <f t="shared" si="101"/>
        <v>Low Risk</v>
      </c>
      <c r="K2143" s="3" t="str">
        <f t="shared" si="99"/>
        <v>4+ Years</v>
      </c>
    </row>
    <row r="2144" spans="1:11" x14ac:dyDescent="0.3">
      <c r="A2144" t="s">
        <v>2161</v>
      </c>
      <c r="B2144" t="s">
        <v>14</v>
      </c>
      <c r="C2144" t="s">
        <v>10</v>
      </c>
      <c r="D2144" t="s">
        <v>11</v>
      </c>
      <c r="E2144">
        <v>19</v>
      </c>
      <c r="F2144">
        <v>18</v>
      </c>
      <c r="G2144">
        <v>342</v>
      </c>
      <c r="H2144" t="s">
        <v>12</v>
      </c>
      <c r="I2144" t="str">
        <f t="shared" si="100"/>
        <v>Low Value</v>
      </c>
      <c r="J2144" t="str">
        <f t="shared" si="101"/>
        <v>Medium Risk</v>
      </c>
      <c r="K2144" s="3" t="str">
        <f t="shared" si="99"/>
        <v>1-2 Years</v>
      </c>
    </row>
    <row r="2145" spans="1:11" x14ac:dyDescent="0.3">
      <c r="A2145" t="s">
        <v>2162</v>
      </c>
      <c r="B2145" t="s">
        <v>14</v>
      </c>
      <c r="C2145" t="s">
        <v>10</v>
      </c>
      <c r="D2145" t="s">
        <v>16</v>
      </c>
      <c r="E2145">
        <v>19.55</v>
      </c>
      <c r="F2145">
        <v>6</v>
      </c>
      <c r="G2145">
        <v>117.3</v>
      </c>
      <c r="H2145" t="s">
        <v>12</v>
      </c>
      <c r="I2145" t="str">
        <f t="shared" si="100"/>
        <v>Low Value</v>
      </c>
      <c r="J2145" t="str">
        <f t="shared" si="101"/>
        <v>High Risk</v>
      </c>
      <c r="K2145" s="3" t="str">
        <f t="shared" si="99"/>
        <v>0-1 Year</v>
      </c>
    </row>
    <row r="2146" spans="1:11" x14ac:dyDescent="0.3">
      <c r="A2146" t="s">
        <v>2163</v>
      </c>
      <c r="B2146" t="s">
        <v>9</v>
      </c>
      <c r="C2146" t="s">
        <v>15</v>
      </c>
      <c r="D2146" t="s">
        <v>11</v>
      </c>
      <c r="E2146">
        <v>101.1</v>
      </c>
      <c r="F2146">
        <v>46</v>
      </c>
      <c r="G2146">
        <v>4650.5999999999904</v>
      </c>
      <c r="H2146" t="s">
        <v>12</v>
      </c>
      <c r="I2146" t="str">
        <f t="shared" si="100"/>
        <v>Medium Value</v>
      </c>
      <c r="J2146" t="str">
        <f t="shared" si="101"/>
        <v>Low Risk</v>
      </c>
      <c r="K2146" s="3" t="str">
        <f t="shared" si="99"/>
        <v>2-4 Years</v>
      </c>
    </row>
    <row r="2147" spans="1:11" x14ac:dyDescent="0.3">
      <c r="A2147" t="s">
        <v>2164</v>
      </c>
      <c r="B2147" t="s">
        <v>14</v>
      </c>
      <c r="C2147" t="s">
        <v>10</v>
      </c>
      <c r="D2147" t="s">
        <v>11</v>
      </c>
      <c r="E2147">
        <v>84.1</v>
      </c>
      <c r="F2147">
        <v>21</v>
      </c>
      <c r="G2147">
        <v>1766.1</v>
      </c>
      <c r="H2147" t="s">
        <v>12</v>
      </c>
      <c r="I2147" t="str">
        <f t="shared" si="100"/>
        <v>Low Value</v>
      </c>
      <c r="J2147" t="str">
        <f t="shared" si="101"/>
        <v>Medium Risk</v>
      </c>
      <c r="K2147" s="3" t="str">
        <f t="shared" si="99"/>
        <v>1-2 Years</v>
      </c>
    </row>
    <row r="2148" spans="1:11" x14ac:dyDescent="0.3">
      <c r="A2148" t="s">
        <v>2165</v>
      </c>
      <c r="B2148" t="s">
        <v>14</v>
      </c>
      <c r="C2148" t="s">
        <v>30</v>
      </c>
      <c r="D2148" t="s">
        <v>20</v>
      </c>
      <c r="E2148">
        <v>24.15</v>
      </c>
      <c r="F2148">
        <v>68</v>
      </c>
      <c r="G2148">
        <v>1642.19999999999</v>
      </c>
      <c r="H2148" t="s">
        <v>12</v>
      </c>
      <c r="I2148" t="str">
        <f t="shared" si="100"/>
        <v>Low Value</v>
      </c>
      <c r="J2148" t="str">
        <f t="shared" si="101"/>
        <v>Low Risk</v>
      </c>
      <c r="K2148" s="3" t="str">
        <f t="shared" si="99"/>
        <v>4+ Years</v>
      </c>
    </row>
    <row r="2149" spans="1:11" x14ac:dyDescent="0.3">
      <c r="A2149" t="s">
        <v>2166</v>
      </c>
      <c r="B2149" t="s">
        <v>9</v>
      </c>
      <c r="C2149" t="s">
        <v>10</v>
      </c>
      <c r="D2149" t="s">
        <v>11</v>
      </c>
      <c r="E2149">
        <v>50.1</v>
      </c>
      <c r="F2149">
        <v>1</v>
      </c>
      <c r="G2149">
        <v>50.1</v>
      </c>
      <c r="H2149" t="s">
        <v>12</v>
      </c>
      <c r="I2149" t="str">
        <f t="shared" si="100"/>
        <v>Low Value</v>
      </c>
      <c r="J2149" t="str">
        <f t="shared" si="101"/>
        <v>High Risk</v>
      </c>
      <c r="K2149" s="3" t="str">
        <f t="shared" si="99"/>
        <v>0-1 Year</v>
      </c>
    </row>
    <row r="2150" spans="1:11" x14ac:dyDescent="0.3">
      <c r="A2150" t="s">
        <v>2167</v>
      </c>
      <c r="B2150" t="s">
        <v>9</v>
      </c>
      <c r="C2150" t="s">
        <v>10</v>
      </c>
      <c r="D2150" t="s">
        <v>11</v>
      </c>
      <c r="E2150">
        <v>74.599999999999994</v>
      </c>
      <c r="F2150">
        <v>25</v>
      </c>
      <c r="G2150">
        <v>1864.99999999999</v>
      </c>
      <c r="H2150" t="s">
        <v>12</v>
      </c>
      <c r="I2150" t="str">
        <f t="shared" si="100"/>
        <v>Low Value</v>
      </c>
      <c r="J2150" t="str">
        <f t="shared" si="101"/>
        <v>Low Risk</v>
      </c>
      <c r="K2150" s="3" t="str">
        <f t="shared" si="99"/>
        <v>2-4 Years</v>
      </c>
    </row>
    <row r="2151" spans="1:11" x14ac:dyDescent="0.3">
      <c r="A2151" t="s">
        <v>2168</v>
      </c>
      <c r="B2151" t="s">
        <v>9</v>
      </c>
      <c r="C2151" t="s">
        <v>30</v>
      </c>
      <c r="D2151" t="s">
        <v>16</v>
      </c>
      <c r="E2151">
        <v>19.75</v>
      </c>
      <c r="F2151">
        <v>24</v>
      </c>
      <c r="G2151">
        <v>474</v>
      </c>
      <c r="H2151" t="s">
        <v>12</v>
      </c>
      <c r="I2151" t="str">
        <f t="shared" si="100"/>
        <v>Low Value</v>
      </c>
      <c r="J2151" t="str">
        <f t="shared" si="101"/>
        <v>Low Risk</v>
      </c>
      <c r="K2151" s="3" t="str">
        <f t="shared" si="99"/>
        <v>1-2 Years</v>
      </c>
    </row>
    <row r="2152" spans="1:11" x14ac:dyDescent="0.3">
      <c r="A2152" t="s">
        <v>2169</v>
      </c>
      <c r="B2152" t="s">
        <v>9</v>
      </c>
      <c r="C2152" t="s">
        <v>10</v>
      </c>
      <c r="D2152" t="s">
        <v>11</v>
      </c>
      <c r="E2152">
        <v>85</v>
      </c>
      <c r="F2152">
        <v>30</v>
      </c>
      <c r="G2152">
        <v>2550</v>
      </c>
      <c r="H2152" t="s">
        <v>18</v>
      </c>
      <c r="I2152" t="str">
        <f t="shared" si="100"/>
        <v>Medium Value</v>
      </c>
      <c r="J2152" t="str">
        <f t="shared" si="101"/>
        <v>Low Risk</v>
      </c>
      <c r="K2152" s="3" t="str">
        <f t="shared" si="99"/>
        <v>2-4 Years</v>
      </c>
    </row>
    <row r="2153" spans="1:11" x14ac:dyDescent="0.3">
      <c r="A2153" t="s">
        <v>2170</v>
      </c>
      <c r="B2153" t="s">
        <v>9</v>
      </c>
      <c r="C2153" t="s">
        <v>10</v>
      </c>
      <c r="D2153" t="s">
        <v>11</v>
      </c>
      <c r="E2153">
        <v>80.55</v>
      </c>
      <c r="F2153">
        <v>2</v>
      </c>
      <c r="G2153">
        <v>161.1</v>
      </c>
      <c r="H2153" t="s">
        <v>18</v>
      </c>
      <c r="I2153" t="str">
        <f t="shared" si="100"/>
        <v>Low Value</v>
      </c>
      <c r="J2153" t="str">
        <f t="shared" si="101"/>
        <v>High Risk</v>
      </c>
      <c r="K2153" s="3" t="str">
        <f t="shared" si="99"/>
        <v>0-1 Year</v>
      </c>
    </row>
    <row r="2154" spans="1:11" x14ac:dyDescent="0.3">
      <c r="A2154" t="s">
        <v>2171</v>
      </c>
      <c r="B2154" t="s">
        <v>14</v>
      </c>
      <c r="C2154" t="s">
        <v>15</v>
      </c>
      <c r="D2154" t="s">
        <v>20</v>
      </c>
      <c r="E2154">
        <v>106.8</v>
      </c>
      <c r="F2154">
        <v>51</v>
      </c>
      <c r="G2154">
        <v>5446.8</v>
      </c>
      <c r="H2154" t="s">
        <v>12</v>
      </c>
      <c r="I2154" t="str">
        <f t="shared" si="100"/>
        <v>High Value</v>
      </c>
      <c r="J2154" t="str">
        <f t="shared" si="101"/>
        <v>Low Risk</v>
      </c>
      <c r="K2154" s="3" t="str">
        <f t="shared" si="99"/>
        <v>4+ Years</v>
      </c>
    </row>
    <row r="2155" spans="1:11" x14ac:dyDescent="0.3">
      <c r="A2155" t="s">
        <v>2172</v>
      </c>
      <c r="B2155" t="s">
        <v>9</v>
      </c>
      <c r="C2155" t="s">
        <v>30</v>
      </c>
      <c r="D2155" t="s">
        <v>11</v>
      </c>
      <c r="E2155">
        <v>84.5</v>
      </c>
      <c r="F2155">
        <v>57</v>
      </c>
      <c r="G2155">
        <v>4816.5</v>
      </c>
      <c r="H2155" t="s">
        <v>12</v>
      </c>
      <c r="I2155" t="str">
        <f t="shared" si="100"/>
        <v>Medium Value</v>
      </c>
      <c r="J2155" t="str">
        <f t="shared" si="101"/>
        <v>Low Risk</v>
      </c>
      <c r="K2155" s="3" t="str">
        <f t="shared" si="99"/>
        <v>4+ Years</v>
      </c>
    </row>
    <row r="2156" spans="1:11" x14ac:dyDescent="0.3">
      <c r="A2156" t="s">
        <v>2173</v>
      </c>
      <c r="B2156" t="s">
        <v>9</v>
      </c>
      <c r="C2156" t="s">
        <v>30</v>
      </c>
      <c r="D2156" t="s">
        <v>20</v>
      </c>
      <c r="E2156">
        <v>25.05</v>
      </c>
      <c r="F2156">
        <v>15</v>
      </c>
      <c r="G2156">
        <v>375.75</v>
      </c>
      <c r="H2156" t="s">
        <v>12</v>
      </c>
      <c r="I2156" t="str">
        <f t="shared" si="100"/>
        <v>Low Value</v>
      </c>
      <c r="J2156" t="str">
        <f t="shared" si="101"/>
        <v>Medium Risk</v>
      </c>
      <c r="K2156" s="3" t="str">
        <f t="shared" si="99"/>
        <v>1-2 Years</v>
      </c>
    </row>
    <row r="2157" spans="1:11" x14ac:dyDescent="0.3">
      <c r="A2157" t="s">
        <v>2174</v>
      </c>
      <c r="B2157" t="s">
        <v>9</v>
      </c>
      <c r="C2157" t="s">
        <v>30</v>
      </c>
      <c r="D2157" t="s">
        <v>20</v>
      </c>
      <c r="E2157">
        <v>83.7</v>
      </c>
      <c r="F2157">
        <v>72</v>
      </c>
      <c r="G2157">
        <v>6026.4</v>
      </c>
      <c r="H2157" t="s">
        <v>12</v>
      </c>
      <c r="I2157" t="str">
        <f t="shared" si="100"/>
        <v>High Value</v>
      </c>
      <c r="J2157" t="str">
        <f t="shared" si="101"/>
        <v>Low Risk</v>
      </c>
      <c r="K2157" s="3" t="str">
        <f t="shared" si="99"/>
        <v>4+ Years</v>
      </c>
    </row>
    <row r="2158" spans="1:11" x14ac:dyDescent="0.3">
      <c r="A2158" t="s">
        <v>2175</v>
      </c>
      <c r="B2158" t="s">
        <v>9</v>
      </c>
      <c r="C2158" t="s">
        <v>10</v>
      </c>
      <c r="D2158" t="s">
        <v>11</v>
      </c>
      <c r="E2158">
        <v>75.8</v>
      </c>
      <c r="F2158">
        <v>2</v>
      </c>
      <c r="G2158">
        <v>151.6</v>
      </c>
      <c r="H2158" t="s">
        <v>18</v>
      </c>
      <c r="I2158" t="str">
        <f t="shared" si="100"/>
        <v>Low Value</v>
      </c>
      <c r="J2158" t="str">
        <f t="shared" si="101"/>
        <v>High Risk</v>
      </c>
      <c r="K2158" s="3" t="str">
        <f t="shared" si="99"/>
        <v>0-1 Year</v>
      </c>
    </row>
    <row r="2159" spans="1:11" x14ac:dyDescent="0.3">
      <c r="A2159" t="s">
        <v>2176</v>
      </c>
      <c r="B2159" t="s">
        <v>14</v>
      </c>
      <c r="C2159" t="s">
        <v>10</v>
      </c>
      <c r="D2159" t="s">
        <v>24</v>
      </c>
      <c r="E2159">
        <v>96.6</v>
      </c>
      <c r="F2159">
        <v>28</v>
      </c>
      <c r="G2159">
        <v>2704.7999999999902</v>
      </c>
      <c r="H2159" t="s">
        <v>12</v>
      </c>
      <c r="I2159" t="str">
        <f t="shared" si="100"/>
        <v>Medium Value</v>
      </c>
      <c r="J2159" t="str">
        <f t="shared" si="101"/>
        <v>Low Risk</v>
      </c>
      <c r="K2159" s="3" t="str">
        <f t="shared" si="99"/>
        <v>2-4 Years</v>
      </c>
    </row>
    <row r="2160" spans="1:11" x14ac:dyDescent="0.3">
      <c r="A2160" t="s">
        <v>2177</v>
      </c>
      <c r="B2160" t="s">
        <v>14</v>
      </c>
      <c r="C2160" t="s">
        <v>10</v>
      </c>
      <c r="D2160" t="s">
        <v>11</v>
      </c>
      <c r="E2160">
        <v>98.5</v>
      </c>
      <c r="F2160">
        <v>29</v>
      </c>
      <c r="G2160">
        <v>2856.5</v>
      </c>
      <c r="H2160" t="s">
        <v>18</v>
      </c>
      <c r="I2160" t="str">
        <f t="shared" si="100"/>
        <v>Medium Value</v>
      </c>
      <c r="J2160" t="str">
        <f t="shared" si="101"/>
        <v>Low Risk</v>
      </c>
      <c r="K2160" s="3" t="str">
        <f t="shared" si="99"/>
        <v>2-4 Years</v>
      </c>
    </row>
    <row r="2161" spans="1:11" x14ac:dyDescent="0.3">
      <c r="A2161" t="s">
        <v>2178</v>
      </c>
      <c r="B2161" t="s">
        <v>14</v>
      </c>
      <c r="C2161" t="s">
        <v>30</v>
      </c>
      <c r="D2161" t="s">
        <v>24</v>
      </c>
      <c r="E2161">
        <v>101.1</v>
      </c>
      <c r="F2161">
        <v>70</v>
      </c>
      <c r="G2161">
        <v>7077</v>
      </c>
      <c r="H2161" t="s">
        <v>12</v>
      </c>
      <c r="I2161" t="str">
        <f t="shared" si="100"/>
        <v>High Value</v>
      </c>
      <c r="J2161" t="str">
        <f t="shared" si="101"/>
        <v>Low Risk</v>
      </c>
      <c r="K2161" s="3" t="str">
        <f t="shared" si="99"/>
        <v>4+ Years</v>
      </c>
    </row>
    <row r="2162" spans="1:11" x14ac:dyDescent="0.3">
      <c r="A2162" t="s">
        <v>2179</v>
      </c>
      <c r="B2162" t="s">
        <v>9</v>
      </c>
      <c r="C2162" t="s">
        <v>15</v>
      </c>
      <c r="D2162" t="s">
        <v>16</v>
      </c>
      <c r="E2162">
        <v>20.2</v>
      </c>
      <c r="F2162">
        <v>13</v>
      </c>
      <c r="G2162">
        <v>262.599999999999</v>
      </c>
      <c r="H2162" t="s">
        <v>12</v>
      </c>
      <c r="I2162" t="str">
        <f t="shared" si="100"/>
        <v>Low Value</v>
      </c>
      <c r="J2162" t="str">
        <f t="shared" si="101"/>
        <v>Medium Risk</v>
      </c>
      <c r="K2162" s="3" t="str">
        <f t="shared" si="99"/>
        <v>1-2 Years</v>
      </c>
    </row>
    <row r="2163" spans="1:11" x14ac:dyDescent="0.3">
      <c r="A2163" t="s">
        <v>2180</v>
      </c>
      <c r="B2163" t="s">
        <v>9</v>
      </c>
      <c r="C2163" t="s">
        <v>15</v>
      </c>
      <c r="D2163" t="s">
        <v>11</v>
      </c>
      <c r="E2163">
        <v>94.05</v>
      </c>
      <c r="F2163">
        <v>59</v>
      </c>
      <c r="G2163">
        <v>5548.95</v>
      </c>
      <c r="H2163" t="s">
        <v>12</v>
      </c>
      <c r="I2163" t="str">
        <f t="shared" si="100"/>
        <v>High Value</v>
      </c>
      <c r="J2163" t="str">
        <f t="shared" si="101"/>
        <v>Low Risk</v>
      </c>
      <c r="K2163" s="3" t="str">
        <f t="shared" si="99"/>
        <v>4+ Years</v>
      </c>
    </row>
    <row r="2164" spans="1:11" x14ac:dyDescent="0.3">
      <c r="A2164" t="s">
        <v>2181</v>
      </c>
      <c r="B2164" t="s">
        <v>14</v>
      </c>
      <c r="C2164" t="s">
        <v>10</v>
      </c>
      <c r="D2164" t="s">
        <v>11</v>
      </c>
      <c r="E2164">
        <v>95.25</v>
      </c>
      <c r="F2164">
        <v>13</v>
      </c>
      <c r="G2164">
        <v>1238.25</v>
      </c>
      <c r="H2164" t="s">
        <v>18</v>
      </c>
      <c r="I2164" t="str">
        <f t="shared" si="100"/>
        <v>Low Value</v>
      </c>
      <c r="J2164" t="str">
        <f t="shared" si="101"/>
        <v>Medium Risk</v>
      </c>
      <c r="K2164" s="3" t="str">
        <f t="shared" si="99"/>
        <v>1-2 Years</v>
      </c>
    </row>
    <row r="2165" spans="1:11" x14ac:dyDescent="0.3">
      <c r="A2165" t="s">
        <v>2182</v>
      </c>
      <c r="B2165" t="s">
        <v>14</v>
      </c>
      <c r="C2165" t="s">
        <v>10</v>
      </c>
      <c r="D2165" t="s">
        <v>16</v>
      </c>
      <c r="E2165">
        <v>74.400000000000006</v>
      </c>
      <c r="F2165">
        <v>7</v>
      </c>
      <c r="G2165">
        <v>520.79999999999995</v>
      </c>
      <c r="H2165" t="s">
        <v>18</v>
      </c>
      <c r="I2165" t="str">
        <f t="shared" si="100"/>
        <v>Low Value</v>
      </c>
      <c r="J2165" t="str">
        <f t="shared" si="101"/>
        <v>High Risk</v>
      </c>
      <c r="K2165" s="3" t="str">
        <f t="shared" si="99"/>
        <v>0-1 Year</v>
      </c>
    </row>
    <row r="2166" spans="1:11" x14ac:dyDescent="0.3">
      <c r="A2166" t="s">
        <v>2183</v>
      </c>
      <c r="B2166" t="s">
        <v>9</v>
      </c>
      <c r="C2166" t="s">
        <v>30</v>
      </c>
      <c r="D2166" t="s">
        <v>16</v>
      </c>
      <c r="E2166">
        <v>81</v>
      </c>
      <c r="F2166">
        <v>62</v>
      </c>
      <c r="G2166">
        <v>5022</v>
      </c>
      <c r="H2166" t="s">
        <v>12</v>
      </c>
      <c r="I2166" t="str">
        <f t="shared" si="100"/>
        <v>High Value</v>
      </c>
      <c r="J2166" t="str">
        <f t="shared" si="101"/>
        <v>Low Risk</v>
      </c>
      <c r="K2166" s="3" t="str">
        <f t="shared" si="99"/>
        <v>4+ Years</v>
      </c>
    </row>
    <row r="2167" spans="1:11" x14ac:dyDescent="0.3">
      <c r="A2167" t="s">
        <v>2184</v>
      </c>
      <c r="B2167" t="s">
        <v>9</v>
      </c>
      <c r="C2167" t="s">
        <v>15</v>
      </c>
      <c r="D2167" t="s">
        <v>11</v>
      </c>
      <c r="E2167">
        <v>60.25</v>
      </c>
      <c r="F2167">
        <v>21</v>
      </c>
      <c r="G2167">
        <v>1265.25</v>
      </c>
      <c r="H2167" t="s">
        <v>12</v>
      </c>
      <c r="I2167" t="str">
        <f t="shared" si="100"/>
        <v>Low Value</v>
      </c>
      <c r="J2167" t="str">
        <f t="shared" si="101"/>
        <v>Medium Risk</v>
      </c>
      <c r="K2167" s="3" t="str">
        <f t="shared" si="99"/>
        <v>1-2 Years</v>
      </c>
    </row>
    <row r="2168" spans="1:11" x14ac:dyDescent="0.3">
      <c r="A2168" t="s">
        <v>2185</v>
      </c>
      <c r="B2168" t="s">
        <v>9</v>
      </c>
      <c r="C2168" t="s">
        <v>10</v>
      </c>
      <c r="D2168" t="s">
        <v>11</v>
      </c>
      <c r="E2168">
        <v>60.85</v>
      </c>
      <c r="F2168">
        <v>2</v>
      </c>
      <c r="G2168">
        <v>121.7</v>
      </c>
      <c r="H2168" t="s">
        <v>12</v>
      </c>
      <c r="I2168" t="str">
        <f t="shared" si="100"/>
        <v>Low Value</v>
      </c>
      <c r="J2168" t="str">
        <f t="shared" si="101"/>
        <v>High Risk</v>
      </c>
      <c r="K2168" s="3" t="str">
        <f t="shared" si="99"/>
        <v>0-1 Year</v>
      </c>
    </row>
    <row r="2169" spans="1:11" x14ac:dyDescent="0.3">
      <c r="A2169" t="s">
        <v>2186</v>
      </c>
      <c r="B2169" t="s">
        <v>9</v>
      </c>
      <c r="C2169" t="s">
        <v>10</v>
      </c>
      <c r="D2169" t="s">
        <v>24</v>
      </c>
      <c r="E2169">
        <v>43.95</v>
      </c>
      <c r="F2169">
        <v>1</v>
      </c>
      <c r="G2169">
        <v>43.95</v>
      </c>
      <c r="H2169" t="s">
        <v>12</v>
      </c>
      <c r="I2169" t="str">
        <f t="shared" si="100"/>
        <v>Low Value</v>
      </c>
      <c r="J2169" t="str">
        <f t="shared" si="101"/>
        <v>High Risk</v>
      </c>
      <c r="K2169" s="3" t="str">
        <f t="shared" si="99"/>
        <v>0-1 Year</v>
      </c>
    </row>
    <row r="2170" spans="1:11" x14ac:dyDescent="0.3">
      <c r="A2170" t="s">
        <v>2187</v>
      </c>
      <c r="B2170" t="s">
        <v>14</v>
      </c>
      <c r="C2170" t="s">
        <v>10</v>
      </c>
      <c r="D2170" t="s">
        <v>11</v>
      </c>
      <c r="E2170">
        <v>86.05</v>
      </c>
      <c r="F2170">
        <v>4</v>
      </c>
      <c r="G2170">
        <v>344.2</v>
      </c>
      <c r="H2170" t="s">
        <v>12</v>
      </c>
      <c r="I2170" t="str">
        <f t="shared" si="100"/>
        <v>Low Value</v>
      </c>
      <c r="J2170" t="str">
        <f t="shared" si="101"/>
        <v>High Risk</v>
      </c>
      <c r="K2170" s="3" t="str">
        <f t="shared" si="99"/>
        <v>0-1 Year</v>
      </c>
    </row>
    <row r="2171" spans="1:11" x14ac:dyDescent="0.3">
      <c r="A2171" t="s">
        <v>2188</v>
      </c>
      <c r="B2171" t="s">
        <v>9</v>
      </c>
      <c r="C2171" t="s">
        <v>15</v>
      </c>
      <c r="D2171" t="s">
        <v>24</v>
      </c>
      <c r="E2171">
        <v>20.25</v>
      </c>
      <c r="F2171">
        <v>19</v>
      </c>
      <c r="G2171">
        <v>384.75</v>
      </c>
      <c r="H2171" t="s">
        <v>12</v>
      </c>
      <c r="I2171" t="str">
        <f t="shared" si="100"/>
        <v>Low Value</v>
      </c>
      <c r="J2171" t="str">
        <f t="shared" si="101"/>
        <v>Medium Risk</v>
      </c>
      <c r="K2171" s="3" t="str">
        <f t="shared" si="99"/>
        <v>1-2 Years</v>
      </c>
    </row>
    <row r="2172" spans="1:11" x14ac:dyDescent="0.3">
      <c r="A2172" t="s">
        <v>2189</v>
      </c>
      <c r="B2172" t="s">
        <v>9</v>
      </c>
      <c r="C2172" t="s">
        <v>10</v>
      </c>
      <c r="D2172" t="s">
        <v>11</v>
      </c>
      <c r="E2172">
        <v>85.15</v>
      </c>
      <c r="F2172">
        <v>30</v>
      </c>
      <c r="G2172">
        <v>2554.5</v>
      </c>
      <c r="H2172" t="s">
        <v>18</v>
      </c>
      <c r="I2172" t="str">
        <f t="shared" si="100"/>
        <v>Medium Value</v>
      </c>
      <c r="J2172" t="str">
        <f t="shared" si="101"/>
        <v>Low Risk</v>
      </c>
      <c r="K2172" s="3" t="str">
        <f t="shared" si="99"/>
        <v>2-4 Years</v>
      </c>
    </row>
    <row r="2173" spans="1:11" x14ac:dyDescent="0.3">
      <c r="A2173" t="s">
        <v>2190</v>
      </c>
      <c r="B2173" t="s">
        <v>14</v>
      </c>
      <c r="C2173" t="s">
        <v>30</v>
      </c>
      <c r="D2173" t="s">
        <v>24</v>
      </c>
      <c r="E2173">
        <v>19.399999999999999</v>
      </c>
      <c r="F2173">
        <v>67</v>
      </c>
      <c r="G2173">
        <v>1299.8</v>
      </c>
      <c r="H2173" t="s">
        <v>12</v>
      </c>
      <c r="I2173" t="str">
        <f t="shared" si="100"/>
        <v>Low Value</v>
      </c>
      <c r="J2173" t="str">
        <f t="shared" si="101"/>
        <v>Low Risk</v>
      </c>
      <c r="K2173" s="3" t="str">
        <f t="shared" si="99"/>
        <v>4+ Years</v>
      </c>
    </row>
    <row r="2174" spans="1:11" x14ac:dyDescent="0.3">
      <c r="A2174" t="s">
        <v>2191</v>
      </c>
      <c r="B2174" t="s">
        <v>14</v>
      </c>
      <c r="C2174" t="s">
        <v>30</v>
      </c>
      <c r="D2174" t="s">
        <v>24</v>
      </c>
      <c r="E2174">
        <v>102.65</v>
      </c>
      <c r="F2174">
        <v>72</v>
      </c>
      <c r="G2174">
        <v>7390.8</v>
      </c>
      <c r="H2174" t="s">
        <v>12</v>
      </c>
      <c r="I2174" t="str">
        <f t="shared" si="100"/>
        <v>High Value</v>
      </c>
      <c r="J2174" t="str">
        <f t="shared" si="101"/>
        <v>Low Risk</v>
      </c>
      <c r="K2174" s="3" t="str">
        <f t="shared" si="99"/>
        <v>4+ Years</v>
      </c>
    </row>
    <row r="2175" spans="1:11" x14ac:dyDescent="0.3">
      <c r="A2175" t="s">
        <v>2192</v>
      </c>
      <c r="B2175" t="s">
        <v>14</v>
      </c>
      <c r="C2175" t="s">
        <v>30</v>
      </c>
      <c r="D2175" t="s">
        <v>24</v>
      </c>
      <c r="E2175">
        <v>19.899999999999999</v>
      </c>
      <c r="F2175">
        <v>53</v>
      </c>
      <c r="G2175">
        <v>1054.69999999999</v>
      </c>
      <c r="H2175" t="s">
        <v>12</v>
      </c>
      <c r="I2175" t="str">
        <f t="shared" si="100"/>
        <v>Low Value</v>
      </c>
      <c r="J2175" t="str">
        <f t="shared" si="101"/>
        <v>Low Risk</v>
      </c>
      <c r="K2175" s="3" t="str">
        <f t="shared" si="99"/>
        <v>4+ Years</v>
      </c>
    </row>
    <row r="2176" spans="1:11" x14ac:dyDescent="0.3">
      <c r="A2176" t="s">
        <v>2193</v>
      </c>
      <c r="B2176" t="s">
        <v>9</v>
      </c>
      <c r="C2176" t="s">
        <v>15</v>
      </c>
      <c r="D2176" t="s">
        <v>11</v>
      </c>
      <c r="E2176">
        <v>19.55</v>
      </c>
      <c r="F2176">
        <v>5</v>
      </c>
      <c r="G2176">
        <v>97.75</v>
      </c>
      <c r="H2176" t="s">
        <v>12</v>
      </c>
      <c r="I2176" t="str">
        <f t="shared" si="100"/>
        <v>Low Value</v>
      </c>
      <c r="J2176" t="str">
        <f t="shared" si="101"/>
        <v>High Risk</v>
      </c>
      <c r="K2176" s="3" t="str">
        <f t="shared" si="99"/>
        <v>0-1 Year</v>
      </c>
    </row>
    <row r="2177" spans="1:11" x14ac:dyDescent="0.3">
      <c r="A2177" t="s">
        <v>2194</v>
      </c>
      <c r="B2177" t="s">
        <v>14</v>
      </c>
      <c r="C2177" t="s">
        <v>30</v>
      </c>
      <c r="D2177" t="s">
        <v>24</v>
      </c>
      <c r="E2177">
        <v>95.5</v>
      </c>
      <c r="F2177">
        <v>71</v>
      </c>
      <c r="G2177">
        <v>6780.5</v>
      </c>
      <c r="H2177" t="s">
        <v>12</v>
      </c>
      <c r="I2177" t="str">
        <f t="shared" si="100"/>
        <v>High Value</v>
      </c>
      <c r="J2177" t="str">
        <f t="shared" si="101"/>
        <v>Low Risk</v>
      </c>
      <c r="K2177" s="3" t="str">
        <f t="shared" si="99"/>
        <v>4+ Years</v>
      </c>
    </row>
    <row r="2178" spans="1:11" x14ac:dyDescent="0.3">
      <c r="A2178" t="s">
        <v>2195</v>
      </c>
      <c r="B2178" t="s">
        <v>9</v>
      </c>
      <c r="C2178" t="s">
        <v>15</v>
      </c>
      <c r="D2178" t="s">
        <v>24</v>
      </c>
      <c r="E2178">
        <v>84.15</v>
      </c>
      <c r="F2178">
        <v>50</v>
      </c>
      <c r="G2178">
        <v>4207.5</v>
      </c>
      <c r="H2178" t="s">
        <v>12</v>
      </c>
      <c r="I2178" t="str">
        <f t="shared" si="100"/>
        <v>Medium Value</v>
      </c>
      <c r="J2178" t="str">
        <f t="shared" si="101"/>
        <v>Low Risk</v>
      </c>
      <c r="K2178" s="3" t="str">
        <f t="shared" si="99"/>
        <v>4+ Years</v>
      </c>
    </row>
    <row r="2179" spans="1:11" x14ac:dyDescent="0.3">
      <c r="A2179" t="s">
        <v>2196</v>
      </c>
      <c r="B2179" t="s">
        <v>14</v>
      </c>
      <c r="C2179" t="s">
        <v>30</v>
      </c>
      <c r="D2179" t="s">
        <v>11</v>
      </c>
      <c r="E2179">
        <v>103.2</v>
      </c>
      <c r="F2179">
        <v>56</v>
      </c>
      <c r="G2179">
        <v>5779.2</v>
      </c>
      <c r="H2179" t="s">
        <v>12</v>
      </c>
      <c r="I2179" t="str">
        <f t="shared" si="100"/>
        <v>High Value</v>
      </c>
      <c r="J2179" t="str">
        <f t="shared" si="101"/>
        <v>Low Risk</v>
      </c>
      <c r="K2179" s="3" t="str">
        <f t="shared" ref="K2179:K2242" si="102">IF(F2179&lt;=12,"0-1 Year",
IF(F2179&lt;=24,"1-2 Years",
IF(F2179&lt;=48,"2-4 Years","4+ Years")))</f>
        <v>4+ Years</v>
      </c>
    </row>
    <row r="2180" spans="1:11" x14ac:dyDescent="0.3">
      <c r="A2180" t="s">
        <v>2197</v>
      </c>
      <c r="B2180" t="s">
        <v>14</v>
      </c>
      <c r="C2180" t="s">
        <v>10</v>
      </c>
      <c r="D2180" t="s">
        <v>24</v>
      </c>
      <c r="E2180">
        <v>50.2</v>
      </c>
      <c r="F2180">
        <v>2</v>
      </c>
      <c r="G2180">
        <v>100.4</v>
      </c>
      <c r="H2180" t="s">
        <v>12</v>
      </c>
      <c r="I2180" t="str">
        <f t="shared" ref="I2180:I2243" si="103">IF(G2180&gt;5000,"High Value",
IF(G2180&gt;2000,"Medium Value","Low Value"))</f>
        <v>Low Value</v>
      </c>
      <c r="J2180" t="str">
        <f t="shared" ref="J2180:J2243" si="104">IF(F2180&lt;12,"High Risk",
IF(F2180&lt;24,"Medium Risk","Low Risk"))</f>
        <v>High Risk</v>
      </c>
      <c r="K2180" s="3" t="str">
        <f t="shared" si="102"/>
        <v>0-1 Year</v>
      </c>
    </row>
    <row r="2181" spans="1:11" x14ac:dyDescent="0.3">
      <c r="A2181" t="s">
        <v>2198</v>
      </c>
      <c r="B2181" t="s">
        <v>9</v>
      </c>
      <c r="C2181" t="s">
        <v>10</v>
      </c>
      <c r="D2181" t="s">
        <v>11</v>
      </c>
      <c r="E2181">
        <v>88.55</v>
      </c>
      <c r="F2181">
        <v>2</v>
      </c>
      <c r="G2181">
        <v>177.1</v>
      </c>
      <c r="H2181" t="s">
        <v>18</v>
      </c>
      <c r="I2181" t="str">
        <f t="shared" si="103"/>
        <v>Low Value</v>
      </c>
      <c r="J2181" t="str">
        <f t="shared" si="104"/>
        <v>High Risk</v>
      </c>
      <c r="K2181" s="3" t="str">
        <f t="shared" si="102"/>
        <v>0-1 Year</v>
      </c>
    </row>
    <row r="2182" spans="1:11" x14ac:dyDescent="0.3">
      <c r="A2182" t="s">
        <v>2199</v>
      </c>
      <c r="B2182" t="s">
        <v>14</v>
      </c>
      <c r="C2182" t="s">
        <v>10</v>
      </c>
      <c r="D2182" t="s">
        <v>11</v>
      </c>
      <c r="E2182">
        <v>54.75</v>
      </c>
      <c r="F2182">
        <v>24</v>
      </c>
      <c r="G2182">
        <v>1314</v>
      </c>
      <c r="H2182" t="s">
        <v>18</v>
      </c>
      <c r="I2182" t="str">
        <f t="shared" si="103"/>
        <v>Low Value</v>
      </c>
      <c r="J2182" t="str">
        <f t="shared" si="104"/>
        <v>Low Risk</v>
      </c>
      <c r="K2182" s="3" t="str">
        <f t="shared" si="102"/>
        <v>1-2 Years</v>
      </c>
    </row>
    <row r="2183" spans="1:11" x14ac:dyDescent="0.3">
      <c r="A2183" t="s">
        <v>2200</v>
      </c>
      <c r="B2183" t="s">
        <v>14</v>
      </c>
      <c r="C2183" t="s">
        <v>30</v>
      </c>
      <c r="D2183" t="s">
        <v>24</v>
      </c>
      <c r="E2183">
        <v>19.95</v>
      </c>
      <c r="F2183">
        <v>46</v>
      </c>
      <c r="G2183">
        <v>917.69999999999902</v>
      </c>
      <c r="H2183" t="s">
        <v>12</v>
      </c>
      <c r="I2183" t="str">
        <f t="shared" si="103"/>
        <v>Low Value</v>
      </c>
      <c r="J2183" t="str">
        <f t="shared" si="104"/>
        <v>Low Risk</v>
      </c>
      <c r="K2183" s="3" t="str">
        <f t="shared" si="102"/>
        <v>2-4 Years</v>
      </c>
    </row>
    <row r="2184" spans="1:11" x14ac:dyDescent="0.3">
      <c r="A2184" t="s">
        <v>2201</v>
      </c>
      <c r="B2184" t="s">
        <v>14</v>
      </c>
      <c r="C2184" t="s">
        <v>30</v>
      </c>
      <c r="D2184" t="s">
        <v>11</v>
      </c>
      <c r="E2184">
        <v>116.25</v>
      </c>
      <c r="F2184">
        <v>71</v>
      </c>
      <c r="G2184">
        <v>8253.75</v>
      </c>
      <c r="H2184" t="s">
        <v>12</v>
      </c>
      <c r="I2184" t="str">
        <f t="shared" si="103"/>
        <v>High Value</v>
      </c>
      <c r="J2184" t="str">
        <f t="shared" si="104"/>
        <v>Low Risk</v>
      </c>
      <c r="K2184" s="3" t="str">
        <f t="shared" si="102"/>
        <v>4+ Years</v>
      </c>
    </row>
    <row r="2185" spans="1:11" x14ac:dyDescent="0.3">
      <c r="A2185" t="s">
        <v>2202</v>
      </c>
      <c r="B2185" t="s">
        <v>9</v>
      </c>
      <c r="C2185" t="s">
        <v>10</v>
      </c>
      <c r="D2185" t="s">
        <v>11</v>
      </c>
      <c r="E2185">
        <v>31.2</v>
      </c>
      <c r="F2185">
        <v>29</v>
      </c>
      <c r="G2185">
        <v>904.8</v>
      </c>
      <c r="H2185" t="s">
        <v>12</v>
      </c>
      <c r="I2185" t="str">
        <f t="shared" si="103"/>
        <v>Low Value</v>
      </c>
      <c r="J2185" t="str">
        <f t="shared" si="104"/>
        <v>Low Risk</v>
      </c>
      <c r="K2185" s="3" t="str">
        <f t="shared" si="102"/>
        <v>2-4 Years</v>
      </c>
    </row>
    <row r="2186" spans="1:11" x14ac:dyDescent="0.3">
      <c r="A2186" t="s">
        <v>2203</v>
      </c>
      <c r="B2186" t="s">
        <v>14</v>
      </c>
      <c r="C2186" t="s">
        <v>30</v>
      </c>
      <c r="D2186" t="s">
        <v>20</v>
      </c>
      <c r="E2186">
        <v>24.45</v>
      </c>
      <c r="F2186">
        <v>69</v>
      </c>
      <c r="G2186">
        <v>1687.05</v>
      </c>
      <c r="H2186" t="s">
        <v>12</v>
      </c>
      <c r="I2186" t="str">
        <f t="shared" si="103"/>
        <v>Low Value</v>
      </c>
      <c r="J2186" t="str">
        <f t="shared" si="104"/>
        <v>Low Risk</v>
      </c>
      <c r="K2186" s="3" t="str">
        <f t="shared" si="102"/>
        <v>4+ Years</v>
      </c>
    </row>
    <row r="2187" spans="1:11" x14ac:dyDescent="0.3">
      <c r="A2187" t="s">
        <v>2204</v>
      </c>
      <c r="B2187" t="s">
        <v>14</v>
      </c>
      <c r="C2187" t="s">
        <v>30</v>
      </c>
      <c r="D2187" t="s">
        <v>24</v>
      </c>
      <c r="E2187">
        <v>84.2</v>
      </c>
      <c r="F2187">
        <v>71</v>
      </c>
      <c r="G2187">
        <v>5978.2</v>
      </c>
      <c r="H2187" t="s">
        <v>12</v>
      </c>
      <c r="I2187" t="str">
        <f t="shared" si="103"/>
        <v>High Value</v>
      </c>
      <c r="J2187" t="str">
        <f t="shared" si="104"/>
        <v>Low Risk</v>
      </c>
      <c r="K2187" s="3" t="str">
        <f t="shared" si="102"/>
        <v>4+ Years</v>
      </c>
    </row>
    <row r="2188" spans="1:11" x14ac:dyDescent="0.3">
      <c r="A2188" t="s">
        <v>2205</v>
      </c>
      <c r="B2188" t="s">
        <v>9</v>
      </c>
      <c r="C2188" t="s">
        <v>10</v>
      </c>
      <c r="D2188" t="s">
        <v>11</v>
      </c>
      <c r="E2188">
        <v>91.3</v>
      </c>
      <c r="F2188">
        <v>1</v>
      </c>
      <c r="G2188">
        <v>91.3</v>
      </c>
      <c r="H2188" t="s">
        <v>18</v>
      </c>
      <c r="I2188" t="str">
        <f t="shared" si="103"/>
        <v>Low Value</v>
      </c>
      <c r="J2188" t="str">
        <f t="shared" si="104"/>
        <v>High Risk</v>
      </c>
      <c r="K2188" s="3" t="str">
        <f t="shared" si="102"/>
        <v>0-1 Year</v>
      </c>
    </row>
    <row r="2189" spans="1:11" x14ac:dyDescent="0.3">
      <c r="A2189" t="s">
        <v>2206</v>
      </c>
      <c r="B2189" t="s">
        <v>14</v>
      </c>
      <c r="C2189" t="s">
        <v>30</v>
      </c>
      <c r="D2189" t="s">
        <v>20</v>
      </c>
      <c r="E2189">
        <v>85.65</v>
      </c>
      <c r="F2189">
        <v>56</v>
      </c>
      <c r="G2189">
        <v>4796.3999999999996</v>
      </c>
      <c r="H2189" t="s">
        <v>12</v>
      </c>
      <c r="I2189" t="str">
        <f t="shared" si="103"/>
        <v>Medium Value</v>
      </c>
      <c r="J2189" t="str">
        <f t="shared" si="104"/>
        <v>Low Risk</v>
      </c>
      <c r="K2189" s="3" t="str">
        <f t="shared" si="102"/>
        <v>4+ Years</v>
      </c>
    </row>
    <row r="2190" spans="1:11" x14ac:dyDescent="0.3">
      <c r="A2190" t="s">
        <v>2207</v>
      </c>
      <c r="B2190" t="s">
        <v>14</v>
      </c>
      <c r="C2190" t="s">
        <v>15</v>
      </c>
      <c r="D2190" t="s">
        <v>16</v>
      </c>
      <c r="E2190">
        <v>21.2</v>
      </c>
      <c r="F2190">
        <v>56</v>
      </c>
      <c r="G2190">
        <v>1187.2</v>
      </c>
      <c r="H2190" t="s">
        <v>12</v>
      </c>
      <c r="I2190" t="str">
        <f t="shared" si="103"/>
        <v>Low Value</v>
      </c>
      <c r="J2190" t="str">
        <f t="shared" si="104"/>
        <v>Low Risk</v>
      </c>
      <c r="K2190" s="3" t="str">
        <f t="shared" si="102"/>
        <v>4+ Years</v>
      </c>
    </row>
    <row r="2191" spans="1:11" x14ac:dyDescent="0.3">
      <c r="A2191" t="s">
        <v>2208</v>
      </c>
      <c r="B2191" t="s">
        <v>14</v>
      </c>
      <c r="C2191" t="s">
        <v>10</v>
      </c>
      <c r="D2191" t="s">
        <v>11</v>
      </c>
      <c r="E2191">
        <v>79.5</v>
      </c>
      <c r="F2191">
        <v>1</v>
      </c>
      <c r="G2191">
        <v>79.5</v>
      </c>
      <c r="H2191" t="s">
        <v>18</v>
      </c>
      <c r="I2191" t="str">
        <f t="shared" si="103"/>
        <v>Low Value</v>
      </c>
      <c r="J2191" t="str">
        <f t="shared" si="104"/>
        <v>High Risk</v>
      </c>
      <c r="K2191" s="3" t="str">
        <f t="shared" si="102"/>
        <v>0-1 Year</v>
      </c>
    </row>
    <row r="2192" spans="1:11" x14ac:dyDescent="0.3">
      <c r="A2192" t="s">
        <v>2209</v>
      </c>
      <c r="B2192" t="s">
        <v>9</v>
      </c>
      <c r="C2192" t="s">
        <v>15</v>
      </c>
      <c r="D2192" t="s">
        <v>16</v>
      </c>
      <c r="E2192">
        <v>25.55</v>
      </c>
      <c r="F2192">
        <v>28</v>
      </c>
      <c r="G2192">
        <v>715.4</v>
      </c>
      <c r="H2192" t="s">
        <v>12</v>
      </c>
      <c r="I2192" t="str">
        <f t="shared" si="103"/>
        <v>Low Value</v>
      </c>
      <c r="J2192" t="str">
        <f t="shared" si="104"/>
        <v>Low Risk</v>
      </c>
      <c r="K2192" s="3" t="str">
        <f t="shared" si="102"/>
        <v>2-4 Years</v>
      </c>
    </row>
    <row r="2193" spans="1:11" x14ac:dyDescent="0.3">
      <c r="A2193" t="s">
        <v>2210</v>
      </c>
      <c r="B2193" t="s">
        <v>9</v>
      </c>
      <c r="C2193" t="s">
        <v>10</v>
      </c>
      <c r="D2193" t="s">
        <v>16</v>
      </c>
      <c r="E2193">
        <v>20.2</v>
      </c>
      <c r="F2193">
        <v>19</v>
      </c>
      <c r="G2193">
        <v>383.8</v>
      </c>
      <c r="H2193" t="s">
        <v>12</v>
      </c>
      <c r="I2193" t="str">
        <f t="shared" si="103"/>
        <v>Low Value</v>
      </c>
      <c r="J2193" t="str">
        <f t="shared" si="104"/>
        <v>Medium Risk</v>
      </c>
      <c r="K2193" s="3" t="str">
        <f t="shared" si="102"/>
        <v>1-2 Years</v>
      </c>
    </row>
    <row r="2194" spans="1:11" x14ac:dyDescent="0.3">
      <c r="A2194" t="s">
        <v>2211</v>
      </c>
      <c r="B2194" t="s">
        <v>14</v>
      </c>
      <c r="C2194" t="s">
        <v>10</v>
      </c>
      <c r="D2194" t="s">
        <v>11</v>
      </c>
      <c r="E2194">
        <v>63.85</v>
      </c>
      <c r="F2194">
        <v>66</v>
      </c>
      <c r="G2194">
        <v>4214.1000000000004</v>
      </c>
      <c r="H2194" t="s">
        <v>12</v>
      </c>
      <c r="I2194" t="str">
        <f t="shared" si="103"/>
        <v>Medium Value</v>
      </c>
      <c r="J2194" t="str">
        <f t="shared" si="104"/>
        <v>Low Risk</v>
      </c>
      <c r="K2194" s="3" t="str">
        <f t="shared" si="102"/>
        <v>4+ Years</v>
      </c>
    </row>
    <row r="2195" spans="1:11" x14ac:dyDescent="0.3">
      <c r="A2195" t="s">
        <v>2212</v>
      </c>
      <c r="B2195" t="s">
        <v>9</v>
      </c>
      <c r="C2195" t="s">
        <v>15</v>
      </c>
      <c r="D2195" t="s">
        <v>16</v>
      </c>
      <c r="E2195">
        <v>61.95</v>
      </c>
      <c r="F2195">
        <v>17</v>
      </c>
      <c r="G2195">
        <v>1053.1500000000001</v>
      </c>
      <c r="H2195" t="s">
        <v>12</v>
      </c>
      <c r="I2195" t="str">
        <f t="shared" si="103"/>
        <v>Low Value</v>
      </c>
      <c r="J2195" t="str">
        <f t="shared" si="104"/>
        <v>Medium Risk</v>
      </c>
      <c r="K2195" s="3" t="str">
        <f t="shared" si="102"/>
        <v>1-2 Years</v>
      </c>
    </row>
    <row r="2196" spans="1:11" x14ac:dyDescent="0.3">
      <c r="A2196" t="s">
        <v>2213</v>
      </c>
      <c r="B2196" t="s">
        <v>14</v>
      </c>
      <c r="C2196" t="s">
        <v>30</v>
      </c>
      <c r="D2196" t="s">
        <v>16</v>
      </c>
      <c r="E2196">
        <v>25.75</v>
      </c>
      <c r="F2196">
        <v>52</v>
      </c>
      <c r="G2196">
        <v>1339</v>
      </c>
      <c r="H2196" t="s">
        <v>12</v>
      </c>
      <c r="I2196" t="str">
        <f t="shared" si="103"/>
        <v>Low Value</v>
      </c>
      <c r="J2196" t="str">
        <f t="shared" si="104"/>
        <v>Low Risk</v>
      </c>
      <c r="K2196" s="3" t="str">
        <f t="shared" si="102"/>
        <v>4+ Years</v>
      </c>
    </row>
    <row r="2197" spans="1:11" x14ac:dyDescent="0.3">
      <c r="A2197" t="s">
        <v>2214</v>
      </c>
      <c r="B2197" t="s">
        <v>9</v>
      </c>
      <c r="C2197" t="s">
        <v>15</v>
      </c>
      <c r="D2197" t="s">
        <v>11</v>
      </c>
      <c r="E2197">
        <v>58.2</v>
      </c>
      <c r="F2197">
        <v>19</v>
      </c>
      <c r="G2197">
        <v>1105.8</v>
      </c>
      <c r="H2197" t="s">
        <v>12</v>
      </c>
      <c r="I2197" t="str">
        <f t="shared" si="103"/>
        <v>Low Value</v>
      </c>
      <c r="J2197" t="str">
        <f t="shared" si="104"/>
        <v>Medium Risk</v>
      </c>
      <c r="K2197" s="3" t="str">
        <f t="shared" si="102"/>
        <v>1-2 Years</v>
      </c>
    </row>
    <row r="2198" spans="1:11" x14ac:dyDescent="0.3">
      <c r="A2198" t="s">
        <v>2215</v>
      </c>
      <c r="B2198" t="s">
        <v>9</v>
      </c>
      <c r="C2198" t="s">
        <v>15</v>
      </c>
      <c r="D2198" t="s">
        <v>20</v>
      </c>
      <c r="E2198">
        <v>85.85</v>
      </c>
      <c r="F2198">
        <v>36</v>
      </c>
      <c r="G2198">
        <v>3090.6</v>
      </c>
      <c r="H2198" t="s">
        <v>12</v>
      </c>
      <c r="I2198" t="str">
        <f t="shared" si="103"/>
        <v>Medium Value</v>
      </c>
      <c r="J2198" t="str">
        <f t="shared" si="104"/>
        <v>Low Risk</v>
      </c>
      <c r="K2198" s="3" t="str">
        <f t="shared" si="102"/>
        <v>2-4 Years</v>
      </c>
    </row>
    <row r="2199" spans="1:11" x14ac:dyDescent="0.3">
      <c r="A2199" t="s">
        <v>2216</v>
      </c>
      <c r="B2199" t="s">
        <v>14</v>
      </c>
      <c r="C2199" t="s">
        <v>10</v>
      </c>
      <c r="D2199" t="s">
        <v>16</v>
      </c>
      <c r="E2199">
        <v>70.099999999999994</v>
      </c>
      <c r="F2199">
        <v>7</v>
      </c>
      <c r="G2199">
        <v>490.69999999999902</v>
      </c>
      <c r="H2199" t="s">
        <v>18</v>
      </c>
      <c r="I2199" t="str">
        <f t="shared" si="103"/>
        <v>Low Value</v>
      </c>
      <c r="J2199" t="str">
        <f t="shared" si="104"/>
        <v>High Risk</v>
      </c>
      <c r="K2199" s="3" t="str">
        <f t="shared" si="102"/>
        <v>0-1 Year</v>
      </c>
    </row>
    <row r="2200" spans="1:11" x14ac:dyDescent="0.3">
      <c r="A2200" t="s">
        <v>2217</v>
      </c>
      <c r="B2200" t="s">
        <v>14</v>
      </c>
      <c r="C2200" t="s">
        <v>15</v>
      </c>
      <c r="D2200" t="s">
        <v>24</v>
      </c>
      <c r="E2200">
        <v>104.9</v>
      </c>
      <c r="F2200">
        <v>72</v>
      </c>
      <c r="G2200">
        <v>7552.8</v>
      </c>
      <c r="H2200" t="s">
        <v>12</v>
      </c>
      <c r="I2200" t="str">
        <f t="shared" si="103"/>
        <v>High Value</v>
      </c>
      <c r="J2200" t="str">
        <f t="shared" si="104"/>
        <v>Low Risk</v>
      </c>
      <c r="K2200" s="3" t="str">
        <f t="shared" si="102"/>
        <v>4+ Years</v>
      </c>
    </row>
    <row r="2201" spans="1:11" x14ac:dyDescent="0.3">
      <c r="A2201" t="s">
        <v>2218</v>
      </c>
      <c r="B2201" t="s">
        <v>14</v>
      </c>
      <c r="C2201" t="s">
        <v>15</v>
      </c>
      <c r="D2201" t="s">
        <v>11</v>
      </c>
      <c r="E2201">
        <v>111.3</v>
      </c>
      <c r="F2201">
        <v>67</v>
      </c>
      <c r="G2201">
        <v>7457.0999999999904</v>
      </c>
      <c r="H2201" t="s">
        <v>18</v>
      </c>
      <c r="I2201" t="str">
        <f t="shared" si="103"/>
        <v>High Value</v>
      </c>
      <c r="J2201" t="str">
        <f t="shared" si="104"/>
        <v>Low Risk</v>
      </c>
      <c r="K2201" s="3" t="str">
        <f t="shared" si="102"/>
        <v>4+ Years</v>
      </c>
    </row>
    <row r="2202" spans="1:11" x14ac:dyDescent="0.3">
      <c r="A2202" t="s">
        <v>2219</v>
      </c>
      <c r="B2202" t="s">
        <v>14</v>
      </c>
      <c r="C2202" t="s">
        <v>15</v>
      </c>
      <c r="D2202" t="s">
        <v>11</v>
      </c>
      <c r="E2202">
        <v>99.85</v>
      </c>
      <c r="F2202">
        <v>34</v>
      </c>
      <c r="G2202">
        <v>3394.8999999999901</v>
      </c>
      <c r="H2202" t="s">
        <v>12</v>
      </c>
      <c r="I2202" t="str">
        <f t="shared" si="103"/>
        <v>Medium Value</v>
      </c>
      <c r="J2202" t="str">
        <f t="shared" si="104"/>
        <v>Low Risk</v>
      </c>
      <c r="K2202" s="3" t="str">
        <f t="shared" si="102"/>
        <v>2-4 Years</v>
      </c>
    </row>
    <row r="2203" spans="1:11" x14ac:dyDescent="0.3">
      <c r="A2203" t="s">
        <v>2220</v>
      </c>
      <c r="B2203" t="s">
        <v>14</v>
      </c>
      <c r="C2203" t="s">
        <v>10</v>
      </c>
      <c r="D2203" t="s">
        <v>20</v>
      </c>
      <c r="E2203">
        <v>95.25</v>
      </c>
      <c r="F2203">
        <v>57</v>
      </c>
      <c r="G2203">
        <v>5429.25</v>
      </c>
      <c r="H2203" t="s">
        <v>18</v>
      </c>
      <c r="I2203" t="str">
        <f t="shared" si="103"/>
        <v>High Value</v>
      </c>
      <c r="J2203" t="str">
        <f t="shared" si="104"/>
        <v>Low Risk</v>
      </c>
      <c r="K2203" s="3" t="str">
        <f t="shared" si="102"/>
        <v>4+ Years</v>
      </c>
    </row>
    <row r="2204" spans="1:11" x14ac:dyDescent="0.3">
      <c r="A2204" t="s">
        <v>2221</v>
      </c>
      <c r="B2204" t="s">
        <v>9</v>
      </c>
      <c r="C2204" t="s">
        <v>10</v>
      </c>
      <c r="D2204" t="s">
        <v>11</v>
      </c>
      <c r="E2204">
        <v>86.25</v>
      </c>
      <c r="F2204">
        <v>7</v>
      </c>
      <c r="G2204">
        <v>603.75</v>
      </c>
      <c r="H2204" t="s">
        <v>18</v>
      </c>
      <c r="I2204" t="str">
        <f t="shared" si="103"/>
        <v>Low Value</v>
      </c>
      <c r="J2204" t="str">
        <f t="shared" si="104"/>
        <v>High Risk</v>
      </c>
      <c r="K2204" s="3" t="str">
        <f t="shared" si="102"/>
        <v>0-1 Year</v>
      </c>
    </row>
    <row r="2205" spans="1:11" x14ac:dyDescent="0.3">
      <c r="A2205" t="s">
        <v>2222</v>
      </c>
      <c r="B2205" t="s">
        <v>9</v>
      </c>
      <c r="C2205" t="s">
        <v>10</v>
      </c>
      <c r="D2205" t="s">
        <v>11</v>
      </c>
      <c r="E2205">
        <v>100.8</v>
      </c>
      <c r="F2205">
        <v>1</v>
      </c>
      <c r="G2205">
        <v>100.8</v>
      </c>
      <c r="H2205" t="s">
        <v>18</v>
      </c>
      <c r="I2205" t="str">
        <f t="shared" si="103"/>
        <v>Low Value</v>
      </c>
      <c r="J2205" t="str">
        <f t="shared" si="104"/>
        <v>High Risk</v>
      </c>
      <c r="K2205" s="3" t="str">
        <f t="shared" si="102"/>
        <v>0-1 Year</v>
      </c>
    </row>
    <row r="2206" spans="1:11" x14ac:dyDescent="0.3">
      <c r="A2206" t="s">
        <v>2223</v>
      </c>
      <c r="B2206" t="s">
        <v>14</v>
      </c>
      <c r="C2206" t="s">
        <v>10</v>
      </c>
      <c r="D2206" t="s">
        <v>20</v>
      </c>
      <c r="E2206">
        <v>19.55</v>
      </c>
      <c r="F2206">
        <v>8</v>
      </c>
      <c r="G2206">
        <v>156.4</v>
      </c>
      <c r="H2206" t="s">
        <v>12</v>
      </c>
      <c r="I2206" t="str">
        <f t="shared" si="103"/>
        <v>Low Value</v>
      </c>
      <c r="J2206" t="str">
        <f t="shared" si="104"/>
        <v>High Risk</v>
      </c>
      <c r="K2206" s="3" t="str">
        <f t="shared" si="102"/>
        <v>0-1 Year</v>
      </c>
    </row>
    <row r="2207" spans="1:11" x14ac:dyDescent="0.3">
      <c r="A2207" t="s">
        <v>2224</v>
      </c>
      <c r="B2207" t="s">
        <v>9</v>
      </c>
      <c r="C2207" t="s">
        <v>30</v>
      </c>
      <c r="D2207" t="s">
        <v>11</v>
      </c>
      <c r="E2207">
        <v>104</v>
      </c>
      <c r="F2207">
        <v>69</v>
      </c>
      <c r="G2207">
        <v>7176</v>
      </c>
      <c r="H2207" t="s">
        <v>12</v>
      </c>
      <c r="I2207" t="str">
        <f t="shared" si="103"/>
        <v>High Value</v>
      </c>
      <c r="J2207" t="str">
        <f t="shared" si="104"/>
        <v>Low Risk</v>
      </c>
      <c r="K2207" s="3" t="str">
        <f t="shared" si="102"/>
        <v>4+ Years</v>
      </c>
    </row>
    <row r="2208" spans="1:11" x14ac:dyDescent="0.3">
      <c r="A2208" t="s">
        <v>2225</v>
      </c>
      <c r="B2208" t="s">
        <v>9</v>
      </c>
      <c r="C2208" t="s">
        <v>15</v>
      </c>
      <c r="D2208" t="s">
        <v>16</v>
      </c>
      <c r="E2208">
        <v>104.4</v>
      </c>
      <c r="F2208">
        <v>50</v>
      </c>
      <c r="G2208">
        <v>5220</v>
      </c>
      <c r="H2208" t="s">
        <v>12</v>
      </c>
      <c r="I2208" t="str">
        <f t="shared" si="103"/>
        <v>High Value</v>
      </c>
      <c r="J2208" t="str">
        <f t="shared" si="104"/>
        <v>Low Risk</v>
      </c>
      <c r="K2208" s="3" t="str">
        <f t="shared" si="102"/>
        <v>4+ Years</v>
      </c>
    </row>
    <row r="2209" spans="1:11" x14ac:dyDescent="0.3">
      <c r="A2209" t="s">
        <v>2226</v>
      </c>
      <c r="B2209" t="s">
        <v>14</v>
      </c>
      <c r="C2209" t="s">
        <v>15</v>
      </c>
      <c r="D2209" t="s">
        <v>16</v>
      </c>
      <c r="E2209">
        <v>19.5</v>
      </c>
      <c r="F2209">
        <v>10</v>
      </c>
      <c r="G2209">
        <v>195</v>
      </c>
      <c r="H2209" t="s">
        <v>12</v>
      </c>
      <c r="I2209" t="str">
        <f t="shared" si="103"/>
        <v>Low Value</v>
      </c>
      <c r="J2209" t="str">
        <f t="shared" si="104"/>
        <v>High Risk</v>
      </c>
      <c r="K2209" s="3" t="str">
        <f t="shared" si="102"/>
        <v>0-1 Year</v>
      </c>
    </row>
    <row r="2210" spans="1:11" x14ac:dyDescent="0.3">
      <c r="A2210" t="s">
        <v>2227</v>
      </c>
      <c r="B2210" t="s">
        <v>9</v>
      </c>
      <c r="C2210" t="s">
        <v>30</v>
      </c>
      <c r="D2210" t="s">
        <v>24</v>
      </c>
      <c r="E2210">
        <v>25.25</v>
      </c>
      <c r="F2210">
        <v>12</v>
      </c>
      <c r="G2210">
        <v>303</v>
      </c>
      <c r="H2210" t="s">
        <v>12</v>
      </c>
      <c r="I2210" t="str">
        <f t="shared" si="103"/>
        <v>Low Value</v>
      </c>
      <c r="J2210" t="str">
        <f t="shared" si="104"/>
        <v>Medium Risk</v>
      </c>
      <c r="K2210" s="3" t="str">
        <f t="shared" si="102"/>
        <v>0-1 Year</v>
      </c>
    </row>
    <row r="2211" spans="1:11" x14ac:dyDescent="0.3">
      <c r="A2211" t="s">
        <v>2228</v>
      </c>
      <c r="B2211" t="s">
        <v>9</v>
      </c>
      <c r="C2211" t="s">
        <v>10</v>
      </c>
      <c r="D2211" t="s">
        <v>11</v>
      </c>
      <c r="E2211">
        <v>86.3</v>
      </c>
      <c r="F2211">
        <v>14</v>
      </c>
      <c r="G2211">
        <v>1208.2</v>
      </c>
      <c r="H2211" t="s">
        <v>18</v>
      </c>
      <c r="I2211" t="str">
        <f t="shared" si="103"/>
        <v>Low Value</v>
      </c>
      <c r="J2211" t="str">
        <f t="shared" si="104"/>
        <v>Medium Risk</v>
      </c>
      <c r="K2211" s="3" t="str">
        <f t="shared" si="102"/>
        <v>1-2 Years</v>
      </c>
    </row>
    <row r="2212" spans="1:11" x14ac:dyDescent="0.3">
      <c r="A2212" t="s">
        <v>2229</v>
      </c>
      <c r="B2212" t="s">
        <v>9</v>
      </c>
      <c r="C2212" t="s">
        <v>30</v>
      </c>
      <c r="D2212" t="s">
        <v>20</v>
      </c>
      <c r="E2212">
        <v>49.85</v>
      </c>
      <c r="F2212">
        <v>70</v>
      </c>
      <c r="G2212">
        <v>3489.5</v>
      </c>
      <c r="H2212" t="s">
        <v>12</v>
      </c>
      <c r="I2212" t="str">
        <f t="shared" si="103"/>
        <v>Medium Value</v>
      </c>
      <c r="J2212" t="str">
        <f t="shared" si="104"/>
        <v>Low Risk</v>
      </c>
      <c r="K2212" s="3" t="str">
        <f t="shared" si="102"/>
        <v>4+ Years</v>
      </c>
    </row>
    <row r="2213" spans="1:11" x14ac:dyDescent="0.3">
      <c r="A2213" t="s">
        <v>2230</v>
      </c>
      <c r="B2213" t="s">
        <v>9</v>
      </c>
      <c r="C2213" t="s">
        <v>10</v>
      </c>
      <c r="D2213" t="s">
        <v>20</v>
      </c>
      <c r="E2213">
        <v>108.95</v>
      </c>
      <c r="F2213">
        <v>64</v>
      </c>
      <c r="G2213">
        <v>6972.8</v>
      </c>
      <c r="H2213" t="s">
        <v>12</v>
      </c>
      <c r="I2213" t="str">
        <f t="shared" si="103"/>
        <v>High Value</v>
      </c>
      <c r="J2213" t="str">
        <f t="shared" si="104"/>
        <v>Low Risk</v>
      </c>
      <c r="K2213" s="3" t="str">
        <f t="shared" si="102"/>
        <v>4+ Years</v>
      </c>
    </row>
    <row r="2214" spans="1:11" x14ac:dyDescent="0.3">
      <c r="A2214" t="s">
        <v>2231</v>
      </c>
      <c r="B2214" t="s">
        <v>9</v>
      </c>
      <c r="C2214" t="s">
        <v>30</v>
      </c>
      <c r="D2214" t="s">
        <v>24</v>
      </c>
      <c r="E2214">
        <v>89.9</v>
      </c>
      <c r="F2214">
        <v>66</v>
      </c>
      <c r="G2214">
        <v>5933.4</v>
      </c>
      <c r="H2214" t="s">
        <v>12</v>
      </c>
      <c r="I2214" t="str">
        <f t="shared" si="103"/>
        <v>High Value</v>
      </c>
      <c r="J2214" t="str">
        <f t="shared" si="104"/>
        <v>Low Risk</v>
      </c>
      <c r="K2214" s="3" t="str">
        <f t="shared" si="102"/>
        <v>4+ Years</v>
      </c>
    </row>
    <row r="2215" spans="1:11" x14ac:dyDescent="0.3">
      <c r="A2215" t="s">
        <v>2232</v>
      </c>
      <c r="B2215" t="s">
        <v>9</v>
      </c>
      <c r="C2215" t="s">
        <v>30</v>
      </c>
      <c r="D2215" t="s">
        <v>24</v>
      </c>
      <c r="E2215">
        <v>82</v>
      </c>
      <c r="F2215">
        <v>71</v>
      </c>
      <c r="G2215">
        <v>5822</v>
      </c>
      <c r="H2215" t="s">
        <v>12</v>
      </c>
      <c r="I2215" t="str">
        <f t="shared" si="103"/>
        <v>High Value</v>
      </c>
      <c r="J2215" t="str">
        <f t="shared" si="104"/>
        <v>Low Risk</v>
      </c>
      <c r="K2215" s="3" t="str">
        <f t="shared" si="102"/>
        <v>4+ Years</v>
      </c>
    </row>
    <row r="2216" spans="1:11" x14ac:dyDescent="0.3">
      <c r="A2216" t="s">
        <v>2233</v>
      </c>
      <c r="B2216" t="s">
        <v>14</v>
      </c>
      <c r="C2216" t="s">
        <v>10</v>
      </c>
      <c r="D2216" t="s">
        <v>11</v>
      </c>
      <c r="E2216">
        <v>89.95</v>
      </c>
      <c r="F2216">
        <v>20</v>
      </c>
      <c r="G2216">
        <v>1799</v>
      </c>
      <c r="H2216" t="s">
        <v>12</v>
      </c>
      <c r="I2216" t="str">
        <f t="shared" si="103"/>
        <v>Low Value</v>
      </c>
      <c r="J2216" t="str">
        <f t="shared" si="104"/>
        <v>Medium Risk</v>
      </c>
      <c r="K2216" s="3" t="str">
        <f t="shared" si="102"/>
        <v>1-2 Years</v>
      </c>
    </row>
    <row r="2217" spans="1:11" x14ac:dyDescent="0.3">
      <c r="A2217" t="s">
        <v>2234</v>
      </c>
      <c r="B2217" t="s">
        <v>14</v>
      </c>
      <c r="C2217" t="s">
        <v>30</v>
      </c>
      <c r="D2217" t="s">
        <v>20</v>
      </c>
      <c r="E2217">
        <v>79.349999999999994</v>
      </c>
      <c r="F2217">
        <v>72</v>
      </c>
      <c r="G2217">
        <v>5713.2</v>
      </c>
      <c r="H2217" t="s">
        <v>12</v>
      </c>
      <c r="I2217" t="str">
        <f t="shared" si="103"/>
        <v>High Value</v>
      </c>
      <c r="J2217" t="str">
        <f t="shared" si="104"/>
        <v>Low Risk</v>
      </c>
      <c r="K2217" s="3" t="str">
        <f t="shared" si="102"/>
        <v>4+ Years</v>
      </c>
    </row>
    <row r="2218" spans="1:11" x14ac:dyDescent="0.3">
      <c r="A2218" t="s">
        <v>2235</v>
      </c>
      <c r="B2218" t="s">
        <v>9</v>
      </c>
      <c r="C2218" t="s">
        <v>30</v>
      </c>
      <c r="D2218" t="s">
        <v>24</v>
      </c>
      <c r="E2218">
        <v>64.05</v>
      </c>
      <c r="F2218">
        <v>71</v>
      </c>
      <c r="G2218">
        <v>4547.55</v>
      </c>
      <c r="H2218" t="s">
        <v>12</v>
      </c>
      <c r="I2218" t="str">
        <f t="shared" si="103"/>
        <v>Medium Value</v>
      </c>
      <c r="J2218" t="str">
        <f t="shared" si="104"/>
        <v>Low Risk</v>
      </c>
      <c r="K2218" s="3" t="str">
        <f t="shared" si="102"/>
        <v>4+ Years</v>
      </c>
    </row>
    <row r="2219" spans="1:11" x14ac:dyDescent="0.3">
      <c r="A2219" t="s">
        <v>2236</v>
      </c>
      <c r="B2219" t="s">
        <v>14</v>
      </c>
      <c r="C2219" t="s">
        <v>10</v>
      </c>
      <c r="D2219" t="s">
        <v>24</v>
      </c>
      <c r="E2219">
        <v>101.15</v>
      </c>
      <c r="F2219">
        <v>38</v>
      </c>
      <c r="G2219">
        <v>3843.7</v>
      </c>
      <c r="H2219" t="s">
        <v>12</v>
      </c>
      <c r="I2219" t="str">
        <f t="shared" si="103"/>
        <v>Medium Value</v>
      </c>
      <c r="J2219" t="str">
        <f t="shared" si="104"/>
        <v>Low Risk</v>
      </c>
      <c r="K2219" s="3" t="str">
        <f t="shared" si="102"/>
        <v>2-4 Years</v>
      </c>
    </row>
    <row r="2220" spans="1:11" x14ac:dyDescent="0.3">
      <c r="A2220" t="s">
        <v>2237</v>
      </c>
      <c r="B2220" t="s">
        <v>9</v>
      </c>
      <c r="C2220" t="s">
        <v>10</v>
      </c>
      <c r="D2220" t="s">
        <v>11</v>
      </c>
      <c r="E2220">
        <v>89.95</v>
      </c>
      <c r="F2220">
        <v>28</v>
      </c>
      <c r="G2220">
        <v>2518.6</v>
      </c>
      <c r="H2220" t="s">
        <v>18</v>
      </c>
      <c r="I2220" t="str">
        <f t="shared" si="103"/>
        <v>Medium Value</v>
      </c>
      <c r="J2220" t="str">
        <f t="shared" si="104"/>
        <v>Low Risk</v>
      </c>
      <c r="K2220" s="3" t="str">
        <f t="shared" si="102"/>
        <v>2-4 Years</v>
      </c>
    </row>
    <row r="2221" spans="1:11" x14ac:dyDescent="0.3">
      <c r="A2221" t="s">
        <v>2238</v>
      </c>
      <c r="B2221" t="s">
        <v>14</v>
      </c>
      <c r="C2221" t="s">
        <v>10</v>
      </c>
      <c r="D2221" t="s">
        <v>11</v>
      </c>
      <c r="E2221">
        <v>76.45</v>
      </c>
      <c r="F2221">
        <v>17</v>
      </c>
      <c r="G2221">
        <v>1299.6500000000001</v>
      </c>
      <c r="H2221" t="s">
        <v>18</v>
      </c>
      <c r="I2221" t="str">
        <f t="shared" si="103"/>
        <v>Low Value</v>
      </c>
      <c r="J2221" t="str">
        <f t="shared" si="104"/>
        <v>Medium Risk</v>
      </c>
      <c r="K2221" s="3" t="str">
        <f t="shared" si="102"/>
        <v>1-2 Years</v>
      </c>
    </row>
    <row r="2222" spans="1:11" x14ac:dyDescent="0.3">
      <c r="A2222" t="s">
        <v>2239</v>
      </c>
      <c r="B2222" t="s">
        <v>14</v>
      </c>
      <c r="C2222" t="s">
        <v>15</v>
      </c>
      <c r="D2222" t="s">
        <v>11</v>
      </c>
      <c r="E2222">
        <v>39.1</v>
      </c>
      <c r="F2222">
        <v>33</v>
      </c>
      <c r="G2222">
        <v>1290.3</v>
      </c>
      <c r="H2222" t="s">
        <v>12</v>
      </c>
      <c r="I2222" t="str">
        <f t="shared" si="103"/>
        <v>Low Value</v>
      </c>
      <c r="J2222" t="str">
        <f t="shared" si="104"/>
        <v>Low Risk</v>
      </c>
      <c r="K2222" s="3" t="str">
        <f t="shared" si="102"/>
        <v>2-4 Years</v>
      </c>
    </row>
    <row r="2223" spans="1:11" x14ac:dyDescent="0.3">
      <c r="A2223" t="s">
        <v>2240</v>
      </c>
      <c r="B2223" t="s">
        <v>9</v>
      </c>
      <c r="C2223" t="s">
        <v>30</v>
      </c>
      <c r="D2223" t="s">
        <v>16</v>
      </c>
      <c r="E2223">
        <v>34.6</v>
      </c>
      <c r="F2223">
        <v>23</v>
      </c>
      <c r="G2223">
        <v>795.8</v>
      </c>
      <c r="H2223" t="s">
        <v>12</v>
      </c>
      <c r="I2223" t="str">
        <f t="shared" si="103"/>
        <v>Low Value</v>
      </c>
      <c r="J2223" t="str">
        <f t="shared" si="104"/>
        <v>Medium Risk</v>
      </c>
      <c r="K2223" s="3" t="str">
        <f t="shared" si="102"/>
        <v>1-2 Years</v>
      </c>
    </row>
    <row r="2224" spans="1:11" x14ac:dyDescent="0.3">
      <c r="A2224" t="s">
        <v>2241</v>
      </c>
      <c r="B2224" t="s">
        <v>14</v>
      </c>
      <c r="C2224" t="s">
        <v>15</v>
      </c>
      <c r="D2224" t="s">
        <v>11</v>
      </c>
      <c r="E2224">
        <v>19.55</v>
      </c>
      <c r="F2224">
        <v>58</v>
      </c>
      <c r="G2224">
        <v>1133.9000000000001</v>
      </c>
      <c r="H2224" t="s">
        <v>12</v>
      </c>
      <c r="I2224" t="str">
        <f t="shared" si="103"/>
        <v>Low Value</v>
      </c>
      <c r="J2224" t="str">
        <f t="shared" si="104"/>
        <v>Low Risk</v>
      </c>
      <c r="K2224" s="3" t="str">
        <f t="shared" si="102"/>
        <v>4+ Years</v>
      </c>
    </row>
    <row r="2225" spans="1:11" x14ac:dyDescent="0.3">
      <c r="A2225" t="s">
        <v>2242</v>
      </c>
      <c r="B2225" t="s">
        <v>9</v>
      </c>
      <c r="C2225" t="s">
        <v>30</v>
      </c>
      <c r="D2225" t="s">
        <v>20</v>
      </c>
      <c r="E2225">
        <v>104.45</v>
      </c>
      <c r="F2225">
        <v>70</v>
      </c>
      <c r="G2225">
        <v>7311.5</v>
      </c>
      <c r="H2225" t="s">
        <v>12</v>
      </c>
      <c r="I2225" t="str">
        <f t="shared" si="103"/>
        <v>High Value</v>
      </c>
      <c r="J2225" t="str">
        <f t="shared" si="104"/>
        <v>Low Risk</v>
      </c>
      <c r="K2225" s="3" t="str">
        <f t="shared" si="102"/>
        <v>4+ Years</v>
      </c>
    </row>
    <row r="2226" spans="1:11" x14ac:dyDescent="0.3">
      <c r="A2226" t="s">
        <v>2243</v>
      </c>
      <c r="B2226" t="s">
        <v>14</v>
      </c>
      <c r="C2226" t="s">
        <v>10</v>
      </c>
      <c r="D2226" t="s">
        <v>11</v>
      </c>
      <c r="E2226">
        <v>70.5</v>
      </c>
      <c r="F2226">
        <v>4</v>
      </c>
      <c r="G2226">
        <v>282</v>
      </c>
      <c r="H2226" t="s">
        <v>12</v>
      </c>
      <c r="I2226" t="str">
        <f t="shared" si="103"/>
        <v>Low Value</v>
      </c>
      <c r="J2226" t="str">
        <f t="shared" si="104"/>
        <v>High Risk</v>
      </c>
      <c r="K2226" s="3" t="str">
        <f t="shared" si="102"/>
        <v>0-1 Year</v>
      </c>
    </row>
    <row r="2227" spans="1:11" x14ac:dyDescent="0.3">
      <c r="A2227" t="s">
        <v>2244</v>
      </c>
      <c r="B2227" t="s">
        <v>14</v>
      </c>
      <c r="C2227" t="s">
        <v>30</v>
      </c>
      <c r="D2227" t="s">
        <v>16</v>
      </c>
      <c r="E2227">
        <v>20.350000000000001</v>
      </c>
      <c r="F2227">
        <v>45</v>
      </c>
      <c r="G2227">
        <v>915.75</v>
      </c>
      <c r="H2227" t="s">
        <v>12</v>
      </c>
      <c r="I2227" t="str">
        <f t="shared" si="103"/>
        <v>Low Value</v>
      </c>
      <c r="J2227" t="str">
        <f t="shared" si="104"/>
        <v>Low Risk</v>
      </c>
      <c r="K2227" s="3" t="str">
        <f t="shared" si="102"/>
        <v>2-4 Years</v>
      </c>
    </row>
    <row r="2228" spans="1:11" x14ac:dyDescent="0.3">
      <c r="A2228" t="s">
        <v>2245</v>
      </c>
      <c r="B2228" t="s">
        <v>14</v>
      </c>
      <c r="C2228" t="s">
        <v>10</v>
      </c>
      <c r="D2228" t="s">
        <v>11</v>
      </c>
      <c r="E2228">
        <v>70</v>
      </c>
      <c r="F2228">
        <v>10</v>
      </c>
      <c r="G2228">
        <v>700</v>
      </c>
      <c r="H2228" t="s">
        <v>18</v>
      </c>
      <c r="I2228" t="str">
        <f t="shared" si="103"/>
        <v>Low Value</v>
      </c>
      <c r="J2228" t="str">
        <f t="shared" si="104"/>
        <v>High Risk</v>
      </c>
      <c r="K2228" s="3" t="str">
        <f t="shared" si="102"/>
        <v>0-1 Year</v>
      </c>
    </row>
    <row r="2229" spans="1:11" x14ac:dyDescent="0.3">
      <c r="A2229" t="s">
        <v>2246</v>
      </c>
      <c r="B2229" t="s">
        <v>14</v>
      </c>
      <c r="C2229" t="s">
        <v>30</v>
      </c>
      <c r="D2229" t="s">
        <v>24</v>
      </c>
      <c r="E2229">
        <v>19.45</v>
      </c>
      <c r="F2229">
        <v>36</v>
      </c>
      <c r="G2229">
        <v>700.19999999999902</v>
      </c>
      <c r="H2229" t="s">
        <v>12</v>
      </c>
      <c r="I2229" t="str">
        <f t="shared" si="103"/>
        <v>Low Value</v>
      </c>
      <c r="J2229" t="str">
        <f t="shared" si="104"/>
        <v>Low Risk</v>
      </c>
      <c r="K2229" s="3" t="str">
        <f t="shared" si="102"/>
        <v>2-4 Years</v>
      </c>
    </row>
    <row r="2230" spans="1:11" x14ac:dyDescent="0.3">
      <c r="A2230" t="s">
        <v>2247</v>
      </c>
      <c r="B2230" t="s">
        <v>14</v>
      </c>
      <c r="C2230" t="s">
        <v>10</v>
      </c>
      <c r="D2230" t="s">
        <v>16</v>
      </c>
      <c r="E2230">
        <v>69.900000000000006</v>
      </c>
      <c r="F2230">
        <v>54</v>
      </c>
      <c r="G2230">
        <v>3774.6</v>
      </c>
      <c r="H2230" t="s">
        <v>12</v>
      </c>
      <c r="I2230" t="str">
        <f t="shared" si="103"/>
        <v>Medium Value</v>
      </c>
      <c r="J2230" t="str">
        <f t="shared" si="104"/>
        <v>Low Risk</v>
      </c>
      <c r="K2230" s="3" t="str">
        <f t="shared" si="102"/>
        <v>4+ Years</v>
      </c>
    </row>
    <row r="2231" spans="1:11" x14ac:dyDescent="0.3">
      <c r="A2231" t="s">
        <v>2248</v>
      </c>
      <c r="B2231" t="s">
        <v>14</v>
      </c>
      <c r="C2231" t="s">
        <v>30</v>
      </c>
      <c r="D2231" t="s">
        <v>16</v>
      </c>
      <c r="E2231">
        <v>59.7</v>
      </c>
      <c r="F2231">
        <v>23</v>
      </c>
      <c r="G2231">
        <v>1373.1</v>
      </c>
      <c r="H2231" t="s">
        <v>12</v>
      </c>
      <c r="I2231" t="str">
        <f t="shared" si="103"/>
        <v>Low Value</v>
      </c>
      <c r="J2231" t="str">
        <f t="shared" si="104"/>
        <v>Medium Risk</v>
      </c>
      <c r="K2231" s="3" t="str">
        <f t="shared" si="102"/>
        <v>1-2 Years</v>
      </c>
    </row>
    <row r="2232" spans="1:11" x14ac:dyDescent="0.3">
      <c r="A2232" t="s">
        <v>2249</v>
      </c>
      <c r="B2232" t="s">
        <v>9</v>
      </c>
      <c r="C2232" t="s">
        <v>15</v>
      </c>
      <c r="D2232" t="s">
        <v>24</v>
      </c>
      <c r="E2232">
        <v>78.349999999999994</v>
      </c>
      <c r="F2232">
        <v>41</v>
      </c>
      <c r="G2232">
        <v>3212.35</v>
      </c>
      <c r="H2232" t="s">
        <v>12</v>
      </c>
      <c r="I2232" t="str">
        <f t="shared" si="103"/>
        <v>Medium Value</v>
      </c>
      <c r="J2232" t="str">
        <f t="shared" si="104"/>
        <v>Low Risk</v>
      </c>
      <c r="K2232" s="3" t="str">
        <f t="shared" si="102"/>
        <v>2-4 Years</v>
      </c>
    </row>
    <row r="2233" spans="1:11" x14ac:dyDescent="0.3">
      <c r="A2233" t="s">
        <v>2250</v>
      </c>
      <c r="B2233" t="s">
        <v>14</v>
      </c>
      <c r="C2233" t="s">
        <v>10</v>
      </c>
      <c r="D2233" t="s">
        <v>16</v>
      </c>
      <c r="E2233">
        <v>71.45</v>
      </c>
      <c r="F2233">
        <v>5</v>
      </c>
      <c r="G2233">
        <v>357.25</v>
      </c>
      <c r="H2233" t="s">
        <v>12</v>
      </c>
      <c r="I2233" t="str">
        <f t="shared" si="103"/>
        <v>Low Value</v>
      </c>
      <c r="J2233" t="str">
        <f t="shared" si="104"/>
        <v>High Risk</v>
      </c>
      <c r="K2233" s="3" t="str">
        <f t="shared" si="102"/>
        <v>0-1 Year</v>
      </c>
    </row>
    <row r="2234" spans="1:11" x14ac:dyDescent="0.3">
      <c r="A2234" t="s">
        <v>2251</v>
      </c>
      <c r="B2234" t="s">
        <v>14</v>
      </c>
      <c r="C2234" t="s">
        <v>15</v>
      </c>
      <c r="D2234" t="s">
        <v>24</v>
      </c>
      <c r="E2234">
        <v>45.85</v>
      </c>
      <c r="F2234">
        <v>27</v>
      </c>
      <c r="G2234">
        <v>1237.95</v>
      </c>
      <c r="H2234" t="s">
        <v>12</v>
      </c>
      <c r="I2234" t="str">
        <f t="shared" si="103"/>
        <v>Low Value</v>
      </c>
      <c r="J2234" t="str">
        <f t="shared" si="104"/>
        <v>Low Risk</v>
      </c>
      <c r="K2234" s="3" t="str">
        <f t="shared" si="102"/>
        <v>2-4 Years</v>
      </c>
    </row>
    <row r="2235" spans="1:11" x14ac:dyDescent="0.3">
      <c r="A2235" t="s">
        <v>2252</v>
      </c>
      <c r="B2235" t="s">
        <v>9</v>
      </c>
      <c r="C2235" t="s">
        <v>10</v>
      </c>
      <c r="D2235" t="s">
        <v>11</v>
      </c>
      <c r="E2235">
        <v>95.85</v>
      </c>
      <c r="F2235">
        <v>1</v>
      </c>
      <c r="G2235">
        <v>95.85</v>
      </c>
      <c r="H2235" t="s">
        <v>12</v>
      </c>
      <c r="I2235" t="str">
        <f t="shared" si="103"/>
        <v>Low Value</v>
      </c>
      <c r="J2235" t="str">
        <f t="shared" si="104"/>
        <v>High Risk</v>
      </c>
      <c r="K2235" s="3" t="str">
        <f t="shared" si="102"/>
        <v>0-1 Year</v>
      </c>
    </row>
    <row r="2236" spans="1:11" x14ac:dyDescent="0.3">
      <c r="A2236" t="s">
        <v>2253</v>
      </c>
      <c r="B2236" t="s">
        <v>9</v>
      </c>
      <c r="C2236" t="s">
        <v>30</v>
      </c>
      <c r="D2236" t="s">
        <v>24</v>
      </c>
      <c r="E2236">
        <v>35.700000000000003</v>
      </c>
      <c r="F2236">
        <v>67</v>
      </c>
      <c r="G2236">
        <v>2391.9</v>
      </c>
      <c r="H2236" t="s">
        <v>12</v>
      </c>
      <c r="I2236" t="str">
        <f t="shared" si="103"/>
        <v>Medium Value</v>
      </c>
      <c r="J2236" t="str">
        <f t="shared" si="104"/>
        <v>Low Risk</v>
      </c>
      <c r="K2236" s="3" t="str">
        <f t="shared" si="102"/>
        <v>4+ Years</v>
      </c>
    </row>
    <row r="2237" spans="1:11" x14ac:dyDescent="0.3">
      <c r="A2237" t="s">
        <v>2254</v>
      </c>
      <c r="B2237" t="s">
        <v>9</v>
      </c>
      <c r="C2237" t="s">
        <v>30</v>
      </c>
      <c r="D2237" t="s">
        <v>24</v>
      </c>
      <c r="E2237">
        <v>89.55</v>
      </c>
      <c r="F2237">
        <v>72</v>
      </c>
      <c r="G2237">
        <v>6447.5999999999904</v>
      </c>
      <c r="H2237" t="s">
        <v>12</v>
      </c>
      <c r="I2237" t="str">
        <f t="shared" si="103"/>
        <v>High Value</v>
      </c>
      <c r="J2237" t="str">
        <f t="shared" si="104"/>
        <v>Low Risk</v>
      </c>
      <c r="K2237" s="3" t="str">
        <f t="shared" si="102"/>
        <v>4+ Years</v>
      </c>
    </row>
    <row r="2238" spans="1:11" x14ac:dyDescent="0.3">
      <c r="A2238" t="s">
        <v>2255</v>
      </c>
      <c r="B2238" t="s">
        <v>9</v>
      </c>
      <c r="C2238" t="s">
        <v>30</v>
      </c>
      <c r="D2238" t="s">
        <v>24</v>
      </c>
      <c r="E2238">
        <v>24.95</v>
      </c>
      <c r="F2238">
        <v>56</v>
      </c>
      <c r="G2238">
        <v>1397.2</v>
      </c>
      <c r="H2238" t="s">
        <v>12</v>
      </c>
      <c r="I2238" t="str">
        <f t="shared" si="103"/>
        <v>Low Value</v>
      </c>
      <c r="J2238" t="str">
        <f t="shared" si="104"/>
        <v>Low Risk</v>
      </c>
      <c r="K2238" s="3" t="str">
        <f t="shared" si="102"/>
        <v>4+ Years</v>
      </c>
    </row>
    <row r="2239" spans="1:11" x14ac:dyDescent="0.3">
      <c r="A2239" t="s">
        <v>2256</v>
      </c>
      <c r="B2239" t="s">
        <v>14</v>
      </c>
      <c r="C2239" t="s">
        <v>15</v>
      </c>
      <c r="D2239" t="s">
        <v>11</v>
      </c>
      <c r="E2239">
        <v>24.85</v>
      </c>
      <c r="F2239">
        <v>44</v>
      </c>
      <c r="G2239">
        <v>1093.4000000000001</v>
      </c>
      <c r="H2239" t="s">
        <v>12</v>
      </c>
      <c r="I2239" t="str">
        <f t="shared" si="103"/>
        <v>Low Value</v>
      </c>
      <c r="J2239" t="str">
        <f t="shared" si="104"/>
        <v>Low Risk</v>
      </c>
      <c r="K2239" s="3" t="str">
        <f t="shared" si="102"/>
        <v>2-4 Years</v>
      </c>
    </row>
    <row r="2240" spans="1:11" x14ac:dyDescent="0.3">
      <c r="A2240" t="s">
        <v>2257</v>
      </c>
      <c r="B2240" t="s">
        <v>9</v>
      </c>
      <c r="C2240" t="s">
        <v>10</v>
      </c>
      <c r="D2240" t="s">
        <v>11</v>
      </c>
      <c r="E2240">
        <v>100.8</v>
      </c>
      <c r="F2240">
        <v>66</v>
      </c>
      <c r="G2240">
        <v>6652.8</v>
      </c>
      <c r="H2240" t="s">
        <v>12</v>
      </c>
      <c r="I2240" t="str">
        <f t="shared" si="103"/>
        <v>High Value</v>
      </c>
      <c r="J2240" t="str">
        <f t="shared" si="104"/>
        <v>Low Risk</v>
      </c>
      <c r="K2240" s="3" t="str">
        <f t="shared" si="102"/>
        <v>4+ Years</v>
      </c>
    </row>
    <row r="2241" spans="1:11" x14ac:dyDescent="0.3">
      <c r="A2241" t="s">
        <v>2258</v>
      </c>
      <c r="B2241" t="s">
        <v>9</v>
      </c>
      <c r="C2241" t="s">
        <v>15</v>
      </c>
      <c r="D2241" t="s">
        <v>16</v>
      </c>
      <c r="E2241">
        <v>64.400000000000006</v>
      </c>
      <c r="F2241">
        <v>34</v>
      </c>
      <c r="G2241">
        <v>2189.6</v>
      </c>
      <c r="H2241" t="s">
        <v>18</v>
      </c>
      <c r="I2241" t="str">
        <f t="shared" si="103"/>
        <v>Medium Value</v>
      </c>
      <c r="J2241" t="str">
        <f t="shared" si="104"/>
        <v>Low Risk</v>
      </c>
      <c r="K2241" s="3" t="str">
        <f t="shared" si="102"/>
        <v>2-4 Years</v>
      </c>
    </row>
    <row r="2242" spans="1:11" x14ac:dyDescent="0.3">
      <c r="A2242" t="s">
        <v>2259</v>
      </c>
      <c r="B2242" t="s">
        <v>9</v>
      </c>
      <c r="C2242" t="s">
        <v>30</v>
      </c>
      <c r="D2242" t="s">
        <v>20</v>
      </c>
      <c r="E2242">
        <v>105.35</v>
      </c>
      <c r="F2242">
        <v>69</v>
      </c>
      <c r="G2242">
        <v>7269.15</v>
      </c>
      <c r="H2242" t="s">
        <v>12</v>
      </c>
      <c r="I2242" t="str">
        <f t="shared" si="103"/>
        <v>High Value</v>
      </c>
      <c r="J2242" t="str">
        <f t="shared" si="104"/>
        <v>Low Risk</v>
      </c>
      <c r="K2242" s="3" t="str">
        <f t="shared" si="102"/>
        <v>4+ Years</v>
      </c>
    </row>
    <row r="2243" spans="1:11" x14ac:dyDescent="0.3">
      <c r="A2243" t="s">
        <v>2260</v>
      </c>
      <c r="B2243" t="s">
        <v>9</v>
      </c>
      <c r="C2243" t="s">
        <v>10</v>
      </c>
      <c r="D2243" t="s">
        <v>11</v>
      </c>
      <c r="E2243">
        <v>102.45</v>
      </c>
      <c r="F2243">
        <v>1</v>
      </c>
      <c r="G2243">
        <v>102.45</v>
      </c>
      <c r="H2243" t="s">
        <v>18</v>
      </c>
      <c r="I2243" t="str">
        <f t="shared" si="103"/>
        <v>Low Value</v>
      </c>
      <c r="J2243" t="str">
        <f t="shared" si="104"/>
        <v>High Risk</v>
      </c>
      <c r="K2243" s="3" t="str">
        <f t="shared" ref="K2243:K2306" si="105">IF(F2243&lt;=12,"0-1 Year",
IF(F2243&lt;=24,"1-2 Years",
IF(F2243&lt;=48,"2-4 Years","4+ Years")))</f>
        <v>0-1 Year</v>
      </c>
    </row>
    <row r="2244" spans="1:11" x14ac:dyDescent="0.3">
      <c r="A2244" t="s">
        <v>2261</v>
      </c>
      <c r="B2244" t="s">
        <v>9</v>
      </c>
      <c r="C2244" t="s">
        <v>30</v>
      </c>
      <c r="D2244" t="s">
        <v>24</v>
      </c>
      <c r="E2244">
        <v>19.649999999999999</v>
      </c>
      <c r="F2244">
        <v>40</v>
      </c>
      <c r="G2244">
        <v>786</v>
      </c>
      <c r="H2244" t="s">
        <v>12</v>
      </c>
      <c r="I2244" t="str">
        <f t="shared" ref="I2244:I2307" si="106">IF(G2244&gt;5000,"High Value",
IF(G2244&gt;2000,"Medium Value","Low Value"))</f>
        <v>Low Value</v>
      </c>
      <c r="J2244" t="str">
        <f t="shared" ref="J2244:J2307" si="107">IF(F2244&lt;12,"High Risk",
IF(F2244&lt;24,"Medium Risk","Low Risk"))</f>
        <v>Low Risk</v>
      </c>
      <c r="K2244" s="3" t="str">
        <f t="shared" si="105"/>
        <v>2-4 Years</v>
      </c>
    </row>
    <row r="2245" spans="1:11" x14ac:dyDescent="0.3">
      <c r="A2245" t="s">
        <v>2262</v>
      </c>
      <c r="B2245" t="s">
        <v>14</v>
      </c>
      <c r="C2245" t="s">
        <v>10</v>
      </c>
      <c r="D2245" t="s">
        <v>20</v>
      </c>
      <c r="E2245">
        <v>54.45</v>
      </c>
      <c r="F2245">
        <v>30</v>
      </c>
      <c r="G2245">
        <v>1633.5</v>
      </c>
      <c r="H2245" t="s">
        <v>12</v>
      </c>
      <c r="I2245" t="str">
        <f t="shared" si="106"/>
        <v>Low Value</v>
      </c>
      <c r="J2245" t="str">
        <f t="shared" si="107"/>
        <v>Low Risk</v>
      </c>
      <c r="K2245" s="3" t="str">
        <f t="shared" si="105"/>
        <v>2-4 Years</v>
      </c>
    </row>
    <row r="2246" spans="1:11" x14ac:dyDescent="0.3">
      <c r="A2246" t="s">
        <v>2263</v>
      </c>
      <c r="B2246" t="s">
        <v>9</v>
      </c>
      <c r="C2246" t="s">
        <v>10</v>
      </c>
      <c r="D2246" t="s">
        <v>16</v>
      </c>
      <c r="E2246">
        <v>70.5</v>
      </c>
      <c r="F2246">
        <v>11</v>
      </c>
      <c r="G2246">
        <v>775.5</v>
      </c>
      <c r="H2246" t="s">
        <v>12</v>
      </c>
      <c r="I2246" t="str">
        <f t="shared" si="106"/>
        <v>Low Value</v>
      </c>
      <c r="J2246" t="str">
        <f t="shared" si="107"/>
        <v>High Risk</v>
      </c>
      <c r="K2246" s="3" t="str">
        <f t="shared" si="105"/>
        <v>0-1 Year</v>
      </c>
    </row>
    <row r="2247" spans="1:11" x14ac:dyDescent="0.3">
      <c r="A2247" t="s">
        <v>2264</v>
      </c>
      <c r="B2247" t="s">
        <v>9</v>
      </c>
      <c r="C2247" t="s">
        <v>15</v>
      </c>
      <c r="D2247" t="s">
        <v>24</v>
      </c>
      <c r="E2247">
        <v>20.100000000000001</v>
      </c>
      <c r="F2247">
        <v>15</v>
      </c>
      <c r="G2247">
        <v>301.5</v>
      </c>
      <c r="H2247" t="s">
        <v>12</v>
      </c>
      <c r="I2247" t="str">
        <f t="shared" si="106"/>
        <v>Low Value</v>
      </c>
      <c r="J2247" t="str">
        <f t="shared" si="107"/>
        <v>Medium Risk</v>
      </c>
      <c r="K2247" s="3" t="str">
        <f t="shared" si="105"/>
        <v>1-2 Years</v>
      </c>
    </row>
    <row r="2248" spans="1:11" x14ac:dyDescent="0.3">
      <c r="A2248" t="s">
        <v>2265</v>
      </c>
      <c r="B2248" t="s">
        <v>14</v>
      </c>
      <c r="C2248" t="s">
        <v>10</v>
      </c>
      <c r="D2248" t="s">
        <v>11</v>
      </c>
      <c r="E2248">
        <v>69.349999999999994</v>
      </c>
      <c r="F2248">
        <v>11</v>
      </c>
      <c r="G2248">
        <v>762.849999999999</v>
      </c>
      <c r="H2248" t="s">
        <v>12</v>
      </c>
      <c r="I2248" t="str">
        <f t="shared" si="106"/>
        <v>Low Value</v>
      </c>
      <c r="J2248" t="str">
        <f t="shared" si="107"/>
        <v>High Risk</v>
      </c>
      <c r="K2248" s="3" t="str">
        <f t="shared" si="105"/>
        <v>0-1 Year</v>
      </c>
    </row>
    <row r="2249" spans="1:11" x14ac:dyDescent="0.3">
      <c r="A2249" t="s">
        <v>2266</v>
      </c>
      <c r="B2249" t="s">
        <v>9</v>
      </c>
      <c r="C2249" t="s">
        <v>15</v>
      </c>
      <c r="D2249" t="s">
        <v>20</v>
      </c>
      <c r="E2249">
        <v>19.8</v>
      </c>
      <c r="F2249">
        <v>64</v>
      </c>
      <c r="G2249">
        <v>1267.2</v>
      </c>
      <c r="H2249" t="s">
        <v>12</v>
      </c>
      <c r="I2249" t="str">
        <f t="shared" si="106"/>
        <v>Low Value</v>
      </c>
      <c r="J2249" t="str">
        <f t="shared" si="107"/>
        <v>Low Risk</v>
      </c>
      <c r="K2249" s="3" t="str">
        <f t="shared" si="105"/>
        <v>4+ Years</v>
      </c>
    </row>
    <row r="2250" spans="1:11" x14ac:dyDescent="0.3">
      <c r="A2250" t="s">
        <v>2267</v>
      </c>
      <c r="B2250" t="s">
        <v>14</v>
      </c>
      <c r="C2250" t="s">
        <v>30</v>
      </c>
      <c r="D2250" t="s">
        <v>20</v>
      </c>
      <c r="E2250">
        <v>74.400000000000006</v>
      </c>
      <c r="F2250">
        <v>72</v>
      </c>
      <c r="G2250">
        <v>5356.8</v>
      </c>
      <c r="H2250" t="s">
        <v>12</v>
      </c>
      <c r="I2250" t="str">
        <f t="shared" si="106"/>
        <v>High Value</v>
      </c>
      <c r="J2250" t="str">
        <f t="shared" si="107"/>
        <v>Low Risk</v>
      </c>
      <c r="K2250" s="3" t="str">
        <f t="shared" si="105"/>
        <v>4+ Years</v>
      </c>
    </row>
    <row r="2251" spans="1:11" x14ac:dyDescent="0.3">
      <c r="A2251" t="s">
        <v>2268</v>
      </c>
      <c r="B2251" t="s">
        <v>14</v>
      </c>
      <c r="C2251" t="s">
        <v>30</v>
      </c>
      <c r="D2251" t="s">
        <v>20</v>
      </c>
      <c r="E2251">
        <v>93.05</v>
      </c>
      <c r="F2251">
        <v>72</v>
      </c>
      <c r="G2251">
        <v>6699.5999999999904</v>
      </c>
      <c r="H2251" t="s">
        <v>12</v>
      </c>
      <c r="I2251" t="str">
        <f t="shared" si="106"/>
        <v>High Value</v>
      </c>
      <c r="J2251" t="str">
        <f t="shared" si="107"/>
        <v>Low Risk</v>
      </c>
      <c r="K2251" s="3" t="str">
        <f t="shared" si="105"/>
        <v>4+ Years</v>
      </c>
    </row>
    <row r="2252" spans="1:11" x14ac:dyDescent="0.3">
      <c r="A2252" t="s">
        <v>2269</v>
      </c>
      <c r="B2252" t="s">
        <v>9</v>
      </c>
      <c r="C2252" t="s">
        <v>10</v>
      </c>
      <c r="D2252" t="s">
        <v>16</v>
      </c>
      <c r="E2252">
        <v>51.2</v>
      </c>
      <c r="F2252">
        <v>1</v>
      </c>
      <c r="G2252">
        <v>51.2</v>
      </c>
      <c r="H2252" t="s">
        <v>12</v>
      </c>
      <c r="I2252" t="str">
        <f t="shared" si="106"/>
        <v>Low Value</v>
      </c>
      <c r="J2252" t="str">
        <f t="shared" si="107"/>
        <v>High Risk</v>
      </c>
      <c r="K2252" s="3" t="str">
        <f t="shared" si="105"/>
        <v>0-1 Year</v>
      </c>
    </row>
    <row r="2253" spans="1:11" x14ac:dyDescent="0.3">
      <c r="A2253" t="s">
        <v>2270</v>
      </c>
      <c r="B2253" t="s">
        <v>9</v>
      </c>
      <c r="C2253" t="s">
        <v>15</v>
      </c>
      <c r="D2253" t="s">
        <v>24</v>
      </c>
      <c r="E2253">
        <v>65.599999999999994</v>
      </c>
      <c r="F2253">
        <v>15</v>
      </c>
      <c r="G2253">
        <v>983.99999999999898</v>
      </c>
      <c r="H2253" t="s">
        <v>12</v>
      </c>
      <c r="I2253" t="str">
        <f t="shared" si="106"/>
        <v>Low Value</v>
      </c>
      <c r="J2253" t="str">
        <f t="shared" si="107"/>
        <v>Medium Risk</v>
      </c>
      <c r="K2253" s="3" t="str">
        <f t="shared" si="105"/>
        <v>1-2 Years</v>
      </c>
    </row>
    <row r="2254" spans="1:11" x14ac:dyDescent="0.3">
      <c r="A2254" t="s">
        <v>2271</v>
      </c>
      <c r="B2254" t="s">
        <v>9</v>
      </c>
      <c r="C2254" t="s">
        <v>15</v>
      </c>
      <c r="D2254" t="s">
        <v>24</v>
      </c>
      <c r="E2254">
        <v>80.55</v>
      </c>
      <c r="F2254">
        <v>60</v>
      </c>
      <c r="G2254">
        <v>4833</v>
      </c>
      <c r="H2254" t="s">
        <v>12</v>
      </c>
      <c r="I2254" t="str">
        <f t="shared" si="106"/>
        <v>Medium Value</v>
      </c>
      <c r="J2254" t="str">
        <f t="shared" si="107"/>
        <v>Low Risk</v>
      </c>
      <c r="K2254" s="3" t="str">
        <f t="shared" si="105"/>
        <v>4+ Years</v>
      </c>
    </row>
    <row r="2255" spans="1:11" x14ac:dyDescent="0.3">
      <c r="A2255" t="s">
        <v>2272</v>
      </c>
      <c r="B2255" t="s">
        <v>14</v>
      </c>
      <c r="C2255" t="s">
        <v>15</v>
      </c>
      <c r="D2255" t="s">
        <v>16</v>
      </c>
      <c r="E2255">
        <v>52.7</v>
      </c>
      <c r="F2255">
        <v>56</v>
      </c>
      <c r="G2255">
        <v>2951.2</v>
      </c>
      <c r="H2255" t="s">
        <v>12</v>
      </c>
      <c r="I2255" t="str">
        <f t="shared" si="106"/>
        <v>Medium Value</v>
      </c>
      <c r="J2255" t="str">
        <f t="shared" si="107"/>
        <v>Low Risk</v>
      </c>
      <c r="K2255" s="3" t="str">
        <f t="shared" si="105"/>
        <v>4+ Years</v>
      </c>
    </row>
    <row r="2256" spans="1:11" x14ac:dyDescent="0.3">
      <c r="A2256" t="s">
        <v>2273</v>
      </c>
      <c r="B2256" t="s">
        <v>9</v>
      </c>
      <c r="C2256" t="s">
        <v>30</v>
      </c>
      <c r="D2256" t="s">
        <v>16</v>
      </c>
      <c r="E2256">
        <v>20.85</v>
      </c>
      <c r="F2256">
        <v>8</v>
      </c>
      <c r="G2256">
        <v>166.8</v>
      </c>
      <c r="H2256" t="s">
        <v>12</v>
      </c>
      <c r="I2256" t="str">
        <f t="shared" si="106"/>
        <v>Low Value</v>
      </c>
      <c r="J2256" t="str">
        <f t="shared" si="107"/>
        <v>High Risk</v>
      </c>
      <c r="K2256" s="3" t="str">
        <f t="shared" si="105"/>
        <v>0-1 Year</v>
      </c>
    </row>
    <row r="2257" spans="1:11" x14ac:dyDescent="0.3">
      <c r="A2257" t="s">
        <v>2274</v>
      </c>
      <c r="B2257" t="s">
        <v>9</v>
      </c>
      <c r="C2257" t="s">
        <v>10</v>
      </c>
      <c r="D2257" t="s">
        <v>24</v>
      </c>
      <c r="E2257">
        <v>80.099999999999994</v>
      </c>
      <c r="F2257">
        <v>3</v>
      </c>
      <c r="G2257">
        <v>240.29999999999899</v>
      </c>
      <c r="H2257" t="s">
        <v>18</v>
      </c>
      <c r="I2257" t="str">
        <f t="shared" si="106"/>
        <v>Low Value</v>
      </c>
      <c r="J2257" t="str">
        <f t="shared" si="107"/>
        <v>High Risk</v>
      </c>
      <c r="K2257" s="3" t="str">
        <f t="shared" si="105"/>
        <v>0-1 Year</v>
      </c>
    </row>
    <row r="2258" spans="1:11" x14ac:dyDescent="0.3">
      <c r="A2258" t="s">
        <v>2275</v>
      </c>
      <c r="B2258" t="s">
        <v>9</v>
      </c>
      <c r="C2258" t="s">
        <v>10</v>
      </c>
      <c r="D2258" t="s">
        <v>24</v>
      </c>
      <c r="E2258">
        <v>52.15</v>
      </c>
      <c r="F2258">
        <v>49</v>
      </c>
      <c r="G2258">
        <v>2555.35</v>
      </c>
      <c r="H2258" t="s">
        <v>12</v>
      </c>
      <c r="I2258" t="str">
        <f t="shared" si="106"/>
        <v>Medium Value</v>
      </c>
      <c r="J2258" t="str">
        <f t="shared" si="107"/>
        <v>Low Risk</v>
      </c>
      <c r="K2258" s="3" t="str">
        <f t="shared" si="105"/>
        <v>4+ Years</v>
      </c>
    </row>
    <row r="2259" spans="1:11" x14ac:dyDescent="0.3">
      <c r="A2259" t="s">
        <v>2276</v>
      </c>
      <c r="B2259" t="s">
        <v>9</v>
      </c>
      <c r="C2259" t="s">
        <v>10</v>
      </c>
      <c r="D2259" t="s">
        <v>11</v>
      </c>
      <c r="E2259">
        <v>80.2</v>
      </c>
      <c r="F2259">
        <v>2</v>
      </c>
      <c r="G2259">
        <v>160.4</v>
      </c>
      <c r="H2259" t="s">
        <v>18</v>
      </c>
      <c r="I2259" t="str">
        <f t="shared" si="106"/>
        <v>Low Value</v>
      </c>
      <c r="J2259" t="str">
        <f t="shared" si="107"/>
        <v>High Risk</v>
      </c>
      <c r="K2259" s="3" t="str">
        <f t="shared" si="105"/>
        <v>0-1 Year</v>
      </c>
    </row>
    <row r="2260" spans="1:11" x14ac:dyDescent="0.3">
      <c r="A2260" t="s">
        <v>2277</v>
      </c>
      <c r="B2260" t="s">
        <v>9</v>
      </c>
      <c r="C2260" t="s">
        <v>10</v>
      </c>
      <c r="D2260" t="s">
        <v>20</v>
      </c>
      <c r="E2260">
        <v>98.15</v>
      </c>
      <c r="F2260">
        <v>6</v>
      </c>
      <c r="G2260">
        <v>588.9</v>
      </c>
      <c r="H2260" t="s">
        <v>18</v>
      </c>
      <c r="I2260" t="str">
        <f t="shared" si="106"/>
        <v>Low Value</v>
      </c>
      <c r="J2260" t="str">
        <f t="shared" si="107"/>
        <v>High Risk</v>
      </c>
      <c r="K2260" s="3" t="str">
        <f t="shared" si="105"/>
        <v>0-1 Year</v>
      </c>
    </row>
    <row r="2261" spans="1:11" x14ac:dyDescent="0.3">
      <c r="A2261" t="s">
        <v>2278</v>
      </c>
      <c r="B2261" t="s">
        <v>14</v>
      </c>
      <c r="C2261" t="s">
        <v>30</v>
      </c>
      <c r="D2261" t="s">
        <v>20</v>
      </c>
      <c r="E2261">
        <v>114.95</v>
      </c>
      <c r="F2261">
        <v>70</v>
      </c>
      <c r="G2261">
        <v>8046.5</v>
      </c>
      <c r="H2261" t="s">
        <v>12</v>
      </c>
      <c r="I2261" t="str">
        <f t="shared" si="106"/>
        <v>High Value</v>
      </c>
      <c r="J2261" t="str">
        <f t="shared" si="107"/>
        <v>Low Risk</v>
      </c>
      <c r="K2261" s="3" t="str">
        <f t="shared" si="105"/>
        <v>4+ Years</v>
      </c>
    </row>
    <row r="2262" spans="1:11" x14ac:dyDescent="0.3">
      <c r="A2262" t="s">
        <v>2279</v>
      </c>
      <c r="B2262" t="s">
        <v>14</v>
      </c>
      <c r="C2262" t="s">
        <v>10</v>
      </c>
      <c r="D2262" t="s">
        <v>16</v>
      </c>
      <c r="E2262">
        <v>112.95</v>
      </c>
      <c r="F2262">
        <v>12</v>
      </c>
      <c r="G2262">
        <v>1355.4</v>
      </c>
      <c r="H2262" t="s">
        <v>18</v>
      </c>
      <c r="I2262" t="str">
        <f t="shared" si="106"/>
        <v>Low Value</v>
      </c>
      <c r="J2262" t="str">
        <f t="shared" si="107"/>
        <v>Medium Risk</v>
      </c>
      <c r="K2262" s="3" t="str">
        <f t="shared" si="105"/>
        <v>0-1 Year</v>
      </c>
    </row>
    <row r="2263" spans="1:11" x14ac:dyDescent="0.3">
      <c r="A2263" t="s">
        <v>2280</v>
      </c>
      <c r="B2263" t="s">
        <v>14</v>
      </c>
      <c r="C2263" t="s">
        <v>15</v>
      </c>
      <c r="D2263" t="s">
        <v>20</v>
      </c>
      <c r="E2263">
        <v>104.45</v>
      </c>
      <c r="F2263">
        <v>52</v>
      </c>
      <c r="G2263">
        <v>5431.4</v>
      </c>
      <c r="H2263" t="s">
        <v>12</v>
      </c>
      <c r="I2263" t="str">
        <f t="shared" si="106"/>
        <v>High Value</v>
      </c>
      <c r="J2263" t="str">
        <f t="shared" si="107"/>
        <v>Low Risk</v>
      </c>
      <c r="K2263" s="3" t="str">
        <f t="shared" si="105"/>
        <v>4+ Years</v>
      </c>
    </row>
    <row r="2264" spans="1:11" x14ac:dyDescent="0.3">
      <c r="A2264" t="s">
        <v>2281</v>
      </c>
      <c r="B2264" t="s">
        <v>9</v>
      </c>
      <c r="C2264" t="s">
        <v>30</v>
      </c>
      <c r="D2264" t="s">
        <v>24</v>
      </c>
      <c r="E2264">
        <v>113.65</v>
      </c>
      <c r="F2264">
        <v>72</v>
      </c>
      <c r="G2264">
        <v>8182.8</v>
      </c>
      <c r="H2264" t="s">
        <v>12</v>
      </c>
      <c r="I2264" t="str">
        <f t="shared" si="106"/>
        <v>High Value</v>
      </c>
      <c r="J2264" t="str">
        <f t="shared" si="107"/>
        <v>Low Risk</v>
      </c>
      <c r="K2264" s="3" t="str">
        <f t="shared" si="105"/>
        <v>4+ Years</v>
      </c>
    </row>
    <row r="2265" spans="1:11" x14ac:dyDescent="0.3">
      <c r="A2265" t="s">
        <v>2282</v>
      </c>
      <c r="B2265" t="s">
        <v>9</v>
      </c>
      <c r="C2265" t="s">
        <v>30</v>
      </c>
      <c r="D2265" t="s">
        <v>20</v>
      </c>
      <c r="E2265">
        <v>20.6</v>
      </c>
      <c r="F2265">
        <v>40</v>
      </c>
      <c r="G2265">
        <v>824</v>
      </c>
      <c r="H2265" t="s">
        <v>12</v>
      </c>
      <c r="I2265" t="str">
        <f t="shared" si="106"/>
        <v>Low Value</v>
      </c>
      <c r="J2265" t="str">
        <f t="shared" si="107"/>
        <v>Low Risk</v>
      </c>
      <c r="K2265" s="3" t="str">
        <f t="shared" si="105"/>
        <v>2-4 Years</v>
      </c>
    </row>
    <row r="2266" spans="1:11" x14ac:dyDescent="0.3">
      <c r="A2266" t="s">
        <v>2283</v>
      </c>
      <c r="B2266" t="s">
        <v>9</v>
      </c>
      <c r="C2266" t="s">
        <v>10</v>
      </c>
      <c r="D2266" t="s">
        <v>16</v>
      </c>
      <c r="E2266">
        <v>70.900000000000006</v>
      </c>
      <c r="F2266">
        <v>1</v>
      </c>
      <c r="G2266">
        <v>70.900000000000006</v>
      </c>
      <c r="H2266" t="s">
        <v>18</v>
      </c>
      <c r="I2266" t="str">
        <f t="shared" si="106"/>
        <v>Low Value</v>
      </c>
      <c r="J2266" t="str">
        <f t="shared" si="107"/>
        <v>High Risk</v>
      </c>
      <c r="K2266" s="3" t="str">
        <f t="shared" si="105"/>
        <v>0-1 Year</v>
      </c>
    </row>
    <row r="2267" spans="1:11" x14ac:dyDescent="0.3">
      <c r="A2267" t="s">
        <v>2284</v>
      </c>
      <c r="B2267" t="s">
        <v>9</v>
      </c>
      <c r="C2267" t="s">
        <v>10</v>
      </c>
      <c r="D2267" t="s">
        <v>11</v>
      </c>
      <c r="E2267">
        <v>86.85</v>
      </c>
      <c r="F2267">
        <v>3</v>
      </c>
      <c r="G2267">
        <v>260.54999999999899</v>
      </c>
      <c r="H2267" t="s">
        <v>18</v>
      </c>
      <c r="I2267" t="str">
        <f t="shared" si="106"/>
        <v>Low Value</v>
      </c>
      <c r="J2267" t="str">
        <f t="shared" si="107"/>
        <v>High Risk</v>
      </c>
      <c r="K2267" s="3" t="str">
        <f t="shared" si="105"/>
        <v>0-1 Year</v>
      </c>
    </row>
    <row r="2268" spans="1:11" x14ac:dyDescent="0.3">
      <c r="A2268" t="s">
        <v>2285</v>
      </c>
      <c r="B2268" t="s">
        <v>9</v>
      </c>
      <c r="C2268" t="s">
        <v>10</v>
      </c>
      <c r="D2268" t="s">
        <v>11</v>
      </c>
      <c r="E2268">
        <v>91.55</v>
      </c>
      <c r="F2268">
        <v>40</v>
      </c>
      <c r="G2268">
        <v>3662</v>
      </c>
      <c r="H2268" t="s">
        <v>12</v>
      </c>
      <c r="I2268" t="str">
        <f t="shared" si="106"/>
        <v>Medium Value</v>
      </c>
      <c r="J2268" t="str">
        <f t="shared" si="107"/>
        <v>Low Risk</v>
      </c>
      <c r="K2268" s="3" t="str">
        <f t="shared" si="105"/>
        <v>2-4 Years</v>
      </c>
    </row>
    <row r="2269" spans="1:11" x14ac:dyDescent="0.3">
      <c r="A2269" t="s">
        <v>2286</v>
      </c>
      <c r="B2269" t="s">
        <v>14</v>
      </c>
      <c r="C2269" t="s">
        <v>10</v>
      </c>
      <c r="D2269" t="s">
        <v>11</v>
      </c>
      <c r="E2269">
        <v>49.85</v>
      </c>
      <c r="F2269">
        <v>1</v>
      </c>
      <c r="G2269">
        <v>49.85</v>
      </c>
      <c r="H2269" t="s">
        <v>12</v>
      </c>
      <c r="I2269" t="str">
        <f t="shared" si="106"/>
        <v>Low Value</v>
      </c>
      <c r="J2269" t="str">
        <f t="shared" si="107"/>
        <v>High Risk</v>
      </c>
      <c r="K2269" s="3" t="str">
        <f t="shared" si="105"/>
        <v>0-1 Year</v>
      </c>
    </row>
    <row r="2270" spans="1:11" x14ac:dyDescent="0.3">
      <c r="A2270" t="s">
        <v>2287</v>
      </c>
      <c r="B2270" t="s">
        <v>14</v>
      </c>
      <c r="C2270" t="s">
        <v>15</v>
      </c>
      <c r="D2270" t="s">
        <v>24</v>
      </c>
      <c r="E2270">
        <v>19.8</v>
      </c>
      <c r="F2270">
        <v>30</v>
      </c>
      <c r="G2270">
        <v>594</v>
      </c>
      <c r="H2270" t="s">
        <v>12</v>
      </c>
      <c r="I2270" t="str">
        <f t="shared" si="106"/>
        <v>Low Value</v>
      </c>
      <c r="J2270" t="str">
        <f t="shared" si="107"/>
        <v>Low Risk</v>
      </c>
      <c r="K2270" s="3" t="str">
        <f t="shared" si="105"/>
        <v>2-4 Years</v>
      </c>
    </row>
    <row r="2271" spans="1:11" x14ac:dyDescent="0.3">
      <c r="A2271" t="s">
        <v>2288</v>
      </c>
      <c r="B2271" t="s">
        <v>14</v>
      </c>
      <c r="C2271" t="s">
        <v>10</v>
      </c>
      <c r="D2271" t="s">
        <v>11</v>
      </c>
      <c r="E2271">
        <v>99.85</v>
      </c>
      <c r="F2271">
        <v>23</v>
      </c>
      <c r="G2271">
        <v>2296.5499999999902</v>
      </c>
      <c r="H2271" t="s">
        <v>18</v>
      </c>
      <c r="I2271" t="str">
        <f t="shared" si="106"/>
        <v>Medium Value</v>
      </c>
      <c r="J2271" t="str">
        <f t="shared" si="107"/>
        <v>Medium Risk</v>
      </c>
      <c r="K2271" s="3" t="str">
        <f t="shared" si="105"/>
        <v>1-2 Years</v>
      </c>
    </row>
    <row r="2272" spans="1:11" x14ac:dyDescent="0.3">
      <c r="A2272" t="s">
        <v>2289</v>
      </c>
      <c r="B2272" t="s">
        <v>14</v>
      </c>
      <c r="C2272" t="s">
        <v>10</v>
      </c>
      <c r="D2272" t="s">
        <v>11</v>
      </c>
      <c r="E2272">
        <v>74.5</v>
      </c>
      <c r="F2272">
        <v>1</v>
      </c>
      <c r="G2272">
        <v>74.5</v>
      </c>
      <c r="H2272" t="s">
        <v>18</v>
      </c>
      <c r="I2272" t="str">
        <f t="shared" si="106"/>
        <v>Low Value</v>
      </c>
      <c r="J2272" t="str">
        <f t="shared" si="107"/>
        <v>High Risk</v>
      </c>
      <c r="K2272" s="3" t="str">
        <f t="shared" si="105"/>
        <v>0-1 Year</v>
      </c>
    </row>
    <row r="2273" spans="1:11" x14ac:dyDescent="0.3">
      <c r="A2273" t="s">
        <v>2290</v>
      </c>
      <c r="B2273" t="s">
        <v>9</v>
      </c>
      <c r="C2273" t="s">
        <v>10</v>
      </c>
      <c r="D2273" t="s">
        <v>11</v>
      </c>
      <c r="E2273">
        <v>104.15</v>
      </c>
      <c r="F2273">
        <v>44</v>
      </c>
      <c r="G2273">
        <v>4582.6000000000004</v>
      </c>
      <c r="H2273" t="s">
        <v>12</v>
      </c>
      <c r="I2273" t="str">
        <f t="shared" si="106"/>
        <v>Medium Value</v>
      </c>
      <c r="J2273" t="str">
        <f t="shared" si="107"/>
        <v>Low Risk</v>
      </c>
      <c r="K2273" s="3" t="str">
        <f t="shared" si="105"/>
        <v>2-4 Years</v>
      </c>
    </row>
    <row r="2274" spans="1:11" x14ac:dyDescent="0.3">
      <c r="A2274" t="s">
        <v>2291</v>
      </c>
      <c r="B2274" t="s">
        <v>14</v>
      </c>
      <c r="C2274" t="s">
        <v>10</v>
      </c>
      <c r="D2274" t="s">
        <v>11</v>
      </c>
      <c r="E2274">
        <v>109.15</v>
      </c>
      <c r="F2274">
        <v>65</v>
      </c>
      <c r="G2274">
        <v>7094.75</v>
      </c>
      <c r="H2274" t="s">
        <v>18</v>
      </c>
      <c r="I2274" t="str">
        <f t="shared" si="106"/>
        <v>High Value</v>
      </c>
      <c r="J2274" t="str">
        <f t="shared" si="107"/>
        <v>Low Risk</v>
      </c>
      <c r="K2274" s="3" t="str">
        <f t="shared" si="105"/>
        <v>4+ Years</v>
      </c>
    </row>
    <row r="2275" spans="1:11" x14ac:dyDescent="0.3">
      <c r="A2275" t="s">
        <v>2292</v>
      </c>
      <c r="B2275" t="s">
        <v>9</v>
      </c>
      <c r="C2275" t="s">
        <v>10</v>
      </c>
      <c r="D2275" t="s">
        <v>11</v>
      </c>
      <c r="E2275">
        <v>48.2</v>
      </c>
      <c r="F2275">
        <v>7</v>
      </c>
      <c r="G2275">
        <v>337.4</v>
      </c>
      <c r="H2275" t="s">
        <v>12</v>
      </c>
      <c r="I2275" t="str">
        <f t="shared" si="106"/>
        <v>Low Value</v>
      </c>
      <c r="J2275" t="str">
        <f t="shared" si="107"/>
        <v>High Risk</v>
      </c>
      <c r="K2275" s="3" t="str">
        <f t="shared" si="105"/>
        <v>0-1 Year</v>
      </c>
    </row>
    <row r="2276" spans="1:11" x14ac:dyDescent="0.3">
      <c r="A2276" t="s">
        <v>2293</v>
      </c>
      <c r="B2276" t="s">
        <v>14</v>
      </c>
      <c r="C2276" t="s">
        <v>30</v>
      </c>
      <c r="D2276" t="s">
        <v>24</v>
      </c>
      <c r="E2276">
        <v>25.1</v>
      </c>
      <c r="F2276">
        <v>72</v>
      </c>
      <c r="G2276">
        <v>1807.2</v>
      </c>
      <c r="H2276" t="s">
        <v>12</v>
      </c>
      <c r="I2276" t="str">
        <f t="shared" si="106"/>
        <v>Low Value</v>
      </c>
      <c r="J2276" t="str">
        <f t="shared" si="107"/>
        <v>Low Risk</v>
      </c>
      <c r="K2276" s="3" t="str">
        <f t="shared" si="105"/>
        <v>4+ Years</v>
      </c>
    </row>
    <row r="2277" spans="1:11" x14ac:dyDescent="0.3">
      <c r="A2277" t="s">
        <v>2294</v>
      </c>
      <c r="B2277" t="s">
        <v>9</v>
      </c>
      <c r="C2277" t="s">
        <v>10</v>
      </c>
      <c r="D2277" t="s">
        <v>24</v>
      </c>
      <c r="E2277">
        <v>100.15</v>
      </c>
      <c r="F2277">
        <v>8</v>
      </c>
      <c r="G2277">
        <v>801.2</v>
      </c>
      <c r="H2277" t="s">
        <v>12</v>
      </c>
      <c r="I2277" t="str">
        <f t="shared" si="106"/>
        <v>Low Value</v>
      </c>
      <c r="J2277" t="str">
        <f t="shared" si="107"/>
        <v>High Risk</v>
      </c>
      <c r="K2277" s="3" t="str">
        <f t="shared" si="105"/>
        <v>0-1 Year</v>
      </c>
    </row>
    <row r="2278" spans="1:11" x14ac:dyDescent="0.3">
      <c r="A2278" t="s">
        <v>2295</v>
      </c>
      <c r="B2278" t="s">
        <v>9</v>
      </c>
      <c r="C2278" t="s">
        <v>10</v>
      </c>
      <c r="D2278" t="s">
        <v>24</v>
      </c>
      <c r="E2278">
        <v>65.2</v>
      </c>
      <c r="F2278">
        <v>16</v>
      </c>
      <c r="G2278">
        <v>1043.2</v>
      </c>
      <c r="H2278" t="s">
        <v>18</v>
      </c>
      <c r="I2278" t="str">
        <f t="shared" si="106"/>
        <v>Low Value</v>
      </c>
      <c r="J2278" t="str">
        <f t="shared" si="107"/>
        <v>Medium Risk</v>
      </c>
      <c r="K2278" s="3" t="str">
        <f t="shared" si="105"/>
        <v>1-2 Years</v>
      </c>
    </row>
    <row r="2279" spans="1:11" x14ac:dyDescent="0.3">
      <c r="A2279" t="s">
        <v>2296</v>
      </c>
      <c r="B2279" t="s">
        <v>14</v>
      </c>
      <c r="C2279" t="s">
        <v>10</v>
      </c>
      <c r="D2279" t="s">
        <v>24</v>
      </c>
      <c r="E2279">
        <v>99.5</v>
      </c>
      <c r="F2279">
        <v>66</v>
      </c>
      <c r="G2279">
        <v>6567</v>
      </c>
      <c r="H2279" t="s">
        <v>18</v>
      </c>
      <c r="I2279" t="str">
        <f t="shared" si="106"/>
        <v>High Value</v>
      </c>
      <c r="J2279" t="str">
        <f t="shared" si="107"/>
        <v>Low Risk</v>
      </c>
      <c r="K2279" s="3" t="str">
        <f t="shared" si="105"/>
        <v>4+ Years</v>
      </c>
    </row>
    <row r="2280" spans="1:11" x14ac:dyDescent="0.3">
      <c r="A2280" t="s">
        <v>2297</v>
      </c>
      <c r="B2280" t="s">
        <v>14</v>
      </c>
      <c r="C2280" t="s">
        <v>10</v>
      </c>
      <c r="D2280" t="s">
        <v>16</v>
      </c>
      <c r="E2280">
        <v>71.55</v>
      </c>
      <c r="F2280">
        <v>1</v>
      </c>
      <c r="G2280">
        <v>71.55</v>
      </c>
      <c r="H2280" t="s">
        <v>18</v>
      </c>
      <c r="I2280" t="str">
        <f t="shared" si="106"/>
        <v>Low Value</v>
      </c>
      <c r="J2280" t="str">
        <f t="shared" si="107"/>
        <v>High Risk</v>
      </c>
      <c r="K2280" s="3" t="str">
        <f t="shared" si="105"/>
        <v>0-1 Year</v>
      </c>
    </row>
    <row r="2281" spans="1:11" x14ac:dyDescent="0.3">
      <c r="A2281" t="s">
        <v>2298</v>
      </c>
      <c r="B2281" t="s">
        <v>14</v>
      </c>
      <c r="C2281" t="s">
        <v>10</v>
      </c>
      <c r="D2281" t="s">
        <v>16</v>
      </c>
      <c r="E2281">
        <v>55.9</v>
      </c>
      <c r="F2281">
        <v>3</v>
      </c>
      <c r="G2281">
        <v>167.7</v>
      </c>
      <c r="H2281" t="s">
        <v>12</v>
      </c>
      <c r="I2281" t="str">
        <f t="shared" si="106"/>
        <v>Low Value</v>
      </c>
      <c r="J2281" t="str">
        <f t="shared" si="107"/>
        <v>High Risk</v>
      </c>
      <c r="K2281" s="3" t="str">
        <f t="shared" si="105"/>
        <v>0-1 Year</v>
      </c>
    </row>
    <row r="2282" spans="1:11" x14ac:dyDescent="0.3">
      <c r="A2282" t="s">
        <v>2299</v>
      </c>
      <c r="B2282" t="s">
        <v>14</v>
      </c>
      <c r="C2282" t="s">
        <v>10</v>
      </c>
      <c r="D2282" t="s">
        <v>11</v>
      </c>
      <c r="E2282">
        <v>93.9</v>
      </c>
      <c r="F2282">
        <v>53</v>
      </c>
      <c r="G2282">
        <v>4976.7</v>
      </c>
      <c r="H2282" t="s">
        <v>18</v>
      </c>
      <c r="I2282" t="str">
        <f t="shared" si="106"/>
        <v>Medium Value</v>
      </c>
      <c r="J2282" t="str">
        <f t="shared" si="107"/>
        <v>Low Risk</v>
      </c>
      <c r="K2282" s="3" t="str">
        <f t="shared" si="105"/>
        <v>4+ Years</v>
      </c>
    </row>
    <row r="2283" spans="1:11" x14ac:dyDescent="0.3">
      <c r="A2283" t="s">
        <v>2300</v>
      </c>
      <c r="B2283" t="s">
        <v>14</v>
      </c>
      <c r="C2283" t="s">
        <v>10</v>
      </c>
      <c r="D2283" t="s">
        <v>24</v>
      </c>
      <c r="E2283">
        <v>64.400000000000006</v>
      </c>
      <c r="F2283">
        <v>8</v>
      </c>
      <c r="G2283">
        <v>515.20000000000005</v>
      </c>
      <c r="H2283" t="s">
        <v>12</v>
      </c>
      <c r="I2283" t="str">
        <f t="shared" si="106"/>
        <v>Low Value</v>
      </c>
      <c r="J2283" t="str">
        <f t="shared" si="107"/>
        <v>High Risk</v>
      </c>
      <c r="K2283" s="3" t="str">
        <f t="shared" si="105"/>
        <v>0-1 Year</v>
      </c>
    </row>
    <row r="2284" spans="1:11" x14ac:dyDescent="0.3">
      <c r="A2284" t="s">
        <v>2301</v>
      </c>
      <c r="B2284" t="s">
        <v>14</v>
      </c>
      <c r="C2284" t="s">
        <v>30</v>
      </c>
      <c r="D2284" t="s">
        <v>20</v>
      </c>
      <c r="E2284">
        <v>108.4</v>
      </c>
      <c r="F2284">
        <v>69</v>
      </c>
      <c r="G2284">
        <v>7479.6</v>
      </c>
      <c r="H2284" t="s">
        <v>18</v>
      </c>
      <c r="I2284" t="str">
        <f t="shared" si="106"/>
        <v>High Value</v>
      </c>
      <c r="J2284" t="str">
        <f t="shared" si="107"/>
        <v>Low Risk</v>
      </c>
      <c r="K2284" s="3" t="str">
        <f t="shared" si="105"/>
        <v>4+ Years</v>
      </c>
    </row>
    <row r="2285" spans="1:11" x14ac:dyDescent="0.3">
      <c r="A2285" t="s">
        <v>2302</v>
      </c>
      <c r="B2285" t="s">
        <v>9</v>
      </c>
      <c r="C2285" t="s">
        <v>10</v>
      </c>
      <c r="D2285" t="s">
        <v>16</v>
      </c>
      <c r="E2285">
        <v>85.3</v>
      </c>
      <c r="F2285">
        <v>5</v>
      </c>
      <c r="G2285">
        <v>426.5</v>
      </c>
      <c r="H2285" t="s">
        <v>12</v>
      </c>
      <c r="I2285" t="str">
        <f t="shared" si="106"/>
        <v>Low Value</v>
      </c>
      <c r="J2285" t="str">
        <f t="shared" si="107"/>
        <v>High Risk</v>
      </c>
      <c r="K2285" s="3" t="str">
        <f t="shared" si="105"/>
        <v>0-1 Year</v>
      </c>
    </row>
    <row r="2286" spans="1:11" x14ac:dyDescent="0.3">
      <c r="A2286" t="s">
        <v>2303</v>
      </c>
      <c r="B2286" t="s">
        <v>9</v>
      </c>
      <c r="C2286" t="s">
        <v>30</v>
      </c>
      <c r="D2286" t="s">
        <v>16</v>
      </c>
      <c r="E2286">
        <v>107.45</v>
      </c>
      <c r="F2286">
        <v>72</v>
      </c>
      <c r="G2286">
        <v>7736.4</v>
      </c>
      <c r="H2286" t="s">
        <v>12</v>
      </c>
      <c r="I2286" t="str">
        <f t="shared" si="106"/>
        <v>High Value</v>
      </c>
      <c r="J2286" t="str">
        <f t="shared" si="107"/>
        <v>Low Risk</v>
      </c>
      <c r="K2286" s="3" t="str">
        <f t="shared" si="105"/>
        <v>4+ Years</v>
      </c>
    </row>
    <row r="2287" spans="1:11" x14ac:dyDescent="0.3">
      <c r="A2287" t="s">
        <v>2304</v>
      </c>
      <c r="B2287" t="s">
        <v>9</v>
      </c>
      <c r="C2287" t="s">
        <v>10</v>
      </c>
      <c r="D2287" t="s">
        <v>20</v>
      </c>
      <c r="E2287">
        <v>48.75</v>
      </c>
      <c r="F2287">
        <v>13</v>
      </c>
      <c r="G2287">
        <v>633.75</v>
      </c>
      <c r="H2287" t="s">
        <v>18</v>
      </c>
      <c r="I2287" t="str">
        <f t="shared" si="106"/>
        <v>Low Value</v>
      </c>
      <c r="J2287" t="str">
        <f t="shared" si="107"/>
        <v>Medium Risk</v>
      </c>
      <c r="K2287" s="3" t="str">
        <f t="shared" si="105"/>
        <v>1-2 Years</v>
      </c>
    </row>
    <row r="2288" spans="1:11" x14ac:dyDescent="0.3">
      <c r="A2288" t="s">
        <v>2305</v>
      </c>
      <c r="B2288" t="s">
        <v>9</v>
      </c>
      <c r="C2288" t="s">
        <v>10</v>
      </c>
      <c r="D2288" t="s">
        <v>11</v>
      </c>
      <c r="E2288">
        <v>85.65</v>
      </c>
      <c r="F2288">
        <v>4</v>
      </c>
      <c r="G2288">
        <v>342.6</v>
      </c>
      <c r="H2288" t="s">
        <v>18</v>
      </c>
      <c r="I2288" t="str">
        <f t="shared" si="106"/>
        <v>Low Value</v>
      </c>
      <c r="J2288" t="str">
        <f t="shared" si="107"/>
        <v>High Risk</v>
      </c>
      <c r="K2288" s="3" t="str">
        <f t="shared" si="105"/>
        <v>0-1 Year</v>
      </c>
    </row>
    <row r="2289" spans="1:11" x14ac:dyDescent="0.3">
      <c r="A2289" t="s">
        <v>2306</v>
      </c>
      <c r="B2289" t="s">
        <v>9</v>
      </c>
      <c r="C2289" t="s">
        <v>30</v>
      </c>
      <c r="D2289" t="s">
        <v>24</v>
      </c>
      <c r="E2289">
        <v>91.3</v>
      </c>
      <c r="F2289">
        <v>54</v>
      </c>
      <c r="G2289">
        <v>4930.2</v>
      </c>
      <c r="H2289" t="s">
        <v>12</v>
      </c>
      <c r="I2289" t="str">
        <f t="shared" si="106"/>
        <v>Medium Value</v>
      </c>
      <c r="J2289" t="str">
        <f t="shared" si="107"/>
        <v>Low Risk</v>
      </c>
      <c r="K2289" s="3" t="str">
        <f t="shared" si="105"/>
        <v>4+ Years</v>
      </c>
    </row>
    <row r="2290" spans="1:11" x14ac:dyDescent="0.3">
      <c r="A2290" t="s">
        <v>2307</v>
      </c>
      <c r="B2290" t="s">
        <v>14</v>
      </c>
      <c r="C2290" t="s">
        <v>30</v>
      </c>
      <c r="D2290" t="s">
        <v>20</v>
      </c>
      <c r="E2290">
        <v>85.95</v>
      </c>
      <c r="F2290">
        <v>72</v>
      </c>
      <c r="G2290">
        <v>6188.4</v>
      </c>
      <c r="H2290" t="s">
        <v>12</v>
      </c>
      <c r="I2290" t="str">
        <f t="shared" si="106"/>
        <v>High Value</v>
      </c>
      <c r="J2290" t="str">
        <f t="shared" si="107"/>
        <v>Low Risk</v>
      </c>
      <c r="K2290" s="3" t="str">
        <f t="shared" si="105"/>
        <v>4+ Years</v>
      </c>
    </row>
    <row r="2291" spans="1:11" x14ac:dyDescent="0.3">
      <c r="A2291" t="s">
        <v>2308</v>
      </c>
      <c r="B2291" t="s">
        <v>14</v>
      </c>
      <c r="C2291" t="s">
        <v>10</v>
      </c>
      <c r="D2291" t="s">
        <v>11</v>
      </c>
      <c r="E2291">
        <v>106.7</v>
      </c>
      <c r="F2291">
        <v>12</v>
      </c>
      <c r="G2291">
        <v>1280.4000000000001</v>
      </c>
      <c r="H2291" t="s">
        <v>18</v>
      </c>
      <c r="I2291" t="str">
        <f t="shared" si="106"/>
        <v>Low Value</v>
      </c>
      <c r="J2291" t="str">
        <f t="shared" si="107"/>
        <v>Medium Risk</v>
      </c>
      <c r="K2291" s="3" t="str">
        <f t="shared" si="105"/>
        <v>0-1 Year</v>
      </c>
    </row>
    <row r="2292" spans="1:11" x14ac:dyDescent="0.3">
      <c r="A2292" t="s">
        <v>2309</v>
      </c>
      <c r="B2292" t="s">
        <v>14</v>
      </c>
      <c r="C2292" t="s">
        <v>10</v>
      </c>
      <c r="D2292" t="s">
        <v>11</v>
      </c>
      <c r="E2292">
        <v>25.15</v>
      </c>
      <c r="F2292">
        <v>1</v>
      </c>
      <c r="G2292">
        <v>25.15</v>
      </c>
      <c r="H2292" t="s">
        <v>18</v>
      </c>
      <c r="I2292" t="str">
        <f t="shared" si="106"/>
        <v>Low Value</v>
      </c>
      <c r="J2292" t="str">
        <f t="shared" si="107"/>
        <v>High Risk</v>
      </c>
      <c r="K2292" s="3" t="str">
        <f t="shared" si="105"/>
        <v>0-1 Year</v>
      </c>
    </row>
    <row r="2293" spans="1:11" x14ac:dyDescent="0.3">
      <c r="A2293" t="s">
        <v>2310</v>
      </c>
      <c r="B2293" t="s">
        <v>14</v>
      </c>
      <c r="C2293" t="s">
        <v>10</v>
      </c>
      <c r="D2293" t="s">
        <v>11</v>
      </c>
      <c r="E2293">
        <v>45.2</v>
      </c>
      <c r="F2293">
        <v>1</v>
      </c>
      <c r="G2293">
        <v>45.2</v>
      </c>
      <c r="H2293" t="s">
        <v>12</v>
      </c>
      <c r="I2293" t="str">
        <f t="shared" si="106"/>
        <v>Low Value</v>
      </c>
      <c r="J2293" t="str">
        <f t="shared" si="107"/>
        <v>High Risk</v>
      </c>
      <c r="K2293" s="3" t="str">
        <f t="shared" si="105"/>
        <v>0-1 Year</v>
      </c>
    </row>
    <row r="2294" spans="1:11" x14ac:dyDescent="0.3">
      <c r="A2294" t="s">
        <v>2311</v>
      </c>
      <c r="B2294" t="s">
        <v>9</v>
      </c>
      <c r="C2294" t="s">
        <v>15</v>
      </c>
      <c r="D2294" t="s">
        <v>11</v>
      </c>
      <c r="E2294">
        <v>110.35</v>
      </c>
      <c r="F2294">
        <v>54</v>
      </c>
      <c r="G2294">
        <v>5958.9</v>
      </c>
      <c r="H2294" t="s">
        <v>18</v>
      </c>
      <c r="I2294" t="str">
        <f t="shared" si="106"/>
        <v>High Value</v>
      </c>
      <c r="J2294" t="str">
        <f t="shared" si="107"/>
        <v>Low Risk</v>
      </c>
      <c r="K2294" s="3" t="str">
        <f t="shared" si="105"/>
        <v>4+ Years</v>
      </c>
    </row>
    <row r="2295" spans="1:11" x14ac:dyDescent="0.3">
      <c r="A2295" t="s">
        <v>2312</v>
      </c>
      <c r="B2295" t="s">
        <v>14</v>
      </c>
      <c r="C2295" t="s">
        <v>30</v>
      </c>
      <c r="D2295" t="s">
        <v>24</v>
      </c>
      <c r="E2295">
        <v>79.2</v>
      </c>
      <c r="F2295">
        <v>69</v>
      </c>
      <c r="G2295">
        <v>5464.8</v>
      </c>
      <c r="H2295" t="s">
        <v>12</v>
      </c>
      <c r="I2295" t="str">
        <f t="shared" si="106"/>
        <v>High Value</v>
      </c>
      <c r="J2295" t="str">
        <f t="shared" si="107"/>
        <v>Low Risk</v>
      </c>
      <c r="K2295" s="3" t="str">
        <f t="shared" si="105"/>
        <v>4+ Years</v>
      </c>
    </row>
    <row r="2296" spans="1:11" x14ac:dyDescent="0.3">
      <c r="A2296" t="s">
        <v>2313</v>
      </c>
      <c r="B2296" t="s">
        <v>9</v>
      </c>
      <c r="C2296" t="s">
        <v>30</v>
      </c>
      <c r="D2296" t="s">
        <v>24</v>
      </c>
      <c r="E2296">
        <v>55.5</v>
      </c>
      <c r="F2296">
        <v>48</v>
      </c>
      <c r="G2296">
        <v>2664</v>
      </c>
      <c r="H2296" t="s">
        <v>12</v>
      </c>
      <c r="I2296" t="str">
        <f t="shared" si="106"/>
        <v>Medium Value</v>
      </c>
      <c r="J2296" t="str">
        <f t="shared" si="107"/>
        <v>Low Risk</v>
      </c>
      <c r="K2296" s="3" t="str">
        <f t="shared" si="105"/>
        <v>2-4 Years</v>
      </c>
    </row>
    <row r="2297" spans="1:11" x14ac:dyDescent="0.3">
      <c r="A2297" t="s">
        <v>2314</v>
      </c>
      <c r="B2297" t="s">
        <v>9</v>
      </c>
      <c r="C2297" t="s">
        <v>15</v>
      </c>
      <c r="D2297" t="s">
        <v>24</v>
      </c>
      <c r="E2297">
        <v>103.25</v>
      </c>
      <c r="F2297">
        <v>48</v>
      </c>
      <c r="G2297">
        <v>4956</v>
      </c>
      <c r="H2297" t="s">
        <v>18</v>
      </c>
      <c r="I2297" t="str">
        <f t="shared" si="106"/>
        <v>Medium Value</v>
      </c>
      <c r="J2297" t="str">
        <f t="shared" si="107"/>
        <v>Low Risk</v>
      </c>
      <c r="K2297" s="3" t="str">
        <f t="shared" si="105"/>
        <v>2-4 Years</v>
      </c>
    </row>
    <row r="2298" spans="1:11" x14ac:dyDescent="0.3">
      <c r="A2298" t="s">
        <v>2315</v>
      </c>
      <c r="B2298" t="s">
        <v>9</v>
      </c>
      <c r="C2298" t="s">
        <v>10</v>
      </c>
      <c r="D2298" t="s">
        <v>11</v>
      </c>
      <c r="E2298">
        <v>90.25</v>
      </c>
      <c r="F2298">
        <v>8</v>
      </c>
      <c r="G2298">
        <v>722</v>
      </c>
      <c r="H2298" t="s">
        <v>12</v>
      </c>
      <c r="I2298" t="str">
        <f t="shared" si="106"/>
        <v>Low Value</v>
      </c>
      <c r="J2298" t="str">
        <f t="shared" si="107"/>
        <v>High Risk</v>
      </c>
      <c r="K2298" s="3" t="str">
        <f t="shared" si="105"/>
        <v>0-1 Year</v>
      </c>
    </row>
    <row r="2299" spans="1:11" x14ac:dyDescent="0.3">
      <c r="A2299" t="s">
        <v>2316</v>
      </c>
      <c r="B2299" t="s">
        <v>14</v>
      </c>
      <c r="C2299" t="s">
        <v>30</v>
      </c>
      <c r="D2299" t="s">
        <v>16</v>
      </c>
      <c r="E2299">
        <v>91.25</v>
      </c>
      <c r="F2299">
        <v>71</v>
      </c>
      <c r="G2299">
        <v>6478.75</v>
      </c>
      <c r="H2299" t="s">
        <v>12</v>
      </c>
      <c r="I2299" t="str">
        <f t="shared" si="106"/>
        <v>High Value</v>
      </c>
      <c r="J2299" t="str">
        <f t="shared" si="107"/>
        <v>Low Risk</v>
      </c>
      <c r="K2299" s="3" t="str">
        <f t="shared" si="105"/>
        <v>4+ Years</v>
      </c>
    </row>
    <row r="2300" spans="1:11" x14ac:dyDescent="0.3">
      <c r="A2300" t="s">
        <v>2317</v>
      </c>
      <c r="B2300" t="s">
        <v>14</v>
      </c>
      <c r="C2300" t="s">
        <v>10</v>
      </c>
      <c r="D2300" t="s">
        <v>11</v>
      </c>
      <c r="E2300">
        <v>47.8</v>
      </c>
      <c r="F2300">
        <v>2</v>
      </c>
      <c r="G2300">
        <v>95.6</v>
      </c>
      <c r="H2300" t="s">
        <v>18</v>
      </c>
      <c r="I2300" t="str">
        <f t="shared" si="106"/>
        <v>Low Value</v>
      </c>
      <c r="J2300" t="str">
        <f t="shared" si="107"/>
        <v>High Risk</v>
      </c>
      <c r="K2300" s="3" t="str">
        <f t="shared" si="105"/>
        <v>0-1 Year</v>
      </c>
    </row>
    <row r="2301" spans="1:11" x14ac:dyDescent="0.3">
      <c r="A2301" t="s">
        <v>2318</v>
      </c>
      <c r="B2301" t="s">
        <v>14</v>
      </c>
      <c r="C2301" t="s">
        <v>15</v>
      </c>
      <c r="D2301" t="s">
        <v>24</v>
      </c>
      <c r="E2301">
        <v>100.9</v>
      </c>
      <c r="F2301">
        <v>67</v>
      </c>
      <c r="G2301">
        <v>6760.3</v>
      </c>
      <c r="H2301" t="s">
        <v>12</v>
      </c>
      <c r="I2301" t="str">
        <f t="shared" si="106"/>
        <v>High Value</v>
      </c>
      <c r="J2301" t="str">
        <f t="shared" si="107"/>
        <v>Low Risk</v>
      </c>
      <c r="K2301" s="3" t="str">
        <f t="shared" si="105"/>
        <v>4+ Years</v>
      </c>
    </row>
    <row r="2302" spans="1:11" x14ac:dyDescent="0.3">
      <c r="A2302" t="s">
        <v>2319</v>
      </c>
      <c r="B2302" t="s">
        <v>14</v>
      </c>
      <c r="C2302" t="s">
        <v>10</v>
      </c>
      <c r="D2302" t="s">
        <v>20</v>
      </c>
      <c r="E2302">
        <v>97.7</v>
      </c>
      <c r="F2302">
        <v>34</v>
      </c>
      <c r="G2302">
        <v>3321.8</v>
      </c>
      <c r="H2302" t="s">
        <v>12</v>
      </c>
      <c r="I2302" t="str">
        <f t="shared" si="106"/>
        <v>Medium Value</v>
      </c>
      <c r="J2302" t="str">
        <f t="shared" si="107"/>
        <v>Low Risk</v>
      </c>
      <c r="K2302" s="3" t="str">
        <f t="shared" si="105"/>
        <v>2-4 Years</v>
      </c>
    </row>
    <row r="2303" spans="1:11" x14ac:dyDescent="0.3">
      <c r="A2303" t="s">
        <v>2320</v>
      </c>
      <c r="B2303" t="s">
        <v>9</v>
      </c>
      <c r="C2303" t="s">
        <v>10</v>
      </c>
      <c r="D2303" t="s">
        <v>11</v>
      </c>
      <c r="E2303">
        <v>69.849999999999994</v>
      </c>
      <c r="F2303">
        <v>3</v>
      </c>
      <c r="G2303">
        <v>209.54999999999899</v>
      </c>
      <c r="H2303" t="s">
        <v>12</v>
      </c>
      <c r="I2303" t="str">
        <f t="shared" si="106"/>
        <v>Low Value</v>
      </c>
      <c r="J2303" t="str">
        <f t="shared" si="107"/>
        <v>High Risk</v>
      </c>
      <c r="K2303" s="3" t="str">
        <f t="shared" si="105"/>
        <v>0-1 Year</v>
      </c>
    </row>
    <row r="2304" spans="1:11" x14ac:dyDescent="0.3">
      <c r="A2304" t="s">
        <v>2321</v>
      </c>
      <c r="B2304" t="s">
        <v>9</v>
      </c>
      <c r="C2304" t="s">
        <v>15</v>
      </c>
      <c r="D2304" t="s">
        <v>16</v>
      </c>
      <c r="E2304">
        <v>65.599999999999994</v>
      </c>
      <c r="F2304">
        <v>9</v>
      </c>
      <c r="G2304">
        <v>590.4</v>
      </c>
      <c r="H2304" t="s">
        <v>12</v>
      </c>
      <c r="I2304" t="str">
        <f t="shared" si="106"/>
        <v>Low Value</v>
      </c>
      <c r="J2304" t="str">
        <f t="shared" si="107"/>
        <v>High Risk</v>
      </c>
      <c r="K2304" s="3" t="str">
        <f t="shared" si="105"/>
        <v>0-1 Year</v>
      </c>
    </row>
    <row r="2305" spans="1:11" x14ac:dyDescent="0.3">
      <c r="A2305" t="s">
        <v>2322</v>
      </c>
      <c r="B2305" t="s">
        <v>14</v>
      </c>
      <c r="C2305" t="s">
        <v>15</v>
      </c>
      <c r="D2305" t="s">
        <v>20</v>
      </c>
      <c r="E2305">
        <v>104.65</v>
      </c>
      <c r="F2305">
        <v>71</v>
      </c>
      <c r="G2305">
        <v>7430.15</v>
      </c>
      <c r="H2305" t="s">
        <v>12</v>
      </c>
      <c r="I2305" t="str">
        <f t="shared" si="106"/>
        <v>High Value</v>
      </c>
      <c r="J2305" t="str">
        <f t="shared" si="107"/>
        <v>Low Risk</v>
      </c>
      <c r="K2305" s="3" t="str">
        <f t="shared" si="105"/>
        <v>4+ Years</v>
      </c>
    </row>
    <row r="2306" spans="1:11" x14ac:dyDescent="0.3">
      <c r="A2306" t="s">
        <v>2323</v>
      </c>
      <c r="B2306" t="s">
        <v>14</v>
      </c>
      <c r="C2306" t="s">
        <v>30</v>
      </c>
      <c r="D2306" t="s">
        <v>24</v>
      </c>
      <c r="E2306">
        <v>90.45</v>
      </c>
      <c r="F2306">
        <v>57</v>
      </c>
      <c r="G2306">
        <v>5155.6499999999996</v>
      </c>
      <c r="H2306" t="s">
        <v>12</v>
      </c>
      <c r="I2306" t="str">
        <f t="shared" si="106"/>
        <v>High Value</v>
      </c>
      <c r="J2306" t="str">
        <f t="shared" si="107"/>
        <v>Low Risk</v>
      </c>
      <c r="K2306" s="3" t="str">
        <f t="shared" si="105"/>
        <v>4+ Years</v>
      </c>
    </row>
    <row r="2307" spans="1:11" x14ac:dyDescent="0.3">
      <c r="A2307" t="s">
        <v>2324</v>
      </c>
      <c r="B2307" t="s">
        <v>14</v>
      </c>
      <c r="C2307" t="s">
        <v>30</v>
      </c>
      <c r="D2307" t="s">
        <v>20</v>
      </c>
      <c r="E2307">
        <v>63.7</v>
      </c>
      <c r="F2307">
        <v>72</v>
      </c>
      <c r="G2307">
        <v>4586.3999999999996</v>
      </c>
      <c r="H2307" t="s">
        <v>12</v>
      </c>
      <c r="I2307" t="str">
        <f t="shared" si="106"/>
        <v>Medium Value</v>
      </c>
      <c r="J2307" t="str">
        <f t="shared" si="107"/>
        <v>Low Risk</v>
      </c>
      <c r="K2307" s="3" t="str">
        <f t="shared" ref="K2307:K2370" si="108">IF(F2307&lt;=12,"0-1 Year",
IF(F2307&lt;=24,"1-2 Years",
IF(F2307&lt;=48,"2-4 Years","4+ Years")))</f>
        <v>4+ Years</v>
      </c>
    </row>
    <row r="2308" spans="1:11" x14ac:dyDescent="0.3">
      <c r="A2308" t="s">
        <v>2325</v>
      </c>
      <c r="B2308" t="s">
        <v>9</v>
      </c>
      <c r="C2308" t="s">
        <v>10</v>
      </c>
      <c r="D2308" t="s">
        <v>11</v>
      </c>
      <c r="E2308">
        <v>104.5</v>
      </c>
      <c r="F2308">
        <v>48</v>
      </c>
      <c r="G2308">
        <v>5016</v>
      </c>
      <c r="H2308" t="s">
        <v>12</v>
      </c>
      <c r="I2308" t="str">
        <f t="shared" ref="I2308:I2371" si="109">IF(G2308&gt;5000,"High Value",
IF(G2308&gt;2000,"Medium Value","Low Value"))</f>
        <v>High Value</v>
      </c>
      <c r="J2308" t="str">
        <f t="shared" ref="J2308:J2371" si="110">IF(F2308&lt;12,"High Risk",
IF(F2308&lt;24,"Medium Risk","Low Risk"))</f>
        <v>Low Risk</v>
      </c>
      <c r="K2308" s="3" t="str">
        <f t="shared" si="108"/>
        <v>2-4 Years</v>
      </c>
    </row>
    <row r="2309" spans="1:11" x14ac:dyDescent="0.3">
      <c r="A2309" t="s">
        <v>2326</v>
      </c>
      <c r="B2309" t="s">
        <v>14</v>
      </c>
      <c r="C2309" t="s">
        <v>15</v>
      </c>
      <c r="D2309" t="s">
        <v>16</v>
      </c>
      <c r="E2309">
        <v>20.100000000000001</v>
      </c>
      <c r="F2309">
        <v>18</v>
      </c>
      <c r="G2309">
        <v>361.8</v>
      </c>
      <c r="H2309" t="s">
        <v>12</v>
      </c>
      <c r="I2309" t="str">
        <f t="shared" si="109"/>
        <v>Low Value</v>
      </c>
      <c r="J2309" t="str">
        <f t="shared" si="110"/>
        <v>Medium Risk</v>
      </c>
      <c r="K2309" s="3" t="str">
        <f t="shared" si="108"/>
        <v>1-2 Years</v>
      </c>
    </row>
    <row r="2310" spans="1:11" x14ac:dyDescent="0.3">
      <c r="A2310" t="s">
        <v>2327</v>
      </c>
      <c r="B2310" t="s">
        <v>14</v>
      </c>
      <c r="C2310" t="s">
        <v>15</v>
      </c>
      <c r="D2310" t="s">
        <v>24</v>
      </c>
      <c r="E2310">
        <v>104.3</v>
      </c>
      <c r="F2310">
        <v>43</v>
      </c>
      <c r="G2310">
        <v>4484.8999999999996</v>
      </c>
      <c r="H2310" t="s">
        <v>12</v>
      </c>
      <c r="I2310" t="str">
        <f t="shared" si="109"/>
        <v>Medium Value</v>
      </c>
      <c r="J2310" t="str">
        <f t="shared" si="110"/>
        <v>Low Risk</v>
      </c>
      <c r="K2310" s="3" t="str">
        <f t="shared" si="108"/>
        <v>2-4 Years</v>
      </c>
    </row>
    <row r="2311" spans="1:11" x14ac:dyDescent="0.3">
      <c r="A2311" t="s">
        <v>2328</v>
      </c>
      <c r="B2311" t="s">
        <v>9</v>
      </c>
      <c r="C2311" t="s">
        <v>30</v>
      </c>
      <c r="D2311" t="s">
        <v>20</v>
      </c>
      <c r="E2311">
        <v>93.25</v>
      </c>
      <c r="F2311">
        <v>72</v>
      </c>
      <c r="G2311">
        <v>6714</v>
      </c>
      <c r="H2311" t="s">
        <v>12</v>
      </c>
      <c r="I2311" t="str">
        <f t="shared" si="109"/>
        <v>High Value</v>
      </c>
      <c r="J2311" t="str">
        <f t="shared" si="110"/>
        <v>Low Risk</v>
      </c>
      <c r="K2311" s="3" t="str">
        <f t="shared" si="108"/>
        <v>4+ Years</v>
      </c>
    </row>
    <row r="2312" spans="1:11" x14ac:dyDescent="0.3">
      <c r="A2312" t="s">
        <v>2329</v>
      </c>
      <c r="B2312" t="s">
        <v>14</v>
      </c>
      <c r="C2312" t="s">
        <v>15</v>
      </c>
      <c r="D2312" t="s">
        <v>20</v>
      </c>
      <c r="E2312">
        <v>73.45</v>
      </c>
      <c r="F2312">
        <v>35</v>
      </c>
      <c r="G2312">
        <v>2570.75</v>
      </c>
      <c r="H2312" t="s">
        <v>12</v>
      </c>
      <c r="I2312" t="str">
        <f t="shared" si="109"/>
        <v>Medium Value</v>
      </c>
      <c r="J2312" t="str">
        <f t="shared" si="110"/>
        <v>Low Risk</v>
      </c>
      <c r="K2312" s="3" t="str">
        <f t="shared" si="108"/>
        <v>2-4 Years</v>
      </c>
    </row>
    <row r="2313" spans="1:11" x14ac:dyDescent="0.3">
      <c r="A2313" t="s">
        <v>2330</v>
      </c>
      <c r="B2313" t="s">
        <v>14</v>
      </c>
      <c r="C2313" t="s">
        <v>10</v>
      </c>
      <c r="D2313" t="s">
        <v>16</v>
      </c>
      <c r="E2313">
        <v>20.7</v>
      </c>
      <c r="F2313">
        <v>4</v>
      </c>
      <c r="G2313">
        <v>82.8</v>
      </c>
      <c r="H2313" t="s">
        <v>12</v>
      </c>
      <c r="I2313" t="str">
        <f t="shared" si="109"/>
        <v>Low Value</v>
      </c>
      <c r="J2313" t="str">
        <f t="shared" si="110"/>
        <v>High Risk</v>
      </c>
      <c r="K2313" s="3" t="str">
        <f t="shared" si="108"/>
        <v>0-1 Year</v>
      </c>
    </row>
    <row r="2314" spans="1:11" x14ac:dyDescent="0.3">
      <c r="A2314" t="s">
        <v>2331</v>
      </c>
      <c r="B2314" t="s">
        <v>9</v>
      </c>
      <c r="C2314" t="s">
        <v>30</v>
      </c>
      <c r="D2314" t="s">
        <v>16</v>
      </c>
      <c r="E2314">
        <v>25.25</v>
      </c>
      <c r="F2314">
        <v>49</v>
      </c>
      <c r="G2314">
        <v>1237.25</v>
      </c>
      <c r="H2314" t="s">
        <v>12</v>
      </c>
      <c r="I2314" t="str">
        <f t="shared" si="109"/>
        <v>Low Value</v>
      </c>
      <c r="J2314" t="str">
        <f t="shared" si="110"/>
        <v>Low Risk</v>
      </c>
      <c r="K2314" s="3" t="str">
        <f t="shared" si="108"/>
        <v>4+ Years</v>
      </c>
    </row>
    <row r="2315" spans="1:11" x14ac:dyDescent="0.3">
      <c r="A2315" t="s">
        <v>2332</v>
      </c>
      <c r="B2315" t="s">
        <v>9</v>
      </c>
      <c r="C2315" t="s">
        <v>30</v>
      </c>
      <c r="D2315" t="s">
        <v>20</v>
      </c>
      <c r="E2315">
        <v>100.5</v>
      </c>
      <c r="F2315">
        <v>71</v>
      </c>
      <c r="G2315">
        <v>7135.5</v>
      </c>
      <c r="H2315" t="s">
        <v>12</v>
      </c>
      <c r="I2315" t="str">
        <f t="shared" si="109"/>
        <v>High Value</v>
      </c>
      <c r="J2315" t="str">
        <f t="shared" si="110"/>
        <v>Low Risk</v>
      </c>
      <c r="K2315" s="3" t="str">
        <f t="shared" si="108"/>
        <v>4+ Years</v>
      </c>
    </row>
    <row r="2316" spans="1:11" x14ac:dyDescent="0.3">
      <c r="A2316" t="s">
        <v>2333</v>
      </c>
      <c r="B2316" t="s">
        <v>14</v>
      </c>
      <c r="C2316" t="s">
        <v>10</v>
      </c>
      <c r="D2316" t="s">
        <v>11</v>
      </c>
      <c r="E2316">
        <v>90.6</v>
      </c>
      <c r="F2316">
        <v>11</v>
      </c>
      <c r="G2316">
        <v>996.599999999999</v>
      </c>
      <c r="H2316" t="s">
        <v>12</v>
      </c>
      <c r="I2316" t="str">
        <f t="shared" si="109"/>
        <v>Low Value</v>
      </c>
      <c r="J2316" t="str">
        <f t="shared" si="110"/>
        <v>High Risk</v>
      </c>
      <c r="K2316" s="3" t="str">
        <f t="shared" si="108"/>
        <v>0-1 Year</v>
      </c>
    </row>
    <row r="2317" spans="1:11" x14ac:dyDescent="0.3">
      <c r="A2317" t="s">
        <v>2334</v>
      </c>
      <c r="B2317" t="s">
        <v>14</v>
      </c>
      <c r="C2317" t="s">
        <v>30</v>
      </c>
      <c r="D2317" t="s">
        <v>24</v>
      </c>
      <c r="E2317">
        <v>89.4</v>
      </c>
      <c r="F2317">
        <v>63</v>
      </c>
      <c r="G2317">
        <v>5632.2</v>
      </c>
      <c r="H2317" t="s">
        <v>12</v>
      </c>
      <c r="I2317" t="str">
        <f t="shared" si="109"/>
        <v>High Value</v>
      </c>
      <c r="J2317" t="str">
        <f t="shared" si="110"/>
        <v>Low Risk</v>
      </c>
      <c r="K2317" s="3" t="str">
        <f t="shared" si="108"/>
        <v>4+ Years</v>
      </c>
    </row>
    <row r="2318" spans="1:11" x14ac:dyDescent="0.3">
      <c r="A2318" t="s">
        <v>2335</v>
      </c>
      <c r="B2318" t="s">
        <v>9</v>
      </c>
      <c r="C2318" t="s">
        <v>10</v>
      </c>
      <c r="D2318" t="s">
        <v>20</v>
      </c>
      <c r="E2318">
        <v>95.45</v>
      </c>
      <c r="F2318">
        <v>65</v>
      </c>
      <c r="G2318">
        <v>6204.25</v>
      </c>
      <c r="H2318" t="s">
        <v>12</v>
      </c>
      <c r="I2318" t="str">
        <f t="shared" si="109"/>
        <v>High Value</v>
      </c>
      <c r="J2318" t="str">
        <f t="shared" si="110"/>
        <v>Low Risk</v>
      </c>
      <c r="K2318" s="3" t="str">
        <f t="shared" si="108"/>
        <v>4+ Years</v>
      </c>
    </row>
    <row r="2319" spans="1:11" x14ac:dyDescent="0.3">
      <c r="A2319" t="s">
        <v>2336</v>
      </c>
      <c r="B2319" t="s">
        <v>9</v>
      </c>
      <c r="C2319" t="s">
        <v>30</v>
      </c>
      <c r="D2319" t="s">
        <v>24</v>
      </c>
      <c r="E2319">
        <v>20.45</v>
      </c>
      <c r="F2319">
        <v>49</v>
      </c>
      <c r="G2319">
        <v>1002.05</v>
      </c>
      <c r="H2319" t="s">
        <v>12</v>
      </c>
      <c r="I2319" t="str">
        <f t="shared" si="109"/>
        <v>Low Value</v>
      </c>
      <c r="J2319" t="str">
        <f t="shared" si="110"/>
        <v>Low Risk</v>
      </c>
      <c r="K2319" s="3" t="str">
        <f t="shared" si="108"/>
        <v>4+ Years</v>
      </c>
    </row>
    <row r="2320" spans="1:11" x14ac:dyDescent="0.3">
      <c r="A2320" t="s">
        <v>2337</v>
      </c>
      <c r="B2320" t="s">
        <v>9</v>
      </c>
      <c r="C2320" t="s">
        <v>10</v>
      </c>
      <c r="D2320" t="s">
        <v>24</v>
      </c>
      <c r="E2320">
        <v>98.6</v>
      </c>
      <c r="F2320">
        <v>29</v>
      </c>
      <c r="G2320">
        <v>2859.3999999999901</v>
      </c>
      <c r="H2320" t="s">
        <v>18</v>
      </c>
      <c r="I2320" t="str">
        <f t="shared" si="109"/>
        <v>Medium Value</v>
      </c>
      <c r="J2320" t="str">
        <f t="shared" si="110"/>
        <v>Low Risk</v>
      </c>
      <c r="K2320" s="3" t="str">
        <f t="shared" si="108"/>
        <v>2-4 Years</v>
      </c>
    </row>
    <row r="2321" spans="1:11" x14ac:dyDescent="0.3">
      <c r="A2321" t="s">
        <v>2338</v>
      </c>
      <c r="B2321" t="s">
        <v>9</v>
      </c>
      <c r="C2321" t="s">
        <v>10</v>
      </c>
      <c r="D2321" t="s">
        <v>11</v>
      </c>
      <c r="E2321">
        <v>83.05</v>
      </c>
      <c r="F2321">
        <v>15</v>
      </c>
      <c r="G2321">
        <v>1245.75</v>
      </c>
      <c r="H2321" t="s">
        <v>18</v>
      </c>
      <c r="I2321" t="str">
        <f t="shared" si="109"/>
        <v>Low Value</v>
      </c>
      <c r="J2321" t="str">
        <f t="shared" si="110"/>
        <v>Medium Risk</v>
      </c>
      <c r="K2321" s="3" t="str">
        <f t="shared" si="108"/>
        <v>1-2 Years</v>
      </c>
    </row>
    <row r="2322" spans="1:11" x14ac:dyDescent="0.3">
      <c r="A2322" t="s">
        <v>2339</v>
      </c>
      <c r="B2322" t="s">
        <v>9</v>
      </c>
      <c r="C2322" t="s">
        <v>10</v>
      </c>
      <c r="D2322" t="s">
        <v>11</v>
      </c>
      <c r="E2322">
        <v>19.95</v>
      </c>
      <c r="F2322">
        <v>4</v>
      </c>
      <c r="G2322">
        <v>79.8</v>
      </c>
      <c r="H2322" t="s">
        <v>12</v>
      </c>
      <c r="I2322" t="str">
        <f t="shared" si="109"/>
        <v>Low Value</v>
      </c>
      <c r="J2322" t="str">
        <f t="shared" si="110"/>
        <v>High Risk</v>
      </c>
      <c r="K2322" s="3" t="str">
        <f t="shared" si="108"/>
        <v>0-1 Year</v>
      </c>
    </row>
    <row r="2323" spans="1:11" x14ac:dyDescent="0.3">
      <c r="A2323" t="s">
        <v>2340</v>
      </c>
      <c r="B2323" t="s">
        <v>9</v>
      </c>
      <c r="C2323" t="s">
        <v>15</v>
      </c>
      <c r="D2323" t="s">
        <v>24</v>
      </c>
      <c r="E2323">
        <v>109.15</v>
      </c>
      <c r="F2323">
        <v>72</v>
      </c>
      <c r="G2323">
        <v>7858.8</v>
      </c>
      <c r="H2323" t="s">
        <v>12</v>
      </c>
      <c r="I2323" t="str">
        <f t="shared" si="109"/>
        <v>High Value</v>
      </c>
      <c r="J2323" t="str">
        <f t="shared" si="110"/>
        <v>Low Risk</v>
      </c>
      <c r="K2323" s="3" t="str">
        <f t="shared" si="108"/>
        <v>4+ Years</v>
      </c>
    </row>
    <row r="2324" spans="1:11" x14ac:dyDescent="0.3">
      <c r="A2324" t="s">
        <v>2341</v>
      </c>
      <c r="B2324" t="s">
        <v>9</v>
      </c>
      <c r="C2324" t="s">
        <v>10</v>
      </c>
      <c r="D2324" t="s">
        <v>24</v>
      </c>
      <c r="E2324">
        <v>85.7</v>
      </c>
      <c r="F2324">
        <v>26</v>
      </c>
      <c r="G2324">
        <v>2228.1999999999998</v>
      </c>
      <c r="H2324" t="s">
        <v>12</v>
      </c>
      <c r="I2324" t="str">
        <f t="shared" si="109"/>
        <v>Medium Value</v>
      </c>
      <c r="J2324" t="str">
        <f t="shared" si="110"/>
        <v>Low Risk</v>
      </c>
      <c r="K2324" s="3" t="str">
        <f t="shared" si="108"/>
        <v>2-4 Years</v>
      </c>
    </row>
    <row r="2325" spans="1:11" x14ac:dyDescent="0.3">
      <c r="A2325" t="s">
        <v>2342</v>
      </c>
      <c r="B2325" t="s">
        <v>9</v>
      </c>
      <c r="C2325" t="s">
        <v>10</v>
      </c>
      <c r="D2325" t="s">
        <v>20</v>
      </c>
      <c r="E2325">
        <v>102.05</v>
      </c>
      <c r="F2325">
        <v>35</v>
      </c>
      <c r="G2325">
        <v>3571.75</v>
      </c>
      <c r="H2325" t="s">
        <v>12</v>
      </c>
      <c r="I2325" t="str">
        <f t="shared" si="109"/>
        <v>Medium Value</v>
      </c>
      <c r="J2325" t="str">
        <f t="shared" si="110"/>
        <v>Low Risk</v>
      </c>
      <c r="K2325" s="3" t="str">
        <f t="shared" si="108"/>
        <v>2-4 Years</v>
      </c>
    </row>
    <row r="2326" spans="1:11" x14ac:dyDescent="0.3">
      <c r="A2326" t="s">
        <v>2343</v>
      </c>
      <c r="B2326" t="s">
        <v>9</v>
      </c>
      <c r="C2326" t="s">
        <v>15</v>
      </c>
      <c r="D2326" t="s">
        <v>11</v>
      </c>
      <c r="E2326">
        <v>94.7</v>
      </c>
      <c r="F2326">
        <v>57</v>
      </c>
      <c r="G2326">
        <v>5397.9</v>
      </c>
      <c r="H2326" t="s">
        <v>12</v>
      </c>
      <c r="I2326" t="str">
        <f t="shared" si="109"/>
        <v>High Value</v>
      </c>
      <c r="J2326" t="str">
        <f t="shared" si="110"/>
        <v>Low Risk</v>
      </c>
      <c r="K2326" s="3" t="str">
        <f t="shared" si="108"/>
        <v>4+ Years</v>
      </c>
    </row>
    <row r="2327" spans="1:11" x14ac:dyDescent="0.3">
      <c r="A2327" t="s">
        <v>2344</v>
      </c>
      <c r="B2327" t="s">
        <v>14</v>
      </c>
      <c r="C2327" t="s">
        <v>10</v>
      </c>
      <c r="D2327" t="s">
        <v>11</v>
      </c>
      <c r="E2327">
        <v>64.400000000000006</v>
      </c>
      <c r="F2327">
        <v>28</v>
      </c>
      <c r="G2327">
        <v>1803.2</v>
      </c>
      <c r="H2327" t="s">
        <v>12</v>
      </c>
      <c r="I2327" t="str">
        <f t="shared" si="109"/>
        <v>Low Value</v>
      </c>
      <c r="J2327" t="str">
        <f t="shared" si="110"/>
        <v>Low Risk</v>
      </c>
      <c r="K2327" s="3" t="str">
        <f t="shared" si="108"/>
        <v>2-4 Years</v>
      </c>
    </row>
    <row r="2328" spans="1:11" x14ac:dyDescent="0.3">
      <c r="A2328" t="s">
        <v>2345</v>
      </c>
      <c r="B2328" t="s">
        <v>9</v>
      </c>
      <c r="C2328" t="s">
        <v>15</v>
      </c>
      <c r="D2328" t="s">
        <v>16</v>
      </c>
      <c r="E2328">
        <v>26.8</v>
      </c>
      <c r="F2328">
        <v>25</v>
      </c>
      <c r="G2328">
        <v>670</v>
      </c>
      <c r="H2328" t="s">
        <v>12</v>
      </c>
      <c r="I2328" t="str">
        <f t="shared" si="109"/>
        <v>Low Value</v>
      </c>
      <c r="J2328" t="str">
        <f t="shared" si="110"/>
        <v>Low Risk</v>
      </c>
      <c r="K2328" s="3" t="str">
        <f t="shared" si="108"/>
        <v>2-4 Years</v>
      </c>
    </row>
    <row r="2329" spans="1:11" x14ac:dyDescent="0.3">
      <c r="A2329" t="s">
        <v>2346</v>
      </c>
      <c r="B2329" t="s">
        <v>9</v>
      </c>
      <c r="C2329" t="s">
        <v>15</v>
      </c>
      <c r="D2329" t="s">
        <v>24</v>
      </c>
      <c r="E2329">
        <v>66.05</v>
      </c>
      <c r="F2329">
        <v>47</v>
      </c>
      <c r="G2329">
        <v>3104.35</v>
      </c>
      <c r="H2329" t="s">
        <v>12</v>
      </c>
      <c r="I2329" t="str">
        <f t="shared" si="109"/>
        <v>Medium Value</v>
      </c>
      <c r="J2329" t="str">
        <f t="shared" si="110"/>
        <v>Low Risk</v>
      </c>
      <c r="K2329" s="3" t="str">
        <f t="shared" si="108"/>
        <v>2-4 Years</v>
      </c>
    </row>
    <row r="2330" spans="1:11" x14ac:dyDescent="0.3">
      <c r="A2330" t="s">
        <v>2347</v>
      </c>
      <c r="B2330" t="s">
        <v>9</v>
      </c>
      <c r="C2330" t="s">
        <v>10</v>
      </c>
      <c r="D2330" t="s">
        <v>20</v>
      </c>
      <c r="E2330">
        <v>65.2</v>
      </c>
      <c r="F2330">
        <v>57</v>
      </c>
      <c r="G2330">
        <v>3716.4</v>
      </c>
      <c r="H2330" t="s">
        <v>12</v>
      </c>
      <c r="I2330" t="str">
        <f t="shared" si="109"/>
        <v>Medium Value</v>
      </c>
      <c r="J2330" t="str">
        <f t="shared" si="110"/>
        <v>Low Risk</v>
      </c>
      <c r="K2330" s="3" t="str">
        <f t="shared" si="108"/>
        <v>4+ Years</v>
      </c>
    </row>
    <row r="2331" spans="1:11" x14ac:dyDescent="0.3">
      <c r="A2331" t="s">
        <v>2348</v>
      </c>
      <c r="B2331" t="s">
        <v>14</v>
      </c>
      <c r="C2331" t="s">
        <v>10</v>
      </c>
      <c r="D2331" t="s">
        <v>24</v>
      </c>
      <c r="E2331">
        <v>85.05</v>
      </c>
      <c r="F2331">
        <v>16</v>
      </c>
      <c r="G2331">
        <v>1360.8</v>
      </c>
      <c r="H2331" t="s">
        <v>12</v>
      </c>
      <c r="I2331" t="str">
        <f t="shared" si="109"/>
        <v>Low Value</v>
      </c>
      <c r="J2331" t="str">
        <f t="shared" si="110"/>
        <v>Medium Risk</v>
      </c>
      <c r="K2331" s="3" t="str">
        <f t="shared" si="108"/>
        <v>1-2 Years</v>
      </c>
    </row>
    <row r="2332" spans="1:11" x14ac:dyDescent="0.3">
      <c r="A2332" t="s">
        <v>2349</v>
      </c>
      <c r="B2332" t="s">
        <v>14</v>
      </c>
      <c r="C2332" t="s">
        <v>10</v>
      </c>
      <c r="D2332" t="s">
        <v>16</v>
      </c>
      <c r="E2332">
        <v>55.8</v>
      </c>
      <c r="F2332">
        <v>5</v>
      </c>
      <c r="G2332">
        <v>279</v>
      </c>
      <c r="H2332" t="s">
        <v>12</v>
      </c>
      <c r="I2332" t="str">
        <f t="shared" si="109"/>
        <v>Low Value</v>
      </c>
      <c r="J2332" t="str">
        <f t="shared" si="110"/>
        <v>High Risk</v>
      </c>
      <c r="K2332" s="3" t="str">
        <f t="shared" si="108"/>
        <v>0-1 Year</v>
      </c>
    </row>
    <row r="2333" spans="1:11" x14ac:dyDescent="0.3">
      <c r="A2333" t="s">
        <v>2350</v>
      </c>
      <c r="B2333" t="s">
        <v>14</v>
      </c>
      <c r="C2333" t="s">
        <v>10</v>
      </c>
      <c r="D2333" t="s">
        <v>20</v>
      </c>
      <c r="E2333">
        <v>70.400000000000006</v>
      </c>
      <c r="F2333">
        <v>17</v>
      </c>
      <c r="G2333">
        <v>1196.8</v>
      </c>
      <c r="H2333" t="s">
        <v>18</v>
      </c>
      <c r="I2333" t="str">
        <f t="shared" si="109"/>
        <v>Low Value</v>
      </c>
      <c r="J2333" t="str">
        <f t="shared" si="110"/>
        <v>Medium Risk</v>
      </c>
      <c r="K2333" s="3" t="str">
        <f t="shared" si="108"/>
        <v>1-2 Years</v>
      </c>
    </row>
    <row r="2334" spans="1:11" x14ac:dyDescent="0.3">
      <c r="A2334" t="s">
        <v>2351</v>
      </c>
      <c r="B2334" t="s">
        <v>9</v>
      </c>
      <c r="C2334" t="s">
        <v>15</v>
      </c>
      <c r="D2334" t="s">
        <v>20</v>
      </c>
      <c r="E2334">
        <v>104.75</v>
      </c>
      <c r="F2334">
        <v>56</v>
      </c>
      <c r="G2334">
        <v>5866</v>
      </c>
      <c r="H2334" t="s">
        <v>18</v>
      </c>
      <c r="I2334" t="str">
        <f t="shared" si="109"/>
        <v>High Value</v>
      </c>
      <c r="J2334" t="str">
        <f t="shared" si="110"/>
        <v>Low Risk</v>
      </c>
      <c r="K2334" s="3" t="str">
        <f t="shared" si="108"/>
        <v>4+ Years</v>
      </c>
    </row>
    <row r="2335" spans="1:11" x14ac:dyDescent="0.3">
      <c r="A2335" t="s">
        <v>2352</v>
      </c>
      <c r="B2335" t="s">
        <v>14</v>
      </c>
      <c r="C2335" t="s">
        <v>30</v>
      </c>
      <c r="D2335" t="s">
        <v>20</v>
      </c>
      <c r="E2335">
        <v>19.95</v>
      </c>
      <c r="F2335">
        <v>72</v>
      </c>
      <c r="G2335">
        <v>1436.3999999999901</v>
      </c>
      <c r="H2335" t="s">
        <v>12</v>
      </c>
      <c r="I2335" t="str">
        <f t="shared" si="109"/>
        <v>Low Value</v>
      </c>
      <c r="J2335" t="str">
        <f t="shared" si="110"/>
        <v>Low Risk</v>
      </c>
      <c r="K2335" s="3" t="str">
        <f t="shared" si="108"/>
        <v>4+ Years</v>
      </c>
    </row>
    <row r="2336" spans="1:11" x14ac:dyDescent="0.3">
      <c r="A2336" t="s">
        <v>2353</v>
      </c>
      <c r="B2336" t="s">
        <v>9</v>
      </c>
      <c r="C2336" t="s">
        <v>10</v>
      </c>
      <c r="D2336" t="s">
        <v>11</v>
      </c>
      <c r="E2336">
        <v>94.25</v>
      </c>
      <c r="F2336">
        <v>21</v>
      </c>
      <c r="G2336">
        <v>1979.25</v>
      </c>
      <c r="H2336" t="s">
        <v>18</v>
      </c>
      <c r="I2336" t="str">
        <f t="shared" si="109"/>
        <v>Low Value</v>
      </c>
      <c r="J2336" t="str">
        <f t="shared" si="110"/>
        <v>Medium Risk</v>
      </c>
      <c r="K2336" s="3" t="str">
        <f t="shared" si="108"/>
        <v>1-2 Years</v>
      </c>
    </row>
    <row r="2337" spans="1:11" x14ac:dyDescent="0.3">
      <c r="A2337" t="s">
        <v>2354</v>
      </c>
      <c r="B2337" t="s">
        <v>9</v>
      </c>
      <c r="C2337" t="s">
        <v>15</v>
      </c>
      <c r="D2337" t="s">
        <v>24</v>
      </c>
      <c r="E2337">
        <v>45</v>
      </c>
      <c r="F2337">
        <v>48</v>
      </c>
      <c r="G2337">
        <v>2160</v>
      </c>
      <c r="H2337" t="s">
        <v>12</v>
      </c>
      <c r="I2337" t="str">
        <f t="shared" si="109"/>
        <v>Medium Value</v>
      </c>
      <c r="J2337" t="str">
        <f t="shared" si="110"/>
        <v>Low Risk</v>
      </c>
      <c r="K2337" s="3" t="str">
        <f t="shared" si="108"/>
        <v>2-4 Years</v>
      </c>
    </row>
    <row r="2338" spans="1:11" x14ac:dyDescent="0.3">
      <c r="A2338" t="s">
        <v>2355</v>
      </c>
      <c r="B2338" t="s">
        <v>9</v>
      </c>
      <c r="C2338" t="s">
        <v>30</v>
      </c>
      <c r="D2338" t="s">
        <v>20</v>
      </c>
      <c r="E2338">
        <v>114.9</v>
      </c>
      <c r="F2338">
        <v>68</v>
      </c>
      <c r="G2338">
        <v>7813.2</v>
      </c>
      <c r="H2338" t="s">
        <v>12</v>
      </c>
      <c r="I2338" t="str">
        <f t="shared" si="109"/>
        <v>High Value</v>
      </c>
      <c r="J2338" t="str">
        <f t="shared" si="110"/>
        <v>Low Risk</v>
      </c>
      <c r="K2338" s="3" t="str">
        <f t="shared" si="108"/>
        <v>4+ Years</v>
      </c>
    </row>
    <row r="2339" spans="1:11" x14ac:dyDescent="0.3">
      <c r="A2339" t="s">
        <v>2356</v>
      </c>
      <c r="B2339" t="s">
        <v>9</v>
      </c>
      <c r="C2339" t="s">
        <v>10</v>
      </c>
      <c r="D2339" t="s">
        <v>20</v>
      </c>
      <c r="E2339">
        <v>106.4</v>
      </c>
      <c r="F2339">
        <v>30</v>
      </c>
      <c r="G2339">
        <v>3192</v>
      </c>
      <c r="H2339" t="s">
        <v>12</v>
      </c>
      <c r="I2339" t="str">
        <f t="shared" si="109"/>
        <v>Medium Value</v>
      </c>
      <c r="J2339" t="str">
        <f t="shared" si="110"/>
        <v>Low Risk</v>
      </c>
      <c r="K2339" s="3" t="str">
        <f t="shared" si="108"/>
        <v>2-4 Years</v>
      </c>
    </row>
    <row r="2340" spans="1:11" x14ac:dyDescent="0.3">
      <c r="A2340" t="s">
        <v>2357</v>
      </c>
      <c r="B2340" t="s">
        <v>9</v>
      </c>
      <c r="C2340" t="s">
        <v>10</v>
      </c>
      <c r="D2340" t="s">
        <v>16</v>
      </c>
      <c r="E2340">
        <v>46.1</v>
      </c>
      <c r="F2340">
        <v>3</v>
      </c>
      <c r="G2340">
        <v>138.30000000000001</v>
      </c>
      <c r="H2340" t="s">
        <v>12</v>
      </c>
      <c r="I2340" t="str">
        <f t="shared" si="109"/>
        <v>Low Value</v>
      </c>
      <c r="J2340" t="str">
        <f t="shared" si="110"/>
        <v>High Risk</v>
      </c>
      <c r="K2340" s="3" t="str">
        <f t="shared" si="108"/>
        <v>0-1 Year</v>
      </c>
    </row>
    <row r="2341" spans="1:11" x14ac:dyDescent="0.3">
      <c r="A2341" t="s">
        <v>2358</v>
      </c>
      <c r="B2341" t="s">
        <v>9</v>
      </c>
      <c r="C2341" t="s">
        <v>30</v>
      </c>
      <c r="D2341" t="s">
        <v>16</v>
      </c>
      <c r="E2341">
        <v>39.700000000000003</v>
      </c>
      <c r="F2341">
        <v>14</v>
      </c>
      <c r="G2341">
        <v>555.79999999999995</v>
      </c>
      <c r="H2341" t="s">
        <v>12</v>
      </c>
      <c r="I2341" t="str">
        <f t="shared" si="109"/>
        <v>Low Value</v>
      </c>
      <c r="J2341" t="str">
        <f t="shared" si="110"/>
        <v>Medium Risk</v>
      </c>
      <c r="K2341" s="3" t="str">
        <f t="shared" si="108"/>
        <v>1-2 Years</v>
      </c>
    </row>
    <row r="2342" spans="1:11" x14ac:dyDescent="0.3">
      <c r="A2342" t="s">
        <v>2359</v>
      </c>
      <c r="B2342" t="s">
        <v>9</v>
      </c>
      <c r="C2342" t="s">
        <v>10</v>
      </c>
      <c r="D2342" t="s">
        <v>20</v>
      </c>
      <c r="E2342">
        <v>20.05</v>
      </c>
      <c r="F2342">
        <v>4</v>
      </c>
      <c r="G2342">
        <v>80.2</v>
      </c>
      <c r="H2342" t="s">
        <v>12</v>
      </c>
      <c r="I2342" t="str">
        <f t="shared" si="109"/>
        <v>Low Value</v>
      </c>
      <c r="J2342" t="str">
        <f t="shared" si="110"/>
        <v>High Risk</v>
      </c>
      <c r="K2342" s="3" t="str">
        <f t="shared" si="108"/>
        <v>0-1 Year</v>
      </c>
    </row>
    <row r="2343" spans="1:11" x14ac:dyDescent="0.3">
      <c r="A2343" t="s">
        <v>2360</v>
      </c>
      <c r="B2343" t="s">
        <v>9</v>
      </c>
      <c r="C2343" t="s">
        <v>30</v>
      </c>
      <c r="D2343" t="s">
        <v>24</v>
      </c>
      <c r="E2343">
        <v>95.75</v>
      </c>
      <c r="F2343">
        <v>71</v>
      </c>
      <c r="G2343">
        <v>6798.25</v>
      </c>
      <c r="H2343" t="s">
        <v>12</v>
      </c>
      <c r="I2343" t="str">
        <f t="shared" si="109"/>
        <v>High Value</v>
      </c>
      <c r="J2343" t="str">
        <f t="shared" si="110"/>
        <v>Low Risk</v>
      </c>
      <c r="K2343" s="3" t="str">
        <f t="shared" si="108"/>
        <v>4+ Years</v>
      </c>
    </row>
    <row r="2344" spans="1:11" x14ac:dyDescent="0.3">
      <c r="A2344" t="s">
        <v>2361</v>
      </c>
      <c r="B2344" t="s">
        <v>14</v>
      </c>
      <c r="C2344" t="s">
        <v>15</v>
      </c>
      <c r="D2344" t="s">
        <v>16</v>
      </c>
      <c r="E2344">
        <v>24.4</v>
      </c>
      <c r="F2344">
        <v>8</v>
      </c>
      <c r="G2344">
        <v>195.2</v>
      </c>
      <c r="H2344" t="s">
        <v>12</v>
      </c>
      <c r="I2344" t="str">
        <f t="shared" si="109"/>
        <v>Low Value</v>
      </c>
      <c r="J2344" t="str">
        <f t="shared" si="110"/>
        <v>High Risk</v>
      </c>
      <c r="K2344" s="3" t="str">
        <f t="shared" si="108"/>
        <v>0-1 Year</v>
      </c>
    </row>
    <row r="2345" spans="1:11" x14ac:dyDescent="0.3">
      <c r="A2345" t="s">
        <v>2362</v>
      </c>
      <c r="B2345" t="s">
        <v>14</v>
      </c>
      <c r="C2345" t="s">
        <v>10</v>
      </c>
      <c r="D2345" t="s">
        <v>20</v>
      </c>
      <c r="E2345">
        <v>33.6</v>
      </c>
      <c r="F2345">
        <v>61</v>
      </c>
      <c r="G2345">
        <v>2049.6</v>
      </c>
      <c r="H2345" t="s">
        <v>12</v>
      </c>
      <c r="I2345" t="str">
        <f t="shared" si="109"/>
        <v>Medium Value</v>
      </c>
      <c r="J2345" t="str">
        <f t="shared" si="110"/>
        <v>Low Risk</v>
      </c>
      <c r="K2345" s="3" t="str">
        <f t="shared" si="108"/>
        <v>4+ Years</v>
      </c>
    </row>
    <row r="2346" spans="1:11" x14ac:dyDescent="0.3">
      <c r="A2346" t="s">
        <v>2363</v>
      </c>
      <c r="B2346" t="s">
        <v>14</v>
      </c>
      <c r="C2346" t="s">
        <v>30</v>
      </c>
      <c r="D2346" t="s">
        <v>20</v>
      </c>
      <c r="E2346">
        <v>90.45</v>
      </c>
      <c r="F2346">
        <v>72</v>
      </c>
      <c r="G2346">
        <v>6512.4</v>
      </c>
      <c r="H2346" t="s">
        <v>12</v>
      </c>
      <c r="I2346" t="str">
        <f t="shared" si="109"/>
        <v>High Value</v>
      </c>
      <c r="J2346" t="str">
        <f t="shared" si="110"/>
        <v>Low Risk</v>
      </c>
      <c r="K2346" s="3" t="str">
        <f t="shared" si="108"/>
        <v>4+ Years</v>
      </c>
    </row>
    <row r="2347" spans="1:11" x14ac:dyDescent="0.3">
      <c r="A2347" t="s">
        <v>2364</v>
      </c>
      <c r="B2347" t="s">
        <v>9</v>
      </c>
      <c r="C2347" t="s">
        <v>10</v>
      </c>
      <c r="D2347" t="s">
        <v>11</v>
      </c>
      <c r="E2347">
        <v>84</v>
      </c>
      <c r="F2347">
        <v>5</v>
      </c>
      <c r="G2347">
        <v>420</v>
      </c>
      <c r="H2347" t="s">
        <v>12</v>
      </c>
      <c r="I2347" t="str">
        <f t="shared" si="109"/>
        <v>Low Value</v>
      </c>
      <c r="J2347" t="str">
        <f t="shared" si="110"/>
        <v>High Risk</v>
      </c>
      <c r="K2347" s="3" t="str">
        <f t="shared" si="108"/>
        <v>0-1 Year</v>
      </c>
    </row>
    <row r="2348" spans="1:11" x14ac:dyDescent="0.3">
      <c r="A2348" t="s">
        <v>2365</v>
      </c>
      <c r="B2348" t="s">
        <v>9</v>
      </c>
      <c r="C2348" t="s">
        <v>30</v>
      </c>
      <c r="D2348" t="s">
        <v>20</v>
      </c>
      <c r="E2348">
        <v>67.400000000000006</v>
      </c>
      <c r="F2348">
        <v>49</v>
      </c>
      <c r="G2348">
        <v>3302.6</v>
      </c>
      <c r="H2348" t="s">
        <v>12</v>
      </c>
      <c r="I2348" t="str">
        <f t="shared" si="109"/>
        <v>Medium Value</v>
      </c>
      <c r="J2348" t="str">
        <f t="shared" si="110"/>
        <v>Low Risk</v>
      </c>
      <c r="K2348" s="3" t="str">
        <f t="shared" si="108"/>
        <v>4+ Years</v>
      </c>
    </row>
    <row r="2349" spans="1:11" x14ac:dyDescent="0.3">
      <c r="A2349" t="s">
        <v>2366</v>
      </c>
      <c r="B2349" t="s">
        <v>14</v>
      </c>
      <c r="C2349" t="s">
        <v>10</v>
      </c>
      <c r="D2349" t="s">
        <v>20</v>
      </c>
      <c r="E2349">
        <v>19.7</v>
      </c>
      <c r="F2349">
        <v>8</v>
      </c>
      <c r="G2349">
        <v>157.6</v>
      </c>
      <c r="H2349" t="s">
        <v>12</v>
      </c>
      <c r="I2349" t="str">
        <f t="shared" si="109"/>
        <v>Low Value</v>
      </c>
      <c r="J2349" t="str">
        <f t="shared" si="110"/>
        <v>High Risk</v>
      </c>
      <c r="K2349" s="3" t="str">
        <f t="shared" si="108"/>
        <v>0-1 Year</v>
      </c>
    </row>
    <row r="2350" spans="1:11" x14ac:dyDescent="0.3">
      <c r="A2350" t="s">
        <v>2367</v>
      </c>
      <c r="B2350" t="s">
        <v>14</v>
      </c>
      <c r="C2350" t="s">
        <v>10</v>
      </c>
      <c r="D2350" t="s">
        <v>11</v>
      </c>
      <c r="E2350">
        <v>80.349999999999994</v>
      </c>
      <c r="F2350">
        <v>3</v>
      </c>
      <c r="G2350">
        <v>241.04999999999899</v>
      </c>
      <c r="H2350" t="s">
        <v>12</v>
      </c>
      <c r="I2350" t="str">
        <f t="shared" si="109"/>
        <v>Low Value</v>
      </c>
      <c r="J2350" t="str">
        <f t="shared" si="110"/>
        <v>High Risk</v>
      </c>
      <c r="K2350" s="3" t="str">
        <f t="shared" si="108"/>
        <v>0-1 Year</v>
      </c>
    </row>
    <row r="2351" spans="1:11" x14ac:dyDescent="0.3">
      <c r="A2351" t="s">
        <v>2368</v>
      </c>
      <c r="B2351" t="s">
        <v>14</v>
      </c>
      <c r="C2351" t="s">
        <v>30</v>
      </c>
      <c r="D2351" t="s">
        <v>16</v>
      </c>
      <c r="E2351">
        <v>19.600000000000001</v>
      </c>
      <c r="F2351">
        <v>9</v>
      </c>
      <c r="G2351">
        <v>176.4</v>
      </c>
      <c r="H2351" t="s">
        <v>12</v>
      </c>
      <c r="I2351" t="str">
        <f t="shared" si="109"/>
        <v>Low Value</v>
      </c>
      <c r="J2351" t="str">
        <f t="shared" si="110"/>
        <v>High Risk</v>
      </c>
      <c r="K2351" s="3" t="str">
        <f t="shared" si="108"/>
        <v>0-1 Year</v>
      </c>
    </row>
    <row r="2352" spans="1:11" x14ac:dyDescent="0.3">
      <c r="A2352" t="s">
        <v>2369</v>
      </c>
      <c r="B2352" t="s">
        <v>14</v>
      </c>
      <c r="C2352" t="s">
        <v>30</v>
      </c>
      <c r="D2352" t="s">
        <v>20</v>
      </c>
      <c r="E2352">
        <v>54.2</v>
      </c>
      <c r="F2352">
        <v>67</v>
      </c>
      <c r="G2352">
        <v>3631.4</v>
      </c>
      <c r="H2352" t="s">
        <v>12</v>
      </c>
      <c r="I2352" t="str">
        <f t="shared" si="109"/>
        <v>Medium Value</v>
      </c>
      <c r="J2352" t="str">
        <f t="shared" si="110"/>
        <v>Low Risk</v>
      </c>
      <c r="K2352" s="3" t="str">
        <f t="shared" si="108"/>
        <v>4+ Years</v>
      </c>
    </row>
    <row r="2353" spans="1:11" x14ac:dyDescent="0.3">
      <c r="A2353" t="s">
        <v>2370</v>
      </c>
      <c r="B2353" t="s">
        <v>14</v>
      </c>
      <c r="C2353" t="s">
        <v>10</v>
      </c>
      <c r="D2353" t="s">
        <v>24</v>
      </c>
      <c r="E2353">
        <v>45.2</v>
      </c>
      <c r="F2353">
        <v>46</v>
      </c>
      <c r="G2353">
        <v>2079.1999999999998</v>
      </c>
      <c r="H2353" t="s">
        <v>12</v>
      </c>
      <c r="I2353" t="str">
        <f t="shared" si="109"/>
        <v>Medium Value</v>
      </c>
      <c r="J2353" t="str">
        <f t="shared" si="110"/>
        <v>Low Risk</v>
      </c>
      <c r="K2353" s="3" t="str">
        <f t="shared" si="108"/>
        <v>2-4 Years</v>
      </c>
    </row>
    <row r="2354" spans="1:11" x14ac:dyDescent="0.3">
      <c r="A2354" t="s">
        <v>2371</v>
      </c>
      <c r="B2354" t="s">
        <v>9</v>
      </c>
      <c r="C2354" t="s">
        <v>15</v>
      </c>
      <c r="D2354" t="s">
        <v>16</v>
      </c>
      <c r="E2354">
        <v>75.099999999999994</v>
      </c>
      <c r="F2354">
        <v>67</v>
      </c>
      <c r="G2354">
        <v>5031.7</v>
      </c>
      <c r="H2354" t="s">
        <v>12</v>
      </c>
      <c r="I2354" t="str">
        <f t="shared" si="109"/>
        <v>High Value</v>
      </c>
      <c r="J2354" t="str">
        <f t="shared" si="110"/>
        <v>Low Risk</v>
      </c>
      <c r="K2354" s="3" t="str">
        <f t="shared" si="108"/>
        <v>4+ Years</v>
      </c>
    </row>
    <row r="2355" spans="1:11" x14ac:dyDescent="0.3">
      <c r="A2355" t="s">
        <v>2372</v>
      </c>
      <c r="B2355" t="s">
        <v>9</v>
      </c>
      <c r="C2355" t="s">
        <v>15</v>
      </c>
      <c r="D2355" t="s">
        <v>11</v>
      </c>
      <c r="E2355">
        <v>19.7</v>
      </c>
      <c r="F2355">
        <v>55</v>
      </c>
      <c r="G2355">
        <v>1083.5</v>
      </c>
      <c r="H2355" t="s">
        <v>12</v>
      </c>
      <c r="I2355" t="str">
        <f t="shared" si="109"/>
        <v>Low Value</v>
      </c>
      <c r="J2355" t="str">
        <f t="shared" si="110"/>
        <v>Low Risk</v>
      </c>
      <c r="K2355" s="3" t="str">
        <f t="shared" si="108"/>
        <v>4+ Years</v>
      </c>
    </row>
    <row r="2356" spans="1:11" x14ac:dyDescent="0.3">
      <c r="A2356" t="s">
        <v>2373</v>
      </c>
      <c r="B2356" t="s">
        <v>14</v>
      </c>
      <c r="C2356" t="s">
        <v>10</v>
      </c>
      <c r="D2356" t="s">
        <v>20</v>
      </c>
      <c r="E2356">
        <v>72.75</v>
      </c>
      <c r="F2356">
        <v>33</v>
      </c>
      <c r="G2356">
        <v>2400.75</v>
      </c>
      <c r="H2356" t="s">
        <v>12</v>
      </c>
      <c r="I2356" t="str">
        <f t="shared" si="109"/>
        <v>Medium Value</v>
      </c>
      <c r="J2356" t="str">
        <f t="shared" si="110"/>
        <v>Low Risk</v>
      </c>
      <c r="K2356" s="3" t="str">
        <f t="shared" si="108"/>
        <v>2-4 Years</v>
      </c>
    </row>
    <row r="2357" spans="1:11" x14ac:dyDescent="0.3">
      <c r="A2357" t="s">
        <v>2374</v>
      </c>
      <c r="B2357" t="s">
        <v>14</v>
      </c>
      <c r="C2357" t="s">
        <v>30</v>
      </c>
      <c r="D2357" t="s">
        <v>24</v>
      </c>
      <c r="E2357">
        <v>20.05</v>
      </c>
      <c r="F2357">
        <v>62</v>
      </c>
      <c r="G2357">
        <v>1243.0999999999999</v>
      </c>
      <c r="H2357" t="s">
        <v>12</v>
      </c>
      <c r="I2357" t="str">
        <f t="shared" si="109"/>
        <v>Low Value</v>
      </c>
      <c r="J2357" t="str">
        <f t="shared" si="110"/>
        <v>Low Risk</v>
      </c>
      <c r="K2357" s="3" t="str">
        <f t="shared" si="108"/>
        <v>4+ Years</v>
      </c>
    </row>
    <row r="2358" spans="1:11" x14ac:dyDescent="0.3">
      <c r="A2358" t="s">
        <v>2375</v>
      </c>
      <c r="B2358" t="s">
        <v>9</v>
      </c>
      <c r="C2358" t="s">
        <v>10</v>
      </c>
      <c r="D2358" t="s">
        <v>16</v>
      </c>
      <c r="E2358">
        <v>45.95</v>
      </c>
      <c r="F2358">
        <v>1</v>
      </c>
      <c r="G2358">
        <v>45.95</v>
      </c>
      <c r="H2358" t="s">
        <v>18</v>
      </c>
      <c r="I2358" t="str">
        <f t="shared" si="109"/>
        <v>Low Value</v>
      </c>
      <c r="J2358" t="str">
        <f t="shared" si="110"/>
        <v>High Risk</v>
      </c>
      <c r="K2358" s="3" t="str">
        <f t="shared" si="108"/>
        <v>0-1 Year</v>
      </c>
    </row>
    <row r="2359" spans="1:11" x14ac:dyDescent="0.3">
      <c r="A2359" t="s">
        <v>2376</v>
      </c>
      <c r="B2359" t="s">
        <v>14</v>
      </c>
      <c r="C2359" t="s">
        <v>10</v>
      </c>
      <c r="D2359" t="s">
        <v>11</v>
      </c>
      <c r="E2359">
        <v>39.200000000000003</v>
      </c>
      <c r="F2359">
        <v>49</v>
      </c>
      <c r="G2359">
        <v>1920.8</v>
      </c>
      <c r="H2359" t="s">
        <v>12</v>
      </c>
      <c r="I2359" t="str">
        <f t="shared" si="109"/>
        <v>Low Value</v>
      </c>
      <c r="J2359" t="str">
        <f t="shared" si="110"/>
        <v>Low Risk</v>
      </c>
      <c r="K2359" s="3" t="str">
        <f t="shared" si="108"/>
        <v>4+ Years</v>
      </c>
    </row>
    <row r="2360" spans="1:11" x14ac:dyDescent="0.3">
      <c r="A2360" t="s">
        <v>2377</v>
      </c>
      <c r="B2360" t="s">
        <v>14</v>
      </c>
      <c r="C2360" t="s">
        <v>10</v>
      </c>
      <c r="D2360" t="s">
        <v>11</v>
      </c>
      <c r="E2360">
        <v>44.75</v>
      </c>
      <c r="F2360">
        <v>1</v>
      </c>
      <c r="G2360">
        <v>44.75</v>
      </c>
      <c r="H2360" t="s">
        <v>12</v>
      </c>
      <c r="I2360" t="str">
        <f t="shared" si="109"/>
        <v>Low Value</v>
      </c>
      <c r="J2360" t="str">
        <f t="shared" si="110"/>
        <v>High Risk</v>
      </c>
      <c r="K2360" s="3" t="str">
        <f t="shared" si="108"/>
        <v>0-1 Year</v>
      </c>
    </row>
    <row r="2361" spans="1:11" x14ac:dyDescent="0.3">
      <c r="A2361" t="s">
        <v>2378</v>
      </c>
      <c r="B2361" t="s">
        <v>14</v>
      </c>
      <c r="C2361" t="s">
        <v>10</v>
      </c>
      <c r="D2361" t="s">
        <v>11</v>
      </c>
      <c r="E2361">
        <v>82.65</v>
      </c>
      <c r="F2361">
        <v>14</v>
      </c>
      <c r="G2361">
        <v>1157.0999999999999</v>
      </c>
      <c r="H2361" t="s">
        <v>12</v>
      </c>
      <c r="I2361" t="str">
        <f t="shared" si="109"/>
        <v>Low Value</v>
      </c>
      <c r="J2361" t="str">
        <f t="shared" si="110"/>
        <v>Medium Risk</v>
      </c>
      <c r="K2361" s="3" t="str">
        <f t="shared" si="108"/>
        <v>1-2 Years</v>
      </c>
    </row>
    <row r="2362" spans="1:11" x14ac:dyDescent="0.3">
      <c r="A2362" t="s">
        <v>2379</v>
      </c>
      <c r="B2362" t="s">
        <v>14</v>
      </c>
      <c r="C2362" t="s">
        <v>10</v>
      </c>
      <c r="D2362" t="s">
        <v>20</v>
      </c>
      <c r="E2362">
        <v>93.9</v>
      </c>
      <c r="F2362">
        <v>18</v>
      </c>
      <c r="G2362">
        <v>1690.2</v>
      </c>
      <c r="H2362" t="s">
        <v>12</v>
      </c>
      <c r="I2362" t="str">
        <f t="shared" si="109"/>
        <v>Low Value</v>
      </c>
      <c r="J2362" t="str">
        <f t="shared" si="110"/>
        <v>Medium Risk</v>
      </c>
      <c r="K2362" s="3" t="str">
        <f t="shared" si="108"/>
        <v>1-2 Years</v>
      </c>
    </row>
    <row r="2363" spans="1:11" x14ac:dyDescent="0.3">
      <c r="A2363" t="s">
        <v>2380</v>
      </c>
      <c r="B2363" t="s">
        <v>9</v>
      </c>
      <c r="C2363" t="s">
        <v>10</v>
      </c>
      <c r="D2363" t="s">
        <v>11</v>
      </c>
      <c r="E2363">
        <v>70.150000000000006</v>
      </c>
      <c r="F2363">
        <v>1</v>
      </c>
      <c r="G2363">
        <v>70.150000000000006</v>
      </c>
      <c r="H2363" t="s">
        <v>18</v>
      </c>
      <c r="I2363" t="str">
        <f t="shared" si="109"/>
        <v>Low Value</v>
      </c>
      <c r="J2363" t="str">
        <f t="shared" si="110"/>
        <v>High Risk</v>
      </c>
      <c r="K2363" s="3" t="str">
        <f t="shared" si="108"/>
        <v>0-1 Year</v>
      </c>
    </row>
    <row r="2364" spans="1:11" x14ac:dyDescent="0.3">
      <c r="A2364" t="s">
        <v>2381</v>
      </c>
      <c r="B2364" t="s">
        <v>9</v>
      </c>
      <c r="C2364" t="s">
        <v>10</v>
      </c>
      <c r="D2364" t="s">
        <v>24</v>
      </c>
      <c r="E2364">
        <v>85.55</v>
      </c>
      <c r="F2364">
        <v>1</v>
      </c>
      <c r="G2364">
        <v>85.55</v>
      </c>
      <c r="H2364" t="s">
        <v>18</v>
      </c>
      <c r="I2364" t="str">
        <f t="shared" si="109"/>
        <v>Low Value</v>
      </c>
      <c r="J2364" t="str">
        <f t="shared" si="110"/>
        <v>High Risk</v>
      </c>
      <c r="K2364" s="3" t="str">
        <f t="shared" si="108"/>
        <v>0-1 Year</v>
      </c>
    </row>
    <row r="2365" spans="1:11" x14ac:dyDescent="0.3">
      <c r="A2365" t="s">
        <v>2382</v>
      </c>
      <c r="B2365" t="s">
        <v>9</v>
      </c>
      <c r="C2365" t="s">
        <v>30</v>
      </c>
      <c r="D2365" t="s">
        <v>24</v>
      </c>
      <c r="E2365">
        <v>117.15</v>
      </c>
      <c r="F2365">
        <v>72</v>
      </c>
      <c r="G2365">
        <v>8434.7999999999993</v>
      </c>
      <c r="H2365" t="s">
        <v>12</v>
      </c>
      <c r="I2365" t="str">
        <f t="shared" si="109"/>
        <v>High Value</v>
      </c>
      <c r="J2365" t="str">
        <f t="shared" si="110"/>
        <v>Low Risk</v>
      </c>
      <c r="K2365" s="3" t="str">
        <f t="shared" si="108"/>
        <v>4+ Years</v>
      </c>
    </row>
    <row r="2366" spans="1:11" x14ac:dyDescent="0.3">
      <c r="A2366" t="s">
        <v>2383</v>
      </c>
      <c r="B2366" t="s">
        <v>14</v>
      </c>
      <c r="C2366" t="s">
        <v>30</v>
      </c>
      <c r="D2366" t="s">
        <v>24</v>
      </c>
      <c r="E2366">
        <v>99.25</v>
      </c>
      <c r="F2366">
        <v>64</v>
      </c>
      <c r="G2366">
        <v>6352</v>
      </c>
      <c r="H2366" t="s">
        <v>12</v>
      </c>
      <c r="I2366" t="str">
        <f t="shared" si="109"/>
        <v>High Value</v>
      </c>
      <c r="J2366" t="str">
        <f t="shared" si="110"/>
        <v>Low Risk</v>
      </c>
      <c r="K2366" s="3" t="str">
        <f t="shared" si="108"/>
        <v>4+ Years</v>
      </c>
    </row>
    <row r="2367" spans="1:11" x14ac:dyDescent="0.3">
      <c r="A2367" t="s">
        <v>2384</v>
      </c>
      <c r="B2367" t="s">
        <v>14</v>
      </c>
      <c r="C2367" t="s">
        <v>30</v>
      </c>
      <c r="D2367" t="s">
        <v>20</v>
      </c>
      <c r="E2367">
        <v>112.55</v>
      </c>
      <c r="F2367">
        <v>69</v>
      </c>
      <c r="G2367">
        <v>7765.95</v>
      </c>
      <c r="H2367" t="s">
        <v>12</v>
      </c>
      <c r="I2367" t="str">
        <f t="shared" si="109"/>
        <v>High Value</v>
      </c>
      <c r="J2367" t="str">
        <f t="shared" si="110"/>
        <v>Low Risk</v>
      </c>
      <c r="K2367" s="3" t="str">
        <f t="shared" si="108"/>
        <v>4+ Years</v>
      </c>
    </row>
    <row r="2368" spans="1:11" x14ac:dyDescent="0.3">
      <c r="A2368" t="s">
        <v>2385</v>
      </c>
      <c r="B2368" t="s">
        <v>9</v>
      </c>
      <c r="C2368" t="s">
        <v>10</v>
      </c>
      <c r="D2368" t="s">
        <v>11</v>
      </c>
      <c r="E2368">
        <v>25.7</v>
      </c>
      <c r="F2368">
        <v>1</v>
      </c>
      <c r="G2368">
        <v>25.7</v>
      </c>
      <c r="H2368" t="s">
        <v>12</v>
      </c>
      <c r="I2368" t="str">
        <f t="shared" si="109"/>
        <v>Low Value</v>
      </c>
      <c r="J2368" t="str">
        <f t="shared" si="110"/>
        <v>High Risk</v>
      </c>
      <c r="K2368" s="3" t="str">
        <f t="shared" si="108"/>
        <v>0-1 Year</v>
      </c>
    </row>
    <row r="2369" spans="1:11" x14ac:dyDescent="0.3">
      <c r="A2369" t="s">
        <v>2386</v>
      </c>
      <c r="B2369" t="s">
        <v>14</v>
      </c>
      <c r="C2369" t="s">
        <v>30</v>
      </c>
      <c r="D2369" t="s">
        <v>24</v>
      </c>
      <c r="E2369">
        <v>90.3</v>
      </c>
      <c r="F2369">
        <v>71</v>
      </c>
      <c r="G2369">
        <v>6411.3</v>
      </c>
      <c r="H2369" t="s">
        <v>12</v>
      </c>
      <c r="I2369" t="str">
        <f t="shared" si="109"/>
        <v>High Value</v>
      </c>
      <c r="J2369" t="str">
        <f t="shared" si="110"/>
        <v>Low Risk</v>
      </c>
      <c r="K2369" s="3" t="str">
        <f t="shared" si="108"/>
        <v>4+ Years</v>
      </c>
    </row>
    <row r="2370" spans="1:11" x14ac:dyDescent="0.3">
      <c r="A2370" t="s">
        <v>2387</v>
      </c>
      <c r="B2370" t="s">
        <v>9</v>
      </c>
      <c r="C2370" t="s">
        <v>15</v>
      </c>
      <c r="D2370" t="s">
        <v>24</v>
      </c>
      <c r="E2370">
        <v>49.4</v>
      </c>
      <c r="F2370">
        <v>66</v>
      </c>
      <c r="G2370">
        <v>3260.4</v>
      </c>
      <c r="H2370" t="s">
        <v>12</v>
      </c>
      <c r="I2370" t="str">
        <f t="shared" si="109"/>
        <v>Medium Value</v>
      </c>
      <c r="J2370" t="str">
        <f t="shared" si="110"/>
        <v>Low Risk</v>
      </c>
      <c r="K2370" s="3" t="str">
        <f t="shared" si="108"/>
        <v>4+ Years</v>
      </c>
    </row>
    <row r="2371" spans="1:11" x14ac:dyDescent="0.3">
      <c r="A2371" t="s">
        <v>2388</v>
      </c>
      <c r="B2371" t="s">
        <v>14</v>
      </c>
      <c r="C2371" t="s">
        <v>10</v>
      </c>
      <c r="D2371" t="s">
        <v>16</v>
      </c>
      <c r="E2371">
        <v>19.399999999999999</v>
      </c>
      <c r="F2371">
        <v>2</v>
      </c>
      <c r="G2371">
        <v>38.799999999999997</v>
      </c>
      <c r="H2371" t="s">
        <v>12</v>
      </c>
      <c r="I2371" t="str">
        <f t="shared" si="109"/>
        <v>Low Value</v>
      </c>
      <c r="J2371" t="str">
        <f t="shared" si="110"/>
        <v>High Risk</v>
      </c>
      <c r="K2371" s="3" t="str">
        <f t="shared" ref="K2371:K2434" si="111">IF(F2371&lt;=12,"0-1 Year",
IF(F2371&lt;=24,"1-2 Years",
IF(F2371&lt;=48,"2-4 Years","4+ Years")))</f>
        <v>0-1 Year</v>
      </c>
    </row>
    <row r="2372" spans="1:11" x14ac:dyDescent="0.3">
      <c r="A2372" t="s">
        <v>2389</v>
      </c>
      <c r="B2372" t="s">
        <v>9</v>
      </c>
      <c r="C2372" t="s">
        <v>30</v>
      </c>
      <c r="D2372" t="s">
        <v>20</v>
      </c>
      <c r="E2372">
        <v>109.7</v>
      </c>
      <c r="F2372">
        <v>71</v>
      </c>
      <c r="G2372">
        <v>7788.7</v>
      </c>
      <c r="H2372" t="s">
        <v>12</v>
      </c>
      <c r="I2372" t="str">
        <f t="shared" ref="I2372:I2435" si="112">IF(G2372&gt;5000,"High Value",
IF(G2372&gt;2000,"Medium Value","Low Value"))</f>
        <v>High Value</v>
      </c>
      <c r="J2372" t="str">
        <f t="shared" ref="J2372:J2435" si="113">IF(F2372&lt;12,"High Risk",
IF(F2372&lt;24,"Medium Risk","Low Risk"))</f>
        <v>Low Risk</v>
      </c>
      <c r="K2372" s="3" t="str">
        <f t="shared" si="111"/>
        <v>4+ Years</v>
      </c>
    </row>
    <row r="2373" spans="1:11" x14ac:dyDescent="0.3">
      <c r="A2373" t="s">
        <v>2390</v>
      </c>
      <c r="B2373" t="s">
        <v>14</v>
      </c>
      <c r="C2373" t="s">
        <v>15</v>
      </c>
      <c r="D2373" t="s">
        <v>11</v>
      </c>
      <c r="E2373">
        <v>61.25</v>
      </c>
      <c r="F2373">
        <v>11</v>
      </c>
      <c r="G2373">
        <v>673.75</v>
      </c>
      <c r="H2373" t="s">
        <v>12</v>
      </c>
      <c r="I2373" t="str">
        <f t="shared" si="112"/>
        <v>Low Value</v>
      </c>
      <c r="J2373" t="str">
        <f t="shared" si="113"/>
        <v>High Risk</v>
      </c>
      <c r="K2373" s="3" t="str">
        <f t="shared" si="111"/>
        <v>0-1 Year</v>
      </c>
    </row>
    <row r="2374" spans="1:11" x14ac:dyDescent="0.3">
      <c r="A2374" t="s">
        <v>2391</v>
      </c>
      <c r="B2374" t="s">
        <v>14</v>
      </c>
      <c r="C2374" t="s">
        <v>10</v>
      </c>
      <c r="D2374" t="s">
        <v>11</v>
      </c>
      <c r="E2374">
        <v>55.3</v>
      </c>
      <c r="F2374">
        <v>47</v>
      </c>
      <c r="G2374">
        <v>2599.1</v>
      </c>
      <c r="H2374" t="s">
        <v>12</v>
      </c>
      <c r="I2374" t="str">
        <f t="shared" si="112"/>
        <v>Medium Value</v>
      </c>
      <c r="J2374" t="str">
        <f t="shared" si="113"/>
        <v>Low Risk</v>
      </c>
      <c r="K2374" s="3" t="str">
        <f t="shared" si="111"/>
        <v>2-4 Years</v>
      </c>
    </row>
    <row r="2375" spans="1:11" x14ac:dyDescent="0.3">
      <c r="A2375" t="s">
        <v>2392</v>
      </c>
      <c r="B2375" t="s">
        <v>9</v>
      </c>
      <c r="C2375" t="s">
        <v>10</v>
      </c>
      <c r="D2375" t="s">
        <v>11</v>
      </c>
      <c r="E2375">
        <v>70.3</v>
      </c>
      <c r="F2375">
        <v>35</v>
      </c>
      <c r="G2375">
        <v>2460.5</v>
      </c>
      <c r="H2375" t="s">
        <v>18</v>
      </c>
      <c r="I2375" t="str">
        <f t="shared" si="112"/>
        <v>Medium Value</v>
      </c>
      <c r="J2375" t="str">
        <f t="shared" si="113"/>
        <v>Low Risk</v>
      </c>
      <c r="K2375" s="3" t="str">
        <f t="shared" si="111"/>
        <v>2-4 Years</v>
      </c>
    </row>
    <row r="2376" spans="1:11" x14ac:dyDescent="0.3">
      <c r="A2376" t="s">
        <v>2393</v>
      </c>
      <c r="B2376" t="s">
        <v>14</v>
      </c>
      <c r="C2376" t="s">
        <v>10</v>
      </c>
      <c r="D2376" t="s">
        <v>20</v>
      </c>
      <c r="E2376">
        <v>106.35</v>
      </c>
      <c r="F2376">
        <v>32</v>
      </c>
      <c r="G2376">
        <v>3403.2</v>
      </c>
      <c r="H2376" t="s">
        <v>18</v>
      </c>
      <c r="I2376" t="str">
        <f t="shared" si="112"/>
        <v>Medium Value</v>
      </c>
      <c r="J2376" t="str">
        <f t="shared" si="113"/>
        <v>Low Risk</v>
      </c>
      <c r="K2376" s="3" t="str">
        <f t="shared" si="111"/>
        <v>2-4 Years</v>
      </c>
    </row>
    <row r="2377" spans="1:11" x14ac:dyDescent="0.3">
      <c r="A2377" t="s">
        <v>2394</v>
      </c>
      <c r="B2377" t="s">
        <v>14</v>
      </c>
      <c r="C2377" t="s">
        <v>10</v>
      </c>
      <c r="D2377" t="s">
        <v>20</v>
      </c>
      <c r="E2377">
        <v>103.75</v>
      </c>
      <c r="F2377">
        <v>60</v>
      </c>
      <c r="G2377">
        <v>6225</v>
      </c>
      <c r="H2377" t="s">
        <v>12</v>
      </c>
      <c r="I2377" t="str">
        <f t="shared" si="112"/>
        <v>High Value</v>
      </c>
      <c r="J2377" t="str">
        <f t="shared" si="113"/>
        <v>Low Risk</v>
      </c>
      <c r="K2377" s="3" t="str">
        <f t="shared" si="111"/>
        <v>4+ Years</v>
      </c>
    </row>
    <row r="2378" spans="1:11" x14ac:dyDescent="0.3">
      <c r="A2378" t="s">
        <v>2395</v>
      </c>
      <c r="B2378" t="s">
        <v>14</v>
      </c>
      <c r="C2378" t="s">
        <v>15</v>
      </c>
      <c r="D2378" t="s">
        <v>16</v>
      </c>
      <c r="E2378">
        <v>19.5</v>
      </c>
      <c r="F2378">
        <v>11</v>
      </c>
      <c r="G2378">
        <v>214.5</v>
      </c>
      <c r="H2378" t="s">
        <v>12</v>
      </c>
      <c r="I2378" t="str">
        <f t="shared" si="112"/>
        <v>Low Value</v>
      </c>
      <c r="J2378" t="str">
        <f t="shared" si="113"/>
        <v>High Risk</v>
      </c>
      <c r="K2378" s="3" t="str">
        <f t="shared" si="111"/>
        <v>0-1 Year</v>
      </c>
    </row>
    <row r="2379" spans="1:11" x14ac:dyDescent="0.3">
      <c r="A2379" t="s">
        <v>2396</v>
      </c>
      <c r="B2379" t="s">
        <v>9</v>
      </c>
      <c r="C2379" t="s">
        <v>15</v>
      </c>
      <c r="D2379" t="s">
        <v>24</v>
      </c>
      <c r="E2379">
        <v>39.5</v>
      </c>
      <c r="F2379">
        <v>29</v>
      </c>
      <c r="G2379">
        <v>1145.5</v>
      </c>
      <c r="H2379" t="s">
        <v>12</v>
      </c>
      <c r="I2379" t="str">
        <f t="shared" si="112"/>
        <v>Low Value</v>
      </c>
      <c r="J2379" t="str">
        <f t="shared" si="113"/>
        <v>Low Risk</v>
      </c>
      <c r="K2379" s="3" t="str">
        <f t="shared" si="111"/>
        <v>2-4 Years</v>
      </c>
    </row>
    <row r="2380" spans="1:11" x14ac:dyDescent="0.3">
      <c r="A2380" t="s">
        <v>2397</v>
      </c>
      <c r="B2380" t="s">
        <v>14</v>
      </c>
      <c r="C2380" t="s">
        <v>10</v>
      </c>
      <c r="D2380" t="s">
        <v>11</v>
      </c>
      <c r="E2380">
        <v>26.05</v>
      </c>
      <c r="F2380">
        <v>21</v>
      </c>
      <c r="G2380">
        <v>547.04999999999995</v>
      </c>
      <c r="H2380" t="s">
        <v>12</v>
      </c>
      <c r="I2380" t="str">
        <f t="shared" si="112"/>
        <v>Low Value</v>
      </c>
      <c r="J2380" t="str">
        <f t="shared" si="113"/>
        <v>Medium Risk</v>
      </c>
      <c r="K2380" s="3" t="str">
        <f t="shared" si="111"/>
        <v>1-2 Years</v>
      </c>
    </row>
    <row r="2381" spans="1:11" x14ac:dyDescent="0.3">
      <c r="A2381" t="s">
        <v>2398</v>
      </c>
      <c r="B2381" t="s">
        <v>14</v>
      </c>
      <c r="C2381" t="s">
        <v>10</v>
      </c>
      <c r="D2381" t="s">
        <v>24</v>
      </c>
      <c r="E2381">
        <v>91.05</v>
      </c>
      <c r="F2381">
        <v>48</v>
      </c>
      <c r="G2381">
        <v>4370.3999999999996</v>
      </c>
      <c r="H2381" t="s">
        <v>12</v>
      </c>
      <c r="I2381" t="str">
        <f t="shared" si="112"/>
        <v>Medium Value</v>
      </c>
      <c r="J2381" t="str">
        <f t="shared" si="113"/>
        <v>Low Risk</v>
      </c>
      <c r="K2381" s="3" t="str">
        <f t="shared" si="111"/>
        <v>2-4 Years</v>
      </c>
    </row>
    <row r="2382" spans="1:11" x14ac:dyDescent="0.3">
      <c r="A2382" t="s">
        <v>2399</v>
      </c>
      <c r="B2382" t="s">
        <v>9</v>
      </c>
      <c r="C2382" t="s">
        <v>10</v>
      </c>
      <c r="D2382" t="s">
        <v>16</v>
      </c>
      <c r="E2382">
        <v>29.65</v>
      </c>
      <c r="F2382">
        <v>3</v>
      </c>
      <c r="G2382">
        <v>88.949999999999903</v>
      </c>
      <c r="H2382" t="s">
        <v>12</v>
      </c>
      <c r="I2382" t="str">
        <f t="shared" si="112"/>
        <v>Low Value</v>
      </c>
      <c r="J2382" t="str">
        <f t="shared" si="113"/>
        <v>High Risk</v>
      </c>
      <c r="K2382" s="3" t="str">
        <f t="shared" si="111"/>
        <v>0-1 Year</v>
      </c>
    </row>
    <row r="2383" spans="1:11" x14ac:dyDescent="0.3">
      <c r="A2383" t="s">
        <v>2400</v>
      </c>
      <c r="B2383" t="s">
        <v>9</v>
      </c>
      <c r="C2383" t="s">
        <v>10</v>
      </c>
      <c r="D2383" t="s">
        <v>16</v>
      </c>
      <c r="E2383">
        <v>50.2</v>
      </c>
      <c r="F2383">
        <v>43</v>
      </c>
      <c r="G2383">
        <v>2158.6</v>
      </c>
      <c r="H2383" t="s">
        <v>12</v>
      </c>
      <c r="I2383" t="str">
        <f t="shared" si="112"/>
        <v>Medium Value</v>
      </c>
      <c r="J2383" t="str">
        <f t="shared" si="113"/>
        <v>Low Risk</v>
      </c>
      <c r="K2383" s="3" t="str">
        <f t="shared" si="111"/>
        <v>2-4 Years</v>
      </c>
    </row>
    <row r="2384" spans="1:11" x14ac:dyDescent="0.3">
      <c r="A2384" t="s">
        <v>2401</v>
      </c>
      <c r="B2384" t="s">
        <v>14</v>
      </c>
      <c r="C2384" t="s">
        <v>10</v>
      </c>
      <c r="D2384" t="s">
        <v>11</v>
      </c>
      <c r="E2384">
        <v>105.3</v>
      </c>
      <c r="F2384">
        <v>5</v>
      </c>
      <c r="G2384">
        <v>526.5</v>
      </c>
      <c r="H2384" t="s">
        <v>12</v>
      </c>
      <c r="I2384" t="str">
        <f t="shared" si="112"/>
        <v>Low Value</v>
      </c>
      <c r="J2384" t="str">
        <f t="shared" si="113"/>
        <v>High Risk</v>
      </c>
      <c r="K2384" s="3" t="str">
        <f t="shared" si="111"/>
        <v>0-1 Year</v>
      </c>
    </row>
    <row r="2385" spans="1:11" x14ac:dyDescent="0.3">
      <c r="A2385" t="s">
        <v>2402</v>
      </c>
      <c r="B2385" t="s">
        <v>9</v>
      </c>
      <c r="C2385" t="s">
        <v>10</v>
      </c>
      <c r="D2385" t="s">
        <v>11</v>
      </c>
      <c r="E2385">
        <v>55.45</v>
      </c>
      <c r="F2385">
        <v>1</v>
      </c>
      <c r="G2385">
        <v>55.45</v>
      </c>
      <c r="H2385" t="s">
        <v>12</v>
      </c>
      <c r="I2385" t="str">
        <f t="shared" si="112"/>
        <v>Low Value</v>
      </c>
      <c r="J2385" t="str">
        <f t="shared" si="113"/>
        <v>High Risk</v>
      </c>
      <c r="K2385" s="3" t="str">
        <f t="shared" si="111"/>
        <v>0-1 Year</v>
      </c>
    </row>
    <row r="2386" spans="1:11" x14ac:dyDescent="0.3">
      <c r="A2386" t="s">
        <v>2403</v>
      </c>
      <c r="B2386" t="s">
        <v>14</v>
      </c>
      <c r="C2386" t="s">
        <v>15</v>
      </c>
      <c r="D2386" t="s">
        <v>11</v>
      </c>
      <c r="E2386">
        <v>85.45</v>
      </c>
      <c r="F2386">
        <v>71</v>
      </c>
      <c r="G2386">
        <v>6066.95</v>
      </c>
      <c r="H2386" t="s">
        <v>12</v>
      </c>
      <c r="I2386" t="str">
        <f t="shared" si="112"/>
        <v>High Value</v>
      </c>
      <c r="J2386" t="str">
        <f t="shared" si="113"/>
        <v>Low Risk</v>
      </c>
      <c r="K2386" s="3" t="str">
        <f t="shared" si="111"/>
        <v>4+ Years</v>
      </c>
    </row>
    <row r="2387" spans="1:11" x14ac:dyDescent="0.3">
      <c r="A2387" t="s">
        <v>2404</v>
      </c>
      <c r="B2387" t="s">
        <v>9</v>
      </c>
      <c r="C2387" t="s">
        <v>15</v>
      </c>
      <c r="D2387" t="s">
        <v>11</v>
      </c>
      <c r="E2387">
        <v>19.8</v>
      </c>
      <c r="F2387">
        <v>8</v>
      </c>
      <c r="G2387">
        <v>158.4</v>
      </c>
      <c r="H2387" t="s">
        <v>12</v>
      </c>
      <c r="I2387" t="str">
        <f t="shared" si="112"/>
        <v>Low Value</v>
      </c>
      <c r="J2387" t="str">
        <f t="shared" si="113"/>
        <v>High Risk</v>
      </c>
      <c r="K2387" s="3" t="str">
        <f t="shared" si="111"/>
        <v>0-1 Year</v>
      </c>
    </row>
    <row r="2388" spans="1:11" x14ac:dyDescent="0.3">
      <c r="A2388" t="s">
        <v>2405</v>
      </c>
      <c r="B2388" t="s">
        <v>14</v>
      </c>
      <c r="C2388" t="s">
        <v>10</v>
      </c>
      <c r="D2388" t="s">
        <v>11</v>
      </c>
      <c r="E2388">
        <v>59.25</v>
      </c>
      <c r="F2388">
        <v>8</v>
      </c>
      <c r="G2388">
        <v>474</v>
      </c>
      <c r="H2388" t="s">
        <v>12</v>
      </c>
      <c r="I2388" t="str">
        <f t="shared" si="112"/>
        <v>Low Value</v>
      </c>
      <c r="J2388" t="str">
        <f t="shared" si="113"/>
        <v>High Risk</v>
      </c>
      <c r="K2388" s="3" t="str">
        <f t="shared" si="111"/>
        <v>0-1 Year</v>
      </c>
    </row>
    <row r="2389" spans="1:11" x14ac:dyDescent="0.3">
      <c r="A2389" t="s">
        <v>2406</v>
      </c>
      <c r="B2389" t="s">
        <v>14</v>
      </c>
      <c r="C2389" t="s">
        <v>10</v>
      </c>
      <c r="D2389" t="s">
        <v>24</v>
      </c>
      <c r="E2389">
        <v>90.7</v>
      </c>
      <c r="F2389">
        <v>20</v>
      </c>
      <c r="G2389">
        <v>1814</v>
      </c>
      <c r="H2389" t="s">
        <v>12</v>
      </c>
      <c r="I2389" t="str">
        <f t="shared" si="112"/>
        <v>Low Value</v>
      </c>
      <c r="J2389" t="str">
        <f t="shared" si="113"/>
        <v>Medium Risk</v>
      </c>
      <c r="K2389" s="3" t="str">
        <f t="shared" si="111"/>
        <v>1-2 Years</v>
      </c>
    </row>
    <row r="2390" spans="1:11" x14ac:dyDescent="0.3">
      <c r="A2390" t="s">
        <v>2407</v>
      </c>
      <c r="B2390" t="s">
        <v>9</v>
      </c>
      <c r="C2390" t="s">
        <v>15</v>
      </c>
      <c r="D2390" t="s">
        <v>16</v>
      </c>
      <c r="E2390">
        <v>103.7</v>
      </c>
      <c r="F2390">
        <v>33</v>
      </c>
      <c r="G2390">
        <v>3422.1</v>
      </c>
      <c r="H2390" t="s">
        <v>18</v>
      </c>
      <c r="I2390" t="str">
        <f t="shared" si="112"/>
        <v>Medium Value</v>
      </c>
      <c r="J2390" t="str">
        <f t="shared" si="113"/>
        <v>Low Risk</v>
      </c>
      <c r="K2390" s="3" t="str">
        <f t="shared" si="111"/>
        <v>2-4 Years</v>
      </c>
    </row>
    <row r="2391" spans="1:11" x14ac:dyDescent="0.3">
      <c r="A2391" t="s">
        <v>2408</v>
      </c>
      <c r="B2391" t="s">
        <v>14</v>
      </c>
      <c r="C2391" t="s">
        <v>15</v>
      </c>
      <c r="D2391" t="s">
        <v>24</v>
      </c>
      <c r="E2391">
        <v>79.05</v>
      </c>
      <c r="F2391">
        <v>71</v>
      </c>
      <c r="G2391">
        <v>5612.55</v>
      </c>
      <c r="H2391" t="s">
        <v>12</v>
      </c>
      <c r="I2391" t="str">
        <f t="shared" si="112"/>
        <v>High Value</v>
      </c>
      <c r="J2391" t="str">
        <f t="shared" si="113"/>
        <v>Low Risk</v>
      </c>
      <c r="K2391" s="3" t="str">
        <f t="shared" si="111"/>
        <v>4+ Years</v>
      </c>
    </row>
    <row r="2392" spans="1:11" x14ac:dyDescent="0.3">
      <c r="A2392" t="s">
        <v>2409</v>
      </c>
      <c r="B2392" t="s">
        <v>9</v>
      </c>
      <c r="C2392" t="s">
        <v>15</v>
      </c>
      <c r="D2392" t="s">
        <v>11</v>
      </c>
      <c r="E2392">
        <v>90.7</v>
      </c>
      <c r="F2392">
        <v>31</v>
      </c>
      <c r="G2392">
        <v>2811.7</v>
      </c>
      <c r="H2392" t="s">
        <v>12</v>
      </c>
      <c r="I2392" t="str">
        <f t="shared" si="112"/>
        <v>Medium Value</v>
      </c>
      <c r="J2392" t="str">
        <f t="shared" si="113"/>
        <v>Low Risk</v>
      </c>
      <c r="K2392" s="3" t="str">
        <f t="shared" si="111"/>
        <v>2-4 Years</v>
      </c>
    </row>
    <row r="2393" spans="1:11" x14ac:dyDescent="0.3">
      <c r="A2393" t="s">
        <v>2410</v>
      </c>
      <c r="B2393" t="s">
        <v>9</v>
      </c>
      <c r="C2393" t="s">
        <v>15</v>
      </c>
      <c r="D2393" t="s">
        <v>24</v>
      </c>
      <c r="E2393">
        <v>95</v>
      </c>
      <c r="F2393">
        <v>38</v>
      </c>
      <c r="G2393">
        <v>3610</v>
      </c>
      <c r="H2393" t="s">
        <v>12</v>
      </c>
      <c r="I2393" t="str">
        <f t="shared" si="112"/>
        <v>Medium Value</v>
      </c>
      <c r="J2393" t="str">
        <f t="shared" si="113"/>
        <v>Low Risk</v>
      </c>
      <c r="K2393" s="3" t="str">
        <f t="shared" si="111"/>
        <v>2-4 Years</v>
      </c>
    </row>
    <row r="2394" spans="1:11" x14ac:dyDescent="0.3">
      <c r="A2394" t="s">
        <v>2411</v>
      </c>
      <c r="B2394" t="s">
        <v>14</v>
      </c>
      <c r="C2394" t="s">
        <v>10</v>
      </c>
      <c r="D2394" t="s">
        <v>11</v>
      </c>
      <c r="E2394">
        <v>88.35</v>
      </c>
      <c r="F2394">
        <v>1</v>
      </c>
      <c r="G2394">
        <v>88.35</v>
      </c>
      <c r="H2394" t="s">
        <v>18</v>
      </c>
      <c r="I2394" t="str">
        <f t="shared" si="112"/>
        <v>Low Value</v>
      </c>
      <c r="J2394" t="str">
        <f t="shared" si="113"/>
        <v>High Risk</v>
      </c>
      <c r="K2394" s="3" t="str">
        <f t="shared" si="111"/>
        <v>0-1 Year</v>
      </c>
    </row>
    <row r="2395" spans="1:11" x14ac:dyDescent="0.3">
      <c r="A2395" t="s">
        <v>2412</v>
      </c>
      <c r="B2395" t="s">
        <v>9</v>
      </c>
      <c r="C2395" t="s">
        <v>10</v>
      </c>
      <c r="D2395" t="s">
        <v>16</v>
      </c>
      <c r="E2395">
        <v>30.25</v>
      </c>
      <c r="F2395">
        <v>2</v>
      </c>
      <c r="G2395">
        <v>60.5</v>
      </c>
      <c r="H2395" t="s">
        <v>12</v>
      </c>
      <c r="I2395" t="str">
        <f t="shared" si="112"/>
        <v>Low Value</v>
      </c>
      <c r="J2395" t="str">
        <f t="shared" si="113"/>
        <v>High Risk</v>
      </c>
      <c r="K2395" s="3" t="str">
        <f t="shared" si="111"/>
        <v>0-1 Year</v>
      </c>
    </row>
    <row r="2396" spans="1:11" x14ac:dyDescent="0.3">
      <c r="A2396" t="s">
        <v>2413</v>
      </c>
      <c r="B2396" t="s">
        <v>9</v>
      </c>
      <c r="C2396" t="s">
        <v>10</v>
      </c>
      <c r="D2396" t="s">
        <v>20</v>
      </c>
      <c r="E2396">
        <v>49.85</v>
      </c>
      <c r="F2396">
        <v>12</v>
      </c>
      <c r="G2396">
        <v>598.20000000000005</v>
      </c>
      <c r="H2396" t="s">
        <v>12</v>
      </c>
      <c r="I2396" t="str">
        <f t="shared" si="112"/>
        <v>Low Value</v>
      </c>
      <c r="J2396" t="str">
        <f t="shared" si="113"/>
        <v>Medium Risk</v>
      </c>
      <c r="K2396" s="3" t="str">
        <f t="shared" si="111"/>
        <v>0-1 Year</v>
      </c>
    </row>
    <row r="2397" spans="1:11" x14ac:dyDescent="0.3">
      <c r="A2397" t="s">
        <v>2414</v>
      </c>
      <c r="B2397" t="s">
        <v>9</v>
      </c>
      <c r="C2397" t="s">
        <v>10</v>
      </c>
      <c r="D2397" t="s">
        <v>20</v>
      </c>
      <c r="E2397">
        <v>93</v>
      </c>
      <c r="F2397">
        <v>9</v>
      </c>
      <c r="G2397">
        <v>837</v>
      </c>
      <c r="H2397" t="s">
        <v>12</v>
      </c>
      <c r="I2397" t="str">
        <f t="shared" si="112"/>
        <v>Low Value</v>
      </c>
      <c r="J2397" t="str">
        <f t="shared" si="113"/>
        <v>High Risk</v>
      </c>
      <c r="K2397" s="3" t="str">
        <f t="shared" si="111"/>
        <v>0-1 Year</v>
      </c>
    </row>
    <row r="2398" spans="1:11" x14ac:dyDescent="0.3">
      <c r="A2398" t="s">
        <v>2415</v>
      </c>
      <c r="B2398" t="s">
        <v>14</v>
      </c>
      <c r="C2398" t="s">
        <v>10</v>
      </c>
      <c r="D2398" t="s">
        <v>11</v>
      </c>
      <c r="E2398">
        <v>54.55</v>
      </c>
      <c r="F2398">
        <v>11</v>
      </c>
      <c r="G2398">
        <v>600.04999999999995</v>
      </c>
      <c r="H2398" t="s">
        <v>12</v>
      </c>
      <c r="I2398" t="str">
        <f t="shared" si="112"/>
        <v>Low Value</v>
      </c>
      <c r="J2398" t="str">
        <f t="shared" si="113"/>
        <v>High Risk</v>
      </c>
      <c r="K2398" s="3" t="str">
        <f t="shared" si="111"/>
        <v>0-1 Year</v>
      </c>
    </row>
    <row r="2399" spans="1:11" x14ac:dyDescent="0.3">
      <c r="A2399" t="s">
        <v>2416</v>
      </c>
      <c r="B2399" t="s">
        <v>14</v>
      </c>
      <c r="C2399" t="s">
        <v>10</v>
      </c>
      <c r="D2399" t="s">
        <v>16</v>
      </c>
      <c r="E2399">
        <v>19.7</v>
      </c>
      <c r="F2399">
        <v>6</v>
      </c>
      <c r="G2399">
        <v>118.19999999999899</v>
      </c>
      <c r="H2399" t="s">
        <v>12</v>
      </c>
      <c r="I2399" t="str">
        <f t="shared" si="112"/>
        <v>Low Value</v>
      </c>
      <c r="J2399" t="str">
        <f t="shared" si="113"/>
        <v>High Risk</v>
      </c>
      <c r="K2399" s="3" t="str">
        <f t="shared" si="111"/>
        <v>0-1 Year</v>
      </c>
    </row>
    <row r="2400" spans="1:11" x14ac:dyDescent="0.3">
      <c r="A2400" t="s">
        <v>2417</v>
      </c>
      <c r="B2400" t="s">
        <v>9</v>
      </c>
      <c r="C2400" t="s">
        <v>15</v>
      </c>
      <c r="D2400" t="s">
        <v>20</v>
      </c>
      <c r="E2400">
        <v>84.8</v>
      </c>
      <c r="F2400">
        <v>71</v>
      </c>
      <c r="G2400">
        <v>6020.8</v>
      </c>
      <c r="H2400" t="s">
        <v>12</v>
      </c>
      <c r="I2400" t="str">
        <f t="shared" si="112"/>
        <v>High Value</v>
      </c>
      <c r="J2400" t="str">
        <f t="shared" si="113"/>
        <v>Low Risk</v>
      </c>
      <c r="K2400" s="3" t="str">
        <f t="shared" si="111"/>
        <v>4+ Years</v>
      </c>
    </row>
    <row r="2401" spans="1:11" x14ac:dyDescent="0.3">
      <c r="A2401" t="s">
        <v>2418</v>
      </c>
      <c r="B2401" t="s">
        <v>9</v>
      </c>
      <c r="C2401" t="s">
        <v>15</v>
      </c>
      <c r="D2401" t="s">
        <v>24</v>
      </c>
      <c r="E2401">
        <v>94.45</v>
      </c>
      <c r="F2401">
        <v>42</v>
      </c>
      <c r="G2401">
        <v>3966.9</v>
      </c>
      <c r="H2401" t="s">
        <v>12</v>
      </c>
      <c r="I2401" t="str">
        <f t="shared" si="112"/>
        <v>Medium Value</v>
      </c>
      <c r="J2401" t="str">
        <f t="shared" si="113"/>
        <v>Low Risk</v>
      </c>
      <c r="K2401" s="3" t="str">
        <f t="shared" si="111"/>
        <v>2-4 Years</v>
      </c>
    </row>
    <row r="2402" spans="1:11" x14ac:dyDescent="0.3">
      <c r="A2402" t="s">
        <v>2419</v>
      </c>
      <c r="B2402" t="s">
        <v>9</v>
      </c>
      <c r="C2402" t="s">
        <v>10</v>
      </c>
      <c r="D2402" t="s">
        <v>11</v>
      </c>
      <c r="E2402">
        <v>94.2</v>
      </c>
      <c r="F2402">
        <v>8</v>
      </c>
      <c r="G2402">
        <v>753.6</v>
      </c>
      <c r="H2402" t="s">
        <v>18</v>
      </c>
      <c r="I2402" t="str">
        <f t="shared" si="112"/>
        <v>Low Value</v>
      </c>
      <c r="J2402" t="str">
        <f t="shared" si="113"/>
        <v>High Risk</v>
      </c>
      <c r="K2402" s="3" t="str">
        <f t="shared" si="111"/>
        <v>0-1 Year</v>
      </c>
    </row>
    <row r="2403" spans="1:11" x14ac:dyDescent="0.3">
      <c r="A2403" t="s">
        <v>2420</v>
      </c>
      <c r="B2403" t="s">
        <v>9</v>
      </c>
      <c r="C2403" t="s">
        <v>10</v>
      </c>
      <c r="D2403" t="s">
        <v>11</v>
      </c>
      <c r="E2403">
        <v>96.25</v>
      </c>
      <c r="F2403">
        <v>5</v>
      </c>
      <c r="G2403">
        <v>481.25</v>
      </c>
      <c r="H2403" t="s">
        <v>18</v>
      </c>
      <c r="I2403" t="str">
        <f t="shared" si="112"/>
        <v>Low Value</v>
      </c>
      <c r="J2403" t="str">
        <f t="shared" si="113"/>
        <v>High Risk</v>
      </c>
      <c r="K2403" s="3" t="str">
        <f t="shared" si="111"/>
        <v>0-1 Year</v>
      </c>
    </row>
    <row r="2404" spans="1:11" x14ac:dyDescent="0.3">
      <c r="A2404" t="s">
        <v>2421</v>
      </c>
      <c r="B2404" t="s">
        <v>9</v>
      </c>
      <c r="C2404" t="s">
        <v>10</v>
      </c>
      <c r="D2404" t="s">
        <v>11</v>
      </c>
      <c r="E2404">
        <v>70.7</v>
      </c>
      <c r="F2404">
        <v>2</v>
      </c>
      <c r="G2404">
        <v>141.4</v>
      </c>
      <c r="H2404" t="s">
        <v>18</v>
      </c>
      <c r="I2404" t="str">
        <f t="shared" si="112"/>
        <v>Low Value</v>
      </c>
      <c r="J2404" t="str">
        <f t="shared" si="113"/>
        <v>High Risk</v>
      </c>
      <c r="K2404" s="3" t="str">
        <f t="shared" si="111"/>
        <v>0-1 Year</v>
      </c>
    </row>
    <row r="2405" spans="1:11" x14ac:dyDescent="0.3">
      <c r="A2405" t="s">
        <v>2422</v>
      </c>
      <c r="B2405" t="s">
        <v>9</v>
      </c>
      <c r="C2405" t="s">
        <v>30</v>
      </c>
      <c r="D2405" t="s">
        <v>16</v>
      </c>
      <c r="E2405">
        <v>20.85</v>
      </c>
      <c r="F2405">
        <v>45</v>
      </c>
      <c r="G2405">
        <v>938.25</v>
      </c>
      <c r="H2405" t="s">
        <v>12</v>
      </c>
      <c r="I2405" t="str">
        <f t="shared" si="112"/>
        <v>Low Value</v>
      </c>
      <c r="J2405" t="str">
        <f t="shared" si="113"/>
        <v>Low Risk</v>
      </c>
      <c r="K2405" s="3" t="str">
        <f t="shared" si="111"/>
        <v>2-4 Years</v>
      </c>
    </row>
    <row r="2406" spans="1:11" x14ac:dyDescent="0.3">
      <c r="A2406" t="s">
        <v>2423</v>
      </c>
      <c r="B2406" t="s">
        <v>14</v>
      </c>
      <c r="C2406" t="s">
        <v>15</v>
      </c>
      <c r="D2406" t="s">
        <v>24</v>
      </c>
      <c r="E2406">
        <v>60</v>
      </c>
      <c r="F2406">
        <v>28</v>
      </c>
      <c r="G2406">
        <v>1680</v>
      </c>
      <c r="H2406" t="s">
        <v>12</v>
      </c>
      <c r="I2406" t="str">
        <f t="shared" si="112"/>
        <v>Low Value</v>
      </c>
      <c r="J2406" t="str">
        <f t="shared" si="113"/>
        <v>Low Risk</v>
      </c>
      <c r="K2406" s="3" t="str">
        <f t="shared" si="111"/>
        <v>2-4 Years</v>
      </c>
    </row>
    <row r="2407" spans="1:11" x14ac:dyDescent="0.3">
      <c r="A2407" t="s">
        <v>2424</v>
      </c>
      <c r="B2407" t="s">
        <v>9</v>
      </c>
      <c r="C2407" t="s">
        <v>10</v>
      </c>
      <c r="D2407" t="s">
        <v>11</v>
      </c>
      <c r="E2407">
        <v>80.45</v>
      </c>
      <c r="F2407">
        <v>43</v>
      </c>
      <c r="G2407">
        <v>3459.35</v>
      </c>
      <c r="H2407" t="s">
        <v>12</v>
      </c>
      <c r="I2407" t="str">
        <f t="shared" si="112"/>
        <v>Medium Value</v>
      </c>
      <c r="J2407" t="str">
        <f t="shared" si="113"/>
        <v>Low Risk</v>
      </c>
      <c r="K2407" s="3" t="str">
        <f t="shared" si="111"/>
        <v>2-4 Years</v>
      </c>
    </row>
    <row r="2408" spans="1:11" x14ac:dyDescent="0.3">
      <c r="A2408" t="s">
        <v>2425</v>
      </c>
      <c r="B2408" t="s">
        <v>14</v>
      </c>
      <c r="C2408" t="s">
        <v>30</v>
      </c>
      <c r="D2408" t="s">
        <v>11</v>
      </c>
      <c r="E2408">
        <v>84.95</v>
      </c>
      <c r="F2408">
        <v>60</v>
      </c>
      <c r="G2408">
        <v>5097</v>
      </c>
      <c r="H2408" t="s">
        <v>12</v>
      </c>
      <c r="I2408" t="str">
        <f t="shared" si="112"/>
        <v>High Value</v>
      </c>
      <c r="J2408" t="str">
        <f t="shared" si="113"/>
        <v>Low Risk</v>
      </c>
      <c r="K2408" s="3" t="str">
        <f t="shared" si="111"/>
        <v>4+ Years</v>
      </c>
    </row>
    <row r="2409" spans="1:11" x14ac:dyDescent="0.3">
      <c r="A2409" t="s">
        <v>2426</v>
      </c>
      <c r="B2409" t="s">
        <v>9</v>
      </c>
      <c r="C2409" t="s">
        <v>15</v>
      </c>
      <c r="D2409" t="s">
        <v>16</v>
      </c>
      <c r="E2409">
        <v>33.549999999999997</v>
      </c>
      <c r="F2409">
        <v>42</v>
      </c>
      <c r="G2409">
        <v>1409.1</v>
      </c>
      <c r="H2409" t="s">
        <v>18</v>
      </c>
      <c r="I2409" t="str">
        <f t="shared" si="112"/>
        <v>Low Value</v>
      </c>
      <c r="J2409" t="str">
        <f t="shared" si="113"/>
        <v>Low Risk</v>
      </c>
      <c r="K2409" s="3" t="str">
        <f t="shared" si="111"/>
        <v>2-4 Years</v>
      </c>
    </row>
    <row r="2410" spans="1:11" x14ac:dyDescent="0.3">
      <c r="A2410" t="s">
        <v>2427</v>
      </c>
      <c r="B2410" t="s">
        <v>14</v>
      </c>
      <c r="C2410" t="s">
        <v>30</v>
      </c>
      <c r="D2410" t="s">
        <v>24</v>
      </c>
      <c r="E2410">
        <v>49.65</v>
      </c>
      <c r="F2410">
        <v>7</v>
      </c>
      <c r="G2410">
        <v>347.55</v>
      </c>
      <c r="H2410" t="s">
        <v>12</v>
      </c>
      <c r="I2410" t="str">
        <f t="shared" si="112"/>
        <v>Low Value</v>
      </c>
      <c r="J2410" t="str">
        <f t="shared" si="113"/>
        <v>High Risk</v>
      </c>
      <c r="K2410" s="3" t="str">
        <f t="shared" si="111"/>
        <v>0-1 Year</v>
      </c>
    </row>
    <row r="2411" spans="1:11" x14ac:dyDescent="0.3">
      <c r="A2411" t="s">
        <v>2428</v>
      </c>
      <c r="B2411" t="s">
        <v>9</v>
      </c>
      <c r="C2411" t="s">
        <v>15</v>
      </c>
      <c r="D2411" t="s">
        <v>20</v>
      </c>
      <c r="E2411">
        <v>20.2</v>
      </c>
      <c r="F2411">
        <v>25</v>
      </c>
      <c r="G2411">
        <v>505</v>
      </c>
      <c r="H2411" t="s">
        <v>12</v>
      </c>
      <c r="I2411" t="str">
        <f t="shared" si="112"/>
        <v>Low Value</v>
      </c>
      <c r="J2411" t="str">
        <f t="shared" si="113"/>
        <v>Low Risk</v>
      </c>
      <c r="K2411" s="3" t="str">
        <f t="shared" si="111"/>
        <v>2-4 Years</v>
      </c>
    </row>
    <row r="2412" spans="1:11" x14ac:dyDescent="0.3">
      <c r="A2412" t="s">
        <v>2429</v>
      </c>
      <c r="B2412" t="s">
        <v>9</v>
      </c>
      <c r="C2412" t="s">
        <v>10</v>
      </c>
      <c r="D2412" t="s">
        <v>24</v>
      </c>
      <c r="E2412">
        <v>94.55</v>
      </c>
      <c r="F2412">
        <v>40</v>
      </c>
      <c r="G2412">
        <v>3782</v>
      </c>
      <c r="H2412" t="s">
        <v>18</v>
      </c>
      <c r="I2412" t="str">
        <f t="shared" si="112"/>
        <v>Medium Value</v>
      </c>
      <c r="J2412" t="str">
        <f t="shared" si="113"/>
        <v>Low Risk</v>
      </c>
      <c r="K2412" s="3" t="str">
        <f t="shared" si="111"/>
        <v>2-4 Years</v>
      </c>
    </row>
    <row r="2413" spans="1:11" x14ac:dyDescent="0.3">
      <c r="A2413" t="s">
        <v>2430</v>
      </c>
      <c r="B2413" t="s">
        <v>14</v>
      </c>
      <c r="C2413" t="s">
        <v>15</v>
      </c>
      <c r="D2413" t="s">
        <v>20</v>
      </c>
      <c r="E2413">
        <v>100.5</v>
      </c>
      <c r="F2413">
        <v>27</v>
      </c>
      <c r="G2413">
        <v>2713.5</v>
      </c>
      <c r="H2413" t="s">
        <v>12</v>
      </c>
      <c r="I2413" t="str">
        <f t="shared" si="112"/>
        <v>Medium Value</v>
      </c>
      <c r="J2413" t="str">
        <f t="shared" si="113"/>
        <v>Low Risk</v>
      </c>
      <c r="K2413" s="3" t="str">
        <f t="shared" si="111"/>
        <v>2-4 Years</v>
      </c>
    </row>
    <row r="2414" spans="1:11" x14ac:dyDescent="0.3">
      <c r="A2414" t="s">
        <v>2431</v>
      </c>
      <c r="B2414" t="s">
        <v>14</v>
      </c>
      <c r="C2414" t="s">
        <v>10</v>
      </c>
      <c r="D2414" t="s">
        <v>11</v>
      </c>
      <c r="E2414">
        <v>35.75</v>
      </c>
      <c r="F2414">
        <v>10</v>
      </c>
      <c r="G2414">
        <v>357.5</v>
      </c>
      <c r="H2414" t="s">
        <v>12</v>
      </c>
      <c r="I2414" t="str">
        <f t="shared" si="112"/>
        <v>Low Value</v>
      </c>
      <c r="J2414" t="str">
        <f t="shared" si="113"/>
        <v>High Risk</v>
      </c>
      <c r="K2414" s="3" t="str">
        <f t="shared" si="111"/>
        <v>0-1 Year</v>
      </c>
    </row>
    <row r="2415" spans="1:11" x14ac:dyDescent="0.3">
      <c r="A2415" t="s">
        <v>2432</v>
      </c>
      <c r="B2415" t="s">
        <v>9</v>
      </c>
      <c r="C2415" t="s">
        <v>10</v>
      </c>
      <c r="D2415" t="s">
        <v>20</v>
      </c>
      <c r="E2415">
        <v>86.45</v>
      </c>
      <c r="F2415">
        <v>27</v>
      </c>
      <c r="G2415">
        <v>2334.15</v>
      </c>
      <c r="H2415" t="s">
        <v>12</v>
      </c>
      <c r="I2415" t="str">
        <f t="shared" si="112"/>
        <v>Medium Value</v>
      </c>
      <c r="J2415" t="str">
        <f t="shared" si="113"/>
        <v>Low Risk</v>
      </c>
      <c r="K2415" s="3" t="str">
        <f t="shared" si="111"/>
        <v>2-4 Years</v>
      </c>
    </row>
    <row r="2416" spans="1:11" x14ac:dyDescent="0.3">
      <c r="A2416" t="s">
        <v>2433</v>
      </c>
      <c r="B2416" t="s">
        <v>9</v>
      </c>
      <c r="C2416" t="s">
        <v>15</v>
      </c>
      <c r="D2416" t="s">
        <v>20</v>
      </c>
      <c r="E2416">
        <v>53.8</v>
      </c>
      <c r="F2416">
        <v>11</v>
      </c>
      <c r="G2416">
        <v>591.79999999999995</v>
      </c>
      <c r="H2416" t="s">
        <v>12</v>
      </c>
      <c r="I2416" t="str">
        <f t="shared" si="112"/>
        <v>Low Value</v>
      </c>
      <c r="J2416" t="str">
        <f t="shared" si="113"/>
        <v>High Risk</v>
      </c>
      <c r="K2416" s="3" t="str">
        <f t="shared" si="111"/>
        <v>0-1 Year</v>
      </c>
    </row>
    <row r="2417" spans="1:11" x14ac:dyDescent="0.3">
      <c r="A2417" t="s">
        <v>2434</v>
      </c>
      <c r="B2417" t="s">
        <v>14</v>
      </c>
      <c r="C2417" t="s">
        <v>10</v>
      </c>
      <c r="D2417" t="s">
        <v>24</v>
      </c>
      <c r="E2417">
        <v>38.549999999999997</v>
      </c>
      <c r="F2417">
        <v>4</v>
      </c>
      <c r="G2417">
        <v>154.19999999999999</v>
      </c>
      <c r="H2417" t="s">
        <v>12</v>
      </c>
      <c r="I2417" t="str">
        <f t="shared" si="112"/>
        <v>Low Value</v>
      </c>
      <c r="J2417" t="str">
        <f t="shared" si="113"/>
        <v>High Risk</v>
      </c>
      <c r="K2417" s="3" t="str">
        <f t="shared" si="111"/>
        <v>0-1 Year</v>
      </c>
    </row>
    <row r="2418" spans="1:11" x14ac:dyDescent="0.3">
      <c r="A2418" t="s">
        <v>2435</v>
      </c>
      <c r="B2418" t="s">
        <v>14</v>
      </c>
      <c r="C2418" t="s">
        <v>10</v>
      </c>
      <c r="D2418" t="s">
        <v>20</v>
      </c>
      <c r="E2418">
        <v>39.9</v>
      </c>
      <c r="F2418">
        <v>68</v>
      </c>
      <c r="G2418">
        <v>2713.2</v>
      </c>
      <c r="H2418" t="s">
        <v>12</v>
      </c>
      <c r="I2418" t="str">
        <f t="shared" si="112"/>
        <v>Medium Value</v>
      </c>
      <c r="J2418" t="str">
        <f t="shared" si="113"/>
        <v>Low Risk</v>
      </c>
      <c r="K2418" s="3" t="str">
        <f t="shared" si="111"/>
        <v>4+ Years</v>
      </c>
    </row>
    <row r="2419" spans="1:11" x14ac:dyDescent="0.3">
      <c r="A2419" t="s">
        <v>2436</v>
      </c>
      <c r="B2419" t="s">
        <v>14</v>
      </c>
      <c r="C2419" t="s">
        <v>10</v>
      </c>
      <c r="D2419" t="s">
        <v>11</v>
      </c>
      <c r="E2419">
        <v>70.05</v>
      </c>
      <c r="F2419">
        <v>1</v>
      </c>
      <c r="G2419">
        <v>70.05</v>
      </c>
      <c r="H2419" t="s">
        <v>12</v>
      </c>
      <c r="I2419" t="str">
        <f t="shared" si="112"/>
        <v>Low Value</v>
      </c>
      <c r="J2419" t="str">
        <f t="shared" si="113"/>
        <v>High Risk</v>
      </c>
      <c r="K2419" s="3" t="str">
        <f t="shared" si="111"/>
        <v>0-1 Year</v>
      </c>
    </row>
    <row r="2420" spans="1:11" x14ac:dyDescent="0.3">
      <c r="A2420" t="s">
        <v>2437</v>
      </c>
      <c r="B2420" t="s">
        <v>9</v>
      </c>
      <c r="C2420" t="s">
        <v>15</v>
      </c>
      <c r="D2420" t="s">
        <v>16</v>
      </c>
      <c r="E2420">
        <v>20.100000000000001</v>
      </c>
      <c r="F2420">
        <v>18</v>
      </c>
      <c r="G2420">
        <v>361.8</v>
      </c>
      <c r="H2420" t="s">
        <v>12</v>
      </c>
      <c r="I2420" t="str">
        <f t="shared" si="112"/>
        <v>Low Value</v>
      </c>
      <c r="J2420" t="str">
        <f t="shared" si="113"/>
        <v>Medium Risk</v>
      </c>
      <c r="K2420" s="3" t="str">
        <f t="shared" si="111"/>
        <v>1-2 Years</v>
      </c>
    </row>
    <row r="2421" spans="1:11" x14ac:dyDescent="0.3">
      <c r="A2421" t="s">
        <v>2438</v>
      </c>
      <c r="B2421" t="s">
        <v>9</v>
      </c>
      <c r="C2421" t="s">
        <v>30</v>
      </c>
      <c r="D2421" t="s">
        <v>20</v>
      </c>
      <c r="E2421">
        <v>112.95</v>
      </c>
      <c r="F2421">
        <v>57</v>
      </c>
      <c r="G2421">
        <v>6438.15</v>
      </c>
      <c r="H2421" t="s">
        <v>18</v>
      </c>
      <c r="I2421" t="str">
        <f t="shared" si="112"/>
        <v>High Value</v>
      </c>
      <c r="J2421" t="str">
        <f t="shared" si="113"/>
        <v>Low Risk</v>
      </c>
      <c r="K2421" s="3" t="str">
        <f t="shared" si="111"/>
        <v>4+ Years</v>
      </c>
    </row>
    <row r="2422" spans="1:11" x14ac:dyDescent="0.3">
      <c r="A2422" t="s">
        <v>2439</v>
      </c>
      <c r="B2422" t="s">
        <v>14</v>
      </c>
      <c r="C2422" t="s">
        <v>10</v>
      </c>
      <c r="D2422" t="s">
        <v>11</v>
      </c>
      <c r="E2422">
        <v>20.3</v>
      </c>
      <c r="F2422">
        <v>26</v>
      </c>
      <c r="G2422">
        <v>527.79999999999995</v>
      </c>
      <c r="H2422" t="s">
        <v>12</v>
      </c>
      <c r="I2422" t="str">
        <f t="shared" si="112"/>
        <v>Low Value</v>
      </c>
      <c r="J2422" t="str">
        <f t="shared" si="113"/>
        <v>Low Risk</v>
      </c>
      <c r="K2422" s="3" t="str">
        <f t="shared" si="111"/>
        <v>2-4 Years</v>
      </c>
    </row>
    <row r="2423" spans="1:11" x14ac:dyDescent="0.3">
      <c r="A2423" t="s">
        <v>2440</v>
      </c>
      <c r="B2423" t="s">
        <v>9</v>
      </c>
      <c r="C2423" t="s">
        <v>10</v>
      </c>
      <c r="D2423" t="s">
        <v>24</v>
      </c>
      <c r="E2423">
        <v>35.65</v>
      </c>
      <c r="F2423">
        <v>17</v>
      </c>
      <c r="G2423">
        <v>606.04999999999995</v>
      </c>
      <c r="H2423" t="s">
        <v>12</v>
      </c>
      <c r="I2423" t="str">
        <f t="shared" si="112"/>
        <v>Low Value</v>
      </c>
      <c r="J2423" t="str">
        <f t="shared" si="113"/>
        <v>Medium Risk</v>
      </c>
      <c r="K2423" s="3" t="str">
        <f t="shared" si="111"/>
        <v>1-2 Years</v>
      </c>
    </row>
    <row r="2424" spans="1:11" x14ac:dyDescent="0.3">
      <c r="A2424" t="s">
        <v>2441</v>
      </c>
      <c r="B2424" t="s">
        <v>14</v>
      </c>
      <c r="C2424" t="s">
        <v>10</v>
      </c>
      <c r="D2424" t="s">
        <v>11</v>
      </c>
      <c r="E2424">
        <v>35.9</v>
      </c>
      <c r="F2424">
        <v>1</v>
      </c>
      <c r="G2424">
        <v>35.9</v>
      </c>
      <c r="H2424" t="s">
        <v>18</v>
      </c>
      <c r="I2424" t="str">
        <f t="shared" si="112"/>
        <v>Low Value</v>
      </c>
      <c r="J2424" t="str">
        <f t="shared" si="113"/>
        <v>High Risk</v>
      </c>
      <c r="K2424" s="3" t="str">
        <f t="shared" si="111"/>
        <v>0-1 Year</v>
      </c>
    </row>
    <row r="2425" spans="1:11" x14ac:dyDescent="0.3">
      <c r="A2425" t="s">
        <v>2442</v>
      </c>
      <c r="B2425" t="s">
        <v>14</v>
      </c>
      <c r="C2425" t="s">
        <v>10</v>
      </c>
      <c r="D2425" t="s">
        <v>20</v>
      </c>
      <c r="E2425">
        <v>99.25</v>
      </c>
      <c r="F2425">
        <v>38</v>
      </c>
      <c r="G2425">
        <v>3771.5</v>
      </c>
      <c r="H2425" t="s">
        <v>18</v>
      </c>
      <c r="I2425" t="str">
        <f t="shared" si="112"/>
        <v>Medium Value</v>
      </c>
      <c r="J2425" t="str">
        <f t="shared" si="113"/>
        <v>Low Risk</v>
      </c>
      <c r="K2425" s="3" t="str">
        <f t="shared" si="111"/>
        <v>2-4 Years</v>
      </c>
    </row>
    <row r="2426" spans="1:11" x14ac:dyDescent="0.3">
      <c r="A2426" t="s">
        <v>2443</v>
      </c>
      <c r="B2426" t="s">
        <v>14</v>
      </c>
      <c r="C2426" t="s">
        <v>15</v>
      </c>
      <c r="D2426" t="s">
        <v>24</v>
      </c>
      <c r="E2426">
        <v>82.95</v>
      </c>
      <c r="F2426">
        <v>59</v>
      </c>
      <c r="G2426">
        <v>4894.05</v>
      </c>
      <c r="H2426" t="s">
        <v>12</v>
      </c>
      <c r="I2426" t="str">
        <f t="shared" si="112"/>
        <v>Medium Value</v>
      </c>
      <c r="J2426" t="str">
        <f t="shared" si="113"/>
        <v>Low Risk</v>
      </c>
      <c r="K2426" s="3" t="str">
        <f t="shared" si="111"/>
        <v>4+ Years</v>
      </c>
    </row>
    <row r="2427" spans="1:11" x14ac:dyDescent="0.3">
      <c r="A2427" t="s">
        <v>2444</v>
      </c>
      <c r="B2427" t="s">
        <v>14</v>
      </c>
      <c r="C2427" t="s">
        <v>30</v>
      </c>
      <c r="D2427" t="s">
        <v>16</v>
      </c>
      <c r="E2427">
        <v>55.65</v>
      </c>
      <c r="F2427">
        <v>30</v>
      </c>
      <c r="G2427">
        <v>1669.5</v>
      </c>
      <c r="H2427" t="s">
        <v>12</v>
      </c>
      <c r="I2427" t="str">
        <f t="shared" si="112"/>
        <v>Low Value</v>
      </c>
      <c r="J2427" t="str">
        <f t="shared" si="113"/>
        <v>Low Risk</v>
      </c>
      <c r="K2427" s="3" t="str">
        <f t="shared" si="111"/>
        <v>2-4 Years</v>
      </c>
    </row>
    <row r="2428" spans="1:11" x14ac:dyDescent="0.3">
      <c r="A2428" t="s">
        <v>2445</v>
      </c>
      <c r="B2428" t="s">
        <v>14</v>
      </c>
      <c r="C2428" t="s">
        <v>10</v>
      </c>
      <c r="D2428" t="s">
        <v>16</v>
      </c>
      <c r="E2428">
        <v>24.45</v>
      </c>
      <c r="F2428">
        <v>2</v>
      </c>
      <c r="G2428">
        <v>48.9</v>
      </c>
      <c r="H2428" t="s">
        <v>18</v>
      </c>
      <c r="I2428" t="str">
        <f t="shared" si="112"/>
        <v>Low Value</v>
      </c>
      <c r="J2428" t="str">
        <f t="shared" si="113"/>
        <v>High Risk</v>
      </c>
      <c r="K2428" s="3" t="str">
        <f t="shared" si="111"/>
        <v>0-1 Year</v>
      </c>
    </row>
    <row r="2429" spans="1:11" x14ac:dyDescent="0.3">
      <c r="A2429" t="s">
        <v>2446</v>
      </c>
      <c r="B2429" t="s">
        <v>9</v>
      </c>
      <c r="C2429" t="s">
        <v>15</v>
      </c>
      <c r="D2429" t="s">
        <v>11</v>
      </c>
      <c r="E2429">
        <v>25.2</v>
      </c>
      <c r="F2429">
        <v>50</v>
      </c>
      <c r="G2429">
        <v>1260</v>
      </c>
      <c r="H2429" t="s">
        <v>12</v>
      </c>
      <c r="I2429" t="str">
        <f t="shared" si="112"/>
        <v>Low Value</v>
      </c>
      <c r="J2429" t="str">
        <f t="shared" si="113"/>
        <v>Low Risk</v>
      </c>
      <c r="K2429" s="3" t="str">
        <f t="shared" si="111"/>
        <v>4+ Years</v>
      </c>
    </row>
    <row r="2430" spans="1:11" x14ac:dyDescent="0.3">
      <c r="A2430" t="s">
        <v>2447</v>
      </c>
      <c r="B2430" t="s">
        <v>14</v>
      </c>
      <c r="C2430" t="s">
        <v>15</v>
      </c>
      <c r="D2430" t="s">
        <v>16</v>
      </c>
      <c r="E2430">
        <v>50.8</v>
      </c>
      <c r="F2430">
        <v>9</v>
      </c>
      <c r="G2430">
        <v>457.2</v>
      </c>
      <c r="H2430" t="s">
        <v>12</v>
      </c>
      <c r="I2430" t="str">
        <f t="shared" si="112"/>
        <v>Low Value</v>
      </c>
      <c r="J2430" t="str">
        <f t="shared" si="113"/>
        <v>High Risk</v>
      </c>
      <c r="K2430" s="3" t="str">
        <f t="shared" si="111"/>
        <v>0-1 Year</v>
      </c>
    </row>
    <row r="2431" spans="1:11" x14ac:dyDescent="0.3">
      <c r="A2431" t="s">
        <v>2448</v>
      </c>
      <c r="B2431" t="s">
        <v>9</v>
      </c>
      <c r="C2431" t="s">
        <v>10</v>
      </c>
      <c r="D2431" t="s">
        <v>16</v>
      </c>
      <c r="E2431">
        <v>19.649999999999999</v>
      </c>
      <c r="F2431">
        <v>3</v>
      </c>
      <c r="G2431">
        <v>58.949999999999903</v>
      </c>
      <c r="H2431" t="s">
        <v>12</v>
      </c>
      <c r="I2431" t="str">
        <f t="shared" si="112"/>
        <v>Low Value</v>
      </c>
      <c r="J2431" t="str">
        <f t="shared" si="113"/>
        <v>High Risk</v>
      </c>
      <c r="K2431" s="3" t="str">
        <f t="shared" si="111"/>
        <v>0-1 Year</v>
      </c>
    </row>
    <row r="2432" spans="1:11" x14ac:dyDescent="0.3">
      <c r="A2432" t="s">
        <v>2449</v>
      </c>
      <c r="B2432" t="s">
        <v>9</v>
      </c>
      <c r="C2432" t="s">
        <v>10</v>
      </c>
      <c r="D2432" t="s">
        <v>24</v>
      </c>
      <c r="E2432">
        <v>59.8</v>
      </c>
      <c r="F2432">
        <v>14</v>
      </c>
      <c r="G2432">
        <v>837.19999999999902</v>
      </c>
      <c r="H2432" t="s">
        <v>12</v>
      </c>
      <c r="I2432" t="str">
        <f t="shared" si="112"/>
        <v>Low Value</v>
      </c>
      <c r="J2432" t="str">
        <f t="shared" si="113"/>
        <v>Medium Risk</v>
      </c>
      <c r="K2432" s="3" t="str">
        <f t="shared" si="111"/>
        <v>1-2 Years</v>
      </c>
    </row>
    <row r="2433" spans="1:11" x14ac:dyDescent="0.3">
      <c r="A2433" t="s">
        <v>2450</v>
      </c>
      <c r="B2433" t="s">
        <v>9</v>
      </c>
      <c r="C2433" t="s">
        <v>10</v>
      </c>
      <c r="D2433" t="s">
        <v>24</v>
      </c>
      <c r="E2433">
        <v>73.55</v>
      </c>
      <c r="F2433">
        <v>31</v>
      </c>
      <c r="G2433">
        <v>2280.0499999999902</v>
      </c>
      <c r="H2433" t="s">
        <v>12</v>
      </c>
      <c r="I2433" t="str">
        <f t="shared" si="112"/>
        <v>Medium Value</v>
      </c>
      <c r="J2433" t="str">
        <f t="shared" si="113"/>
        <v>Low Risk</v>
      </c>
      <c r="K2433" s="3" t="str">
        <f t="shared" si="111"/>
        <v>2-4 Years</v>
      </c>
    </row>
    <row r="2434" spans="1:11" x14ac:dyDescent="0.3">
      <c r="A2434" t="s">
        <v>2451</v>
      </c>
      <c r="B2434" t="s">
        <v>9</v>
      </c>
      <c r="C2434" t="s">
        <v>10</v>
      </c>
      <c r="D2434" t="s">
        <v>11</v>
      </c>
      <c r="E2434">
        <v>61.4</v>
      </c>
      <c r="F2434">
        <v>7</v>
      </c>
      <c r="G2434">
        <v>429.8</v>
      </c>
      <c r="H2434" t="s">
        <v>12</v>
      </c>
      <c r="I2434" t="str">
        <f t="shared" si="112"/>
        <v>Low Value</v>
      </c>
      <c r="J2434" t="str">
        <f t="shared" si="113"/>
        <v>High Risk</v>
      </c>
      <c r="K2434" s="3" t="str">
        <f t="shared" si="111"/>
        <v>0-1 Year</v>
      </c>
    </row>
    <row r="2435" spans="1:11" x14ac:dyDescent="0.3">
      <c r="A2435" t="s">
        <v>2452</v>
      </c>
      <c r="B2435" t="s">
        <v>9</v>
      </c>
      <c r="C2435" t="s">
        <v>10</v>
      </c>
      <c r="D2435" t="s">
        <v>20</v>
      </c>
      <c r="E2435">
        <v>103.35</v>
      </c>
      <c r="F2435">
        <v>8</v>
      </c>
      <c r="G2435">
        <v>826.8</v>
      </c>
      <c r="H2435" t="s">
        <v>18</v>
      </c>
      <c r="I2435" t="str">
        <f t="shared" si="112"/>
        <v>Low Value</v>
      </c>
      <c r="J2435" t="str">
        <f t="shared" si="113"/>
        <v>High Risk</v>
      </c>
      <c r="K2435" s="3" t="str">
        <f t="shared" ref="K2435:K2498" si="114">IF(F2435&lt;=12,"0-1 Year",
IF(F2435&lt;=24,"1-2 Years",
IF(F2435&lt;=48,"2-4 Years","4+ Years")))</f>
        <v>0-1 Year</v>
      </c>
    </row>
    <row r="2436" spans="1:11" x14ac:dyDescent="0.3">
      <c r="A2436" t="s">
        <v>2453</v>
      </c>
      <c r="B2436" t="s">
        <v>14</v>
      </c>
      <c r="C2436" t="s">
        <v>15</v>
      </c>
      <c r="D2436" t="s">
        <v>20</v>
      </c>
      <c r="E2436">
        <v>19.899999999999999</v>
      </c>
      <c r="F2436">
        <v>17</v>
      </c>
      <c r="G2436">
        <v>338.29999999999899</v>
      </c>
      <c r="H2436" t="s">
        <v>12</v>
      </c>
      <c r="I2436" t="str">
        <f t="shared" ref="I2436:I2499" si="115">IF(G2436&gt;5000,"High Value",
IF(G2436&gt;2000,"Medium Value","Low Value"))</f>
        <v>Low Value</v>
      </c>
      <c r="J2436" t="str">
        <f t="shared" ref="J2436:J2499" si="116">IF(F2436&lt;12,"High Risk",
IF(F2436&lt;24,"Medium Risk","Low Risk"))</f>
        <v>Medium Risk</v>
      </c>
      <c r="K2436" s="3" t="str">
        <f t="shared" si="114"/>
        <v>1-2 Years</v>
      </c>
    </row>
    <row r="2437" spans="1:11" x14ac:dyDescent="0.3">
      <c r="A2437" t="s">
        <v>2454</v>
      </c>
      <c r="B2437" t="s">
        <v>14</v>
      </c>
      <c r="C2437" t="s">
        <v>10</v>
      </c>
      <c r="D2437" t="s">
        <v>24</v>
      </c>
      <c r="E2437">
        <v>19.45</v>
      </c>
      <c r="F2437">
        <v>32</v>
      </c>
      <c r="G2437">
        <v>622.4</v>
      </c>
      <c r="H2437" t="s">
        <v>12</v>
      </c>
      <c r="I2437" t="str">
        <f t="shared" si="115"/>
        <v>Low Value</v>
      </c>
      <c r="J2437" t="str">
        <f t="shared" si="116"/>
        <v>Low Risk</v>
      </c>
      <c r="K2437" s="3" t="str">
        <f t="shared" si="114"/>
        <v>2-4 Years</v>
      </c>
    </row>
    <row r="2438" spans="1:11" x14ac:dyDescent="0.3">
      <c r="A2438" t="s">
        <v>2455</v>
      </c>
      <c r="B2438" t="s">
        <v>9</v>
      </c>
      <c r="C2438" t="s">
        <v>10</v>
      </c>
      <c r="D2438" t="s">
        <v>16</v>
      </c>
      <c r="E2438">
        <v>81.5</v>
      </c>
      <c r="F2438">
        <v>2</v>
      </c>
      <c r="G2438">
        <v>163</v>
      </c>
      <c r="H2438" t="s">
        <v>12</v>
      </c>
      <c r="I2438" t="str">
        <f t="shared" si="115"/>
        <v>Low Value</v>
      </c>
      <c r="J2438" t="str">
        <f t="shared" si="116"/>
        <v>High Risk</v>
      </c>
      <c r="K2438" s="3" t="str">
        <f t="shared" si="114"/>
        <v>0-1 Year</v>
      </c>
    </row>
    <row r="2439" spans="1:11" x14ac:dyDescent="0.3">
      <c r="A2439" t="s">
        <v>2456</v>
      </c>
      <c r="B2439" t="s">
        <v>14</v>
      </c>
      <c r="C2439" t="s">
        <v>10</v>
      </c>
      <c r="D2439" t="s">
        <v>11</v>
      </c>
      <c r="E2439">
        <v>84.8</v>
      </c>
      <c r="F2439">
        <v>7</v>
      </c>
      <c r="G2439">
        <v>593.6</v>
      </c>
      <c r="H2439" t="s">
        <v>18</v>
      </c>
      <c r="I2439" t="str">
        <f t="shared" si="115"/>
        <v>Low Value</v>
      </c>
      <c r="J2439" t="str">
        <f t="shared" si="116"/>
        <v>High Risk</v>
      </c>
      <c r="K2439" s="3" t="str">
        <f t="shared" si="114"/>
        <v>0-1 Year</v>
      </c>
    </row>
    <row r="2440" spans="1:11" x14ac:dyDescent="0.3">
      <c r="A2440" t="s">
        <v>2457</v>
      </c>
      <c r="B2440" t="s">
        <v>9</v>
      </c>
      <c r="C2440" t="s">
        <v>30</v>
      </c>
      <c r="D2440" t="s">
        <v>24</v>
      </c>
      <c r="E2440">
        <v>109.55</v>
      </c>
      <c r="F2440">
        <v>72</v>
      </c>
      <c r="G2440">
        <v>7887.5999999999904</v>
      </c>
      <c r="H2440" t="s">
        <v>12</v>
      </c>
      <c r="I2440" t="str">
        <f t="shared" si="115"/>
        <v>High Value</v>
      </c>
      <c r="J2440" t="str">
        <f t="shared" si="116"/>
        <v>Low Risk</v>
      </c>
      <c r="K2440" s="3" t="str">
        <f t="shared" si="114"/>
        <v>4+ Years</v>
      </c>
    </row>
    <row r="2441" spans="1:11" x14ac:dyDescent="0.3">
      <c r="A2441" t="s">
        <v>2458</v>
      </c>
      <c r="B2441" t="s">
        <v>9</v>
      </c>
      <c r="C2441" t="s">
        <v>10</v>
      </c>
      <c r="D2441" t="s">
        <v>11</v>
      </c>
      <c r="E2441">
        <v>99.95</v>
      </c>
      <c r="F2441">
        <v>31</v>
      </c>
      <c r="G2441">
        <v>3098.45</v>
      </c>
      <c r="H2441" t="s">
        <v>18</v>
      </c>
      <c r="I2441" t="str">
        <f t="shared" si="115"/>
        <v>Medium Value</v>
      </c>
      <c r="J2441" t="str">
        <f t="shared" si="116"/>
        <v>Low Risk</v>
      </c>
      <c r="K2441" s="3" t="str">
        <f t="shared" si="114"/>
        <v>2-4 Years</v>
      </c>
    </row>
    <row r="2442" spans="1:11" x14ac:dyDescent="0.3">
      <c r="A2442" t="s">
        <v>2459</v>
      </c>
      <c r="B2442" t="s">
        <v>9</v>
      </c>
      <c r="C2442" t="s">
        <v>10</v>
      </c>
      <c r="D2442" t="s">
        <v>16</v>
      </c>
      <c r="E2442">
        <v>74.400000000000006</v>
      </c>
      <c r="F2442">
        <v>27</v>
      </c>
      <c r="G2442">
        <v>2008.8</v>
      </c>
      <c r="H2442" t="s">
        <v>12</v>
      </c>
      <c r="I2442" t="str">
        <f t="shared" si="115"/>
        <v>Medium Value</v>
      </c>
      <c r="J2442" t="str">
        <f t="shared" si="116"/>
        <v>Low Risk</v>
      </c>
      <c r="K2442" s="3" t="str">
        <f t="shared" si="114"/>
        <v>2-4 Years</v>
      </c>
    </row>
    <row r="2443" spans="1:11" x14ac:dyDescent="0.3">
      <c r="A2443" t="s">
        <v>2460</v>
      </c>
      <c r="B2443" t="s">
        <v>9</v>
      </c>
      <c r="C2443" t="s">
        <v>10</v>
      </c>
      <c r="D2443" t="s">
        <v>24</v>
      </c>
      <c r="E2443">
        <v>90</v>
      </c>
      <c r="F2443">
        <v>18</v>
      </c>
      <c r="G2443">
        <v>1620</v>
      </c>
      <c r="H2443" t="s">
        <v>18</v>
      </c>
      <c r="I2443" t="str">
        <f t="shared" si="115"/>
        <v>Low Value</v>
      </c>
      <c r="J2443" t="str">
        <f t="shared" si="116"/>
        <v>Medium Risk</v>
      </c>
      <c r="K2443" s="3" t="str">
        <f t="shared" si="114"/>
        <v>1-2 Years</v>
      </c>
    </row>
    <row r="2444" spans="1:11" x14ac:dyDescent="0.3">
      <c r="A2444" t="s">
        <v>2461</v>
      </c>
      <c r="B2444" t="s">
        <v>14</v>
      </c>
      <c r="C2444" t="s">
        <v>10</v>
      </c>
      <c r="D2444" t="s">
        <v>11</v>
      </c>
      <c r="E2444">
        <v>74.900000000000006</v>
      </c>
      <c r="F2444">
        <v>7</v>
      </c>
      <c r="G2444">
        <v>524.29999999999995</v>
      </c>
      <c r="H2444" t="s">
        <v>12</v>
      </c>
      <c r="I2444" t="str">
        <f t="shared" si="115"/>
        <v>Low Value</v>
      </c>
      <c r="J2444" t="str">
        <f t="shared" si="116"/>
        <v>High Risk</v>
      </c>
      <c r="K2444" s="3" t="str">
        <f t="shared" si="114"/>
        <v>0-1 Year</v>
      </c>
    </row>
    <row r="2445" spans="1:11" x14ac:dyDescent="0.3">
      <c r="A2445" t="s">
        <v>2462</v>
      </c>
      <c r="B2445" t="s">
        <v>9</v>
      </c>
      <c r="C2445" t="s">
        <v>10</v>
      </c>
      <c r="D2445" t="s">
        <v>11</v>
      </c>
      <c r="E2445">
        <v>104.85</v>
      </c>
      <c r="F2445">
        <v>14</v>
      </c>
      <c r="G2445">
        <v>1467.8999999999901</v>
      </c>
      <c r="H2445" t="s">
        <v>18</v>
      </c>
      <c r="I2445" t="str">
        <f t="shared" si="115"/>
        <v>Low Value</v>
      </c>
      <c r="J2445" t="str">
        <f t="shared" si="116"/>
        <v>Medium Risk</v>
      </c>
      <c r="K2445" s="3" t="str">
        <f t="shared" si="114"/>
        <v>1-2 Years</v>
      </c>
    </row>
    <row r="2446" spans="1:11" x14ac:dyDescent="0.3">
      <c r="A2446" t="s">
        <v>2463</v>
      </c>
      <c r="B2446" t="s">
        <v>14</v>
      </c>
      <c r="C2446" t="s">
        <v>10</v>
      </c>
      <c r="D2446" t="s">
        <v>20</v>
      </c>
      <c r="E2446">
        <v>59.65</v>
      </c>
      <c r="F2446">
        <v>11</v>
      </c>
      <c r="G2446">
        <v>656.15</v>
      </c>
      <c r="H2446" t="s">
        <v>12</v>
      </c>
      <c r="I2446" t="str">
        <f t="shared" si="115"/>
        <v>Low Value</v>
      </c>
      <c r="J2446" t="str">
        <f t="shared" si="116"/>
        <v>High Risk</v>
      </c>
      <c r="K2446" s="3" t="str">
        <f t="shared" si="114"/>
        <v>0-1 Year</v>
      </c>
    </row>
    <row r="2447" spans="1:11" x14ac:dyDescent="0.3">
      <c r="A2447" t="s">
        <v>2464</v>
      </c>
      <c r="B2447" t="s">
        <v>9</v>
      </c>
      <c r="C2447" t="s">
        <v>30</v>
      </c>
      <c r="D2447" t="s">
        <v>20</v>
      </c>
      <c r="E2447">
        <v>110.45</v>
      </c>
      <c r="F2447">
        <v>72</v>
      </c>
      <c r="G2447">
        <v>7952.4</v>
      </c>
      <c r="H2447" t="s">
        <v>12</v>
      </c>
      <c r="I2447" t="str">
        <f t="shared" si="115"/>
        <v>High Value</v>
      </c>
      <c r="J2447" t="str">
        <f t="shared" si="116"/>
        <v>Low Risk</v>
      </c>
      <c r="K2447" s="3" t="str">
        <f t="shared" si="114"/>
        <v>4+ Years</v>
      </c>
    </row>
    <row r="2448" spans="1:11" x14ac:dyDescent="0.3">
      <c r="A2448" t="s">
        <v>2465</v>
      </c>
      <c r="B2448" t="s">
        <v>14</v>
      </c>
      <c r="C2448" t="s">
        <v>15</v>
      </c>
      <c r="D2448" t="s">
        <v>11</v>
      </c>
      <c r="E2448">
        <v>106.1</v>
      </c>
      <c r="F2448">
        <v>28</v>
      </c>
      <c r="G2448">
        <v>2970.7999999999902</v>
      </c>
      <c r="H2448" t="s">
        <v>18</v>
      </c>
      <c r="I2448" t="str">
        <f t="shared" si="115"/>
        <v>Medium Value</v>
      </c>
      <c r="J2448" t="str">
        <f t="shared" si="116"/>
        <v>Low Risk</v>
      </c>
      <c r="K2448" s="3" t="str">
        <f t="shared" si="114"/>
        <v>2-4 Years</v>
      </c>
    </row>
    <row r="2449" spans="1:11" x14ac:dyDescent="0.3">
      <c r="A2449" t="s">
        <v>2466</v>
      </c>
      <c r="B2449" t="s">
        <v>14</v>
      </c>
      <c r="C2449" t="s">
        <v>10</v>
      </c>
      <c r="D2449" t="s">
        <v>24</v>
      </c>
      <c r="E2449">
        <v>74.2</v>
      </c>
      <c r="F2449">
        <v>15</v>
      </c>
      <c r="G2449">
        <v>1113</v>
      </c>
      <c r="H2449" t="s">
        <v>18</v>
      </c>
      <c r="I2449" t="str">
        <f t="shared" si="115"/>
        <v>Low Value</v>
      </c>
      <c r="J2449" t="str">
        <f t="shared" si="116"/>
        <v>Medium Risk</v>
      </c>
      <c r="K2449" s="3" t="str">
        <f t="shared" si="114"/>
        <v>1-2 Years</v>
      </c>
    </row>
    <row r="2450" spans="1:11" x14ac:dyDescent="0.3">
      <c r="A2450" t="s">
        <v>2467</v>
      </c>
      <c r="B2450" t="s">
        <v>9</v>
      </c>
      <c r="C2450" t="s">
        <v>10</v>
      </c>
      <c r="D2450" t="s">
        <v>11</v>
      </c>
      <c r="E2450">
        <v>74.45</v>
      </c>
      <c r="F2450">
        <v>4</v>
      </c>
      <c r="G2450">
        <v>297.8</v>
      </c>
      <c r="H2450" t="s">
        <v>12</v>
      </c>
      <c r="I2450" t="str">
        <f t="shared" si="115"/>
        <v>Low Value</v>
      </c>
      <c r="J2450" t="str">
        <f t="shared" si="116"/>
        <v>High Risk</v>
      </c>
      <c r="K2450" s="3" t="str">
        <f t="shared" si="114"/>
        <v>0-1 Year</v>
      </c>
    </row>
    <row r="2451" spans="1:11" x14ac:dyDescent="0.3">
      <c r="A2451" t="s">
        <v>2468</v>
      </c>
      <c r="B2451" t="s">
        <v>9</v>
      </c>
      <c r="C2451" t="s">
        <v>30</v>
      </c>
      <c r="D2451" t="s">
        <v>11</v>
      </c>
      <c r="E2451">
        <v>24.55</v>
      </c>
      <c r="F2451">
        <v>71</v>
      </c>
      <c r="G2451">
        <v>1743.05</v>
      </c>
      <c r="H2451" t="s">
        <v>12</v>
      </c>
      <c r="I2451" t="str">
        <f t="shared" si="115"/>
        <v>Low Value</v>
      </c>
      <c r="J2451" t="str">
        <f t="shared" si="116"/>
        <v>Low Risk</v>
      </c>
      <c r="K2451" s="3" t="str">
        <f t="shared" si="114"/>
        <v>4+ Years</v>
      </c>
    </row>
    <row r="2452" spans="1:11" x14ac:dyDescent="0.3">
      <c r="A2452" t="s">
        <v>2469</v>
      </c>
      <c r="B2452" t="s">
        <v>9</v>
      </c>
      <c r="C2452" t="s">
        <v>10</v>
      </c>
      <c r="D2452" t="s">
        <v>11</v>
      </c>
      <c r="E2452">
        <v>89.35</v>
      </c>
      <c r="F2452">
        <v>5</v>
      </c>
      <c r="G2452">
        <v>446.75</v>
      </c>
      <c r="H2452" t="s">
        <v>18</v>
      </c>
      <c r="I2452" t="str">
        <f t="shared" si="115"/>
        <v>Low Value</v>
      </c>
      <c r="J2452" t="str">
        <f t="shared" si="116"/>
        <v>High Risk</v>
      </c>
      <c r="K2452" s="3" t="str">
        <f t="shared" si="114"/>
        <v>0-1 Year</v>
      </c>
    </row>
    <row r="2453" spans="1:11" x14ac:dyDescent="0.3">
      <c r="A2453" t="s">
        <v>2470</v>
      </c>
      <c r="B2453" t="s">
        <v>14</v>
      </c>
      <c r="C2453" t="s">
        <v>30</v>
      </c>
      <c r="D2453" t="s">
        <v>16</v>
      </c>
      <c r="E2453">
        <v>24.55</v>
      </c>
      <c r="F2453">
        <v>47</v>
      </c>
      <c r="G2453">
        <v>1153.8499999999999</v>
      </c>
      <c r="H2453" t="s">
        <v>12</v>
      </c>
      <c r="I2453" t="str">
        <f t="shared" si="115"/>
        <v>Low Value</v>
      </c>
      <c r="J2453" t="str">
        <f t="shared" si="116"/>
        <v>Low Risk</v>
      </c>
      <c r="K2453" s="3" t="str">
        <f t="shared" si="114"/>
        <v>2-4 Years</v>
      </c>
    </row>
    <row r="2454" spans="1:11" x14ac:dyDescent="0.3">
      <c r="A2454" t="s">
        <v>2471</v>
      </c>
      <c r="B2454" t="s">
        <v>14</v>
      </c>
      <c r="C2454" t="s">
        <v>15</v>
      </c>
      <c r="D2454" t="s">
        <v>11</v>
      </c>
      <c r="E2454">
        <v>90.65</v>
      </c>
      <c r="F2454">
        <v>57</v>
      </c>
      <c r="G2454">
        <v>5167.05</v>
      </c>
      <c r="H2454" t="s">
        <v>12</v>
      </c>
      <c r="I2454" t="str">
        <f t="shared" si="115"/>
        <v>High Value</v>
      </c>
      <c r="J2454" t="str">
        <f t="shared" si="116"/>
        <v>Low Risk</v>
      </c>
      <c r="K2454" s="3" t="str">
        <f t="shared" si="114"/>
        <v>4+ Years</v>
      </c>
    </row>
    <row r="2455" spans="1:11" x14ac:dyDescent="0.3">
      <c r="A2455" t="s">
        <v>2472</v>
      </c>
      <c r="B2455" t="s">
        <v>14</v>
      </c>
      <c r="C2455" t="s">
        <v>30</v>
      </c>
      <c r="D2455" t="s">
        <v>24</v>
      </c>
      <c r="E2455">
        <v>105.05</v>
      </c>
      <c r="F2455">
        <v>50</v>
      </c>
      <c r="G2455">
        <v>5252.5</v>
      </c>
      <c r="H2455" t="s">
        <v>12</v>
      </c>
      <c r="I2455" t="str">
        <f t="shared" si="115"/>
        <v>High Value</v>
      </c>
      <c r="J2455" t="str">
        <f t="shared" si="116"/>
        <v>Low Risk</v>
      </c>
      <c r="K2455" s="3" t="str">
        <f t="shared" si="114"/>
        <v>4+ Years</v>
      </c>
    </row>
    <row r="2456" spans="1:11" x14ac:dyDescent="0.3">
      <c r="A2456" t="s">
        <v>2473</v>
      </c>
      <c r="B2456" t="s">
        <v>14</v>
      </c>
      <c r="C2456" t="s">
        <v>10</v>
      </c>
      <c r="D2456" t="s">
        <v>24</v>
      </c>
      <c r="E2456">
        <v>20.45</v>
      </c>
      <c r="F2456">
        <v>8</v>
      </c>
      <c r="G2456">
        <v>163.6</v>
      </c>
      <c r="H2456" t="s">
        <v>12</v>
      </c>
      <c r="I2456" t="str">
        <f t="shared" si="115"/>
        <v>Low Value</v>
      </c>
      <c r="J2456" t="str">
        <f t="shared" si="116"/>
        <v>High Risk</v>
      </c>
      <c r="K2456" s="3" t="str">
        <f t="shared" si="114"/>
        <v>0-1 Year</v>
      </c>
    </row>
    <row r="2457" spans="1:11" x14ac:dyDescent="0.3">
      <c r="A2457" t="s">
        <v>2474</v>
      </c>
      <c r="B2457" t="s">
        <v>9</v>
      </c>
      <c r="C2457" t="s">
        <v>30</v>
      </c>
      <c r="D2457" t="s">
        <v>16</v>
      </c>
      <c r="E2457">
        <v>19.55</v>
      </c>
      <c r="F2457">
        <v>48</v>
      </c>
      <c r="G2457">
        <v>938.4</v>
      </c>
      <c r="H2457" t="s">
        <v>12</v>
      </c>
      <c r="I2457" t="str">
        <f t="shared" si="115"/>
        <v>Low Value</v>
      </c>
      <c r="J2457" t="str">
        <f t="shared" si="116"/>
        <v>Low Risk</v>
      </c>
      <c r="K2457" s="3" t="str">
        <f t="shared" si="114"/>
        <v>2-4 Years</v>
      </c>
    </row>
    <row r="2458" spans="1:11" x14ac:dyDescent="0.3">
      <c r="A2458" t="s">
        <v>2475</v>
      </c>
      <c r="B2458" t="s">
        <v>9</v>
      </c>
      <c r="C2458" t="s">
        <v>15</v>
      </c>
      <c r="D2458" t="s">
        <v>20</v>
      </c>
      <c r="E2458">
        <v>19.7</v>
      </c>
      <c r="F2458">
        <v>70</v>
      </c>
      <c r="G2458">
        <v>1379</v>
      </c>
      <c r="H2458" t="s">
        <v>12</v>
      </c>
      <c r="I2458" t="str">
        <f t="shared" si="115"/>
        <v>Low Value</v>
      </c>
      <c r="J2458" t="str">
        <f t="shared" si="116"/>
        <v>Low Risk</v>
      </c>
      <c r="K2458" s="3" t="str">
        <f t="shared" si="114"/>
        <v>4+ Years</v>
      </c>
    </row>
    <row r="2459" spans="1:11" x14ac:dyDescent="0.3">
      <c r="A2459" t="s">
        <v>2476</v>
      </c>
      <c r="B2459" t="s">
        <v>14</v>
      </c>
      <c r="C2459" t="s">
        <v>10</v>
      </c>
      <c r="D2459" t="s">
        <v>20</v>
      </c>
      <c r="E2459">
        <v>70.45</v>
      </c>
      <c r="F2459">
        <v>1</v>
      </c>
      <c r="G2459">
        <v>70.45</v>
      </c>
      <c r="H2459" t="s">
        <v>12</v>
      </c>
      <c r="I2459" t="str">
        <f t="shared" si="115"/>
        <v>Low Value</v>
      </c>
      <c r="J2459" t="str">
        <f t="shared" si="116"/>
        <v>High Risk</v>
      </c>
      <c r="K2459" s="3" t="str">
        <f t="shared" si="114"/>
        <v>0-1 Year</v>
      </c>
    </row>
    <row r="2460" spans="1:11" x14ac:dyDescent="0.3">
      <c r="A2460" t="s">
        <v>2477</v>
      </c>
      <c r="B2460" t="s">
        <v>14</v>
      </c>
      <c r="C2460" t="s">
        <v>10</v>
      </c>
      <c r="D2460" t="s">
        <v>20</v>
      </c>
      <c r="E2460">
        <v>85.65</v>
      </c>
      <c r="F2460">
        <v>8</v>
      </c>
      <c r="G2460">
        <v>685.2</v>
      </c>
      <c r="H2460" t="s">
        <v>12</v>
      </c>
      <c r="I2460" t="str">
        <f t="shared" si="115"/>
        <v>Low Value</v>
      </c>
      <c r="J2460" t="str">
        <f t="shared" si="116"/>
        <v>High Risk</v>
      </c>
      <c r="K2460" s="3" t="str">
        <f t="shared" si="114"/>
        <v>0-1 Year</v>
      </c>
    </row>
    <row r="2461" spans="1:11" x14ac:dyDescent="0.3">
      <c r="A2461" t="s">
        <v>2478</v>
      </c>
      <c r="B2461" t="s">
        <v>9</v>
      </c>
      <c r="C2461" t="s">
        <v>10</v>
      </c>
      <c r="D2461" t="s">
        <v>11</v>
      </c>
      <c r="E2461">
        <v>77.150000000000006</v>
      </c>
      <c r="F2461">
        <v>1</v>
      </c>
      <c r="G2461">
        <v>77.150000000000006</v>
      </c>
      <c r="H2461" t="s">
        <v>18</v>
      </c>
      <c r="I2461" t="str">
        <f t="shared" si="115"/>
        <v>Low Value</v>
      </c>
      <c r="J2461" t="str">
        <f t="shared" si="116"/>
        <v>High Risk</v>
      </c>
      <c r="K2461" s="3" t="str">
        <f t="shared" si="114"/>
        <v>0-1 Year</v>
      </c>
    </row>
    <row r="2462" spans="1:11" x14ac:dyDescent="0.3">
      <c r="A2462" t="s">
        <v>2479</v>
      </c>
      <c r="B2462" t="s">
        <v>14</v>
      </c>
      <c r="C2462" t="s">
        <v>10</v>
      </c>
      <c r="D2462" t="s">
        <v>20</v>
      </c>
      <c r="E2462">
        <v>35.25</v>
      </c>
      <c r="F2462">
        <v>1</v>
      </c>
      <c r="G2462">
        <v>35.25</v>
      </c>
      <c r="H2462" t="s">
        <v>18</v>
      </c>
      <c r="I2462" t="str">
        <f t="shared" si="115"/>
        <v>Low Value</v>
      </c>
      <c r="J2462" t="str">
        <f t="shared" si="116"/>
        <v>High Risk</v>
      </c>
      <c r="K2462" s="3" t="str">
        <f t="shared" si="114"/>
        <v>0-1 Year</v>
      </c>
    </row>
    <row r="2463" spans="1:11" x14ac:dyDescent="0.3">
      <c r="A2463" t="s">
        <v>2480</v>
      </c>
      <c r="B2463" t="s">
        <v>14</v>
      </c>
      <c r="C2463" t="s">
        <v>30</v>
      </c>
      <c r="D2463" t="s">
        <v>16</v>
      </c>
      <c r="E2463">
        <v>20.55</v>
      </c>
      <c r="F2463">
        <v>60</v>
      </c>
      <c r="G2463">
        <v>1233</v>
      </c>
      <c r="H2463" t="s">
        <v>12</v>
      </c>
      <c r="I2463" t="str">
        <f t="shared" si="115"/>
        <v>Low Value</v>
      </c>
      <c r="J2463" t="str">
        <f t="shared" si="116"/>
        <v>Low Risk</v>
      </c>
      <c r="K2463" s="3" t="str">
        <f t="shared" si="114"/>
        <v>4+ Years</v>
      </c>
    </row>
    <row r="2464" spans="1:11" x14ac:dyDescent="0.3">
      <c r="A2464" t="s">
        <v>2481</v>
      </c>
      <c r="B2464" t="s">
        <v>14</v>
      </c>
      <c r="C2464" t="s">
        <v>15</v>
      </c>
      <c r="D2464" t="s">
        <v>11</v>
      </c>
      <c r="E2464">
        <v>97.95</v>
      </c>
      <c r="F2464">
        <v>49</v>
      </c>
      <c r="G2464">
        <v>4799.55</v>
      </c>
      <c r="H2464" t="s">
        <v>12</v>
      </c>
      <c r="I2464" t="str">
        <f t="shared" si="115"/>
        <v>Medium Value</v>
      </c>
      <c r="J2464" t="str">
        <f t="shared" si="116"/>
        <v>Low Risk</v>
      </c>
      <c r="K2464" s="3" t="str">
        <f t="shared" si="114"/>
        <v>4+ Years</v>
      </c>
    </row>
    <row r="2465" spans="1:11" x14ac:dyDescent="0.3">
      <c r="A2465" t="s">
        <v>2482</v>
      </c>
      <c r="B2465" t="s">
        <v>14</v>
      </c>
      <c r="C2465" t="s">
        <v>10</v>
      </c>
      <c r="D2465" t="s">
        <v>11</v>
      </c>
      <c r="E2465">
        <v>48.55</v>
      </c>
      <c r="F2465">
        <v>4</v>
      </c>
      <c r="G2465">
        <v>194.2</v>
      </c>
      <c r="H2465" t="s">
        <v>18</v>
      </c>
      <c r="I2465" t="str">
        <f t="shared" si="115"/>
        <v>Low Value</v>
      </c>
      <c r="J2465" t="str">
        <f t="shared" si="116"/>
        <v>High Risk</v>
      </c>
      <c r="K2465" s="3" t="str">
        <f t="shared" si="114"/>
        <v>0-1 Year</v>
      </c>
    </row>
    <row r="2466" spans="1:11" x14ac:dyDescent="0.3">
      <c r="A2466" t="s">
        <v>2483</v>
      </c>
      <c r="B2466" t="s">
        <v>9</v>
      </c>
      <c r="C2466" t="s">
        <v>15</v>
      </c>
      <c r="D2466" t="s">
        <v>16</v>
      </c>
      <c r="E2466">
        <v>20</v>
      </c>
      <c r="F2466">
        <v>29</v>
      </c>
      <c r="G2466">
        <v>580</v>
      </c>
      <c r="H2466" t="s">
        <v>12</v>
      </c>
      <c r="I2466" t="str">
        <f t="shared" si="115"/>
        <v>Low Value</v>
      </c>
      <c r="J2466" t="str">
        <f t="shared" si="116"/>
        <v>Low Risk</v>
      </c>
      <c r="K2466" s="3" t="str">
        <f t="shared" si="114"/>
        <v>2-4 Years</v>
      </c>
    </row>
    <row r="2467" spans="1:11" x14ac:dyDescent="0.3">
      <c r="A2467" t="s">
        <v>2484</v>
      </c>
      <c r="B2467" t="s">
        <v>9</v>
      </c>
      <c r="C2467" t="s">
        <v>30</v>
      </c>
      <c r="D2467" t="s">
        <v>24</v>
      </c>
      <c r="E2467">
        <v>25.25</v>
      </c>
      <c r="F2467">
        <v>67</v>
      </c>
      <c r="G2467">
        <v>1691.75</v>
      </c>
      <c r="H2467" t="s">
        <v>12</v>
      </c>
      <c r="I2467" t="str">
        <f t="shared" si="115"/>
        <v>Low Value</v>
      </c>
      <c r="J2467" t="str">
        <f t="shared" si="116"/>
        <v>Low Risk</v>
      </c>
      <c r="K2467" s="3" t="str">
        <f t="shared" si="114"/>
        <v>4+ Years</v>
      </c>
    </row>
    <row r="2468" spans="1:11" x14ac:dyDescent="0.3">
      <c r="A2468" t="s">
        <v>2485</v>
      </c>
      <c r="B2468" t="s">
        <v>9</v>
      </c>
      <c r="C2468" t="s">
        <v>10</v>
      </c>
      <c r="D2468" t="s">
        <v>24</v>
      </c>
      <c r="E2468">
        <v>98.4</v>
      </c>
      <c r="F2468">
        <v>53</v>
      </c>
      <c r="G2468">
        <v>5215.2</v>
      </c>
      <c r="H2468" t="s">
        <v>18</v>
      </c>
      <c r="I2468" t="str">
        <f t="shared" si="115"/>
        <v>High Value</v>
      </c>
      <c r="J2468" t="str">
        <f t="shared" si="116"/>
        <v>Low Risk</v>
      </c>
      <c r="K2468" s="3" t="str">
        <f t="shared" si="114"/>
        <v>4+ Years</v>
      </c>
    </row>
    <row r="2469" spans="1:11" x14ac:dyDescent="0.3">
      <c r="A2469" t="s">
        <v>2486</v>
      </c>
      <c r="B2469" t="s">
        <v>14</v>
      </c>
      <c r="C2469" t="s">
        <v>30</v>
      </c>
      <c r="D2469" t="s">
        <v>24</v>
      </c>
      <c r="E2469">
        <v>70.900000000000006</v>
      </c>
      <c r="F2469">
        <v>67</v>
      </c>
      <c r="G2469">
        <v>4750.3</v>
      </c>
      <c r="H2469" t="s">
        <v>12</v>
      </c>
      <c r="I2469" t="str">
        <f t="shared" si="115"/>
        <v>Medium Value</v>
      </c>
      <c r="J2469" t="str">
        <f t="shared" si="116"/>
        <v>Low Risk</v>
      </c>
      <c r="K2469" s="3" t="str">
        <f t="shared" si="114"/>
        <v>4+ Years</v>
      </c>
    </row>
    <row r="2470" spans="1:11" x14ac:dyDescent="0.3">
      <c r="A2470" t="s">
        <v>2487</v>
      </c>
      <c r="B2470" t="s">
        <v>9</v>
      </c>
      <c r="C2470" t="s">
        <v>10</v>
      </c>
      <c r="D2470" t="s">
        <v>16</v>
      </c>
      <c r="E2470">
        <v>19.850000000000001</v>
      </c>
      <c r="F2470">
        <v>6</v>
      </c>
      <c r="G2470">
        <v>119.1</v>
      </c>
      <c r="H2470" t="s">
        <v>12</v>
      </c>
      <c r="I2470" t="str">
        <f t="shared" si="115"/>
        <v>Low Value</v>
      </c>
      <c r="J2470" t="str">
        <f t="shared" si="116"/>
        <v>High Risk</v>
      </c>
      <c r="K2470" s="3" t="str">
        <f t="shared" si="114"/>
        <v>0-1 Year</v>
      </c>
    </row>
    <row r="2471" spans="1:11" x14ac:dyDescent="0.3">
      <c r="A2471" t="s">
        <v>2488</v>
      </c>
      <c r="B2471" t="s">
        <v>9</v>
      </c>
      <c r="C2471" t="s">
        <v>10</v>
      </c>
      <c r="D2471" t="s">
        <v>11</v>
      </c>
      <c r="E2471">
        <v>106.35</v>
      </c>
      <c r="F2471">
        <v>47</v>
      </c>
      <c r="G2471">
        <v>4998.45</v>
      </c>
      <c r="H2471" t="s">
        <v>12</v>
      </c>
      <c r="I2471" t="str">
        <f t="shared" si="115"/>
        <v>Medium Value</v>
      </c>
      <c r="J2471" t="str">
        <f t="shared" si="116"/>
        <v>Low Risk</v>
      </c>
      <c r="K2471" s="3" t="str">
        <f t="shared" si="114"/>
        <v>2-4 Years</v>
      </c>
    </row>
    <row r="2472" spans="1:11" x14ac:dyDescent="0.3">
      <c r="A2472" t="s">
        <v>2489</v>
      </c>
      <c r="B2472" t="s">
        <v>9</v>
      </c>
      <c r="C2472" t="s">
        <v>30</v>
      </c>
      <c r="D2472" t="s">
        <v>16</v>
      </c>
      <c r="E2472">
        <v>99.5</v>
      </c>
      <c r="F2472">
        <v>53</v>
      </c>
      <c r="G2472">
        <v>5273.5</v>
      </c>
      <c r="H2472" t="s">
        <v>12</v>
      </c>
      <c r="I2472" t="str">
        <f t="shared" si="115"/>
        <v>High Value</v>
      </c>
      <c r="J2472" t="str">
        <f t="shared" si="116"/>
        <v>Low Risk</v>
      </c>
      <c r="K2472" s="3" t="str">
        <f t="shared" si="114"/>
        <v>4+ Years</v>
      </c>
    </row>
    <row r="2473" spans="1:11" x14ac:dyDescent="0.3">
      <c r="A2473" t="s">
        <v>2490</v>
      </c>
      <c r="B2473" t="s">
        <v>14</v>
      </c>
      <c r="C2473" t="s">
        <v>30</v>
      </c>
      <c r="D2473" t="s">
        <v>16</v>
      </c>
      <c r="E2473">
        <v>84.7</v>
      </c>
      <c r="F2473">
        <v>69</v>
      </c>
      <c r="G2473">
        <v>5844.3</v>
      </c>
      <c r="H2473" t="s">
        <v>12</v>
      </c>
      <c r="I2473" t="str">
        <f t="shared" si="115"/>
        <v>High Value</v>
      </c>
      <c r="J2473" t="str">
        <f t="shared" si="116"/>
        <v>Low Risk</v>
      </c>
      <c r="K2473" s="3" t="str">
        <f t="shared" si="114"/>
        <v>4+ Years</v>
      </c>
    </row>
    <row r="2474" spans="1:11" x14ac:dyDescent="0.3">
      <c r="A2474" t="s">
        <v>2491</v>
      </c>
      <c r="B2474" t="s">
        <v>14</v>
      </c>
      <c r="C2474" t="s">
        <v>10</v>
      </c>
      <c r="D2474" t="s">
        <v>16</v>
      </c>
      <c r="E2474">
        <v>86.05</v>
      </c>
      <c r="F2474">
        <v>3</v>
      </c>
      <c r="G2474">
        <v>258.14999999999998</v>
      </c>
      <c r="H2474" t="s">
        <v>12</v>
      </c>
      <c r="I2474" t="str">
        <f t="shared" si="115"/>
        <v>Low Value</v>
      </c>
      <c r="J2474" t="str">
        <f t="shared" si="116"/>
        <v>High Risk</v>
      </c>
      <c r="K2474" s="3" t="str">
        <f t="shared" si="114"/>
        <v>0-1 Year</v>
      </c>
    </row>
    <row r="2475" spans="1:11" x14ac:dyDescent="0.3">
      <c r="A2475" t="s">
        <v>2492</v>
      </c>
      <c r="B2475" t="s">
        <v>14</v>
      </c>
      <c r="C2475" t="s">
        <v>10</v>
      </c>
      <c r="D2475" t="s">
        <v>16</v>
      </c>
      <c r="E2475">
        <v>44.55</v>
      </c>
      <c r="F2475">
        <v>4</v>
      </c>
      <c r="G2475">
        <v>178.2</v>
      </c>
      <c r="H2475" t="s">
        <v>12</v>
      </c>
      <c r="I2475" t="str">
        <f t="shared" si="115"/>
        <v>Low Value</v>
      </c>
      <c r="J2475" t="str">
        <f t="shared" si="116"/>
        <v>High Risk</v>
      </c>
      <c r="K2475" s="3" t="str">
        <f t="shared" si="114"/>
        <v>0-1 Year</v>
      </c>
    </row>
    <row r="2476" spans="1:11" x14ac:dyDescent="0.3">
      <c r="A2476" t="s">
        <v>2493</v>
      </c>
      <c r="B2476" t="s">
        <v>14</v>
      </c>
      <c r="C2476" t="s">
        <v>30</v>
      </c>
      <c r="D2476" t="s">
        <v>24</v>
      </c>
      <c r="E2476">
        <v>75.849999999999994</v>
      </c>
      <c r="F2476">
        <v>56</v>
      </c>
      <c r="G2476">
        <v>4247.5999999999904</v>
      </c>
      <c r="H2476" t="s">
        <v>12</v>
      </c>
      <c r="I2476" t="str">
        <f t="shared" si="115"/>
        <v>Medium Value</v>
      </c>
      <c r="J2476" t="str">
        <f t="shared" si="116"/>
        <v>Low Risk</v>
      </c>
      <c r="K2476" s="3" t="str">
        <f t="shared" si="114"/>
        <v>4+ Years</v>
      </c>
    </row>
    <row r="2477" spans="1:11" x14ac:dyDescent="0.3">
      <c r="A2477" t="s">
        <v>2494</v>
      </c>
      <c r="B2477" t="s">
        <v>14</v>
      </c>
      <c r="C2477" t="s">
        <v>10</v>
      </c>
      <c r="D2477" t="s">
        <v>20</v>
      </c>
      <c r="E2477">
        <v>93.85</v>
      </c>
      <c r="F2477">
        <v>59</v>
      </c>
      <c r="G2477">
        <v>5537.15</v>
      </c>
      <c r="H2477" t="s">
        <v>18</v>
      </c>
      <c r="I2477" t="str">
        <f t="shared" si="115"/>
        <v>High Value</v>
      </c>
      <c r="J2477" t="str">
        <f t="shared" si="116"/>
        <v>Low Risk</v>
      </c>
      <c r="K2477" s="3" t="str">
        <f t="shared" si="114"/>
        <v>4+ Years</v>
      </c>
    </row>
    <row r="2478" spans="1:11" x14ac:dyDescent="0.3">
      <c r="A2478" t="s">
        <v>2495</v>
      </c>
      <c r="B2478" t="s">
        <v>14</v>
      </c>
      <c r="C2478" t="s">
        <v>30</v>
      </c>
      <c r="D2478" t="s">
        <v>20</v>
      </c>
      <c r="E2478">
        <v>25</v>
      </c>
      <c r="F2478">
        <v>61</v>
      </c>
      <c r="G2478">
        <v>1525</v>
      </c>
      <c r="H2478" t="s">
        <v>12</v>
      </c>
      <c r="I2478" t="str">
        <f t="shared" si="115"/>
        <v>Low Value</v>
      </c>
      <c r="J2478" t="str">
        <f t="shared" si="116"/>
        <v>Low Risk</v>
      </c>
      <c r="K2478" s="3" t="str">
        <f t="shared" si="114"/>
        <v>4+ Years</v>
      </c>
    </row>
    <row r="2479" spans="1:11" x14ac:dyDescent="0.3">
      <c r="A2479" t="s">
        <v>2496</v>
      </c>
      <c r="B2479" t="s">
        <v>9</v>
      </c>
      <c r="C2479" t="s">
        <v>10</v>
      </c>
      <c r="D2479" t="s">
        <v>11</v>
      </c>
      <c r="E2479">
        <v>45</v>
      </c>
      <c r="F2479">
        <v>2</v>
      </c>
      <c r="G2479">
        <v>90</v>
      </c>
      <c r="H2479" t="s">
        <v>12</v>
      </c>
      <c r="I2479" t="str">
        <f t="shared" si="115"/>
        <v>Low Value</v>
      </c>
      <c r="J2479" t="str">
        <f t="shared" si="116"/>
        <v>High Risk</v>
      </c>
      <c r="K2479" s="3" t="str">
        <f t="shared" si="114"/>
        <v>0-1 Year</v>
      </c>
    </row>
    <row r="2480" spans="1:11" x14ac:dyDescent="0.3">
      <c r="A2480" t="s">
        <v>2497</v>
      </c>
      <c r="B2480" t="s">
        <v>14</v>
      </c>
      <c r="C2480" t="s">
        <v>10</v>
      </c>
      <c r="D2480" t="s">
        <v>11</v>
      </c>
      <c r="E2480">
        <v>100.7</v>
      </c>
      <c r="F2480">
        <v>46</v>
      </c>
      <c r="G2480">
        <v>4632.2</v>
      </c>
      <c r="H2480" t="s">
        <v>18</v>
      </c>
      <c r="I2480" t="str">
        <f t="shared" si="115"/>
        <v>Medium Value</v>
      </c>
      <c r="J2480" t="str">
        <f t="shared" si="116"/>
        <v>Low Risk</v>
      </c>
      <c r="K2480" s="3" t="str">
        <f t="shared" si="114"/>
        <v>2-4 Years</v>
      </c>
    </row>
    <row r="2481" spans="1:11" x14ac:dyDescent="0.3">
      <c r="A2481" t="s">
        <v>2498</v>
      </c>
      <c r="B2481" t="s">
        <v>14</v>
      </c>
      <c r="C2481" t="s">
        <v>10</v>
      </c>
      <c r="D2481" t="s">
        <v>16</v>
      </c>
      <c r="E2481">
        <v>20.5</v>
      </c>
      <c r="F2481">
        <v>12</v>
      </c>
      <c r="G2481">
        <v>246</v>
      </c>
      <c r="H2481" t="s">
        <v>12</v>
      </c>
      <c r="I2481" t="str">
        <f t="shared" si="115"/>
        <v>Low Value</v>
      </c>
      <c r="J2481" t="str">
        <f t="shared" si="116"/>
        <v>Medium Risk</v>
      </c>
      <c r="K2481" s="3" t="str">
        <f t="shared" si="114"/>
        <v>0-1 Year</v>
      </c>
    </row>
    <row r="2482" spans="1:11" x14ac:dyDescent="0.3">
      <c r="A2482" t="s">
        <v>2499</v>
      </c>
      <c r="B2482" t="s">
        <v>9</v>
      </c>
      <c r="C2482" t="s">
        <v>10</v>
      </c>
      <c r="D2482" t="s">
        <v>11</v>
      </c>
      <c r="E2482">
        <v>80.45</v>
      </c>
      <c r="F2482">
        <v>14</v>
      </c>
      <c r="G2482">
        <v>1126.3</v>
      </c>
      <c r="H2482" t="s">
        <v>18</v>
      </c>
      <c r="I2482" t="str">
        <f t="shared" si="115"/>
        <v>Low Value</v>
      </c>
      <c r="J2482" t="str">
        <f t="shared" si="116"/>
        <v>Medium Risk</v>
      </c>
      <c r="K2482" s="3" t="str">
        <f t="shared" si="114"/>
        <v>1-2 Years</v>
      </c>
    </row>
    <row r="2483" spans="1:11" x14ac:dyDescent="0.3">
      <c r="A2483" t="s">
        <v>2500</v>
      </c>
      <c r="B2483" t="s">
        <v>9</v>
      </c>
      <c r="C2483" t="s">
        <v>15</v>
      </c>
      <c r="D2483" t="s">
        <v>11</v>
      </c>
      <c r="E2483">
        <v>90.45</v>
      </c>
      <c r="F2483">
        <v>28</v>
      </c>
      <c r="G2483">
        <v>2532.6</v>
      </c>
      <c r="H2483" t="s">
        <v>12</v>
      </c>
      <c r="I2483" t="str">
        <f t="shared" si="115"/>
        <v>Medium Value</v>
      </c>
      <c r="J2483" t="str">
        <f t="shared" si="116"/>
        <v>Low Risk</v>
      </c>
      <c r="K2483" s="3" t="str">
        <f t="shared" si="114"/>
        <v>2-4 Years</v>
      </c>
    </row>
    <row r="2484" spans="1:11" x14ac:dyDescent="0.3">
      <c r="A2484" t="s">
        <v>2501</v>
      </c>
      <c r="B2484" t="s">
        <v>14</v>
      </c>
      <c r="C2484" t="s">
        <v>10</v>
      </c>
      <c r="D2484" t="s">
        <v>20</v>
      </c>
      <c r="E2484">
        <v>60.45</v>
      </c>
      <c r="F2484">
        <v>24</v>
      </c>
      <c r="G2484">
        <v>1450.8</v>
      </c>
      <c r="H2484" t="s">
        <v>12</v>
      </c>
      <c r="I2484" t="str">
        <f t="shared" si="115"/>
        <v>Low Value</v>
      </c>
      <c r="J2484" t="str">
        <f t="shared" si="116"/>
        <v>Low Risk</v>
      </c>
      <c r="K2484" s="3" t="str">
        <f t="shared" si="114"/>
        <v>1-2 Years</v>
      </c>
    </row>
    <row r="2485" spans="1:11" x14ac:dyDescent="0.3">
      <c r="A2485" t="s">
        <v>2502</v>
      </c>
      <c r="B2485" t="s">
        <v>14</v>
      </c>
      <c r="C2485" t="s">
        <v>10</v>
      </c>
      <c r="D2485" t="s">
        <v>11</v>
      </c>
      <c r="E2485">
        <v>55.25</v>
      </c>
      <c r="F2485">
        <v>31</v>
      </c>
      <c r="G2485">
        <v>1712.75</v>
      </c>
      <c r="H2485" t="s">
        <v>18</v>
      </c>
      <c r="I2485" t="str">
        <f t="shared" si="115"/>
        <v>Low Value</v>
      </c>
      <c r="J2485" t="str">
        <f t="shared" si="116"/>
        <v>Low Risk</v>
      </c>
      <c r="K2485" s="3" t="str">
        <f t="shared" si="114"/>
        <v>2-4 Years</v>
      </c>
    </row>
    <row r="2486" spans="1:11" x14ac:dyDescent="0.3">
      <c r="A2486" t="s">
        <v>2503</v>
      </c>
      <c r="B2486" t="s">
        <v>9</v>
      </c>
      <c r="C2486" t="s">
        <v>15</v>
      </c>
      <c r="D2486" t="s">
        <v>11</v>
      </c>
      <c r="E2486">
        <v>78.45</v>
      </c>
      <c r="F2486">
        <v>68</v>
      </c>
      <c r="G2486">
        <v>5334.6</v>
      </c>
      <c r="H2486" t="s">
        <v>12</v>
      </c>
      <c r="I2486" t="str">
        <f t="shared" si="115"/>
        <v>High Value</v>
      </c>
      <c r="J2486" t="str">
        <f t="shared" si="116"/>
        <v>Low Risk</v>
      </c>
      <c r="K2486" s="3" t="str">
        <f t="shared" si="114"/>
        <v>4+ Years</v>
      </c>
    </row>
    <row r="2487" spans="1:11" x14ac:dyDescent="0.3">
      <c r="A2487" t="s">
        <v>2504</v>
      </c>
      <c r="B2487" t="s">
        <v>14</v>
      </c>
      <c r="C2487" t="s">
        <v>30</v>
      </c>
      <c r="D2487" t="s">
        <v>16</v>
      </c>
      <c r="E2487">
        <v>100.55</v>
      </c>
      <c r="F2487">
        <v>39</v>
      </c>
      <c r="G2487">
        <v>3921.45</v>
      </c>
      <c r="H2487" t="s">
        <v>12</v>
      </c>
      <c r="I2487" t="str">
        <f t="shared" si="115"/>
        <v>Medium Value</v>
      </c>
      <c r="J2487" t="str">
        <f t="shared" si="116"/>
        <v>Low Risk</v>
      </c>
      <c r="K2487" s="3" t="str">
        <f t="shared" si="114"/>
        <v>2-4 Years</v>
      </c>
    </row>
    <row r="2488" spans="1:11" x14ac:dyDescent="0.3">
      <c r="A2488" t="s">
        <v>2505</v>
      </c>
      <c r="B2488" t="s">
        <v>9</v>
      </c>
      <c r="C2488" t="s">
        <v>10</v>
      </c>
      <c r="D2488" t="s">
        <v>24</v>
      </c>
      <c r="E2488">
        <v>20.350000000000001</v>
      </c>
      <c r="F2488">
        <v>42</v>
      </c>
      <c r="G2488">
        <v>854.7</v>
      </c>
      <c r="H2488" t="s">
        <v>12</v>
      </c>
      <c r="I2488" t="str">
        <f t="shared" si="115"/>
        <v>Low Value</v>
      </c>
      <c r="J2488" t="str">
        <f t="shared" si="116"/>
        <v>Low Risk</v>
      </c>
      <c r="K2488" s="3" t="str">
        <f t="shared" si="114"/>
        <v>2-4 Years</v>
      </c>
    </row>
    <row r="2489" spans="1:11" x14ac:dyDescent="0.3">
      <c r="A2489" t="s">
        <v>2506</v>
      </c>
      <c r="B2489" t="s">
        <v>14</v>
      </c>
      <c r="C2489" t="s">
        <v>10</v>
      </c>
      <c r="D2489" t="s">
        <v>11</v>
      </c>
      <c r="E2489">
        <v>54.45</v>
      </c>
      <c r="F2489">
        <v>13</v>
      </c>
      <c r="G2489">
        <v>707.85</v>
      </c>
      <c r="H2489" t="s">
        <v>18</v>
      </c>
      <c r="I2489" t="str">
        <f t="shared" si="115"/>
        <v>Low Value</v>
      </c>
      <c r="J2489" t="str">
        <f t="shared" si="116"/>
        <v>Medium Risk</v>
      </c>
      <c r="K2489" s="3" t="str">
        <f t="shared" si="114"/>
        <v>1-2 Years</v>
      </c>
    </row>
    <row r="2490" spans="1:11" x14ac:dyDescent="0.3">
      <c r="A2490" t="s">
        <v>2507</v>
      </c>
      <c r="B2490" t="s">
        <v>9</v>
      </c>
      <c r="C2490" t="s">
        <v>10</v>
      </c>
      <c r="D2490" t="s">
        <v>11</v>
      </c>
      <c r="E2490">
        <v>90.75</v>
      </c>
      <c r="F2490">
        <v>6</v>
      </c>
      <c r="G2490">
        <v>544.5</v>
      </c>
      <c r="H2490" t="s">
        <v>12</v>
      </c>
      <c r="I2490" t="str">
        <f t="shared" si="115"/>
        <v>Low Value</v>
      </c>
      <c r="J2490" t="str">
        <f t="shared" si="116"/>
        <v>High Risk</v>
      </c>
      <c r="K2490" s="3" t="str">
        <f t="shared" si="114"/>
        <v>0-1 Year</v>
      </c>
    </row>
    <row r="2491" spans="1:11" x14ac:dyDescent="0.3">
      <c r="A2491" t="s">
        <v>2508</v>
      </c>
      <c r="B2491" t="s">
        <v>14</v>
      </c>
      <c r="C2491" t="s">
        <v>10</v>
      </c>
      <c r="D2491" t="s">
        <v>24</v>
      </c>
      <c r="E2491">
        <v>75.349999999999994</v>
      </c>
      <c r="F2491">
        <v>35</v>
      </c>
      <c r="G2491">
        <v>2637.25</v>
      </c>
      <c r="H2491" t="s">
        <v>18</v>
      </c>
      <c r="I2491" t="str">
        <f t="shared" si="115"/>
        <v>Medium Value</v>
      </c>
      <c r="J2491" t="str">
        <f t="shared" si="116"/>
        <v>Low Risk</v>
      </c>
      <c r="K2491" s="3" t="str">
        <f t="shared" si="114"/>
        <v>2-4 Years</v>
      </c>
    </row>
    <row r="2492" spans="1:11" x14ac:dyDescent="0.3">
      <c r="A2492" t="s">
        <v>2509</v>
      </c>
      <c r="B2492" t="s">
        <v>9</v>
      </c>
      <c r="C2492" t="s">
        <v>15</v>
      </c>
      <c r="D2492" t="s">
        <v>24</v>
      </c>
      <c r="E2492">
        <v>20.25</v>
      </c>
      <c r="F2492">
        <v>38</v>
      </c>
      <c r="G2492">
        <v>769.5</v>
      </c>
      <c r="H2492" t="s">
        <v>12</v>
      </c>
      <c r="I2492" t="str">
        <f t="shared" si="115"/>
        <v>Low Value</v>
      </c>
      <c r="J2492" t="str">
        <f t="shared" si="116"/>
        <v>Low Risk</v>
      </c>
      <c r="K2492" s="3" t="str">
        <f t="shared" si="114"/>
        <v>2-4 Years</v>
      </c>
    </row>
    <row r="2493" spans="1:11" x14ac:dyDescent="0.3">
      <c r="A2493" t="s">
        <v>2510</v>
      </c>
      <c r="B2493" t="s">
        <v>14</v>
      </c>
      <c r="C2493" t="s">
        <v>30</v>
      </c>
      <c r="D2493" t="s">
        <v>24</v>
      </c>
      <c r="E2493">
        <v>20.05</v>
      </c>
      <c r="F2493">
        <v>18</v>
      </c>
      <c r="G2493">
        <v>360.9</v>
      </c>
      <c r="H2493" t="s">
        <v>12</v>
      </c>
      <c r="I2493" t="str">
        <f t="shared" si="115"/>
        <v>Low Value</v>
      </c>
      <c r="J2493" t="str">
        <f t="shared" si="116"/>
        <v>Medium Risk</v>
      </c>
      <c r="K2493" s="3" t="str">
        <f t="shared" si="114"/>
        <v>1-2 Years</v>
      </c>
    </row>
    <row r="2494" spans="1:11" x14ac:dyDescent="0.3">
      <c r="A2494" t="s">
        <v>2511</v>
      </c>
      <c r="B2494" t="s">
        <v>9</v>
      </c>
      <c r="C2494" t="s">
        <v>10</v>
      </c>
      <c r="D2494" t="s">
        <v>16</v>
      </c>
      <c r="E2494">
        <v>19.600000000000001</v>
      </c>
      <c r="F2494">
        <v>4</v>
      </c>
      <c r="G2494">
        <v>78.400000000000006</v>
      </c>
      <c r="H2494" t="s">
        <v>12</v>
      </c>
      <c r="I2494" t="str">
        <f t="shared" si="115"/>
        <v>Low Value</v>
      </c>
      <c r="J2494" t="str">
        <f t="shared" si="116"/>
        <v>High Risk</v>
      </c>
      <c r="K2494" s="3" t="str">
        <f t="shared" si="114"/>
        <v>0-1 Year</v>
      </c>
    </row>
    <row r="2495" spans="1:11" x14ac:dyDescent="0.3">
      <c r="A2495" t="s">
        <v>2512</v>
      </c>
      <c r="B2495" t="s">
        <v>14</v>
      </c>
      <c r="C2495" t="s">
        <v>10</v>
      </c>
      <c r="D2495" t="s">
        <v>11</v>
      </c>
      <c r="E2495">
        <v>53.8</v>
      </c>
      <c r="F2495">
        <v>27</v>
      </c>
      <c r="G2495">
        <v>1452.6</v>
      </c>
      <c r="H2495" t="s">
        <v>12</v>
      </c>
      <c r="I2495" t="str">
        <f t="shared" si="115"/>
        <v>Low Value</v>
      </c>
      <c r="J2495" t="str">
        <f t="shared" si="116"/>
        <v>Low Risk</v>
      </c>
      <c r="K2495" s="3" t="str">
        <f t="shared" si="114"/>
        <v>2-4 Years</v>
      </c>
    </row>
    <row r="2496" spans="1:11" x14ac:dyDescent="0.3">
      <c r="A2496" t="s">
        <v>2513</v>
      </c>
      <c r="B2496" t="s">
        <v>14</v>
      </c>
      <c r="C2496" t="s">
        <v>15</v>
      </c>
      <c r="D2496" t="s">
        <v>16</v>
      </c>
      <c r="E2496">
        <v>70.2</v>
      </c>
      <c r="F2496">
        <v>41</v>
      </c>
      <c r="G2496">
        <v>2878.2</v>
      </c>
      <c r="H2496" t="s">
        <v>12</v>
      </c>
      <c r="I2496" t="str">
        <f t="shared" si="115"/>
        <v>Medium Value</v>
      </c>
      <c r="J2496" t="str">
        <f t="shared" si="116"/>
        <v>Low Risk</v>
      </c>
      <c r="K2496" s="3" t="str">
        <f t="shared" si="114"/>
        <v>2-4 Years</v>
      </c>
    </row>
    <row r="2497" spans="1:11" x14ac:dyDescent="0.3">
      <c r="A2497" t="s">
        <v>2514</v>
      </c>
      <c r="B2497" t="s">
        <v>14</v>
      </c>
      <c r="C2497" t="s">
        <v>15</v>
      </c>
      <c r="D2497" t="s">
        <v>11</v>
      </c>
      <c r="E2497">
        <v>75.5</v>
      </c>
      <c r="F2497">
        <v>50</v>
      </c>
      <c r="G2497">
        <v>3775</v>
      </c>
      <c r="H2497" t="s">
        <v>12</v>
      </c>
      <c r="I2497" t="str">
        <f t="shared" si="115"/>
        <v>Medium Value</v>
      </c>
      <c r="J2497" t="str">
        <f t="shared" si="116"/>
        <v>Low Risk</v>
      </c>
      <c r="K2497" s="3" t="str">
        <f t="shared" si="114"/>
        <v>4+ Years</v>
      </c>
    </row>
    <row r="2498" spans="1:11" x14ac:dyDescent="0.3">
      <c r="A2498" t="s">
        <v>2515</v>
      </c>
      <c r="B2498" t="s">
        <v>14</v>
      </c>
      <c r="C2498" t="s">
        <v>30</v>
      </c>
      <c r="D2498" t="s">
        <v>11</v>
      </c>
      <c r="E2498">
        <v>20.350000000000001</v>
      </c>
      <c r="F2498">
        <v>72</v>
      </c>
      <c r="G2498">
        <v>1465.2</v>
      </c>
      <c r="H2498" t="s">
        <v>12</v>
      </c>
      <c r="I2498" t="str">
        <f t="shared" si="115"/>
        <v>Low Value</v>
      </c>
      <c r="J2498" t="str">
        <f t="shared" si="116"/>
        <v>Low Risk</v>
      </c>
      <c r="K2498" s="3" t="str">
        <f t="shared" si="114"/>
        <v>4+ Years</v>
      </c>
    </row>
    <row r="2499" spans="1:11" x14ac:dyDescent="0.3">
      <c r="A2499" t="s">
        <v>2516</v>
      </c>
      <c r="B2499" t="s">
        <v>9</v>
      </c>
      <c r="C2499" t="s">
        <v>15</v>
      </c>
      <c r="D2499" t="s">
        <v>24</v>
      </c>
      <c r="E2499">
        <v>26.05</v>
      </c>
      <c r="F2499">
        <v>70</v>
      </c>
      <c r="G2499">
        <v>1823.5</v>
      </c>
      <c r="H2499" t="s">
        <v>12</v>
      </c>
      <c r="I2499" t="str">
        <f t="shared" si="115"/>
        <v>Low Value</v>
      </c>
      <c r="J2499" t="str">
        <f t="shared" si="116"/>
        <v>Low Risk</v>
      </c>
      <c r="K2499" s="3" t="str">
        <f t="shared" ref="K2499:K2562" si="117">IF(F2499&lt;=12,"0-1 Year",
IF(F2499&lt;=24,"1-2 Years",
IF(F2499&lt;=48,"2-4 Years","4+ Years")))</f>
        <v>4+ Years</v>
      </c>
    </row>
    <row r="2500" spans="1:11" x14ac:dyDescent="0.3">
      <c r="A2500" t="s">
        <v>2517</v>
      </c>
      <c r="B2500" t="s">
        <v>14</v>
      </c>
      <c r="C2500" t="s">
        <v>15</v>
      </c>
      <c r="D2500" t="s">
        <v>20</v>
      </c>
      <c r="E2500">
        <v>20.6</v>
      </c>
      <c r="F2500">
        <v>44</v>
      </c>
      <c r="G2500">
        <v>906.4</v>
      </c>
      <c r="H2500" t="s">
        <v>12</v>
      </c>
      <c r="I2500" t="str">
        <f t="shared" ref="I2500:I2563" si="118">IF(G2500&gt;5000,"High Value",
IF(G2500&gt;2000,"Medium Value","Low Value"))</f>
        <v>Low Value</v>
      </c>
      <c r="J2500" t="str">
        <f t="shared" ref="J2500:J2563" si="119">IF(F2500&lt;12,"High Risk",
IF(F2500&lt;24,"Medium Risk","Low Risk"))</f>
        <v>Low Risk</v>
      </c>
      <c r="K2500" s="3" t="str">
        <f t="shared" si="117"/>
        <v>2-4 Years</v>
      </c>
    </row>
    <row r="2501" spans="1:11" x14ac:dyDescent="0.3">
      <c r="A2501" t="s">
        <v>2518</v>
      </c>
      <c r="B2501" t="s">
        <v>14</v>
      </c>
      <c r="C2501" t="s">
        <v>10</v>
      </c>
      <c r="D2501" t="s">
        <v>11</v>
      </c>
      <c r="E2501">
        <v>75.7</v>
      </c>
      <c r="F2501">
        <v>2</v>
      </c>
      <c r="G2501">
        <v>151.4</v>
      </c>
      <c r="H2501" t="s">
        <v>18</v>
      </c>
      <c r="I2501" t="str">
        <f t="shared" si="118"/>
        <v>Low Value</v>
      </c>
      <c r="J2501" t="str">
        <f t="shared" si="119"/>
        <v>High Risk</v>
      </c>
      <c r="K2501" s="3" t="str">
        <f t="shared" si="117"/>
        <v>0-1 Year</v>
      </c>
    </row>
    <row r="2502" spans="1:11" x14ac:dyDescent="0.3">
      <c r="A2502" t="s">
        <v>2519</v>
      </c>
      <c r="B2502" t="s">
        <v>9</v>
      </c>
      <c r="C2502" t="s">
        <v>15</v>
      </c>
      <c r="D2502" t="s">
        <v>20</v>
      </c>
      <c r="E2502">
        <v>20.100000000000001</v>
      </c>
      <c r="F2502">
        <v>34</v>
      </c>
      <c r="G2502">
        <v>683.4</v>
      </c>
      <c r="H2502" t="s">
        <v>12</v>
      </c>
      <c r="I2502" t="str">
        <f t="shared" si="118"/>
        <v>Low Value</v>
      </c>
      <c r="J2502" t="str">
        <f t="shared" si="119"/>
        <v>Low Risk</v>
      </c>
      <c r="K2502" s="3" t="str">
        <f t="shared" si="117"/>
        <v>2-4 Years</v>
      </c>
    </row>
    <row r="2503" spans="1:11" x14ac:dyDescent="0.3">
      <c r="A2503" t="s">
        <v>2520</v>
      </c>
      <c r="B2503" t="s">
        <v>9</v>
      </c>
      <c r="C2503" t="s">
        <v>30</v>
      </c>
      <c r="D2503" t="s">
        <v>20</v>
      </c>
      <c r="E2503">
        <v>24.3</v>
      </c>
      <c r="F2503">
        <v>72</v>
      </c>
      <c r="G2503">
        <v>1749.6</v>
      </c>
      <c r="H2503" t="s">
        <v>12</v>
      </c>
      <c r="I2503" t="str">
        <f t="shared" si="118"/>
        <v>Low Value</v>
      </c>
      <c r="J2503" t="str">
        <f t="shared" si="119"/>
        <v>Low Risk</v>
      </c>
      <c r="K2503" s="3" t="str">
        <f t="shared" si="117"/>
        <v>4+ Years</v>
      </c>
    </row>
    <row r="2504" spans="1:11" x14ac:dyDescent="0.3">
      <c r="A2504" t="s">
        <v>2521</v>
      </c>
      <c r="B2504" t="s">
        <v>14</v>
      </c>
      <c r="C2504" t="s">
        <v>30</v>
      </c>
      <c r="D2504" t="s">
        <v>11</v>
      </c>
      <c r="E2504">
        <v>24.5</v>
      </c>
      <c r="F2504">
        <v>71</v>
      </c>
      <c r="G2504">
        <v>1739.5</v>
      </c>
      <c r="H2504" t="s">
        <v>12</v>
      </c>
      <c r="I2504" t="str">
        <f t="shared" si="118"/>
        <v>Low Value</v>
      </c>
      <c r="J2504" t="str">
        <f t="shared" si="119"/>
        <v>Low Risk</v>
      </c>
      <c r="K2504" s="3" t="str">
        <f t="shared" si="117"/>
        <v>4+ Years</v>
      </c>
    </row>
    <row r="2505" spans="1:11" x14ac:dyDescent="0.3">
      <c r="A2505" t="s">
        <v>2522</v>
      </c>
      <c r="B2505" t="s">
        <v>9</v>
      </c>
      <c r="C2505" t="s">
        <v>30</v>
      </c>
      <c r="D2505" t="s">
        <v>24</v>
      </c>
      <c r="E2505">
        <v>110.5</v>
      </c>
      <c r="F2505">
        <v>64</v>
      </c>
      <c r="G2505">
        <v>7072</v>
      </c>
      <c r="H2505" t="s">
        <v>12</v>
      </c>
      <c r="I2505" t="str">
        <f t="shared" si="118"/>
        <v>High Value</v>
      </c>
      <c r="J2505" t="str">
        <f t="shared" si="119"/>
        <v>Low Risk</v>
      </c>
      <c r="K2505" s="3" t="str">
        <f t="shared" si="117"/>
        <v>4+ Years</v>
      </c>
    </row>
    <row r="2506" spans="1:11" x14ac:dyDescent="0.3">
      <c r="A2506" t="s">
        <v>2523</v>
      </c>
      <c r="B2506" t="s">
        <v>9</v>
      </c>
      <c r="C2506" t="s">
        <v>30</v>
      </c>
      <c r="D2506" t="s">
        <v>20</v>
      </c>
      <c r="E2506">
        <v>25.25</v>
      </c>
      <c r="F2506">
        <v>72</v>
      </c>
      <c r="G2506">
        <v>1818</v>
      </c>
      <c r="H2506" t="s">
        <v>12</v>
      </c>
      <c r="I2506" t="str">
        <f t="shared" si="118"/>
        <v>Low Value</v>
      </c>
      <c r="J2506" t="str">
        <f t="shared" si="119"/>
        <v>Low Risk</v>
      </c>
      <c r="K2506" s="3" t="str">
        <f t="shared" si="117"/>
        <v>4+ Years</v>
      </c>
    </row>
    <row r="2507" spans="1:11" x14ac:dyDescent="0.3">
      <c r="A2507" t="s">
        <v>2524</v>
      </c>
      <c r="B2507" t="s">
        <v>14</v>
      </c>
      <c r="C2507" t="s">
        <v>10</v>
      </c>
      <c r="D2507" t="s">
        <v>16</v>
      </c>
      <c r="E2507">
        <v>74.25</v>
      </c>
      <c r="F2507">
        <v>1</v>
      </c>
      <c r="G2507">
        <v>74.25</v>
      </c>
      <c r="H2507" t="s">
        <v>18</v>
      </c>
      <c r="I2507" t="str">
        <f t="shared" si="118"/>
        <v>Low Value</v>
      </c>
      <c r="J2507" t="str">
        <f t="shared" si="119"/>
        <v>High Risk</v>
      </c>
      <c r="K2507" s="3" t="str">
        <f t="shared" si="117"/>
        <v>0-1 Year</v>
      </c>
    </row>
    <row r="2508" spans="1:11" x14ac:dyDescent="0.3">
      <c r="A2508" t="s">
        <v>2525</v>
      </c>
      <c r="B2508" t="s">
        <v>14</v>
      </c>
      <c r="C2508" t="s">
        <v>15</v>
      </c>
      <c r="D2508" t="s">
        <v>20</v>
      </c>
      <c r="E2508">
        <v>90.1</v>
      </c>
      <c r="F2508">
        <v>29</v>
      </c>
      <c r="G2508">
        <v>2612.8999999999901</v>
      </c>
      <c r="H2508" t="s">
        <v>12</v>
      </c>
      <c r="I2508" t="str">
        <f t="shared" si="118"/>
        <v>Medium Value</v>
      </c>
      <c r="J2508" t="str">
        <f t="shared" si="119"/>
        <v>Low Risk</v>
      </c>
      <c r="K2508" s="3" t="str">
        <f t="shared" si="117"/>
        <v>2-4 Years</v>
      </c>
    </row>
    <row r="2509" spans="1:11" x14ac:dyDescent="0.3">
      <c r="A2509" t="s">
        <v>2526</v>
      </c>
      <c r="B2509" t="s">
        <v>9</v>
      </c>
      <c r="C2509" t="s">
        <v>15</v>
      </c>
      <c r="D2509" t="s">
        <v>20</v>
      </c>
      <c r="E2509">
        <v>68.75</v>
      </c>
      <c r="F2509">
        <v>23</v>
      </c>
      <c r="G2509">
        <v>1581.25</v>
      </c>
      <c r="H2509" t="s">
        <v>12</v>
      </c>
      <c r="I2509" t="str">
        <f t="shared" si="118"/>
        <v>Low Value</v>
      </c>
      <c r="J2509" t="str">
        <f t="shared" si="119"/>
        <v>Medium Risk</v>
      </c>
      <c r="K2509" s="3" t="str">
        <f t="shared" si="117"/>
        <v>1-2 Years</v>
      </c>
    </row>
    <row r="2510" spans="1:11" x14ac:dyDescent="0.3">
      <c r="A2510" t="s">
        <v>2527</v>
      </c>
      <c r="B2510" t="s">
        <v>14</v>
      </c>
      <c r="C2510" t="s">
        <v>30</v>
      </c>
      <c r="D2510" t="s">
        <v>16</v>
      </c>
      <c r="E2510">
        <v>19.2</v>
      </c>
      <c r="F2510">
        <v>52</v>
      </c>
      <c r="G2510">
        <v>998.4</v>
      </c>
      <c r="H2510" t="s">
        <v>12</v>
      </c>
      <c r="I2510" t="str">
        <f t="shared" si="118"/>
        <v>Low Value</v>
      </c>
      <c r="J2510" t="str">
        <f t="shared" si="119"/>
        <v>Low Risk</v>
      </c>
      <c r="K2510" s="3" t="str">
        <f t="shared" si="117"/>
        <v>4+ Years</v>
      </c>
    </row>
    <row r="2511" spans="1:11" x14ac:dyDescent="0.3">
      <c r="A2511" t="s">
        <v>2528</v>
      </c>
      <c r="B2511" t="s">
        <v>9</v>
      </c>
      <c r="C2511" t="s">
        <v>10</v>
      </c>
      <c r="D2511" t="s">
        <v>11</v>
      </c>
      <c r="E2511">
        <v>89.7</v>
      </c>
      <c r="F2511">
        <v>25</v>
      </c>
      <c r="G2511">
        <v>2242.5</v>
      </c>
      <c r="H2511" t="s">
        <v>18</v>
      </c>
      <c r="I2511" t="str">
        <f t="shared" si="118"/>
        <v>Medium Value</v>
      </c>
      <c r="J2511" t="str">
        <f t="shared" si="119"/>
        <v>Low Risk</v>
      </c>
      <c r="K2511" s="3" t="str">
        <f t="shared" si="117"/>
        <v>2-4 Years</v>
      </c>
    </row>
    <row r="2512" spans="1:11" x14ac:dyDescent="0.3">
      <c r="A2512" t="s">
        <v>2529</v>
      </c>
      <c r="B2512" t="s">
        <v>9</v>
      </c>
      <c r="C2512" t="s">
        <v>30</v>
      </c>
      <c r="D2512" t="s">
        <v>20</v>
      </c>
      <c r="E2512">
        <v>115.1</v>
      </c>
      <c r="F2512">
        <v>64</v>
      </c>
      <c r="G2512">
        <v>7366.4</v>
      </c>
      <c r="H2512" t="s">
        <v>12</v>
      </c>
      <c r="I2512" t="str">
        <f t="shared" si="118"/>
        <v>High Value</v>
      </c>
      <c r="J2512" t="str">
        <f t="shared" si="119"/>
        <v>Low Risk</v>
      </c>
      <c r="K2512" s="3" t="str">
        <f t="shared" si="117"/>
        <v>4+ Years</v>
      </c>
    </row>
    <row r="2513" spans="1:11" x14ac:dyDescent="0.3">
      <c r="A2513" t="s">
        <v>2530</v>
      </c>
      <c r="B2513" t="s">
        <v>9</v>
      </c>
      <c r="C2513" t="s">
        <v>10</v>
      </c>
      <c r="D2513" t="s">
        <v>11</v>
      </c>
      <c r="E2513">
        <v>96.4</v>
      </c>
      <c r="F2513">
        <v>16</v>
      </c>
      <c r="G2513">
        <v>1542.4</v>
      </c>
      <c r="H2513" t="s">
        <v>18</v>
      </c>
      <c r="I2513" t="str">
        <f t="shared" si="118"/>
        <v>Low Value</v>
      </c>
      <c r="J2513" t="str">
        <f t="shared" si="119"/>
        <v>Medium Risk</v>
      </c>
      <c r="K2513" s="3" t="str">
        <f t="shared" si="117"/>
        <v>1-2 Years</v>
      </c>
    </row>
    <row r="2514" spans="1:11" x14ac:dyDescent="0.3">
      <c r="A2514" t="s">
        <v>2531</v>
      </c>
      <c r="B2514" t="s">
        <v>14</v>
      </c>
      <c r="C2514" t="s">
        <v>10</v>
      </c>
      <c r="D2514" t="s">
        <v>20</v>
      </c>
      <c r="E2514">
        <v>69.5</v>
      </c>
      <c r="F2514">
        <v>1</v>
      </c>
      <c r="G2514">
        <v>69.5</v>
      </c>
      <c r="H2514" t="s">
        <v>18</v>
      </c>
      <c r="I2514" t="str">
        <f t="shared" si="118"/>
        <v>Low Value</v>
      </c>
      <c r="J2514" t="str">
        <f t="shared" si="119"/>
        <v>High Risk</v>
      </c>
      <c r="K2514" s="3" t="str">
        <f t="shared" si="117"/>
        <v>0-1 Year</v>
      </c>
    </row>
    <row r="2515" spans="1:11" x14ac:dyDescent="0.3">
      <c r="A2515" t="s">
        <v>2532</v>
      </c>
      <c r="B2515" t="s">
        <v>14</v>
      </c>
      <c r="C2515" t="s">
        <v>10</v>
      </c>
      <c r="D2515" t="s">
        <v>20</v>
      </c>
      <c r="E2515">
        <v>99.65</v>
      </c>
      <c r="F2515">
        <v>24</v>
      </c>
      <c r="G2515">
        <v>2391.6</v>
      </c>
      <c r="H2515" t="s">
        <v>12</v>
      </c>
      <c r="I2515" t="str">
        <f t="shared" si="118"/>
        <v>Medium Value</v>
      </c>
      <c r="J2515" t="str">
        <f t="shared" si="119"/>
        <v>Low Risk</v>
      </c>
      <c r="K2515" s="3" t="str">
        <f t="shared" si="117"/>
        <v>1-2 Years</v>
      </c>
    </row>
    <row r="2516" spans="1:11" x14ac:dyDescent="0.3">
      <c r="A2516" t="s">
        <v>2533</v>
      </c>
      <c r="B2516" t="s">
        <v>14</v>
      </c>
      <c r="C2516" t="s">
        <v>10</v>
      </c>
      <c r="D2516" t="s">
        <v>11</v>
      </c>
      <c r="E2516">
        <v>91.45</v>
      </c>
      <c r="F2516">
        <v>2</v>
      </c>
      <c r="G2516">
        <v>182.9</v>
      </c>
      <c r="H2516" t="s">
        <v>12</v>
      </c>
      <c r="I2516" t="str">
        <f t="shared" si="118"/>
        <v>Low Value</v>
      </c>
      <c r="J2516" t="str">
        <f t="shared" si="119"/>
        <v>High Risk</v>
      </c>
      <c r="K2516" s="3" t="str">
        <f t="shared" si="117"/>
        <v>0-1 Year</v>
      </c>
    </row>
    <row r="2517" spans="1:11" x14ac:dyDescent="0.3">
      <c r="A2517" t="s">
        <v>2534</v>
      </c>
      <c r="B2517" t="s">
        <v>9</v>
      </c>
      <c r="C2517" t="s">
        <v>30</v>
      </c>
      <c r="D2517" t="s">
        <v>16</v>
      </c>
      <c r="E2517">
        <v>84.75</v>
      </c>
      <c r="F2517">
        <v>34</v>
      </c>
      <c r="G2517">
        <v>2881.5</v>
      </c>
      <c r="H2517" t="s">
        <v>12</v>
      </c>
      <c r="I2517" t="str">
        <f t="shared" si="118"/>
        <v>Medium Value</v>
      </c>
      <c r="J2517" t="str">
        <f t="shared" si="119"/>
        <v>Low Risk</v>
      </c>
      <c r="K2517" s="3" t="str">
        <f t="shared" si="117"/>
        <v>2-4 Years</v>
      </c>
    </row>
    <row r="2518" spans="1:11" x14ac:dyDescent="0.3">
      <c r="A2518" t="s">
        <v>2535</v>
      </c>
      <c r="B2518" t="s">
        <v>14</v>
      </c>
      <c r="C2518" t="s">
        <v>10</v>
      </c>
      <c r="D2518" t="s">
        <v>24</v>
      </c>
      <c r="E2518">
        <v>85.25</v>
      </c>
      <c r="F2518">
        <v>36</v>
      </c>
      <c r="G2518">
        <v>3069</v>
      </c>
      <c r="H2518" t="s">
        <v>18</v>
      </c>
      <c r="I2518" t="str">
        <f t="shared" si="118"/>
        <v>Medium Value</v>
      </c>
      <c r="J2518" t="str">
        <f t="shared" si="119"/>
        <v>Low Risk</v>
      </c>
      <c r="K2518" s="3" t="str">
        <f t="shared" si="117"/>
        <v>2-4 Years</v>
      </c>
    </row>
    <row r="2519" spans="1:11" x14ac:dyDescent="0.3">
      <c r="A2519" t="s">
        <v>2536</v>
      </c>
      <c r="B2519" t="s">
        <v>14</v>
      </c>
      <c r="C2519" t="s">
        <v>15</v>
      </c>
      <c r="D2519" t="s">
        <v>16</v>
      </c>
      <c r="E2519">
        <v>78.75</v>
      </c>
      <c r="F2519">
        <v>53</v>
      </c>
      <c r="G2519">
        <v>4173.75</v>
      </c>
      <c r="H2519" t="s">
        <v>12</v>
      </c>
      <c r="I2519" t="str">
        <f t="shared" si="118"/>
        <v>Medium Value</v>
      </c>
      <c r="J2519" t="str">
        <f t="shared" si="119"/>
        <v>Low Risk</v>
      </c>
      <c r="K2519" s="3" t="str">
        <f t="shared" si="117"/>
        <v>4+ Years</v>
      </c>
    </row>
    <row r="2520" spans="1:11" x14ac:dyDescent="0.3">
      <c r="A2520" t="s">
        <v>2537</v>
      </c>
      <c r="B2520" t="s">
        <v>9</v>
      </c>
      <c r="C2520" t="s">
        <v>30</v>
      </c>
      <c r="D2520" t="s">
        <v>24</v>
      </c>
      <c r="E2520">
        <v>20.25</v>
      </c>
      <c r="F2520">
        <v>47</v>
      </c>
      <c r="G2520">
        <v>951.75</v>
      </c>
      <c r="H2520" t="s">
        <v>12</v>
      </c>
      <c r="I2520" t="str">
        <f t="shared" si="118"/>
        <v>Low Value</v>
      </c>
      <c r="J2520" t="str">
        <f t="shared" si="119"/>
        <v>Low Risk</v>
      </c>
      <c r="K2520" s="3" t="str">
        <f t="shared" si="117"/>
        <v>2-4 Years</v>
      </c>
    </row>
    <row r="2521" spans="1:11" x14ac:dyDescent="0.3">
      <c r="A2521" t="s">
        <v>2538</v>
      </c>
      <c r="B2521" t="s">
        <v>14</v>
      </c>
      <c r="C2521" t="s">
        <v>30</v>
      </c>
      <c r="D2521" t="s">
        <v>24</v>
      </c>
      <c r="E2521">
        <v>19.899999999999999</v>
      </c>
      <c r="F2521">
        <v>72</v>
      </c>
      <c r="G2521">
        <v>1432.8</v>
      </c>
      <c r="H2521" t="s">
        <v>12</v>
      </c>
      <c r="I2521" t="str">
        <f t="shared" si="118"/>
        <v>Low Value</v>
      </c>
      <c r="J2521" t="str">
        <f t="shared" si="119"/>
        <v>Low Risk</v>
      </c>
      <c r="K2521" s="3" t="str">
        <f t="shared" si="117"/>
        <v>4+ Years</v>
      </c>
    </row>
    <row r="2522" spans="1:11" x14ac:dyDescent="0.3">
      <c r="A2522" t="s">
        <v>2539</v>
      </c>
      <c r="B2522" t="s">
        <v>14</v>
      </c>
      <c r="C2522" t="s">
        <v>30</v>
      </c>
      <c r="D2522" t="s">
        <v>24</v>
      </c>
      <c r="E2522">
        <v>97.75</v>
      </c>
      <c r="F2522">
        <v>72</v>
      </c>
      <c r="G2522">
        <v>7038</v>
      </c>
      <c r="H2522" t="s">
        <v>12</v>
      </c>
      <c r="I2522" t="str">
        <f t="shared" si="118"/>
        <v>High Value</v>
      </c>
      <c r="J2522" t="str">
        <f t="shared" si="119"/>
        <v>Low Risk</v>
      </c>
      <c r="K2522" s="3" t="str">
        <f t="shared" si="117"/>
        <v>4+ Years</v>
      </c>
    </row>
    <row r="2523" spans="1:11" x14ac:dyDescent="0.3">
      <c r="A2523" t="s">
        <v>2540</v>
      </c>
      <c r="B2523" t="s">
        <v>14</v>
      </c>
      <c r="C2523" t="s">
        <v>10</v>
      </c>
      <c r="D2523" t="s">
        <v>16</v>
      </c>
      <c r="E2523">
        <v>19.399999999999999</v>
      </c>
      <c r="F2523">
        <v>1</v>
      </c>
      <c r="G2523">
        <v>19.399999999999999</v>
      </c>
      <c r="H2523" t="s">
        <v>18</v>
      </c>
      <c r="I2523" t="str">
        <f t="shared" si="118"/>
        <v>Low Value</v>
      </c>
      <c r="J2523" t="str">
        <f t="shared" si="119"/>
        <v>High Risk</v>
      </c>
      <c r="K2523" s="3" t="str">
        <f t="shared" si="117"/>
        <v>0-1 Year</v>
      </c>
    </row>
    <row r="2524" spans="1:11" x14ac:dyDescent="0.3">
      <c r="A2524" t="s">
        <v>2541</v>
      </c>
      <c r="B2524" t="s">
        <v>9</v>
      </c>
      <c r="C2524" t="s">
        <v>10</v>
      </c>
      <c r="D2524" t="s">
        <v>11</v>
      </c>
      <c r="E2524">
        <v>83.3</v>
      </c>
      <c r="F2524">
        <v>9</v>
      </c>
      <c r="G2524">
        <v>749.69999999999902</v>
      </c>
      <c r="H2524" t="s">
        <v>18</v>
      </c>
      <c r="I2524" t="str">
        <f t="shared" si="118"/>
        <v>Low Value</v>
      </c>
      <c r="J2524" t="str">
        <f t="shared" si="119"/>
        <v>High Risk</v>
      </c>
      <c r="K2524" s="3" t="str">
        <f t="shared" si="117"/>
        <v>0-1 Year</v>
      </c>
    </row>
    <row r="2525" spans="1:11" x14ac:dyDescent="0.3">
      <c r="A2525" t="s">
        <v>2542</v>
      </c>
      <c r="B2525" t="s">
        <v>9</v>
      </c>
      <c r="C2525" t="s">
        <v>10</v>
      </c>
      <c r="D2525" t="s">
        <v>20</v>
      </c>
      <c r="E2525">
        <v>80.099999999999994</v>
      </c>
      <c r="F2525">
        <v>8</v>
      </c>
      <c r="G2525">
        <v>640.79999999999995</v>
      </c>
      <c r="H2525" t="s">
        <v>18</v>
      </c>
      <c r="I2525" t="str">
        <f t="shared" si="118"/>
        <v>Low Value</v>
      </c>
      <c r="J2525" t="str">
        <f t="shared" si="119"/>
        <v>High Risk</v>
      </c>
      <c r="K2525" s="3" t="str">
        <f t="shared" si="117"/>
        <v>0-1 Year</v>
      </c>
    </row>
    <row r="2526" spans="1:11" x14ac:dyDescent="0.3">
      <c r="A2526" t="s">
        <v>2543</v>
      </c>
      <c r="B2526" t="s">
        <v>14</v>
      </c>
      <c r="C2526" t="s">
        <v>15</v>
      </c>
      <c r="D2526" t="s">
        <v>24</v>
      </c>
      <c r="E2526">
        <v>62.7</v>
      </c>
      <c r="F2526">
        <v>45</v>
      </c>
      <c r="G2526">
        <v>2821.5</v>
      </c>
      <c r="H2526" t="s">
        <v>18</v>
      </c>
      <c r="I2526" t="str">
        <f t="shared" si="118"/>
        <v>Medium Value</v>
      </c>
      <c r="J2526" t="str">
        <f t="shared" si="119"/>
        <v>Low Risk</v>
      </c>
      <c r="K2526" s="3" t="str">
        <f t="shared" si="117"/>
        <v>2-4 Years</v>
      </c>
    </row>
    <row r="2527" spans="1:11" x14ac:dyDescent="0.3">
      <c r="A2527" t="s">
        <v>2544</v>
      </c>
      <c r="B2527" t="s">
        <v>9</v>
      </c>
      <c r="C2527" t="s">
        <v>10</v>
      </c>
      <c r="D2527" t="s">
        <v>11</v>
      </c>
      <c r="E2527">
        <v>100.4</v>
      </c>
      <c r="F2527">
        <v>7</v>
      </c>
      <c r="G2527">
        <v>702.8</v>
      </c>
      <c r="H2527" t="s">
        <v>12</v>
      </c>
      <c r="I2527" t="str">
        <f t="shared" si="118"/>
        <v>Low Value</v>
      </c>
      <c r="J2527" t="str">
        <f t="shared" si="119"/>
        <v>High Risk</v>
      </c>
      <c r="K2527" s="3" t="str">
        <f t="shared" si="117"/>
        <v>0-1 Year</v>
      </c>
    </row>
    <row r="2528" spans="1:11" x14ac:dyDescent="0.3">
      <c r="A2528" t="s">
        <v>2545</v>
      </c>
      <c r="B2528" t="s">
        <v>9</v>
      </c>
      <c r="C2528" t="s">
        <v>30</v>
      </c>
      <c r="D2528" t="s">
        <v>24</v>
      </c>
      <c r="E2528">
        <v>24.45</v>
      </c>
      <c r="F2528">
        <v>71</v>
      </c>
      <c r="G2528">
        <v>1735.95</v>
      </c>
      <c r="H2528" t="s">
        <v>12</v>
      </c>
      <c r="I2528" t="str">
        <f t="shared" si="118"/>
        <v>Low Value</v>
      </c>
      <c r="J2528" t="str">
        <f t="shared" si="119"/>
        <v>Low Risk</v>
      </c>
      <c r="K2528" s="3" t="str">
        <f t="shared" si="117"/>
        <v>4+ Years</v>
      </c>
    </row>
    <row r="2529" spans="1:11" x14ac:dyDescent="0.3">
      <c r="A2529" t="s">
        <v>2546</v>
      </c>
      <c r="B2529" t="s">
        <v>9</v>
      </c>
      <c r="C2529" t="s">
        <v>15</v>
      </c>
      <c r="D2529" t="s">
        <v>20</v>
      </c>
      <c r="E2529">
        <v>101.1</v>
      </c>
      <c r="F2529">
        <v>41</v>
      </c>
      <c r="G2529">
        <v>4145.0999999999904</v>
      </c>
      <c r="H2529" t="s">
        <v>12</v>
      </c>
      <c r="I2529" t="str">
        <f t="shared" si="118"/>
        <v>Medium Value</v>
      </c>
      <c r="J2529" t="str">
        <f t="shared" si="119"/>
        <v>Low Risk</v>
      </c>
      <c r="K2529" s="3" t="str">
        <f t="shared" si="117"/>
        <v>2-4 Years</v>
      </c>
    </row>
    <row r="2530" spans="1:11" x14ac:dyDescent="0.3">
      <c r="A2530" t="s">
        <v>2547</v>
      </c>
      <c r="B2530" t="s">
        <v>14</v>
      </c>
      <c r="C2530" t="s">
        <v>30</v>
      </c>
      <c r="D2530" t="s">
        <v>24</v>
      </c>
      <c r="E2530">
        <v>50.9</v>
      </c>
      <c r="F2530">
        <v>67</v>
      </c>
      <c r="G2530">
        <v>3410.2999999999902</v>
      </c>
      <c r="H2530" t="s">
        <v>12</v>
      </c>
      <c r="I2530" t="str">
        <f t="shared" si="118"/>
        <v>Medium Value</v>
      </c>
      <c r="J2530" t="str">
        <f t="shared" si="119"/>
        <v>Low Risk</v>
      </c>
      <c r="K2530" s="3" t="str">
        <f t="shared" si="117"/>
        <v>4+ Years</v>
      </c>
    </row>
    <row r="2531" spans="1:11" x14ac:dyDescent="0.3">
      <c r="A2531" t="s">
        <v>2548</v>
      </c>
      <c r="B2531" t="s">
        <v>14</v>
      </c>
      <c r="C2531" t="s">
        <v>15</v>
      </c>
      <c r="D2531" t="s">
        <v>24</v>
      </c>
      <c r="E2531">
        <v>107.2</v>
      </c>
      <c r="F2531">
        <v>69</v>
      </c>
      <c r="G2531">
        <v>7396.8</v>
      </c>
      <c r="H2531" t="s">
        <v>12</v>
      </c>
      <c r="I2531" t="str">
        <f t="shared" si="118"/>
        <v>High Value</v>
      </c>
      <c r="J2531" t="str">
        <f t="shared" si="119"/>
        <v>Low Risk</v>
      </c>
      <c r="K2531" s="3" t="str">
        <f t="shared" si="117"/>
        <v>4+ Years</v>
      </c>
    </row>
    <row r="2532" spans="1:11" x14ac:dyDescent="0.3">
      <c r="A2532" t="s">
        <v>2549</v>
      </c>
      <c r="B2532" t="s">
        <v>9</v>
      </c>
      <c r="C2532" t="s">
        <v>30</v>
      </c>
      <c r="D2532" t="s">
        <v>20</v>
      </c>
      <c r="E2532">
        <v>92.2</v>
      </c>
      <c r="F2532">
        <v>70</v>
      </c>
      <c r="G2532">
        <v>6454</v>
      </c>
      <c r="H2532" t="s">
        <v>12</v>
      </c>
      <c r="I2532" t="str">
        <f t="shared" si="118"/>
        <v>High Value</v>
      </c>
      <c r="J2532" t="str">
        <f t="shared" si="119"/>
        <v>Low Risk</v>
      </c>
      <c r="K2532" s="3" t="str">
        <f t="shared" si="117"/>
        <v>4+ Years</v>
      </c>
    </row>
    <row r="2533" spans="1:11" x14ac:dyDescent="0.3">
      <c r="A2533" t="s">
        <v>2550</v>
      </c>
      <c r="B2533" t="s">
        <v>14</v>
      </c>
      <c r="C2533" t="s">
        <v>15</v>
      </c>
      <c r="D2533" t="s">
        <v>20</v>
      </c>
      <c r="E2533">
        <v>25.3</v>
      </c>
      <c r="F2533">
        <v>25</v>
      </c>
      <c r="G2533">
        <v>632.5</v>
      </c>
      <c r="H2533" t="s">
        <v>18</v>
      </c>
      <c r="I2533" t="str">
        <f t="shared" si="118"/>
        <v>Low Value</v>
      </c>
      <c r="J2533" t="str">
        <f t="shared" si="119"/>
        <v>Low Risk</v>
      </c>
      <c r="K2533" s="3" t="str">
        <f t="shared" si="117"/>
        <v>2-4 Years</v>
      </c>
    </row>
    <row r="2534" spans="1:11" x14ac:dyDescent="0.3">
      <c r="A2534" t="s">
        <v>2551</v>
      </c>
      <c r="B2534" t="s">
        <v>14</v>
      </c>
      <c r="C2534" t="s">
        <v>30</v>
      </c>
      <c r="D2534" t="s">
        <v>20</v>
      </c>
      <c r="E2534">
        <v>113.4</v>
      </c>
      <c r="F2534">
        <v>72</v>
      </c>
      <c r="G2534">
        <v>8164.8</v>
      </c>
      <c r="H2534" t="s">
        <v>12</v>
      </c>
      <c r="I2534" t="str">
        <f t="shared" si="118"/>
        <v>High Value</v>
      </c>
      <c r="J2534" t="str">
        <f t="shared" si="119"/>
        <v>Low Risk</v>
      </c>
      <c r="K2534" s="3" t="str">
        <f t="shared" si="117"/>
        <v>4+ Years</v>
      </c>
    </row>
    <row r="2535" spans="1:11" x14ac:dyDescent="0.3">
      <c r="A2535" t="s">
        <v>2552</v>
      </c>
      <c r="B2535" t="s">
        <v>14</v>
      </c>
      <c r="C2535" t="s">
        <v>30</v>
      </c>
      <c r="D2535" t="s">
        <v>11</v>
      </c>
      <c r="E2535">
        <v>40.549999999999997</v>
      </c>
      <c r="F2535">
        <v>34</v>
      </c>
      <c r="G2535">
        <v>1378.69999999999</v>
      </c>
      <c r="H2535" t="s">
        <v>12</v>
      </c>
      <c r="I2535" t="str">
        <f t="shared" si="118"/>
        <v>Low Value</v>
      </c>
      <c r="J2535" t="str">
        <f t="shared" si="119"/>
        <v>Low Risk</v>
      </c>
      <c r="K2535" s="3" t="str">
        <f t="shared" si="117"/>
        <v>2-4 Years</v>
      </c>
    </row>
    <row r="2536" spans="1:11" x14ac:dyDescent="0.3">
      <c r="A2536" t="s">
        <v>2553</v>
      </c>
      <c r="B2536" t="s">
        <v>9</v>
      </c>
      <c r="C2536" t="s">
        <v>30</v>
      </c>
      <c r="D2536" t="s">
        <v>24</v>
      </c>
      <c r="E2536">
        <v>26</v>
      </c>
      <c r="F2536">
        <v>65</v>
      </c>
      <c r="G2536">
        <v>1690</v>
      </c>
      <c r="H2536" t="s">
        <v>12</v>
      </c>
      <c r="I2536" t="str">
        <f t="shared" si="118"/>
        <v>Low Value</v>
      </c>
      <c r="J2536" t="str">
        <f t="shared" si="119"/>
        <v>Low Risk</v>
      </c>
      <c r="K2536" s="3" t="str">
        <f t="shared" si="117"/>
        <v>4+ Years</v>
      </c>
    </row>
    <row r="2537" spans="1:11" x14ac:dyDescent="0.3">
      <c r="A2537" t="s">
        <v>2554</v>
      </c>
      <c r="B2537" t="s">
        <v>9</v>
      </c>
      <c r="C2537" t="s">
        <v>30</v>
      </c>
      <c r="D2537" t="s">
        <v>24</v>
      </c>
      <c r="E2537">
        <v>111.95</v>
      </c>
      <c r="F2537">
        <v>70</v>
      </c>
      <c r="G2537">
        <v>7836.5</v>
      </c>
      <c r="H2537" t="s">
        <v>12</v>
      </c>
      <c r="I2537" t="str">
        <f t="shared" si="118"/>
        <v>High Value</v>
      </c>
      <c r="J2537" t="str">
        <f t="shared" si="119"/>
        <v>Low Risk</v>
      </c>
      <c r="K2537" s="3" t="str">
        <f t="shared" si="117"/>
        <v>4+ Years</v>
      </c>
    </row>
    <row r="2538" spans="1:11" x14ac:dyDescent="0.3">
      <c r="A2538" t="s">
        <v>2555</v>
      </c>
      <c r="B2538" t="s">
        <v>9</v>
      </c>
      <c r="C2538" t="s">
        <v>30</v>
      </c>
      <c r="D2538" t="s">
        <v>24</v>
      </c>
      <c r="E2538">
        <v>53.8</v>
      </c>
      <c r="F2538">
        <v>72</v>
      </c>
      <c r="G2538">
        <v>3873.6</v>
      </c>
      <c r="H2538" t="s">
        <v>12</v>
      </c>
      <c r="I2538" t="str">
        <f t="shared" si="118"/>
        <v>Medium Value</v>
      </c>
      <c r="J2538" t="str">
        <f t="shared" si="119"/>
        <v>Low Risk</v>
      </c>
      <c r="K2538" s="3" t="str">
        <f t="shared" si="117"/>
        <v>4+ Years</v>
      </c>
    </row>
    <row r="2539" spans="1:11" x14ac:dyDescent="0.3">
      <c r="A2539" t="s">
        <v>2556</v>
      </c>
      <c r="B2539" t="s">
        <v>14</v>
      </c>
      <c r="C2539" t="s">
        <v>15</v>
      </c>
      <c r="D2539" t="s">
        <v>16</v>
      </c>
      <c r="E2539">
        <v>72.099999999999994</v>
      </c>
      <c r="F2539">
        <v>35</v>
      </c>
      <c r="G2539">
        <v>2523.5</v>
      </c>
      <c r="H2539" t="s">
        <v>12</v>
      </c>
      <c r="I2539" t="str">
        <f t="shared" si="118"/>
        <v>Medium Value</v>
      </c>
      <c r="J2539" t="str">
        <f t="shared" si="119"/>
        <v>Low Risk</v>
      </c>
      <c r="K2539" s="3" t="str">
        <f t="shared" si="117"/>
        <v>2-4 Years</v>
      </c>
    </row>
    <row r="2540" spans="1:11" x14ac:dyDescent="0.3">
      <c r="A2540" t="s">
        <v>2557</v>
      </c>
      <c r="B2540" t="s">
        <v>14</v>
      </c>
      <c r="C2540" t="s">
        <v>10</v>
      </c>
      <c r="D2540" t="s">
        <v>16</v>
      </c>
      <c r="E2540">
        <v>98.15</v>
      </c>
      <c r="F2540">
        <v>13</v>
      </c>
      <c r="G2540">
        <v>1275.95</v>
      </c>
      <c r="H2540" t="s">
        <v>18</v>
      </c>
      <c r="I2540" t="str">
        <f t="shared" si="118"/>
        <v>Low Value</v>
      </c>
      <c r="J2540" t="str">
        <f t="shared" si="119"/>
        <v>Medium Risk</v>
      </c>
      <c r="K2540" s="3" t="str">
        <f t="shared" si="117"/>
        <v>1-2 Years</v>
      </c>
    </row>
    <row r="2541" spans="1:11" x14ac:dyDescent="0.3">
      <c r="A2541" t="s">
        <v>2558</v>
      </c>
      <c r="B2541" t="s">
        <v>9</v>
      </c>
      <c r="C2541" t="s">
        <v>15</v>
      </c>
      <c r="D2541" t="s">
        <v>11</v>
      </c>
      <c r="E2541">
        <v>78.849999999999994</v>
      </c>
      <c r="F2541">
        <v>12</v>
      </c>
      <c r="G2541">
        <v>946.19999999999902</v>
      </c>
      <c r="H2541" t="s">
        <v>12</v>
      </c>
      <c r="I2541" t="str">
        <f t="shared" si="118"/>
        <v>Low Value</v>
      </c>
      <c r="J2541" t="str">
        <f t="shared" si="119"/>
        <v>Medium Risk</v>
      </c>
      <c r="K2541" s="3" t="str">
        <f t="shared" si="117"/>
        <v>0-1 Year</v>
      </c>
    </row>
    <row r="2542" spans="1:11" x14ac:dyDescent="0.3">
      <c r="A2542" t="s">
        <v>2559</v>
      </c>
      <c r="B2542" t="s">
        <v>9</v>
      </c>
      <c r="C2542" t="s">
        <v>15</v>
      </c>
      <c r="D2542" t="s">
        <v>20</v>
      </c>
      <c r="E2542">
        <v>70.75</v>
      </c>
      <c r="F2542">
        <v>62</v>
      </c>
      <c r="G2542">
        <v>4386.5</v>
      </c>
      <c r="H2542" t="s">
        <v>12</v>
      </c>
      <c r="I2542" t="str">
        <f t="shared" si="118"/>
        <v>Medium Value</v>
      </c>
      <c r="J2542" t="str">
        <f t="shared" si="119"/>
        <v>Low Risk</v>
      </c>
      <c r="K2542" s="3" t="str">
        <f t="shared" si="117"/>
        <v>4+ Years</v>
      </c>
    </row>
    <row r="2543" spans="1:11" x14ac:dyDescent="0.3">
      <c r="A2543" t="s">
        <v>2560</v>
      </c>
      <c r="B2543" t="s">
        <v>9</v>
      </c>
      <c r="C2543" t="s">
        <v>10</v>
      </c>
      <c r="D2543" t="s">
        <v>24</v>
      </c>
      <c r="E2543">
        <v>76.150000000000006</v>
      </c>
      <c r="F2543">
        <v>25</v>
      </c>
      <c r="G2543">
        <v>1903.75</v>
      </c>
      <c r="H2543" t="s">
        <v>12</v>
      </c>
      <c r="I2543" t="str">
        <f t="shared" si="118"/>
        <v>Low Value</v>
      </c>
      <c r="J2543" t="str">
        <f t="shared" si="119"/>
        <v>Low Risk</v>
      </c>
      <c r="K2543" s="3" t="str">
        <f t="shared" si="117"/>
        <v>2-4 Years</v>
      </c>
    </row>
    <row r="2544" spans="1:11" x14ac:dyDescent="0.3">
      <c r="A2544" t="s">
        <v>2561</v>
      </c>
      <c r="B2544" t="s">
        <v>9</v>
      </c>
      <c r="C2544" t="s">
        <v>30</v>
      </c>
      <c r="D2544" t="s">
        <v>16</v>
      </c>
      <c r="E2544">
        <v>39.1</v>
      </c>
      <c r="F2544">
        <v>52</v>
      </c>
      <c r="G2544">
        <v>2033.2</v>
      </c>
      <c r="H2544" t="s">
        <v>12</v>
      </c>
      <c r="I2544" t="str">
        <f t="shared" si="118"/>
        <v>Medium Value</v>
      </c>
      <c r="J2544" t="str">
        <f t="shared" si="119"/>
        <v>Low Risk</v>
      </c>
      <c r="K2544" s="3" t="str">
        <f t="shared" si="117"/>
        <v>4+ Years</v>
      </c>
    </row>
    <row r="2545" spans="1:11" x14ac:dyDescent="0.3">
      <c r="A2545" t="s">
        <v>2562</v>
      </c>
      <c r="B2545" t="s">
        <v>14</v>
      </c>
      <c r="C2545" t="s">
        <v>10</v>
      </c>
      <c r="D2545" t="s">
        <v>24</v>
      </c>
      <c r="E2545">
        <v>69.95</v>
      </c>
      <c r="F2545">
        <v>8</v>
      </c>
      <c r="G2545">
        <v>559.6</v>
      </c>
      <c r="H2545" t="s">
        <v>12</v>
      </c>
      <c r="I2545" t="str">
        <f t="shared" si="118"/>
        <v>Low Value</v>
      </c>
      <c r="J2545" t="str">
        <f t="shared" si="119"/>
        <v>High Risk</v>
      </c>
      <c r="K2545" s="3" t="str">
        <f t="shared" si="117"/>
        <v>0-1 Year</v>
      </c>
    </row>
    <row r="2546" spans="1:11" x14ac:dyDescent="0.3">
      <c r="A2546" t="s">
        <v>2563</v>
      </c>
      <c r="B2546" t="s">
        <v>14</v>
      </c>
      <c r="C2546" t="s">
        <v>10</v>
      </c>
      <c r="D2546" t="s">
        <v>16</v>
      </c>
      <c r="E2546">
        <v>20.05</v>
      </c>
      <c r="F2546">
        <v>2</v>
      </c>
      <c r="G2546">
        <v>40.1</v>
      </c>
      <c r="H2546" t="s">
        <v>12</v>
      </c>
      <c r="I2546" t="str">
        <f t="shared" si="118"/>
        <v>Low Value</v>
      </c>
      <c r="J2546" t="str">
        <f t="shared" si="119"/>
        <v>High Risk</v>
      </c>
      <c r="K2546" s="3" t="str">
        <f t="shared" si="117"/>
        <v>0-1 Year</v>
      </c>
    </row>
    <row r="2547" spans="1:11" x14ac:dyDescent="0.3">
      <c r="A2547" t="s">
        <v>2564</v>
      </c>
      <c r="B2547" t="s">
        <v>9</v>
      </c>
      <c r="C2547" t="s">
        <v>30</v>
      </c>
      <c r="D2547" t="s">
        <v>16</v>
      </c>
      <c r="E2547">
        <v>20.05</v>
      </c>
      <c r="F2547">
        <v>56</v>
      </c>
      <c r="G2547">
        <v>1122.8</v>
      </c>
      <c r="H2547" t="s">
        <v>12</v>
      </c>
      <c r="I2547" t="str">
        <f t="shared" si="118"/>
        <v>Low Value</v>
      </c>
      <c r="J2547" t="str">
        <f t="shared" si="119"/>
        <v>Low Risk</v>
      </c>
      <c r="K2547" s="3" t="str">
        <f t="shared" si="117"/>
        <v>4+ Years</v>
      </c>
    </row>
    <row r="2548" spans="1:11" x14ac:dyDescent="0.3">
      <c r="A2548" t="s">
        <v>2565</v>
      </c>
      <c r="B2548" t="s">
        <v>9</v>
      </c>
      <c r="C2548" t="s">
        <v>10</v>
      </c>
      <c r="D2548" t="s">
        <v>20</v>
      </c>
      <c r="E2548">
        <v>19.45</v>
      </c>
      <c r="F2548">
        <v>12</v>
      </c>
      <c r="G2548">
        <v>233.39999999999901</v>
      </c>
      <c r="H2548" t="s">
        <v>12</v>
      </c>
      <c r="I2548" t="str">
        <f t="shared" si="118"/>
        <v>Low Value</v>
      </c>
      <c r="J2548" t="str">
        <f t="shared" si="119"/>
        <v>Medium Risk</v>
      </c>
      <c r="K2548" s="3" t="str">
        <f t="shared" si="117"/>
        <v>0-1 Year</v>
      </c>
    </row>
    <row r="2549" spans="1:11" x14ac:dyDescent="0.3">
      <c r="A2549" t="s">
        <v>2566</v>
      </c>
      <c r="B2549" t="s">
        <v>9</v>
      </c>
      <c r="C2549" t="s">
        <v>15</v>
      </c>
      <c r="D2549" t="s">
        <v>11</v>
      </c>
      <c r="E2549">
        <v>26.9</v>
      </c>
      <c r="F2549">
        <v>47</v>
      </c>
      <c r="G2549">
        <v>1264.3</v>
      </c>
      <c r="H2549" t="s">
        <v>12</v>
      </c>
      <c r="I2549" t="str">
        <f t="shared" si="118"/>
        <v>Low Value</v>
      </c>
      <c r="J2549" t="str">
        <f t="shared" si="119"/>
        <v>Low Risk</v>
      </c>
      <c r="K2549" s="3" t="str">
        <f t="shared" si="117"/>
        <v>2-4 Years</v>
      </c>
    </row>
    <row r="2550" spans="1:11" x14ac:dyDescent="0.3">
      <c r="A2550" t="s">
        <v>2567</v>
      </c>
      <c r="B2550" t="s">
        <v>14</v>
      </c>
      <c r="C2550" t="s">
        <v>10</v>
      </c>
      <c r="D2550" t="s">
        <v>11</v>
      </c>
      <c r="E2550">
        <v>19.2</v>
      </c>
      <c r="F2550">
        <v>2</v>
      </c>
      <c r="G2550">
        <v>38.4</v>
      </c>
      <c r="H2550" t="s">
        <v>12</v>
      </c>
      <c r="I2550" t="str">
        <f t="shared" si="118"/>
        <v>Low Value</v>
      </c>
      <c r="J2550" t="str">
        <f t="shared" si="119"/>
        <v>High Risk</v>
      </c>
      <c r="K2550" s="3" t="str">
        <f t="shared" si="117"/>
        <v>0-1 Year</v>
      </c>
    </row>
    <row r="2551" spans="1:11" x14ac:dyDescent="0.3">
      <c r="A2551" t="s">
        <v>2568</v>
      </c>
      <c r="B2551" t="s">
        <v>9</v>
      </c>
      <c r="C2551" t="s">
        <v>10</v>
      </c>
      <c r="D2551" t="s">
        <v>16</v>
      </c>
      <c r="E2551">
        <v>50</v>
      </c>
      <c r="F2551">
        <v>18</v>
      </c>
      <c r="G2551">
        <v>900</v>
      </c>
      <c r="H2551" t="s">
        <v>12</v>
      </c>
      <c r="I2551" t="str">
        <f t="shared" si="118"/>
        <v>Low Value</v>
      </c>
      <c r="J2551" t="str">
        <f t="shared" si="119"/>
        <v>Medium Risk</v>
      </c>
      <c r="K2551" s="3" t="str">
        <f t="shared" si="117"/>
        <v>1-2 Years</v>
      </c>
    </row>
    <row r="2552" spans="1:11" x14ac:dyDescent="0.3">
      <c r="A2552" t="s">
        <v>2569</v>
      </c>
      <c r="B2552" t="s">
        <v>9</v>
      </c>
      <c r="C2552" t="s">
        <v>10</v>
      </c>
      <c r="D2552" t="s">
        <v>11</v>
      </c>
      <c r="E2552">
        <v>60</v>
      </c>
      <c r="F2552">
        <v>8</v>
      </c>
      <c r="G2552">
        <v>480</v>
      </c>
      <c r="H2552" t="s">
        <v>12</v>
      </c>
      <c r="I2552" t="str">
        <f t="shared" si="118"/>
        <v>Low Value</v>
      </c>
      <c r="J2552" t="str">
        <f t="shared" si="119"/>
        <v>High Risk</v>
      </c>
      <c r="K2552" s="3" t="str">
        <f t="shared" si="117"/>
        <v>0-1 Year</v>
      </c>
    </row>
    <row r="2553" spans="1:11" x14ac:dyDescent="0.3">
      <c r="A2553" t="s">
        <v>2570</v>
      </c>
      <c r="B2553" t="s">
        <v>14</v>
      </c>
      <c r="C2553" t="s">
        <v>10</v>
      </c>
      <c r="D2553" t="s">
        <v>16</v>
      </c>
      <c r="E2553">
        <v>84.55</v>
      </c>
      <c r="F2553">
        <v>45</v>
      </c>
      <c r="G2553">
        <v>3804.75</v>
      </c>
      <c r="H2553" t="s">
        <v>12</v>
      </c>
      <c r="I2553" t="str">
        <f t="shared" si="118"/>
        <v>Medium Value</v>
      </c>
      <c r="J2553" t="str">
        <f t="shared" si="119"/>
        <v>Low Risk</v>
      </c>
      <c r="K2553" s="3" t="str">
        <f t="shared" si="117"/>
        <v>2-4 Years</v>
      </c>
    </row>
    <row r="2554" spans="1:11" x14ac:dyDescent="0.3">
      <c r="A2554" t="s">
        <v>2571</v>
      </c>
      <c r="B2554" t="s">
        <v>14</v>
      </c>
      <c r="C2554" t="s">
        <v>10</v>
      </c>
      <c r="D2554" t="s">
        <v>16</v>
      </c>
      <c r="E2554">
        <v>45.45</v>
      </c>
      <c r="F2554">
        <v>3</v>
      </c>
      <c r="G2554">
        <v>136.35</v>
      </c>
      <c r="H2554" t="s">
        <v>12</v>
      </c>
      <c r="I2554" t="str">
        <f t="shared" si="118"/>
        <v>Low Value</v>
      </c>
      <c r="J2554" t="str">
        <f t="shared" si="119"/>
        <v>High Risk</v>
      </c>
      <c r="K2554" s="3" t="str">
        <f t="shared" si="117"/>
        <v>0-1 Year</v>
      </c>
    </row>
    <row r="2555" spans="1:11" x14ac:dyDescent="0.3">
      <c r="A2555" t="s">
        <v>2572</v>
      </c>
      <c r="B2555" t="s">
        <v>9</v>
      </c>
      <c r="C2555" t="s">
        <v>15</v>
      </c>
      <c r="D2555" t="s">
        <v>16</v>
      </c>
      <c r="E2555">
        <v>20.05</v>
      </c>
      <c r="F2555">
        <v>38</v>
      </c>
      <c r="G2555">
        <v>761.9</v>
      </c>
      <c r="H2555" t="s">
        <v>12</v>
      </c>
      <c r="I2555" t="str">
        <f t="shared" si="118"/>
        <v>Low Value</v>
      </c>
      <c r="J2555" t="str">
        <f t="shared" si="119"/>
        <v>Low Risk</v>
      </c>
      <c r="K2555" s="3" t="str">
        <f t="shared" si="117"/>
        <v>2-4 Years</v>
      </c>
    </row>
    <row r="2556" spans="1:11" x14ac:dyDescent="0.3">
      <c r="A2556" t="s">
        <v>2573</v>
      </c>
      <c r="B2556" t="s">
        <v>14</v>
      </c>
      <c r="C2556" t="s">
        <v>30</v>
      </c>
      <c r="D2556" t="s">
        <v>11</v>
      </c>
      <c r="E2556">
        <v>115.55</v>
      </c>
      <c r="F2556">
        <v>72</v>
      </c>
      <c r="G2556">
        <v>8319.6</v>
      </c>
      <c r="H2556" t="s">
        <v>12</v>
      </c>
      <c r="I2556" t="str">
        <f t="shared" si="118"/>
        <v>High Value</v>
      </c>
      <c r="J2556" t="str">
        <f t="shared" si="119"/>
        <v>Low Risk</v>
      </c>
      <c r="K2556" s="3" t="str">
        <f t="shared" si="117"/>
        <v>4+ Years</v>
      </c>
    </row>
    <row r="2557" spans="1:11" x14ac:dyDescent="0.3">
      <c r="A2557" t="s">
        <v>2574</v>
      </c>
      <c r="B2557" t="s">
        <v>14</v>
      </c>
      <c r="C2557" t="s">
        <v>10</v>
      </c>
      <c r="D2557" t="s">
        <v>11</v>
      </c>
      <c r="E2557">
        <v>93.7</v>
      </c>
      <c r="F2557">
        <v>46</v>
      </c>
      <c r="G2557">
        <v>4310.2</v>
      </c>
      <c r="H2557" t="s">
        <v>18</v>
      </c>
      <c r="I2557" t="str">
        <f t="shared" si="118"/>
        <v>Medium Value</v>
      </c>
      <c r="J2557" t="str">
        <f t="shared" si="119"/>
        <v>Low Risk</v>
      </c>
      <c r="K2557" s="3" t="str">
        <f t="shared" si="117"/>
        <v>2-4 Years</v>
      </c>
    </row>
    <row r="2558" spans="1:11" x14ac:dyDescent="0.3">
      <c r="A2558" t="s">
        <v>2575</v>
      </c>
      <c r="B2558" t="s">
        <v>9</v>
      </c>
      <c r="C2558" t="s">
        <v>30</v>
      </c>
      <c r="D2558" t="s">
        <v>24</v>
      </c>
      <c r="E2558">
        <v>99</v>
      </c>
      <c r="F2558">
        <v>71</v>
      </c>
      <c r="G2558">
        <v>7029</v>
      </c>
      <c r="H2558" t="s">
        <v>12</v>
      </c>
      <c r="I2558" t="str">
        <f t="shared" si="118"/>
        <v>High Value</v>
      </c>
      <c r="J2558" t="str">
        <f t="shared" si="119"/>
        <v>Low Risk</v>
      </c>
      <c r="K2558" s="3" t="str">
        <f t="shared" si="117"/>
        <v>4+ Years</v>
      </c>
    </row>
    <row r="2559" spans="1:11" x14ac:dyDescent="0.3">
      <c r="A2559" t="s">
        <v>2576</v>
      </c>
      <c r="B2559" t="s">
        <v>14</v>
      </c>
      <c r="C2559" t="s">
        <v>30</v>
      </c>
      <c r="D2559" t="s">
        <v>20</v>
      </c>
      <c r="E2559">
        <v>50.55</v>
      </c>
      <c r="F2559">
        <v>66</v>
      </c>
      <c r="G2559">
        <v>3336.2999999999902</v>
      </c>
      <c r="H2559" t="s">
        <v>12</v>
      </c>
      <c r="I2559" t="str">
        <f t="shared" si="118"/>
        <v>Medium Value</v>
      </c>
      <c r="J2559" t="str">
        <f t="shared" si="119"/>
        <v>Low Risk</v>
      </c>
      <c r="K2559" s="3" t="str">
        <f t="shared" si="117"/>
        <v>4+ Years</v>
      </c>
    </row>
    <row r="2560" spans="1:11" x14ac:dyDescent="0.3">
      <c r="A2560" t="s">
        <v>2577</v>
      </c>
      <c r="B2560" t="s">
        <v>14</v>
      </c>
      <c r="C2560" t="s">
        <v>10</v>
      </c>
      <c r="D2560" t="s">
        <v>16</v>
      </c>
      <c r="E2560">
        <v>105.95</v>
      </c>
      <c r="F2560">
        <v>25</v>
      </c>
      <c r="G2560">
        <v>2648.75</v>
      </c>
      <c r="H2560" t="s">
        <v>18</v>
      </c>
      <c r="I2560" t="str">
        <f t="shared" si="118"/>
        <v>Medium Value</v>
      </c>
      <c r="J2560" t="str">
        <f t="shared" si="119"/>
        <v>Low Risk</v>
      </c>
      <c r="K2560" s="3" t="str">
        <f t="shared" si="117"/>
        <v>2-4 Years</v>
      </c>
    </row>
    <row r="2561" spans="1:11" x14ac:dyDescent="0.3">
      <c r="A2561" t="s">
        <v>2578</v>
      </c>
      <c r="B2561" t="s">
        <v>14</v>
      </c>
      <c r="C2561" t="s">
        <v>15</v>
      </c>
      <c r="D2561" t="s">
        <v>24</v>
      </c>
      <c r="E2561">
        <v>82</v>
      </c>
      <c r="F2561">
        <v>18</v>
      </c>
      <c r="G2561">
        <v>1476</v>
      </c>
      <c r="H2561" t="s">
        <v>18</v>
      </c>
      <c r="I2561" t="str">
        <f t="shared" si="118"/>
        <v>Low Value</v>
      </c>
      <c r="J2561" t="str">
        <f t="shared" si="119"/>
        <v>Medium Risk</v>
      </c>
      <c r="K2561" s="3" t="str">
        <f t="shared" si="117"/>
        <v>1-2 Years</v>
      </c>
    </row>
    <row r="2562" spans="1:11" x14ac:dyDescent="0.3">
      <c r="A2562" t="s">
        <v>2579</v>
      </c>
      <c r="B2562" t="s">
        <v>9</v>
      </c>
      <c r="C2562" t="s">
        <v>30</v>
      </c>
      <c r="D2562" t="s">
        <v>20</v>
      </c>
      <c r="E2562">
        <v>25</v>
      </c>
      <c r="F2562">
        <v>13</v>
      </c>
      <c r="G2562">
        <v>325</v>
      </c>
      <c r="H2562" t="s">
        <v>12</v>
      </c>
      <c r="I2562" t="str">
        <f t="shared" si="118"/>
        <v>Low Value</v>
      </c>
      <c r="J2562" t="str">
        <f t="shared" si="119"/>
        <v>Medium Risk</v>
      </c>
      <c r="K2562" s="3" t="str">
        <f t="shared" si="117"/>
        <v>1-2 Years</v>
      </c>
    </row>
    <row r="2563" spans="1:11" x14ac:dyDescent="0.3">
      <c r="A2563" t="s">
        <v>2580</v>
      </c>
      <c r="B2563" t="s">
        <v>9</v>
      </c>
      <c r="C2563" t="s">
        <v>30</v>
      </c>
      <c r="D2563" t="s">
        <v>20</v>
      </c>
      <c r="E2563">
        <v>91.55</v>
      </c>
      <c r="F2563">
        <v>65</v>
      </c>
      <c r="G2563">
        <v>5950.75</v>
      </c>
      <c r="H2563" t="s">
        <v>12</v>
      </c>
      <c r="I2563" t="str">
        <f t="shared" si="118"/>
        <v>High Value</v>
      </c>
      <c r="J2563" t="str">
        <f t="shared" si="119"/>
        <v>Low Risk</v>
      </c>
      <c r="K2563" s="3" t="str">
        <f t="shared" ref="K2563:K2626" si="120">IF(F2563&lt;=12,"0-1 Year",
IF(F2563&lt;=24,"1-2 Years",
IF(F2563&lt;=48,"2-4 Years","4+ Years")))</f>
        <v>4+ Years</v>
      </c>
    </row>
    <row r="2564" spans="1:11" x14ac:dyDescent="0.3">
      <c r="A2564" t="s">
        <v>2581</v>
      </c>
      <c r="B2564" t="s">
        <v>14</v>
      </c>
      <c r="C2564" t="s">
        <v>10</v>
      </c>
      <c r="D2564" t="s">
        <v>11</v>
      </c>
      <c r="E2564">
        <v>95.75</v>
      </c>
      <c r="F2564">
        <v>60</v>
      </c>
      <c r="G2564">
        <v>5745</v>
      </c>
      <c r="H2564" t="s">
        <v>18</v>
      </c>
      <c r="I2564" t="str">
        <f t="shared" ref="I2564:I2627" si="121">IF(G2564&gt;5000,"High Value",
IF(G2564&gt;2000,"Medium Value","Low Value"))</f>
        <v>High Value</v>
      </c>
      <c r="J2564" t="str">
        <f t="shared" ref="J2564:J2627" si="122">IF(F2564&lt;12,"High Risk",
IF(F2564&lt;24,"Medium Risk","Low Risk"))</f>
        <v>Low Risk</v>
      </c>
      <c r="K2564" s="3" t="str">
        <f t="shared" si="120"/>
        <v>4+ Years</v>
      </c>
    </row>
    <row r="2565" spans="1:11" x14ac:dyDescent="0.3">
      <c r="A2565" t="s">
        <v>2582</v>
      </c>
      <c r="B2565" t="s">
        <v>14</v>
      </c>
      <c r="C2565" t="s">
        <v>30</v>
      </c>
      <c r="D2565" t="s">
        <v>16</v>
      </c>
      <c r="E2565">
        <v>19.350000000000001</v>
      </c>
      <c r="F2565">
        <v>15</v>
      </c>
      <c r="G2565">
        <v>290.25</v>
      </c>
      <c r="H2565" t="s">
        <v>12</v>
      </c>
      <c r="I2565" t="str">
        <f t="shared" si="121"/>
        <v>Low Value</v>
      </c>
      <c r="J2565" t="str">
        <f t="shared" si="122"/>
        <v>Medium Risk</v>
      </c>
      <c r="K2565" s="3" t="str">
        <f t="shared" si="120"/>
        <v>1-2 Years</v>
      </c>
    </row>
    <row r="2566" spans="1:11" x14ac:dyDescent="0.3">
      <c r="A2566" t="s">
        <v>2583</v>
      </c>
      <c r="B2566" t="s">
        <v>9</v>
      </c>
      <c r="C2566" t="s">
        <v>30</v>
      </c>
      <c r="D2566" t="s">
        <v>24</v>
      </c>
      <c r="E2566">
        <v>24.85</v>
      </c>
      <c r="F2566">
        <v>72</v>
      </c>
      <c r="G2566">
        <v>1789.2</v>
      </c>
      <c r="H2566" t="s">
        <v>12</v>
      </c>
      <c r="I2566" t="str">
        <f t="shared" si="121"/>
        <v>Low Value</v>
      </c>
      <c r="J2566" t="str">
        <f t="shared" si="122"/>
        <v>Low Risk</v>
      </c>
      <c r="K2566" s="3" t="str">
        <f t="shared" si="120"/>
        <v>4+ Years</v>
      </c>
    </row>
    <row r="2567" spans="1:11" x14ac:dyDescent="0.3">
      <c r="A2567" t="s">
        <v>2584</v>
      </c>
      <c r="B2567" t="s">
        <v>14</v>
      </c>
      <c r="C2567" t="s">
        <v>10</v>
      </c>
      <c r="D2567" t="s">
        <v>24</v>
      </c>
      <c r="E2567">
        <v>94.05</v>
      </c>
      <c r="F2567">
        <v>30</v>
      </c>
      <c r="G2567">
        <v>2821.5</v>
      </c>
      <c r="H2567" t="s">
        <v>18</v>
      </c>
      <c r="I2567" t="str">
        <f t="shared" si="121"/>
        <v>Medium Value</v>
      </c>
      <c r="J2567" t="str">
        <f t="shared" si="122"/>
        <v>Low Risk</v>
      </c>
      <c r="K2567" s="3" t="str">
        <f t="shared" si="120"/>
        <v>2-4 Years</v>
      </c>
    </row>
    <row r="2568" spans="1:11" x14ac:dyDescent="0.3">
      <c r="A2568" t="s">
        <v>2585</v>
      </c>
      <c r="B2568" t="s">
        <v>9</v>
      </c>
      <c r="C2568" t="s">
        <v>30</v>
      </c>
      <c r="D2568" t="s">
        <v>11</v>
      </c>
      <c r="E2568">
        <v>100.4</v>
      </c>
      <c r="F2568">
        <v>42</v>
      </c>
      <c r="G2568">
        <v>4216.8</v>
      </c>
      <c r="H2568" t="s">
        <v>12</v>
      </c>
      <c r="I2568" t="str">
        <f t="shared" si="121"/>
        <v>Medium Value</v>
      </c>
      <c r="J2568" t="str">
        <f t="shared" si="122"/>
        <v>Low Risk</v>
      </c>
      <c r="K2568" s="3" t="str">
        <f t="shared" si="120"/>
        <v>2-4 Years</v>
      </c>
    </row>
    <row r="2569" spans="1:11" x14ac:dyDescent="0.3">
      <c r="A2569" t="s">
        <v>2586</v>
      </c>
      <c r="B2569" t="s">
        <v>9</v>
      </c>
      <c r="C2569" t="s">
        <v>30</v>
      </c>
      <c r="D2569" t="s">
        <v>20</v>
      </c>
      <c r="E2569">
        <v>25</v>
      </c>
      <c r="F2569">
        <v>71</v>
      </c>
      <c r="G2569">
        <v>1775</v>
      </c>
      <c r="H2569" t="s">
        <v>12</v>
      </c>
      <c r="I2569" t="str">
        <f t="shared" si="121"/>
        <v>Low Value</v>
      </c>
      <c r="J2569" t="str">
        <f t="shared" si="122"/>
        <v>Low Risk</v>
      </c>
      <c r="K2569" s="3" t="str">
        <f t="shared" si="120"/>
        <v>4+ Years</v>
      </c>
    </row>
    <row r="2570" spans="1:11" x14ac:dyDescent="0.3">
      <c r="A2570" t="s">
        <v>2587</v>
      </c>
      <c r="B2570" t="s">
        <v>9</v>
      </c>
      <c r="C2570" t="s">
        <v>10</v>
      </c>
      <c r="D2570" t="s">
        <v>16</v>
      </c>
      <c r="E2570">
        <v>54.75</v>
      </c>
      <c r="F2570">
        <v>1</v>
      </c>
      <c r="G2570">
        <v>54.75</v>
      </c>
      <c r="H2570" t="s">
        <v>18</v>
      </c>
      <c r="I2570" t="str">
        <f t="shared" si="121"/>
        <v>Low Value</v>
      </c>
      <c r="J2570" t="str">
        <f t="shared" si="122"/>
        <v>High Risk</v>
      </c>
      <c r="K2570" s="3" t="str">
        <f t="shared" si="120"/>
        <v>0-1 Year</v>
      </c>
    </row>
    <row r="2571" spans="1:11" x14ac:dyDescent="0.3">
      <c r="A2571" t="s">
        <v>2588</v>
      </c>
      <c r="B2571" t="s">
        <v>14</v>
      </c>
      <c r="C2571" t="s">
        <v>10</v>
      </c>
      <c r="D2571" t="s">
        <v>20</v>
      </c>
      <c r="E2571">
        <v>95.65</v>
      </c>
      <c r="F2571">
        <v>39</v>
      </c>
      <c r="G2571">
        <v>3730.35</v>
      </c>
      <c r="H2571" t="s">
        <v>18</v>
      </c>
      <c r="I2571" t="str">
        <f t="shared" si="121"/>
        <v>Medium Value</v>
      </c>
      <c r="J2571" t="str">
        <f t="shared" si="122"/>
        <v>Low Risk</v>
      </c>
      <c r="K2571" s="3" t="str">
        <f t="shared" si="120"/>
        <v>2-4 Years</v>
      </c>
    </row>
    <row r="2572" spans="1:11" x14ac:dyDescent="0.3">
      <c r="A2572" t="s">
        <v>2589</v>
      </c>
      <c r="B2572" t="s">
        <v>9</v>
      </c>
      <c r="C2572" t="s">
        <v>10</v>
      </c>
      <c r="D2572" t="s">
        <v>20</v>
      </c>
      <c r="E2572">
        <v>19.25</v>
      </c>
      <c r="F2572">
        <v>35</v>
      </c>
      <c r="G2572">
        <v>673.75</v>
      </c>
      <c r="H2572" t="s">
        <v>12</v>
      </c>
      <c r="I2572" t="str">
        <f t="shared" si="121"/>
        <v>Low Value</v>
      </c>
      <c r="J2572" t="str">
        <f t="shared" si="122"/>
        <v>Low Risk</v>
      </c>
      <c r="K2572" s="3" t="str">
        <f t="shared" si="120"/>
        <v>2-4 Years</v>
      </c>
    </row>
    <row r="2573" spans="1:11" x14ac:dyDescent="0.3">
      <c r="A2573" t="s">
        <v>2590</v>
      </c>
      <c r="B2573" t="s">
        <v>9</v>
      </c>
      <c r="C2573" t="s">
        <v>10</v>
      </c>
      <c r="D2573" t="s">
        <v>20</v>
      </c>
      <c r="E2573">
        <v>108.25</v>
      </c>
      <c r="F2573">
        <v>53</v>
      </c>
      <c r="G2573">
        <v>5737.25</v>
      </c>
      <c r="H2573" t="s">
        <v>12</v>
      </c>
      <c r="I2573" t="str">
        <f t="shared" si="121"/>
        <v>High Value</v>
      </c>
      <c r="J2573" t="str">
        <f t="shared" si="122"/>
        <v>Low Risk</v>
      </c>
      <c r="K2573" s="3" t="str">
        <f t="shared" si="120"/>
        <v>4+ Years</v>
      </c>
    </row>
    <row r="2574" spans="1:11" x14ac:dyDescent="0.3">
      <c r="A2574" t="s">
        <v>2591</v>
      </c>
      <c r="B2574" t="s">
        <v>9</v>
      </c>
      <c r="C2574" t="s">
        <v>10</v>
      </c>
      <c r="D2574" t="s">
        <v>11</v>
      </c>
      <c r="E2574">
        <v>94.6</v>
      </c>
      <c r="F2574">
        <v>1</v>
      </c>
      <c r="G2574">
        <v>94.6</v>
      </c>
      <c r="H2574" t="s">
        <v>18</v>
      </c>
      <c r="I2574" t="str">
        <f t="shared" si="121"/>
        <v>Low Value</v>
      </c>
      <c r="J2574" t="str">
        <f t="shared" si="122"/>
        <v>High Risk</v>
      </c>
      <c r="K2574" s="3" t="str">
        <f t="shared" si="120"/>
        <v>0-1 Year</v>
      </c>
    </row>
    <row r="2575" spans="1:11" x14ac:dyDescent="0.3">
      <c r="A2575" t="s">
        <v>2592</v>
      </c>
      <c r="B2575" t="s">
        <v>9</v>
      </c>
      <c r="C2575" t="s">
        <v>10</v>
      </c>
      <c r="D2575" t="s">
        <v>11</v>
      </c>
      <c r="E2575">
        <v>98.9</v>
      </c>
      <c r="F2575">
        <v>31</v>
      </c>
      <c r="G2575">
        <v>3065.9</v>
      </c>
      <c r="H2575" t="s">
        <v>18</v>
      </c>
      <c r="I2575" t="str">
        <f t="shared" si="121"/>
        <v>Medium Value</v>
      </c>
      <c r="J2575" t="str">
        <f t="shared" si="122"/>
        <v>Low Risk</v>
      </c>
      <c r="K2575" s="3" t="str">
        <f t="shared" si="120"/>
        <v>2-4 Years</v>
      </c>
    </row>
    <row r="2576" spans="1:11" x14ac:dyDescent="0.3">
      <c r="A2576" t="s">
        <v>2593</v>
      </c>
      <c r="B2576" t="s">
        <v>14</v>
      </c>
      <c r="C2576" t="s">
        <v>30</v>
      </c>
      <c r="D2576" t="s">
        <v>24</v>
      </c>
      <c r="E2576">
        <v>20.149999999999999</v>
      </c>
      <c r="F2576">
        <v>48</v>
      </c>
      <c r="G2576">
        <v>967.19999999999902</v>
      </c>
      <c r="H2576" t="s">
        <v>12</v>
      </c>
      <c r="I2576" t="str">
        <f t="shared" si="121"/>
        <v>Low Value</v>
      </c>
      <c r="J2576" t="str">
        <f t="shared" si="122"/>
        <v>Low Risk</v>
      </c>
      <c r="K2576" s="3" t="str">
        <f t="shared" si="120"/>
        <v>2-4 Years</v>
      </c>
    </row>
    <row r="2577" spans="1:11" x14ac:dyDescent="0.3">
      <c r="A2577" t="s">
        <v>2594</v>
      </c>
      <c r="B2577" t="s">
        <v>9</v>
      </c>
      <c r="C2577" t="s">
        <v>10</v>
      </c>
      <c r="D2577" t="s">
        <v>11</v>
      </c>
      <c r="E2577">
        <v>101.3</v>
      </c>
      <c r="F2577">
        <v>30</v>
      </c>
      <c r="G2577">
        <v>3039</v>
      </c>
      <c r="H2577" t="s">
        <v>12</v>
      </c>
      <c r="I2577" t="str">
        <f t="shared" si="121"/>
        <v>Medium Value</v>
      </c>
      <c r="J2577" t="str">
        <f t="shared" si="122"/>
        <v>Low Risk</v>
      </c>
      <c r="K2577" s="3" t="str">
        <f t="shared" si="120"/>
        <v>2-4 Years</v>
      </c>
    </row>
    <row r="2578" spans="1:11" x14ac:dyDescent="0.3">
      <c r="A2578" t="s">
        <v>2595</v>
      </c>
      <c r="B2578" t="s">
        <v>14</v>
      </c>
      <c r="C2578" t="s">
        <v>10</v>
      </c>
      <c r="D2578" t="s">
        <v>24</v>
      </c>
      <c r="E2578">
        <v>20</v>
      </c>
      <c r="F2578">
        <v>10</v>
      </c>
      <c r="G2578">
        <v>200</v>
      </c>
      <c r="H2578" t="s">
        <v>12</v>
      </c>
      <c r="I2578" t="str">
        <f t="shared" si="121"/>
        <v>Low Value</v>
      </c>
      <c r="J2578" t="str">
        <f t="shared" si="122"/>
        <v>High Risk</v>
      </c>
      <c r="K2578" s="3" t="str">
        <f t="shared" si="120"/>
        <v>0-1 Year</v>
      </c>
    </row>
    <row r="2579" spans="1:11" x14ac:dyDescent="0.3">
      <c r="A2579" t="s">
        <v>2596</v>
      </c>
      <c r="B2579" t="s">
        <v>9</v>
      </c>
      <c r="C2579" t="s">
        <v>10</v>
      </c>
      <c r="D2579" t="s">
        <v>11</v>
      </c>
      <c r="E2579">
        <v>105.3</v>
      </c>
      <c r="F2579">
        <v>12</v>
      </c>
      <c r="G2579">
        <v>1263.5999999999999</v>
      </c>
      <c r="H2579" t="s">
        <v>12</v>
      </c>
      <c r="I2579" t="str">
        <f t="shared" si="121"/>
        <v>Low Value</v>
      </c>
      <c r="J2579" t="str">
        <f t="shared" si="122"/>
        <v>Medium Risk</v>
      </c>
      <c r="K2579" s="3" t="str">
        <f t="shared" si="120"/>
        <v>0-1 Year</v>
      </c>
    </row>
    <row r="2580" spans="1:11" x14ac:dyDescent="0.3">
      <c r="A2580" t="s">
        <v>2597</v>
      </c>
      <c r="B2580" t="s">
        <v>9</v>
      </c>
      <c r="C2580" t="s">
        <v>30</v>
      </c>
      <c r="D2580" t="s">
        <v>20</v>
      </c>
      <c r="E2580">
        <v>69.849999999999994</v>
      </c>
      <c r="F2580">
        <v>57</v>
      </c>
      <c r="G2580">
        <v>3981.45</v>
      </c>
      <c r="H2580" t="s">
        <v>12</v>
      </c>
      <c r="I2580" t="str">
        <f t="shared" si="121"/>
        <v>Medium Value</v>
      </c>
      <c r="J2580" t="str">
        <f t="shared" si="122"/>
        <v>Low Risk</v>
      </c>
      <c r="K2580" s="3" t="str">
        <f t="shared" si="120"/>
        <v>4+ Years</v>
      </c>
    </row>
    <row r="2581" spans="1:11" x14ac:dyDescent="0.3">
      <c r="A2581" t="s">
        <v>2598</v>
      </c>
      <c r="B2581" t="s">
        <v>9</v>
      </c>
      <c r="C2581" t="s">
        <v>10</v>
      </c>
      <c r="D2581" t="s">
        <v>24</v>
      </c>
      <c r="E2581">
        <v>65.25</v>
      </c>
      <c r="F2581">
        <v>58</v>
      </c>
      <c r="G2581">
        <v>3784.5</v>
      </c>
      <c r="H2581" t="s">
        <v>12</v>
      </c>
      <c r="I2581" t="str">
        <f t="shared" si="121"/>
        <v>Medium Value</v>
      </c>
      <c r="J2581" t="str">
        <f t="shared" si="122"/>
        <v>Low Risk</v>
      </c>
      <c r="K2581" s="3" t="str">
        <f t="shared" si="120"/>
        <v>4+ Years</v>
      </c>
    </row>
    <row r="2582" spans="1:11" x14ac:dyDescent="0.3">
      <c r="A2582" t="s">
        <v>2599</v>
      </c>
      <c r="B2582" t="s">
        <v>9</v>
      </c>
      <c r="C2582" t="s">
        <v>30</v>
      </c>
      <c r="D2582" t="s">
        <v>16</v>
      </c>
      <c r="E2582">
        <v>19.8</v>
      </c>
      <c r="F2582">
        <v>37</v>
      </c>
      <c r="G2582">
        <v>732.6</v>
      </c>
      <c r="H2582" t="s">
        <v>12</v>
      </c>
      <c r="I2582" t="str">
        <f t="shared" si="121"/>
        <v>Low Value</v>
      </c>
      <c r="J2582" t="str">
        <f t="shared" si="122"/>
        <v>Low Risk</v>
      </c>
      <c r="K2582" s="3" t="str">
        <f t="shared" si="120"/>
        <v>2-4 Years</v>
      </c>
    </row>
    <row r="2583" spans="1:11" x14ac:dyDescent="0.3">
      <c r="A2583" t="s">
        <v>2600</v>
      </c>
      <c r="B2583" t="s">
        <v>9</v>
      </c>
      <c r="C2583" t="s">
        <v>10</v>
      </c>
      <c r="D2583" t="s">
        <v>16</v>
      </c>
      <c r="E2583">
        <v>19.600000000000001</v>
      </c>
      <c r="F2583">
        <v>44</v>
      </c>
      <c r="G2583">
        <v>862.4</v>
      </c>
      <c r="H2583" t="s">
        <v>12</v>
      </c>
      <c r="I2583" t="str">
        <f t="shared" si="121"/>
        <v>Low Value</v>
      </c>
      <c r="J2583" t="str">
        <f t="shared" si="122"/>
        <v>Low Risk</v>
      </c>
      <c r="K2583" s="3" t="str">
        <f t="shared" si="120"/>
        <v>2-4 Years</v>
      </c>
    </row>
    <row r="2584" spans="1:11" x14ac:dyDescent="0.3">
      <c r="A2584" t="s">
        <v>2601</v>
      </c>
      <c r="B2584" t="s">
        <v>14</v>
      </c>
      <c r="C2584" t="s">
        <v>15</v>
      </c>
      <c r="D2584" t="s">
        <v>24</v>
      </c>
      <c r="E2584">
        <v>20.05</v>
      </c>
      <c r="F2584">
        <v>27</v>
      </c>
      <c r="G2584">
        <v>541.35</v>
      </c>
      <c r="H2584" t="s">
        <v>12</v>
      </c>
      <c r="I2584" t="str">
        <f t="shared" si="121"/>
        <v>Low Value</v>
      </c>
      <c r="J2584" t="str">
        <f t="shared" si="122"/>
        <v>Low Risk</v>
      </c>
      <c r="K2584" s="3" t="str">
        <f t="shared" si="120"/>
        <v>2-4 Years</v>
      </c>
    </row>
    <row r="2585" spans="1:11" x14ac:dyDescent="0.3">
      <c r="A2585" t="s">
        <v>2602</v>
      </c>
      <c r="B2585" t="s">
        <v>9</v>
      </c>
      <c r="C2585" t="s">
        <v>10</v>
      </c>
      <c r="D2585" t="s">
        <v>11</v>
      </c>
      <c r="E2585">
        <v>49.4</v>
      </c>
      <c r="F2585">
        <v>8</v>
      </c>
      <c r="G2585">
        <v>395.2</v>
      </c>
      <c r="H2585" t="s">
        <v>12</v>
      </c>
      <c r="I2585" t="str">
        <f t="shared" si="121"/>
        <v>Low Value</v>
      </c>
      <c r="J2585" t="str">
        <f t="shared" si="122"/>
        <v>High Risk</v>
      </c>
      <c r="K2585" s="3" t="str">
        <f t="shared" si="120"/>
        <v>0-1 Year</v>
      </c>
    </row>
    <row r="2586" spans="1:11" x14ac:dyDescent="0.3">
      <c r="A2586" t="s">
        <v>2603</v>
      </c>
      <c r="B2586" t="s">
        <v>14</v>
      </c>
      <c r="C2586" t="s">
        <v>10</v>
      </c>
      <c r="D2586" t="s">
        <v>11</v>
      </c>
      <c r="E2586">
        <v>76.05</v>
      </c>
      <c r="F2586">
        <v>3</v>
      </c>
      <c r="G2586">
        <v>228.14999999999901</v>
      </c>
      <c r="H2586" t="s">
        <v>18</v>
      </c>
      <c r="I2586" t="str">
        <f t="shared" si="121"/>
        <v>Low Value</v>
      </c>
      <c r="J2586" t="str">
        <f t="shared" si="122"/>
        <v>High Risk</v>
      </c>
      <c r="K2586" s="3" t="str">
        <f t="shared" si="120"/>
        <v>0-1 Year</v>
      </c>
    </row>
    <row r="2587" spans="1:11" x14ac:dyDescent="0.3">
      <c r="A2587" t="s">
        <v>2604</v>
      </c>
      <c r="B2587" t="s">
        <v>9</v>
      </c>
      <c r="C2587" t="s">
        <v>10</v>
      </c>
      <c r="D2587" t="s">
        <v>20</v>
      </c>
      <c r="E2587">
        <v>88.4</v>
      </c>
      <c r="F2587">
        <v>25</v>
      </c>
      <c r="G2587">
        <v>2210</v>
      </c>
      <c r="H2587" t="s">
        <v>12</v>
      </c>
      <c r="I2587" t="str">
        <f t="shared" si="121"/>
        <v>Medium Value</v>
      </c>
      <c r="J2587" t="str">
        <f t="shared" si="122"/>
        <v>Low Risk</v>
      </c>
      <c r="K2587" s="3" t="str">
        <f t="shared" si="120"/>
        <v>2-4 Years</v>
      </c>
    </row>
    <row r="2588" spans="1:11" x14ac:dyDescent="0.3">
      <c r="A2588" t="s">
        <v>2605</v>
      </c>
      <c r="B2588" t="s">
        <v>9</v>
      </c>
      <c r="C2588" t="s">
        <v>10</v>
      </c>
      <c r="D2588" t="s">
        <v>11</v>
      </c>
      <c r="E2588">
        <v>100.6</v>
      </c>
      <c r="F2588">
        <v>57</v>
      </c>
      <c r="G2588">
        <v>5734.2</v>
      </c>
      <c r="H2588" t="s">
        <v>12</v>
      </c>
      <c r="I2588" t="str">
        <f t="shared" si="121"/>
        <v>High Value</v>
      </c>
      <c r="J2588" t="str">
        <f t="shared" si="122"/>
        <v>Low Risk</v>
      </c>
      <c r="K2588" s="3" t="str">
        <f t="shared" si="120"/>
        <v>4+ Years</v>
      </c>
    </row>
    <row r="2589" spans="1:11" x14ac:dyDescent="0.3">
      <c r="A2589" t="s">
        <v>2606</v>
      </c>
      <c r="B2589" t="s">
        <v>9</v>
      </c>
      <c r="C2589" t="s">
        <v>10</v>
      </c>
      <c r="D2589" t="s">
        <v>16</v>
      </c>
      <c r="E2589">
        <v>19.45</v>
      </c>
      <c r="F2589">
        <v>12</v>
      </c>
      <c r="G2589">
        <v>233.39999999999901</v>
      </c>
      <c r="H2589" t="s">
        <v>12</v>
      </c>
      <c r="I2589" t="str">
        <f t="shared" si="121"/>
        <v>Low Value</v>
      </c>
      <c r="J2589" t="str">
        <f t="shared" si="122"/>
        <v>Medium Risk</v>
      </c>
      <c r="K2589" s="3" t="str">
        <f t="shared" si="120"/>
        <v>0-1 Year</v>
      </c>
    </row>
    <row r="2590" spans="1:11" x14ac:dyDescent="0.3">
      <c r="A2590" t="s">
        <v>2607</v>
      </c>
      <c r="B2590" t="s">
        <v>9</v>
      </c>
      <c r="C2590" t="s">
        <v>30</v>
      </c>
      <c r="D2590" t="s">
        <v>20</v>
      </c>
      <c r="E2590">
        <v>20.3</v>
      </c>
      <c r="F2590">
        <v>62</v>
      </c>
      <c r="G2590">
        <v>1258.5999999999999</v>
      </c>
      <c r="H2590" t="s">
        <v>12</v>
      </c>
      <c r="I2590" t="str">
        <f t="shared" si="121"/>
        <v>Low Value</v>
      </c>
      <c r="J2590" t="str">
        <f t="shared" si="122"/>
        <v>Low Risk</v>
      </c>
      <c r="K2590" s="3" t="str">
        <f t="shared" si="120"/>
        <v>4+ Years</v>
      </c>
    </row>
    <row r="2591" spans="1:11" x14ac:dyDescent="0.3">
      <c r="A2591" t="s">
        <v>2608</v>
      </c>
      <c r="B2591" t="s">
        <v>9</v>
      </c>
      <c r="C2591" t="s">
        <v>30</v>
      </c>
      <c r="D2591" t="s">
        <v>20</v>
      </c>
      <c r="E2591">
        <v>107.65</v>
      </c>
      <c r="F2591">
        <v>65</v>
      </c>
      <c r="G2591">
        <v>6997.25</v>
      </c>
      <c r="H2591" t="s">
        <v>12</v>
      </c>
      <c r="I2591" t="str">
        <f t="shared" si="121"/>
        <v>High Value</v>
      </c>
      <c r="J2591" t="str">
        <f t="shared" si="122"/>
        <v>Low Risk</v>
      </c>
      <c r="K2591" s="3" t="str">
        <f t="shared" si="120"/>
        <v>4+ Years</v>
      </c>
    </row>
    <row r="2592" spans="1:11" x14ac:dyDescent="0.3">
      <c r="A2592" t="s">
        <v>2609</v>
      </c>
      <c r="B2592" t="s">
        <v>9</v>
      </c>
      <c r="C2592" t="s">
        <v>30</v>
      </c>
      <c r="D2592" t="s">
        <v>20</v>
      </c>
      <c r="E2592">
        <v>80.45</v>
      </c>
      <c r="F2592">
        <v>71</v>
      </c>
      <c r="G2592">
        <v>5711.95</v>
      </c>
      <c r="H2592" t="s">
        <v>12</v>
      </c>
      <c r="I2592" t="str">
        <f t="shared" si="121"/>
        <v>High Value</v>
      </c>
      <c r="J2592" t="str">
        <f t="shared" si="122"/>
        <v>Low Risk</v>
      </c>
      <c r="K2592" s="3" t="str">
        <f t="shared" si="120"/>
        <v>4+ Years</v>
      </c>
    </row>
    <row r="2593" spans="1:11" x14ac:dyDescent="0.3">
      <c r="A2593" t="s">
        <v>2610</v>
      </c>
      <c r="B2593" t="s">
        <v>9</v>
      </c>
      <c r="C2593" t="s">
        <v>15</v>
      </c>
      <c r="D2593" t="s">
        <v>24</v>
      </c>
      <c r="E2593">
        <v>58.85</v>
      </c>
      <c r="F2593">
        <v>21</v>
      </c>
      <c r="G2593">
        <v>1235.8499999999999</v>
      </c>
      <c r="H2593" t="s">
        <v>12</v>
      </c>
      <c r="I2593" t="str">
        <f t="shared" si="121"/>
        <v>Low Value</v>
      </c>
      <c r="J2593" t="str">
        <f t="shared" si="122"/>
        <v>Medium Risk</v>
      </c>
      <c r="K2593" s="3" t="str">
        <f t="shared" si="120"/>
        <v>1-2 Years</v>
      </c>
    </row>
    <row r="2594" spans="1:11" x14ac:dyDescent="0.3">
      <c r="A2594" t="s">
        <v>2611</v>
      </c>
      <c r="B2594" t="s">
        <v>14</v>
      </c>
      <c r="C2594" t="s">
        <v>15</v>
      </c>
      <c r="D2594" t="s">
        <v>11</v>
      </c>
      <c r="E2594">
        <v>109.6</v>
      </c>
      <c r="F2594">
        <v>71</v>
      </c>
      <c r="G2594">
        <v>7781.5999999999904</v>
      </c>
      <c r="H2594" t="s">
        <v>12</v>
      </c>
      <c r="I2594" t="str">
        <f t="shared" si="121"/>
        <v>High Value</v>
      </c>
      <c r="J2594" t="str">
        <f t="shared" si="122"/>
        <v>Low Risk</v>
      </c>
      <c r="K2594" s="3" t="str">
        <f t="shared" si="120"/>
        <v>4+ Years</v>
      </c>
    </row>
    <row r="2595" spans="1:11" x14ac:dyDescent="0.3">
      <c r="A2595" t="s">
        <v>2612</v>
      </c>
      <c r="B2595" t="s">
        <v>9</v>
      </c>
      <c r="C2595" t="s">
        <v>10</v>
      </c>
      <c r="D2595" t="s">
        <v>11</v>
      </c>
      <c r="E2595">
        <v>75.150000000000006</v>
      </c>
      <c r="F2595">
        <v>7</v>
      </c>
      <c r="G2595">
        <v>526.04999999999995</v>
      </c>
      <c r="H2595" t="s">
        <v>12</v>
      </c>
      <c r="I2595" t="str">
        <f t="shared" si="121"/>
        <v>Low Value</v>
      </c>
      <c r="J2595" t="str">
        <f t="shared" si="122"/>
        <v>High Risk</v>
      </c>
      <c r="K2595" s="3" t="str">
        <f t="shared" si="120"/>
        <v>0-1 Year</v>
      </c>
    </row>
    <row r="2596" spans="1:11" x14ac:dyDescent="0.3">
      <c r="A2596" t="s">
        <v>2613</v>
      </c>
      <c r="B2596" t="s">
        <v>9</v>
      </c>
      <c r="C2596" t="s">
        <v>30</v>
      </c>
      <c r="D2596" t="s">
        <v>24</v>
      </c>
      <c r="E2596">
        <v>73</v>
      </c>
      <c r="F2596">
        <v>72</v>
      </c>
      <c r="G2596">
        <v>5256</v>
      </c>
      <c r="H2596" t="s">
        <v>12</v>
      </c>
      <c r="I2596" t="str">
        <f t="shared" si="121"/>
        <v>High Value</v>
      </c>
      <c r="J2596" t="str">
        <f t="shared" si="122"/>
        <v>Low Risk</v>
      </c>
      <c r="K2596" s="3" t="str">
        <f t="shared" si="120"/>
        <v>4+ Years</v>
      </c>
    </row>
    <row r="2597" spans="1:11" x14ac:dyDescent="0.3">
      <c r="A2597" t="s">
        <v>2614</v>
      </c>
      <c r="B2597" t="s">
        <v>9</v>
      </c>
      <c r="C2597" t="s">
        <v>10</v>
      </c>
      <c r="D2597" t="s">
        <v>11</v>
      </c>
      <c r="E2597">
        <v>70.099999999999994</v>
      </c>
      <c r="F2597">
        <v>1</v>
      </c>
      <c r="G2597">
        <v>70.099999999999994</v>
      </c>
      <c r="H2597" t="s">
        <v>12</v>
      </c>
      <c r="I2597" t="str">
        <f t="shared" si="121"/>
        <v>Low Value</v>
      </c>
      <c r="J2597" t="str">
        <f t="shared" si="122"/>
        <v>High Risk</v>
      </c>
      <c r="K2597" s="3" t="str">
        <f t="shared" si="120"/>
        <v>0-1 Year</v>
      </c>
    </row>
    <row r="2598" spans="1:11" x14ac:dyDescent="0.3">
      <c r="A2598" t="s">
        <v>2615</v>
      </c>
      <c r="B2598" t="s">
        <v>9</v>
      </c>
      <c r="C2598" t="s">
        <v>30</v>
      </c>
      <c r="D2598" t="s">
        <v>20</v>
      </c>
      <c r="E2598">
        <v>98.65</v>
      </c>
      <c r="F2598">
        <v>72</v>
      </c>
      <c r="G2598">
        <v>7102.8</v>
      </c>
      <c r="H2598" t="s">
        <v>12</v>
      </c>
      <c r="I2598" t="str">
        <f t="shared" si="121"/>
        <v>High Value</v>
      </c>
      <c r="J2598" t="str">
        <f t="shared" si="122"/>
        <v>Low Risk</v>
      </c>
      <c r="K2598" s="3" t="str">
        <f t="shared" si="120"/>
        <v>4+ Years</v>
      </c>
    </row>
    <row r="2599" spans="1:11" x14ac:dyDescent="0.3">
      <c r="A2599" t="s">
        <v>2616</v>
      </c>
      <c r="B2599" t="s">
        <v>9</v>
      </c>
      <c r="C2599" t="s">
        <v>15</v>
      </c>
      <c r="D2599" t="s">
        <v>11</v>
      </c>
      <c r="E2599">
        <v>111.45</v>
      </c>
      <c r="F2599">
        <v>64</v>
      </c>
      <c r="G2599">
        <v>7132.8</v>
      </c>
      <c r="H2599" t="s">
        <v>12</v>
      </c>
      <c r="I2599" t="str">
        <f t="shared" si="121"/>
        <v>High Value</v>
      </c>
      <c r="J2599" t="str">
        <f t="shared" si="122"/>
        <v>Low Risk</v>
      </c>
      <c r="K2599" s="3" t="str">
        <f t="shared" si="120"/>
        <v>4+ Years</v>
      </c>
    </row>
    <row r="2600" spans="1:11" x14ac:dyDescent="0.3">
      <c r="A2600" t="s">
        <v>2617</v>
      </c>
      <c r="B2600" t="s">
        <v>9</v>
      </c>
      <c r="C2600" t="s">
        <v>30</v>
      </c>
      <c r="D2600" t="s">
        <v>11</v>
      </c>
      <c r="E2600">
        <v>114.9</v>
      </c>
      <c r="F2600">
        <v>72</v>
      </c>
      <c r="G2600">
        <v>8272.7999999999993</v>
      </c>
      <c r="H2600" t="s">
        <v>12</v>
      </c>
      <c r="I2600" t="str">
        <f t="shared" si="121"/>
        <v>High Value</v>
      </c>
      <c r="J2600" t="str">
        <f t="shared" si="122"/>
        <v>Low Risk</v>
      </c>
      <c r="K2600" s="3" t="str">
        <f t="shared" si="120"/>
        <v>4+ Years</v>
      </c>
    </row>
    <row r="2601" spans="1:11" x14ac:dyDescent="0.3">
      <c r="A2601" t="s">
        <v>2618</v>
      </c>
      <c r="B2601" t="s">
        <v>9</v>
      </c>
      <c r="C2601" t="s">
        <v>10</v>
      </c>
      <c r="D2601" t="s">
        <v>20</v>
      </c>
      <c r="E2601">
        <v>100.55</v>
      </c>
      <c r="F2601">
        <v>29</v>
      </c>
      <c r="G2601">
        <v>2915.95</v>
      </c>
      <c r="H2601" t="s">
        <v>12</v>
      </c>
      <c r="I2601" t="str">
        <f t="shared" si="121"/>
        <v>Medium Value</v>
      </c>
      <c r="J2601" t="str">
        <f t="shared" si="122"/>
        <v>Low Risk</v>
      </c>
      <c r="K2601" s="3" t="str">
        <f t="shared" si="120"/>
        <v>2-4 Years</v>
      </c>
    </row>
    <row r="2602" spans="1:11" x14ac:dyDescent="0.3">
      <c r="A2602" t="s">
        <v>2619</v>
      </c>
      <c r="B2602" t="s">
        <v>9</v>
      </c>
      <c r="C2602" t="s">
        <v>30</v>
      </c>
      <c r="D2602" t="s">
        <v>16</v>
      </c>
      <c r="E2602">
        <v>20.399999999999999</v>
      </c>
      <c r="F2602">
        <v>13</v>
      </c>
      <c r="G2602">
        <v>265.2</v>
      </c>
      <c r="H2602" t="s">
        <v>12</v>
      </c>
      <c r="I2602" t="str">
        <f t="shared" si="121"/>
        <v>Low Value</v>
      </c>
      <c r="J2602" t="str">
        <f t="shared" si="122"/>
        <v>Medium Risk</v>
      </c>
      <c r="K2602" s="3" t="str">
        <f t="shared" si="120"/>
        <v>1-2 Years</v>
      </c>
    </row>
    <row r="2603" spans="1:11" x14ac:dyDescent="0.3">
      <c r="A2603" t="s">
        <v>2620</v>
      </c>
      <c r="B2603" t="s">
        <v>9</v>
      </c>
      <c r="C2603" t="s">
        <v>10</v>
      </c>
      <c r="D2603" t="s">
        <v>11</v>
      </c>
      <c r="E2603">
        <v>104.35</v>
      </c>
      <c r="F2603">
        <v>31</v>
      </c>
      <c r="G2603">
        <v>3234.85</v>
      </c>
      <c r="H2603" t="s">
        <v>12</v>
      </c>
      <c r="I2603" t="str">
        <f t="shared" si="121"/>
        <v>Medium Value</v>
      </c>
      <c r="J2603" t="str">
        <f t="shared" si="122"/>
        <v>Low Risk</v>
      </c>
      <c r="K2603" s="3" t="str">
        <f t="shared" si="120"/>
        <v>2-4 Years</v>
      </c>
    </row>
    <row r="2604" spans="1:11" x14ac:dyDescent="0.3">
      <c r="A2604" t="s">
        <v>2621</v>
      </c>
      <c r="B2604" t="s">
        <v>14</v>
      </c>
      <c r="C2604" t="s">
        <v>10</v>
      </c>
      <c r="D2604" t="s">
        <v>11</v>
      </c>
      <c r="E2604">
        <v>69.75</v>
      </c>
      <c r="F2604">
        <v>1</v>
      </c>
      <c r="G2604">
        <v>69.75</v>
      </c>
      <c r="H2604" t="s">
        <v>18</v>
      </c>
      <c r="I2604" t="str">
        <f t="shared" si="121"/>
        <v>Low Value</v>
      </c>
      <c r="J2604" t="str">
        <f t="shared" si="122"/>
        <v>High Risk</v>
      </c>
      <c r="K2604" s="3" t="str">
        <f t="shared" si="120"/>
        <v>0-1 Year</v>
      </c>
    </row>
    <row r="2605" spans="1:11" x14ac:dyDescent="0.3">
      <c r="A2605" t="s">
        <v>2622</v>
      </c>
      <c r="B2605" t="s">
        <v>14</v>
      </c>
      <c r="C2605" t="s">
        <v>10</v>
      </c>
      <c r="D2605" t="s">
        <v>11</v>
      </c>
      <c r="E2605">
        <v>34.5</v>
      </c>
      <c r="F2605">
        <v>7</v>
      </c>
      <c r="G2605">
        <v>241.5</v>
      </c>
      <c r="H2605" t="s">
        <v>18</v>
      </c>
      <c r="I2605" t="str">
        <f t="shared" si="121"/>
        <v>Low Value</v>
      </c>
      <c r="J2605" t="str">
        <f t="shared" si="122"/>
        <v>High Risk</v>
      </c>
      <c r="K2605" s="3" t="str">
        <f t="shared" si="120"/>
        <v>0-1 Year</v>
      </c>
    </row>
    <row r="2606" spans="1:11" x14ac:dyDescent="0.3">
      <c r="A2606" t="s">
        <v>2623</v>
      </c>
      <c r="B2606" t="s">
        <v>14</v>
      </c>
      <c r="C2606" t="s">
        <v>10</v>
      </c>
      <c r="D2606" t="s">
        <v>11</v>
      </c>
      <c r="E2606">
        <v>105.55</v>
      </c>
      <c r="F2606">
        <v>61</v>
      </c>
      <c r="G2606">
        <v>6438.55</v>
      </c>
      <c r="H2606" t="s">
        <v>18</v>
      </c>
      <c r="I2606" t="str">
        <f t="shared" si="121"/>
        <v>High Value</v>
      </c>
      <c r="J2606" t="str">
        <f t="shared" si="122"/>
        <v>Low Risk</v>
      </c>
      <c r="K2606" s="3" t="str">
        <f t="shared" si="120"/>
        <v>4+ Years</v>
      </c>
    </row>
    <row r="2607" spans="1:11" x14ac:dyDescent="0.3">
      <c r="A2607" t="s">
        <v>2624</v>
      </c>
      <c r="B2607" t="s">
        <v>9</v>
      </c>
      <c r="C2607" t="s">
        <v>10</v>
      </c>
      <c r="D2607" t="s">
        <v>24</v>
      </c>
      <c r="E2607">
        <v>30.1</v>
      </c>
      <c r="F2607">
        <v>39</v>
      </c>
      <c r="G2607">
        <v>1173.9000000000001</v>
      </c>
      <c r="H2607" t="s">
        <v>18</v>
      </c>
      <c r="I2607" t="str">
        <f t="shared" si="121"/>
        <v>Low Value</v>
      </c>
      <c r="J2607" t="str">
        <f t="shared" si="122"/>
        <v>Low Risk</v>
      </c>
      <c r="K2607" s="3" t="str">
        <f t="shared" si="120"/>
        <v>2-4 Years</v>
      </c>
    </row>
    <row r="2608" spans="1:11" x14ac:dyDescent="0.3">
      <c r="A2608" t="s">
        <v>2625</v>
      </c>
      <c r="B2608" t="s">
        <v>14</v>
      </c>
      <c r="C2608" t="s">
        <v>10</v>
      </c>
      <c r="D2608" t="s">
        <v>11</v>
      </c>
      <c r="E2608">
        <v>70.3</v>
      </c>
      <c r="F2608">
        <v>10</v>
      </c>
      <c r="G2608">
        <v>703</v>
      </c>
      <c r="H2608" t="s">
        <v>18</v>
      </c>
      <c r="I2608" t="str">
        <f t="shared" si="121"/>
        <v>Low Value</v>
      </c>
      <c r="J2608" t="str">
        <f t="shared" si="122"/>
        <v>High Risk</v>
      </c>
      <c r="K2608" s="3" t="str">
        <f t="shared" si="120"/>
        <v>0-1 Year</v>
      </c>
    </row>
    <row r="2609" spans="1:11" x14ac:dyDescent="0.3">
      <c r="A2609" t="s">
        <v>2626</v>
      </c>
      <c r="B2609" t="s">
        <v>9</v>
      </c>
      <c r="C2609" t="s">
        <v>10</v>
      </c>
      <c r="D2609" t="s">
        <v>24</v>
      </c>
      <c r="E2609">
        <v>80.45</v>
      </c>
      <c r="F2609">
        <v>14</v>
      </c>
      <c r="G2609">
        <v>1126.3</v>
      </c>
      <c r="H2609" t="s">
        <v>12</v>
      </c>
      <c r="I2609" t="str">
        <f t="shared" si="121"/>
        <v>Low Value</v>
      </c>
      <c r="J2609" t="str">
        <f t="shared" si="122"/>
        <v>Medium Risk</v>
      </c>
      <c r="K2609" s="3" t="str">
        <f t="shared" si="120"/>
        <v>1-2 Years</v>
      </c>
    </row>
    <row r="2610" spans="1:11" x14ac:dyDescent="0.3">
      <c r="A2610" t="s">
        <v>2627</v>
      </c>
      <c r="B2610" t="s">
        <v>9</v>
      </c>
      <c r="C2610" t="s">
        <v>10</v>
      </c>
      <c r="D2610" t="s">
        <v>16</v>
      </c>
      <c r="E2610">
        <v>80.2</v>
      </c>
      <c r="F2610">
        <v>1</v>
      </c>
      <c r="G2610">
        <v>80.2</v>
      </c>
      <c r="H2610" t="s">
        <v>18</v>
      </c>
      <c r="I2610" t="str">
        <f t="shared" si="121"/>
        <v>Low Value</v>
      </c>
      <c r="J2610" t="str">
        <f t="shared" si="122"/>
        <v>High Risk</v>
      </c>
      <c r="K2610" s="3" t="str">
        <f t="shared" si="120"/>
        <v>0-1 Year</v>
      </c>
    </row>
    <row r="2611" spans="1:11" x14ac:dyDescent="0.3">
      <c r="A2611" t="s">
        <v>2628</v>
      </c>
      <c r="B2611" t="s">
        <v>9</v>
      </c>
      <c r="C2611" t="s">
        <v>15</v>
      </c>
      <c r="D2611" t="s">
        <v>24</v>
      </c>
      <c r="E2611">
        <v>94.35</v>
      </c>
      <c r="F2611">
        <v>67</v>
      </c>
      <c r="G2611">
        <v>6321.45</v>
      </c>
      <c r="H2611" t="s">
        <v>18</v>
      </c>
      <c r="I2611" t="str">
        <f t="shared" si="121"/>
        <v>High Value</v>
      </c>
      <c r="J2611" t="str">
        <f t="shared" si="122"/>
        <v>Low Risk</v>
      </c>
      <c r="K2611" s="3" t="str">
        <f t="shared" si="120"/>
        <v>4+ Years</v>
      </c>
    </row>
    <row r="2612" spans="1:11" x14ac:dyDescent="0.3">
      <c r="A2612" t="s">
        <v>2629</v>
      </c>
      <c r="B2612" t="s">
        <v>9</v>
      </c>
      <c r="C2612" t="s">
        <v>30</v>
      </c>
      <c r="D2612" t="s">
        <v>20</v>
      </c>
      <c r="E2612">
        <v>91.35</v>
      </c>
      <c r="F2612">
        <v>72</v>
      </c>
      <c r="G2612">
        <v>6577.2</v>
      </c>
      <c r="H2612" t="s">
        <v>12</v>
      </c>
      <c r="I2612" t="str">
        <f t="shared" si="121"/>
        <v>High Value</v>
      </c>
      <c r="J2612" t="str">
        <f t="shared" si="122"/>
        <v>Low Risk</v>
      </c>
      <c r="K2612" s="3" t="str">
        <f t="shared" si="120"/>
        <v>4+ Years</v>
      </c>
    </row>
    <row r="2613" spans="1:11" x14ac:dyDescent="0.3">
      <c r="A2613" t="s">
        <v>2630</v>
      </c>
      <c r="B2613" t="s">
        <v>14</v>
      </c>
      <c r="C2613" t="s">
        <v>10</v>
      </c>
      <c r="D2613" t="s">
        <v>20</v>
      </c>
      <c r="E2613">
        <v>44.6</v>
      </c>
      <c r="F2613">
        <v>6</v>
      </c>
      <c r="G2613">
        <v>267.60000000000002</v>
      </c>
      <c r="H2613" t="s">
        <v>18</v>
      </c>
      <c r="I2613" t="str">
        <f t="shared" si="121"/>
        <v>Low Value</v>
      </c>
      <c r="J2613" t="str">
        <f t="shared" si="122"/>
        <v>High Risk</v>
      </c>
      <c r="K2613" s="3" t="str">
        <f t="shared" si="120"/>
        <v>0-1 Year</v>
      </c>
    </row>
    <row r="2614" spans="1:11" x14ac:dyDescent="0.3">
      <c r="A2614" t="s">
        <v>2631</v>
      </c>
      <c r="B2614" t="s">
        <v>9</v>
      </c>
      <c r="C2614" t="s">
        <v>10</v>
      </c>
      <c r="D2614" t="s">
        <v>16</v>
      </c>
      <c r="E2614">
        <v>19.600000000000001</v>
      </c>
      <c r="F2614">
        <v>1</v>
      </c>
      <c r="G2614">
        <v>19.600000000000001</v>
      </c>
      <c r="H2614" t="s">
        <v>18</v>
      </c>
      <c r="I2614" t="str">
        <f t="shared" si="121"/>
        <v>Low Value</v>
      </c>
      <c r="J2614" t="str">
        <f t="shared" si="122"/>
        <v>High Risk</v>
      </c>
      <c r="K2614" s="3" t="str">
        <f t="shared" si="120"/>
        <v>0-1 Year</v>
      </c>
    </row>
    <row r="2615" spans="1:11" x14ac:dyDescent="0.3">
      <c r="A2615" t="s">
        <v>2632</v>
      </c>
      <c r="B2615" t="s">
        <v>14</v>
      </c>
      <c r="C2615" t="s">
        <v>15</v>
      </c>
      <c r="D2615" t="s">
        <v>11</v>
      </c>
      <c r="E2615">
        <v>19.899999999999999</v>
      </c>
      <c r="F2615">
        <v>25</v>
      </c>
      <c r="G2615">
        <v>497.49999999999898</v>
      </c>
      <c r="H2615" t="s">
        <v>12</v>
      </c>
      <c r="I2615" t="str">
        <f t="shared" si="121"/>
        <v>Low Value</v>
      </c>
      <c r="J2615" t="str">
        <f t="shared" si="122"/>
        <v>Low Risk</v>
      </c>
      <c r="K2615" s="3" t="str">
        <f t="shared" si="120"/>
        <v>2-4 Years</v>
      </c>
    </row>
    <row r="2616" spans="1:11" x14ac:dyDescent="0.3">
      <c r="A2616" t="s">
        <v>2633</v>
      </c>
      <c r="B2616" t="s">
        <v>9</v>
      </c>
      <c r="C2616" t="s">
        <v>10</v>
      </c>
      <c r="D2616" t="s">
        <v>11</v>
      </c>
      <c r="E2616">
        <v>110.45</v>
      </c>
      <c r="F2616">
        <v>33</v>
      </c>
      <c r="G2616">
        <v>3644.85</v>
      </c>
      <c r="H2616" t="s">
        <v>18</v>
      </c>
      <c r="I2616" t="str">
        <f t="shared" si="121"/>
        <v>Medium Value</v>
      </c>
      <c r="J2616" t="str">
        <f t="shared" si="122"/>
        <v>Low Risk</v>
      </c>
      <c r="K2616" s="3" t="str">
        <f t="shared" si="120"/>
        <v>2-4 Years</v>
      </c>
    </row>
    <row r="2617" spans="1:11" x14ac:dyDescent="0.3">
      <c r="A2617" t="s">
        <v>2634</v>
      </c>
      <c r="B2617" t="s">
        <v>14</v>
      </c>
      <c r="C2617" t="s">
        <v>10</v>
      </c>
      <c r="D2617" t="s">
        <v>11</v>
      </c>
      <c r="E2617">
        <v>68.349999999999994</v>
      </c>
      <c r="F2617">
        <v>18</v>
      </c>
      <c r="G2617">
        <v>1230.3</v>
      </c>
      <c r="H2617" t="s">
        <v>12</v>
      </c>
      <c r="I2617" t="str">
        <f t="shared" si="121"/>
        <v>Low Value</v>
      </c>
      <c r="J2617" t="str">
        <f t="shared" si="122"/>
        <v>Medium Risk</v>
      </c>
      <c r="K2617" s="3" t="str">
        <f t="shared" si="120"/>
        <v>1-2 Years</v>
      </c>
    </row>
    <row r="2618" spans="1:11" x14ac:dyDescent="0.3">
      <c r="A2618" t="s">
        <v>2635</v>
      </c>
      <c r="B2618" t="s">
        <v>14</v>
      </c>
      <c r="C2618" t="s">
        <v>30</v>
      </c>
      <c r="D2618" t="s">
        <v>24</v>
      </c>
      <c r="E2618">
        <v>79.099999999999994</v>
      </c>
      <c r="F2618">
        <v>71</v>
      </c>
      <c r="G2618">
        <v>5616.0999999999904</v>
      </c>
      <c r="H2618" t="s">
        <v>12</v>
      </c>
      <c r="I2618" t="str">
        <f t="shared" si="121"/>
        <v>High Value</v>
      </c>
      <c r="J2618" t="str">
        <f t="shared" si="122"/>
        <v>Low Risk</v>
      </c>
      <c r="K2618" s="3" t="str">
        <f t="shared" si="120"/>
        <v>4+ Years</v>
      </c>
    </row>
    <row r="2619" spans="1:11" x14ac:dyDescent="0.3">
      <c r="A2619" t="s">
        <v>2636</v>
      </c>
      <c r="B2619" t="s">
        <v>14</v>
      </c>
      <c r="C2619" t="s">
        <v>15</v>
      </c>
      <c r="D2619" t="s">
        <v>11</v>
      </c>
      <c r="E2619">
        <v>51</v>
      </c>
      <c r="F2619">
        <v>28</v>
      </c>
      <c r="G2619">
        <v>1428</v>
      </c>
      <c r="H2619" t="s">
        <v>12</v>
      </c>
      <c r="I2619" t="str">
        <f t="shared" si="121"/>
        <v>Low Value</v>
      </c>
      <c r="J2619" t="str">
        <f t="shared" si="122"/>
        <v>Low Risk</v>
      </c>
      <c r="K2619" s="3" t="str">
        <f t="shared" si="120"/>
        <v>2-4 Years</v>
      </c>
    </row>
    <row r="2620" spans="1:11" x14ac:dyDescent="0.3">
      <c r="A2620" t="s">
        <v>2637</v>
      </c>
      <c r="B2620" t="s">
        <v>9</v>
      </c>
      <c r="C2620" t="s">
        <v>10</v>
      </c>
      <c r="D2620" t="s">
        <v>24</v>
      </c>
      <c r="E2620">
        <v>80.55</v>
      </c>
      <c r="F2620">
        <v>2</v>
      </c>
      <c r="G2620">
        <v>161.1</v>
      </c>
      <c r="H2620" t="s">
        <v>12</v>
      </c>
      <c r="I2620" t="str">
        <f t="shared" si="121"/>
        <v>Low Value</v>
      </c>
      <c r="J2620" t="str">
        <f t="shared" si="122"/>
        <v>High Risk</v>
      </c>
      <c r="K2620" s="3" t="str">
        <f t="shared" si="120"/>
        <v>0-1 Year</v>
      </c>
    </row>
    <row r="2621" spans="1:11" x14ac:dyDescent="0.3">
      <c r="A2621" t="s">
        <v>2638</v>
      </c>
      <c r="B2621" t="s">
        <v>14</v>
      </c>
      <c r="C2621" t="s">
        <v>10</v>
      </c>
      <c r="D2621" t="s">
        <v>16</v>
      </c>
      <c r="E2621">
        <v>66.7</v>
      </c>
      <c r="F2621">
        <v>17</v>
      </c>
      <c r="G2621">
        <v>1133.9000000000001</v>
      </c>
      <c r="H2621" t="s">
        <v>12</v>
      </c>
      <c r="I2621" t="str">
        <f t="shared" si="121"/>
        <v>Low Value</v>
      </c>
      <c r="J2621" t="str">
        <f t="shared" si="122"/>
        <v>Medium Risk</v>
      </c>
      <c r="K2621" s="3" t="str">
        <f t="shared" si="120"/>
        <v>1-2 Years</v>
      </c>
    </row>
    <row r="2622" spans="1:11" x14ac:dyDescent="0.3">
      <c r="A2622" t="s">
        <v>2639</v>
      </c>
      <c r="B2622" t="s">
        <v>14</v>
      </c>
      <c r="C2622" t="s">
        <v>10</v>
      </c>
      <c r="D2622" t="s">
        <v>11</v>
      </c>
      <c r="E2622">
        <v>86.4</v>
      </c>
      <c r="F2622">
        <v>56</v>
      </c>
      <c r="G2622">
        <v>4838.3999999999996</v>
      </c>
      <c r="H2622" t="s">
        <v>12</v>
      </c>
      <c r="I2622" t="str">
        <f t="shared" si="121"/>
        <v>Medium Value</v>
      </c>
      <c r="J2622" t="str">
        <f t="shared" si="122"/>
        <v>Low Risk</v>
      </c>
      <c r="K2622" s="3" t="str">
        <f t="shared" si="120"/>
        <v>4+ Years</v>
      </c>
    </row>
    <row r="2623" spans="1:11" x14ac:dyDescent="0.3">
      <c r="A2623" t="s">
        <v>2640</v>
      </c>
      <c r="B2623" t="s">
        <v>9</v>
      </c>
      <c r="C2623" t="s">
        <v>15</v>
      </c>
      <c r="D2623" t="s">
        <v>11</v>
      </c>
      <c r="E2623">
        <v>50.05</v>
      </c>
      <c r="F2623">
        <v>60</v>
      </c>
      <c r="G2623">
        <v>3003</v>
      </c>
      <c r="H2623" t="s">
        <v>12</v>
      </c>
      <c r="I2623" t="str">
        <f t="shared" si="121"/>
        <v>Medium Value</v>
      </c>
      <c r="J2623" t="str">
        <f t="shared" si="122"/>
        <v>Low Risk</v>
      </c>
      <c r="K2623" s="3" t="str">
        <f t="shared" si="120"/>
        <v>4+ Years</v>
      </c>
    </row>
    <row r="2624" spans="1:11" x14ac:dyDescent="0.3">
      <c r="A2624" t="s">
        <v>2641</v>
      </c>
      <c r="B2624" t="s">
        <v>9</v>
      </c>
      <c r="C2624" t="s">
        <v>30</v>
      </c>
      <c r="D2624" t="s">
        <v>24</v>
      </c>
      <c r="E2624">
        <v>25.7</v>
      </c>
      <c r="F2624">
        <v>33</v>
      </c>
      <c r="G2624">
        <v>848.1</v>
      </c>
      <c r="H2624" t="s">
        <v>12</v>
      </c>
      <c r="I2624" t="str">
        <f t="shared" si="121"/>
        <v>Low Value</v>
      </c>
      <c r="J2624" t="str">
        <f t="shared" si="122"/>
        <v>Low Risk</v>
      </c>
      <c r="K2624" s="3" t="str">
        <f t="shared" si="120"/>
        <v>2-4 Years</v>
      </c>
    </row>
    <row r="2625" spans="1:11" x14ac:dyDescent="0.3">
      <c r="A2625" t="s">
        <v>2642</v>
      </c>
      <c r="B2625" t="s">
        <v>9</v>
      </c>
      <c r="C2625" t="s">
        <v>10</v>
      </c>
      <c r="D2625" t="s">
        <v>16</v>
      </c>
      <c r="E2625">
        <v>83.4</v>
      </c>
      <c r="F2625">
        <v>1</v>
      </c>
      <c r="G2625">
        <v>83.4</v>
      </c>
      <c r="H2625" t="s">
        <v>12</v>
      </c>
      <c r="I2625" t="str">
        <f t="shared" si="121"/>
        <v>Low Value</v>
      </c>
      <c r="J2625" t="str">
        <f t="shared" si="122"/>
        <v>High Risk</v>
      </c>
      <c r="K2625" s="3" t="str">
        <f t="shared" si="120"/>
        <v>0-1 Year</v>
      </c>
    </row>
    <row r="2626" spans="1:11" x14ac:dyDescent="0.3">
      <c r="A2626" t="s">
        <v>2643</v>
      </c>
      <c r="B2626" t="s">
        <v>14</v>
      </c>
      <c r="C2626" t="s">
        <v>10</v>
      </c>
      <c r="D2626" t="s">
        <v>24</v>
      </c>
      <c r="E2626">
        <v>70.7</v>
      </c>
      <c r="F2626">
        <v>2</v>
      </c>
      <c r="G2626">
        <v>141.4</v>
      </c>
      <c r="H2626" t="s">
        <v>18</v>
      </c>
      <c r="I2626" t="str">
        <f t="shared" si="121"/>
        <v>Low Value</v>
      </c>
      <c r="J2626" t="str">
        <f t="shared" si="122"/>
        <v>High Risk</v>
      </c>
      <c r="K2626" s="3" t="str">
        <f t="shared" si="120"/>
        <v>0-1 Year</v>
      </c>
    </row>
    <row r="2627" spans="1:11" x14ac:dyDescent="0.3">
      <c r="A2627" t="s">
        <v>2644</v>
      </c>
      <c r="B2627" t="s">
        <v>14</v>
      </c>
      <c r="C2627" t="s">
        <v>30</v>
      </c>
      <c r="D2627" t="s">
        <v>24</v>
      </c>
      <c r="E2627">
        <v>84.65</v>
      </c>
      <c r="F2627">
        <v>63</v>
      </c>
      <c r="G2627">
        <v>5332.95</v>
      </c>
      <c r="H2627" t="s">
        <v>12</v>
      </c>
      <c r="I2627" t="str">
        <f t="shared" si="121"/>
        <v>High Value</v>
      </c>
      <c r="J2627" t="str">
        <f t="shared" si="122"/>
        <v>Low Risk</v>
      </c>
      <c r="K2627" s="3" t="str">
        <f t="shared" ref="K2627:K2690" si="123">IF(F2627&lt;=12,"0-1 Year",
IF(F2627&lt;=24,"1-2 Years",
IF(F2627&lt;=48,"2-4 Years","4+ Years")))</f>
        <v>4+ Years</v>
      </c>
    </row>
    <row r="2628" spans="1:11" x14ac:dyDescent="0.3">
      <c r="A2628" t="s">
        <v>2645</v>
      </c>
      <c r="B2628" t="s">
        <v>14</v>
      </c>
      <c r="C2628" t="s">
        <v>10</v>
      </c>
      <c r="D2628" t="s">
        <v>11</v>
      </c>
      <c r="E2628">
        <v>99.25</v>
      </c>
      <c r="F2628">
        <v>7</v>
      </c>
      <c r="G2628">
        <v>694.75</v>
      </c>
      <c r="H2628" t="s">
        <v>18</v>
      </c>
      <c r="I2628" t="str">
        <f t="shared" ref="I2628:I2691" si="124">IF(G2628&gt;5000,"High Value",
IF(G2628&gt;2000,"Medium Value","Low Value"))</f>
        <v>Low Value</v>
      </c>
      <c r="J2628" t="str">
        <f t="shared" ref="J2628:J2691" si="125">IF(F2628&lt;12,"High Risk",
IF(F2628&lt;24,"Medium Risk","Low Risk"))</f>
        <v>High Risk</v>
      </c>
      <c r="K2628" s="3" t="str">
        <f t="shared" si="123"/>
        <v>0-1 Year</v>
      </c>
    </row>
    <row r="2629" spans="1:11" x14ac:dyDescent="0.3">
      <c r="A2629" t="s">
        <v>2646</v>
      </c>
      <c r="B2629" t="s">
        <v>9</v>
      </c>
      <c r="C2629" t="s">
        <v>30</v>
      </c>
      <c r="D2629" t="s">
        <v>16</v>
      </c>
      <c r="E2629">
        <v>64.75</v>
      </c>
      <c r="F2629">
        <v>55</v>
      </c>
      <c r="G2629">
        <v>3561.25</v>
      </c>
      <c r="H2629" t="s">
        <v>12</v>
      </c>
      <c r="I2629" t="str">
        <f t="shared" si="124"/>
        <v>Medium Value</v>
      </c>
      <c r="J2629" t="str">
        <f t="shared" si="125"/>
        <v>Low Risk</v>
      </c>
      <c r="K2629" s="3" t="str">
        <f t="shared" si="123"/>
        <v>4+ Years</v>
      </c>
    </row>
    <row r="2630" spans="1:11" x14ac:dyDescent="0.3">
      <c r="A2630" t="s">
        <v>2647</v>
      </c>
      <c r="B2630" t="s">
        <v>9</v>
      </c>
      <c r="C2630" t="s">
        <v>15</v>
      </c>
      <c r="D2630" t="s">
        <v>20</v>
      </c>
      <c r="E2630">
        <v>100.15</v>
      </c>
      <c r="F2630">
        <v>65</v>
      </c>
      <c r="G2630">
        <v>6509.75</v>
      </c>
      <c r="H2630" t="s">
        <v>12</v>
      </c>
      <c r="I2630" t="str">
        <f t="shared" si="124"/>
        <v>High Value</v>
      </c>
      <c r="J2630" t="str">
        <f t="shared" si="125"/>
        <v>Low Risk</v>
      </c>
      <c r="K2630" s="3" t="str">
        <f t="shared" si="123"/>
        <v>4+ Years</v>
      </c>
    </row>
    <row r="2631" spans="1:11" x14ac:dyDescent="0.3">
      <c r="A2631" t="s">
        <v>2648</v>
      </c>
      <c r="B2631" t="s">
        <v>14</v>
      </c>
      <c r="C2631" t="s">
        <v>10</v>
      </c>
      <c r="D2631" t="s">
        <v>11</v>
      </c>
      <c r="E2631">
        <v>84.8</v>
      </c>
      <c r="F2631">
        <v>1</v>
      </c>
      <c r="G2631">
        <v>84.8</v>
      </c>
      <c r="H2631" t="s">
        <v>18</v>
      </c>
      <c r="I2631" t="str">
        <f t="shared" si="124"/>
        <v>Low Value</v>
      </c>
      <c r="J2631" t="str">
        <f t="shared" si="125"/>
        <v>High Risk</v>
      </c>
      <c r="K2631" s="3" t="str">
        <f t="shared" si="123"/>
        <v>0-1 Year</v>
      </c>
    </row>
    <row r="2632" spans="1:11" x14ac:dyDescent="0.3">
      <c r="A2632" t="s">
        <v>2649</v>
      </c>
      <c r="B2632" t="s">
        <v>14</v>
      </c>
      <c r="C2632" t="s">
        <v>30</v>
      </c>
      <c r="D2632" t="s">
        <v>16</v>
      </c>
      <c r="E2632">
        <v>25.25</v>
      </c>
      <c r="F2632">
        <v>63</v>
      </c>
      <c r="G2632">
        <v>1590.75</v>
      </c>
      <c r="H2632" t="s">
        <v>12</v>
      </c>
      <c r="I2632" t="str">
        <f t="shared" si="124"/>
        <v>Low Value</v>
      </c>
      <c r="J2632" t="str">
        <f t="shared" si="125"/>
        <v>Low Risk</v>
      </c>
      <c r="K2632" s="3" t="str">
        <f t="shared" si="123"/>
        <v>4+ Years</v>
      </c>
    </row>
    <row r="2633" spans="1:11" x14ac:dyDescent="0.3">
      <c r="A2633" t="s">
        <v>2650</v>
      </c>
      <c r="B2633" t="s">
        <v>9</v>
      </c>
      <c r="C2633" t="s">
        <v>30</v>
      </c>
      <c r="D2633" t="s">
        <v>24</v>
      </c>
      <c r="E2633">
        <v>113</v>
      </c>
      <c r="F2633">
        <v>70</v>
      </c>
      <c r="G2633">
        <v>7910</v>
      </c>
      <c r="H2633" t="s">
        <v>12</v>
      </c>
      <c r="I2633" t="str">
        <f t="shared" si="124"/>
        <v>High Value</v>
      </c>
      <c r="J2633" t="str">
        <f t="shared" si="125"/>
        <v>Low Risk</v>
      </c>
      <c r="K2633" s="3" t="str">
        <f t="shared" si="123"/>
        <v>4+ Years</v>
      </c>
    </row>
    <row r="2634" spans="1:11" x14ac:dyDescent="0.3">
      <c r="A2634" t="s">
        <v>2651</v>
      </c>
      <c r="B2634" t="s">
        <v>9</v>
      </c>
      <c r="C2634" t="s">
        <v>30</v>
      </c>
      <c r="D2634" t="s">
        <v>24</v>
      </c>
      <c r="E2634">
        <v>40.65</v>
      </c>
      <c r="F2634">
        <v>36</v>
      </c>
      <c r="G2634">
        <v>1463.3999999999901</v>
      </c>
      <c r="H2634" t="s">
        <v>12</v>
      </c>
      <c r="I2634" t="str">
        <f t="shared" si="124"/>
        <v>Low Value</v>
      </c>
      <c r="J2634" t="str">
        <f t="shared" si="125"/>
        <v>Low Risk</v>
      </c>
      <c r="K2634" s="3" t="str">
        <f t="shared" si="123"/>
        <v>2-4 Years</v>
      </c>
    </row>
    <row r="2635" spans="1:11" x14ac:dyDescent="0.3">
      <c r="A2635" t="s">
        <v>2652</v>
      </c>
      <c r="B2635" t="s">
        <v>14</v>
      </c>
      <c r="C2635" t="s">
        <v>15</v>
      </c>
      <c r="D2635" t="s">
        <v>20</v>
      </c>
      <c r="E2635">
        <v>105</v>
      </c>
      <c r="F2635">
        <v>52</v>
      </c>
      <c r="G2635">
        <v>5460</v>
      </c>
      <c r="H2635" t="s">
        <v>18</v>
      </c>
      <c r="I2635" t="str">
        <f t="shared" si="124"/>
        <v>High Value</v>
      </c>
      <c r="J2635" t="str">
        <f t="shared" si="125"/>
        <v>Low Risk</v>
      </c>
      <c r="K2635" s="3" t="str">
        <f t="shared" si="123"/>
        <v>4+ Years</v>
      </c>
    </row>
    <row r="2636" spans="1:11" x14ac:dyDescent="0.3">
      <c r="A2636" t="s">
        <v>2653</v>
      </c>
      <c r="B2636" t="s">
        <v>14</v>
      </c>
      <c r="C2636" t="s">
        <v>10</v>
      </c>
      <c r="D2636" t="s">
        <v>11</v>
      </c>
      <c r="E2636">
        <v>54.45</v>
      </c>
      <c r="F2636">
        <v>22</v>
      </c>
      <c r="G2636">
        <v>1197.9000000000001</v>
      </c>
      <c r="H2636" t="s">
        <v>18</v>
      </c>
      <c r="I2636" t="str">
        <f t="shared" si="124"/>
        <v>Low Value</v>
      </c>
      <c r="J2636" t="str">
        <f t="shared" si="125"/>
        <v>Medium Risk</v>
      </c>
      <c r="K2636" s="3" t="str">
        <f t="shared" si="123"/>
        <v>1-2 Years</v>
      </c>
    </row>
    <row r="2637" spans="1:11" x14ac:dyDescent="0.3">
      <c r="A2637" t="s">
        <v>2654</v>
      </c>
      <c r="B2637" t="s">
        <v>14</v>
      </c>
      <c r="C2637" t="s">
        <v>10</v>
      </c>
      <c r="D2637" t="s">
        <v>20</v>
      </c>
      <c r="E2637">
        <v>94.95</v>
      </c>
      <c r="F2637">
        <v>22</v>
      </c>
      <c r="G2637">
        <v>2088.9</v>
      </c>
      <c r="H2637" t="s">
        <v>12</v>
      </c>
      <c r="I2637" t="str">
        <f t="shared" si="124"/>
        <v>Medium Value</v>
      </c>
      <c r="J2637" t="str">
        <f t="shared" si="125"/>
        <v>Medium Risk</v>
      </c>
      <c r="K2637" s="3" t="str">
        <f t="shared" si="123"/>
        <v>1-2 Years</v>
      </c>
    </row>
    <row r="2638" spans="1:11" x14ac:dyDescent="0.3">
      <c r="A2638" t="s">
        <v>2655</v>
      </c>
      <c r="B2638" t="s">
        <v>9</v>
      </c>
      <c r="C2638" t="s">
        <v>10</v>
      </c>
      <c r="D2638" t="s">
        <v>24</v>
      </c>
      <c r="E2638">
        <v>59.9</v>
      </c>
      <c r="F2638">
        <v>5</v>
      </c>
      <c r="G2638">
        <v>299.5</v>
      </c>
      <c r="H2638" t="s">
        <v>12</v>
      </c>
      <c r="I2638" t="str">
        <f t="shared" si="124"/>
        <v>Low Value</v>
      </c>
      <c r="J2638" t="str">
        <f t="shared" si="125"/>
        <v>High Risk</v>
      </c>
      <c r="K2638" s="3" t="str">
        <f t="shared" si="123"/>
        <v>0-1 Year</v>
      </c>
    </row>
    <row r="2639" spans="1:11" x14ac:dyDescent="0.3">
      <c r="A2639" t="s">
        <v>2656</v>
      </c>
      <c r="B2639" t="s">
        <v>9</v>
      </c>
      <c r="C2639" t="s">
        <v>10</v>
      </c>
      <c r="D2639" t="s">
        <v>11</v>
      </c>
      <c r="E2639">
        <v>85.3</v>
      </c>
      <c r="F2639">
        <v>47</v>
      </c>
      <c r="G2639">
        <v>4009.1</v>
      </c>
      <c r="H2639" t="s">
        <v>18</v>
      </c>
      <c r="I2639" t="str">
        <f t="shared" si="124"/>
        <v>Medium Value</v>
      </c>
      <c r="J2639" t="str">
        <f t="shared" si="125"/>
        <v>Low Risk</v>
      </c>
      <c r="K2639" s="3" t="str">
        <f t="shared" si="123"/>
        <v>2-4 Years</v>
      </c>
    </row>
    <row r="2640" spans="1:11" x14ac:dyDescent="0.3">
      <c r="A2640" t="s">
        <v>2657</v>
      </c>
      <c r="B2640" t="s">
        <v>9</v>
      </c>
      <c r="C2640" t="s">
        <v>10</v>
      </c>
      <c r="D2640" t="s">
        <v>11</v>
      </c>
      <c r="E2640">
        <v>83.35</v>
      </c>
      <c r="F2640">
        <v>33</v>
      </c>
      <c r="G2640">
        <v>2750.5499999999902</v>
      </c>
      <c r="H2640" t="s">
        <v>18</v>
      </c>
      <c r="I2640" t="str">
        <f t="shared" si="124"/>
        <v>Medium Value</v>
      </c>
      <c r="J2640" t="str">
        <f t="shared" si="125"/>
        <v>Low Risk</v>
      </c>
      <c r="K2640" s="3" t="str">
        <f t="shared" si="123"/>
        <v>2-4 Years</v>
      </c>
    </row>
    <row r="2641" spans="1:11" x14ac:dyDescent="0.3">
      <c r="A2641" t="s">
        <v>2658</v>
      </c>
      <c r="B2641" t="s">
        <v>14</v>
      </c>
      <c r="C2641" t="s">
        <v>10</v>
      </c>
      <c r="D2641" t="s">
        <v>24</v>
      </c>
      <c r="E2641">
        <v>33.5</v>
      </c>
      <c r="F2641">
        <v>18</v>
      </c>
      <c r="G2641">
        <v>603</v>
      </c>
      <c r="H2641" t="s">
        <v>18</v>
      </c>
      <c r="I2641" t="str">
        <f t="shared" si="124"/>
        <v>Low Value</v>
      </c>
      <c r="J2641" t="str">
        <f t="shared" si="125"/>
        <v>Medium Risk</v>
      </c>
      <c r="K2641" s="3" t="str">
        <f t="shared" si="123"/>
        <v>1-2 Years</v>
      </c>
    </row>
    <row r="2642" spans="1:11" x14ac:dyDescent="0.3">
      <c r="A2642" t="s">
        <v>2659</v>
      </c>
      <c r="B2642" t="s">
        <v>9</v>
      </c>
      <c r="C2642" t="s">
        <v>10</v>
      </c>
      <c r="D2642" t="s">
        <v>24</v>
      </c>
      <c r="E2642">
        <v>19.8</v>
      </c>
      <c r="F2642">
        <v>1</v>
      </c>
      <c r="G2642">
        <v>19.8</v>
      </c>
      <c r="H2642" t="s">
        <v>12</v>
      </c>
      <c r="I2642" t="str">
        <f t="shared" si="124"/>
        <v>Low Value</v>
      </c>
      <c r="J2642" t="str">
        <f t="shared" si="125"/>
        <v>High Risk</v>
      </c>
      <c r="K2642" s="3" t="str">
        <f t="shared" si="123"/>
        <v>0-1 Year</v>
      </c>
    </row>
    <row r="2643" spans="1:11" x14ac:dyDescent="0.3">
      <c r="A2643" t="s">
        <v>2660</v>
      </c>
      <c r="B2643" t="s">
        <v>14</v>
      </c>
      <c r="C2643" t="s">
        <v>30</v>
      </c>
      <c r="D2643" t="s">
        <v>24</v>
      </c>
      <c r="E2643">
        <v>81.8</v>
      </c>
      <c r="F2643">
        <v>56</v>
      </c>
      <c r="G2643">
        <v>4580.8</v>
      </c>
      <c r="H2643" t="s">
        <v>12</v>
      </c>
      <c r="I2643" t="str">
        <f t="shared" si="124"/>
        <v>Medium Value</v>
      </c>
      <c r="J2643" t="str">
        <f t="shared" si="125"/>
        <v>Low Risk</v>
      </c>
      <c r="K2643" s="3" t="str">
        <f t="shared" si="123"/>
        <v>4+ Years</v>
      </c>
    </row>
    <row r="2644" spans="1:11" x14ac:dyDescent="0.3">
      <c r="A2644" t="s">
        <v>2661</v>
      </c>
      <c r="B2644" t="s">
        <v>9</v>
      </c>
      <c r="C2644" t="s">
        <v>10</v>
      </c>
      <c r="D2644" t="s">
        <v>16</v>
      </c>
      <c r="E2644">
        <v>20</v>
      </c>
      <c r="F2644">
        <v>2</v>
      </c>
      <c r="G2644">
        <v>40</v>
      </c>
      <c r="H2644" t="s">
        <v>12</v>
      </c>
      <c r="I2644" t="str">
        <f t="shared" si="124"/>
        <v>Low Value</v>
      </c>
      <c r="J2644" t="str">
        <f t="shared" si="125"/>
        <v>High Risk</v>
      </c>
      <c r="K2644" s="3" t="str">
        <f t="shared" si="123"/>
        <v>0-1 Year</v>
      </c>
    </row>
    <row r="2645" spans="1:11" x14ac:dyDescent="0.3">
      <c r="A2645" t="s">
        <v>2662</v>
      </c>
      <c r="B2645" t="s">
        <v>14</v>
      </c>
      <c r="C2645" t="s">
        <v>10</v>
      </c>
      <c r="D2645" t="s">
        <v>11</v>
      </c>
      <c r="E2645">
        <v>59.6</v>
      </c>
      <c r="F2645">
        <v>35</v>
      </c>
      <c r="G2645">
        <v>2086</v>
      </c>
      <c r="H2645" t="s">
        <v>12</v>
      </c>
      <c r="I2645" t="str">
        <f t="shared" si="124"/>
        <v>Medium Value</v>
      </c>
      <c r="J2645" t="str">
        <f t="shared" si="125"/>
        <v>Low Risk</v>
      </c>
      <c r="K2645" s="3" t="str">
        <f t="shared" si="123"/>
        <v>2-4 Years</v>
      </c>
    </row>
    <row r="2646" spans="1:11" x14ac:dyDescent="0.3">
      <c r="A2646" t="s">
        <v>2663</v>
      </c>
      <c r="B2646" t="s">
        <v>9</v>
      </c>
      <c r="C2646" t="s">
        <v>30</v>
      </c>
      <c r="D2646" t="s">
        <v>24</v>
      </c>
      <c r="E2646">
        <v>25</v>
      </c>
      <c r="F2646">
        <v>64</v>
      </c>
      <c r="G2646">
        <v>1600</v>
      </c>
      <c r="H2646" t="s">
        <v>12</v>
      </c>
      <c r="I2646" t="str">
        <f t="shared" si="124"/>
        <v>Low Value</v>
      </c>
      <c r="J2646" t="str">
        <f t="shared" si="125"/>
        <v>Low Risk</v>
      </c>
      <c r="K2646" s="3" t="str">
        <f t="shared" si="123"/>
        <v>4+ Years</v>
      </c>
    </row>
    <row r="2647" spans="1:11" x14ac:dyDescent="0.3">
      <c r="A2647" t="s">
        <v>2664</v>
      </c>
      <c r="B2647" t="s">
        <v>9</v>
      </c>
      <c r="C2647" t="s">
        <v>10</v>
      </c>
      <c r="D2647" t="s">
        <v>24</v>
      </c>
      <c r="E2647">
        <v>84.35</v>
      </c>
      <c r="F2647">
        <v>15</v>
      </c>
      <c r="G2647">
        <v>1265.25</v>
      </c>
      <c r="H2647" t="s">
        <v>12</v>
      </c>
      <c r="I2647" t="str">
        <f t="shared" si="124"/>
        <v>Low Value</v>
      </c>
      <c r="J2647" t="str">
        <f t="shared" si="125"/>
        <v>Medium Risk</v>
      </c>
      <c r="K2647" s="3" t="str">
        <f t="shared" si="123"/>
        <v>1-2 Years</v>
      </c>
    </row>
    <row r="2648" spans="1:11" x14ac:dyDescent="0.3">
      <c r="A2648" t="s">
        <v>2665</v>
      </c>
      <c r="B2648" t="s">
        <v>14</v>
      </c>
      <c r="C2648" t="s">
        <v>10</v>
      </c>
      <c r="D2648" t="s">
        <v>11</v>
      </c>
      <c r="E2648">
        <v>90.35</v>
      </c>
      <c r="F2648">
        <v>24</v>
      </c>
      <c r="G2648">
        <v>2168.3999999999901</v>
      </c>
      <c r="H2648" t="s">
        <v>18</v>
      </c>
      <c r="I2648" t="str">
        <f t="shared" si="124"/>
        <v>Medium Value</v>
      </c>
      <c r="J2648" t="str">
        <f t="shared" si="125"/>
        <v>Low Risk</v>
      </c>
      <c r="K2648" s="3" t="str">
        <f t="shared" si="123"/>
        <v>1-2 Years</v>
      </c>
    </row>
    <row r="2649" spans="1:11" x14ac:dyDescent="0.3">
      <c r="A2649" t="s">
        <v>2666</v>
      </c>
      <c r="B2649" t="s">
        <v>14</v>
      </c>
      <c r="C2649" t="s">
        <v>10</v>
      </c>
      <c r="D2649" t="s">
        <v>16</v>
      </c>
      <c r="E2649">
        <v>55.55</v>
      </c>
      <c r="F2649">
        <v>1</v>
      </c>
      <c r="G2649">
        <v>55.55</v>
      </c>
      <c r="H2649" t="s">
        <v>12</v>
      </c>
      <c r="I2649" t="str">
        <f t="shared" si="124"/>
        <v>Low Value</v>
      </c>
      <c r="J2649" t="str">
        <f t="shared" si="125"/>
        <v>High Risk</v>
      </c>
      <c r="K2649" s="3" t="str">
        <f t="shared" si="123"/>
        <v>0-1 Year</v>
      </c>
    </row>
    <row r="2650" spans="1:11" x14ac:dyDescent="0.3">
      <c r="A2650" t="s">
        <v>2667</v>
      </c>
      <c r="B2650" t="s">
        <v>9</v>
      </c>
      <c r="C2650" t="s">
        <v>30</v>
      </c>
      <c r="D2650" t="s">
        <v>24</v>
      </c>
      <c r="E2650">
        <v>75.349999999999994</v>
      </c>
      <c r="F2650">
        <v>70</v>
      </c>
      <c r="G2650">
        <v>5274.5</v>
      </c>
      <c r="H2650" t="s">
        <v>12</v>
      </c>
      <c r="I2650" t="str">
        <f t="shared" si="124"/>
        <v>High Value</v>
      </c>
      <c r="J2650" t="str">
        <f t="shared" si="125"/>
        <v>Low Risk</v>
      </c>
      <c r="K2650" s="3" t="str">
        <f t="shared" si="123"/>
        <v>4+ Years</v>
      </c>
    </row>
    <row r="2651" spans="1:11" x14ac:dyDescent="0.3">
      <c r="A2651" t="s">
        <v>2668</v>
      </c>
      <c r="B2651" t="s">
        <v>14</v>
      </c>
      <c r="C2651" t="s">
        <v>10</v>
      </c>
      <c r="D2651" t="s">
        <v>11</v>
      </c>
      <c r="E2651">
        <v>90.75</v>
      </c>
      <c r="F2651">
        <v>1</v>
      </c>
      <c r="G2651">
        <v>90.75</v>
      </c>
      <c r="H2651" t="s">
        <v>18</v>
      </c>
      <c r="I2651" t="str">
        <f t="shared" si="124"/>
        <v>Low Value</v>
      </c>
      <c r="J2651" t="str">
        <f t="shared" si="125"/>
        <v>High Risk</v>
      </c>
      <c r="K2651" s="3" t="str">
        <f t="shared" si="123"/>
        <v>0-1 Year</v>
      </c>
    </row>
    <row r="2652" spans="1:11" x14ac:dyDescent="0.3">
      <c r="A2652" t="s">
        <v>2669</v>
      </c>
      <c r="B2652" t="s">
        <v>9</v>
      </c>
      <c r="C2652" t="s">
        <v>10</v>
      </c>
      <c r="D2652" t="s">
        <v>16</v>
      </c>
      <c r="E2652">
        <v>89.6</v>
      </c>
      <c r="F2652">
        <v>4</v>
      </c>
      <c r="G2652">
        <v>358.4</v>
      </c>
      <c r="H2652" t="s">
        <v>18</v>
      </c>
      <c r="I2652" t="str">
        <f t="shared" si="124"/>
        <v>Low Value</v>
      </c>
      <c r="J2652" t="str">
        <f t="shared" si="125"/>
        <v>High Risk</v>
      </c>
      <c r="K2652" s="3" t="str">
        <f t="shared" si="123"/>
        <v>0-1 Year</v>
      </c>
    </row>
    <row r="2653" spans="1:11" x14ac:dyDescent="0.3">
      <c r="A2653" t="s">
        <v>2670</v>
      </c>
      <c r="B2653" t="s">
        <v>9</v>
      </c>
      <c r="C2653" t="s">
        <v>15</v>
      </c>
      <c r="D2653" t="s">
        <v>11</v>
      </c>
      <c r="E2653">
        <v>59.3</v>
      </c>
      <c r="F2653">
        <v>39</v>
      </c>
      <c r="G2653">
        <v>2312.6999999999998</v>
      </c>
      <c r="H2653" t="s">
        <v>12</v>
      </c>
      <c r="I2653" t="str">
        <f t="shared" si="124"/>
        <v>Medium Value</v>
      </c>
      <c r="J2653" t="str">
        <f t="shared" si="125"/>
        <v>Low Risk</v>
      </c>
      <c r="K2653" s="3" t="str">
        <f t="shared" si="123"/>
        <v>2-4 Years</v>
      </c>
    </row>
    <row r="2654" spans="1:11" x14ac:dyDescent="0.3">
      <c r="A2654" t="s">
        <v>2671</v>
      </c>
      <c r="B2654" t="s">
        <v>9</v>
      </c>
      <c r="C2654" t="s">
        <v>10</v>
      </c>
      <c r="D2654" t="s">
        <v>11</v>
      </c>
      <c r="E2654">
        <v>66.099999999999994</v>
      </c>
      <c r="F2654">
        <v>29</v>
      </c>
      <c r="G2654">
        <v>1916.8999999999901</v>
      </c>
      <c r="H2654" t="s">
        <v>12</v>
      </c>
      <c r="I2654" t="str">
        <f t="shared" si="124"/>
        <v>Low Value</v>
      </c>
      <c r="J2654" t="str">
        <f t="shared" si="125"/>
        <v>Low Risk</v>
      </c>
      <c r="K2654" s="3" t="str">
        <f t="shared" si="123"/>
        <v>2-4 Years</v>
      </c>
    </row>
    <row r="2655" spans="1:11" x14ac:dyDescent="0.3">
      <c r="A2655" t="s">
        <v>2672</v>
      </c>
      <c r="B2655" t="s">
        <v>9</v>
      </c>
      <c r="C2655" t="s">
        <v>30</v>
      </c>
      <c r="D2655" t="s">
        <v>16</v>
      </c>
      <c r="E2655">
        <v>18.8</v>
      </c>
      <c r="F2655">
        <v>14</v>
      </c>
      <c r="G2655">
        <v>263.2</v>
      </c>
      <c r="H2655" t="s">
        <v>12</v>
      </c>
      <c r="I2655" t="str">
        <f t="shared" si="124"/>
        <v>Low Value</v>
      </c>
      <c r="J2655" t="str">
        <f t="shared" si="125"/>
        <v>Medium Risk</v>
      </c>
      <c r="K2655" s="3" t="str">
        <f t="shared" si="123"/>
        <v>1-2 Years</v>
      </c>
    </row>
    <row r="2656" spans="1:11" x14ac:dyDescent="0.3">
      <c r="A2656" t="s">
        <v>2673</v>
      </c>
      <c r="B2656" t="s">
        <v>9</v>
      </c>
      <c r="C2656" t="s">
        <v>30</v>
      </c>
      <c r="D2656" t="s">
        <v>24</v>
      </c>
      <c r="E2656">
        <v>86.45</v>
      </c>
      <c r="F2656">
        <v>61</v>
      </c>
      <c r="G2656">
        <v>5273.45</v>
      </c>
      <c r="H2656" t="s">
        <v>12</v>
      </c>
      <c r="I2656" t="str">
        <f t="shared" si="124"/>
        <v>High Value</v>
      </c>
      <c r="J2656" t="str">
        <f t="shared" si="125"/>
        <v>Low Risk</v>
      </c>
      <c r="K2656" s="3" t="str">
        <f t="shared" si="123"/>
        <v>4+ Years</v>
      </c>
    </row>
    <row r="2657" spans="1:11" x14ac:dyDescent="0.3">
      <c r="A2657" t="s">
        <v>2674</v>
      </c>
      <c r="B2657" t="s">
        <v>14</v>
      </c>
      <c r="C2657" t="s">
        <v>10</v>
      </c>
      <c r="D2657" t="s">
        <v>24</v>
      </c>
      <c r="E2657">
        <v>52.1</v>
      </c>
      <c r="F2657">
        <v>13</v>
      </c>
      <c r="G2657">
        <v>677.3</v>
      </c>
      <c r="H2657" t="s">
        <v>12</v>
      </c>
      <c r="I2657" t="str">
        <f t="shared" si="124"/>
        <v>Low Value</v>
      </c>
      <c r="J2657" t="str">
        <f t="shared" si="125"/>
        <v>Medium Risk</v>
      </c>
      <c r="K2657" s="3" t="str">
        <f t="shared" si="123"/>
        <v>1-2 Years</v>
      </c>
    </row>
    <row r="2658" spans="1:11" x14ac:dyDescent="0.3">
      <c r="A2658" t="s">
        <v>2675</v>
      </c>
      <c r="B2658" t="s">
        <v>9</v>
      </c>
      <c r="C2658" t="s">
        <v>30</v>
      </c>
      <c r="D2658" t="s">
        <v>16</v>
      </c>
      <c r="E2658">
        <v>47.4</v>
      </c>
      <c r="F2658">
        <v>66</v>
      </c>
      <c r="G2658">
        <v>3128.4</v>
      </c>
      <c r="H2658" t="s">
        <v>12</v>
      </c>
      <c r="I2658" t="str">
        <f t="shared" si="124"/>
        <v>Medium Value</v>
      </c>
      <c r="J2658" t="str">
        <f t="shared" si="125"/>
        <v>Low Risk</v>
      </c>
      <c r="K2658" s="3" t="str">
        <f t="shared" si="123"/>
        <v>4+ Years</v>
      </c>
    </row>
    <row r="2659" spans="1:11" x14ac:dyDescent="0.3">
      <c r="A2659" t="s">
        <v>2676</v>
      </c>
      <c r="B2659" t="s">
        <v>14</v>
      </c>
      <c r="C2659" t="s">
        <v>10</v>
      </c>
      <c r="D2659" t="s">
        <v>11</v>
      </c>
      <c r="E2659">
        <v>49.25</v>
      </c>
      <c r="F2659">
        <v>2</v>
      </c>
      <c r="G2659">
        <v>98.5</v>
      </c>
      <c r="H2659" t="s">
        <v>18</v>
      </c>
      <c r="I2659" t="str">
        <f t="shared" si="124"/>
        <v>Low Value</v>
      </c>
      <c r="J2659" t="str">
        <f t="shared" si="125"/>
        <v>High Risk</v>
      </c>
      <c r="K2659" s="3" t="str">
        <f t="shared" si="123"/>
        <v>0-1 Year</v>
      </c>
    </row>
    <row r="2660" spans="1:11" x14ac:dyDescent="0.3">
      <c r="A2660" t="s">
        <v>2677</v>
      </c>
      <c r="B2660" t="s">
        <v>9</v>
      </c>
      <c r="C2660" t="s">
        <v>15</v>
      </c>
      <c r="D2660" t="s">
        <v>24</v>
      </c>
      <c r="E2660">
        <v>109.15</v>
      </c>
      <c r="F2660">
        <v>59</v>
      </c>
      <c r="G2660">
        <v>6439.85</v>
      </c>
      <c r="H2660" t="s">
        <v>12</v>
      </c>
      <c r="I2660" t="str">
        <f t="shared" si="124"/>
        <v>High Value</v>
      </c>
      <c r="J2660" t="str">
        <f t="shared" si="125"/>
        <v>Low Risk</v>
      </c>
      <c r="K2660" s="3" t="str">
        <f t="shared" si="123"/>
        <v>4+ Years</v>
      </c>
    </row>
    <row r="2661" spans="1:11" x14ac:dyDescent="0.3">
      <c r="A2661" t="s">
        <v>2678</v>
      </c>
      <c r="B2661" t="s">
        <v>14</v>
      </c>
      <c r="C2661" t="s">
        <v>15</v>
      </c>
      <c r="D2661" t="s">
        <v>24</v>
      </c>
      <c r="E2661">
        <v>94.95</v>
      </c>
      <c r="F2661">
        <v>62</v>
      </c>
      <c r="G2661">
        <v>5886.9</v>
      </c>
      <c r="H2661" t="s">
        <v>12</v>
      </c>
      <c r="I2661" t="str">
        <f t="shared" si="124"/>
        <v>High Value</v>
      </c>
      <c r="J2661" t="str">
        <f t="shared" si="125"/>
        <v>Low Risk</v>
      </c>
      <c r="K2661" s="3" t="str">
        <f t="shared" si="123"/>
        <v>4+ Years</v>
      </c>
    </row>
    <row r="2662" spans="1:11" x14ac:dyDescent="0.3">
      <c r="A2662" t="s">
        <v>2679</v>
      </c>
      <c r="B2662" t="s">
        <v>14</v>
      </c>
      <c r="C2662" t="s">
        <v>15</v>
      </c>
      <c r="D2662" t="s">
        <v>11</v>
      </c>
      <c r="E2662">
        <v>93.55</v>
      </c>
      <c r="F2662">
        <v>33</v>
      </c>
      <c r="G2662">
        <v>3087.15</v>
      </c>
      <c r="H2662" t="s">
        <v>12</v>
      </c>
      <c r="I2662" t="str">
        <f t="shared" si="124"/>
        <v>Medium Value</v>
      </c>
      <c r="J2662" t="str">
        <f t="shared" si="125"/>
        <v>Low Risk</v>
      </c>
      <c r="K2662" s="3" t="str">
        <f t="shared" si="123"/>
        <v>2-4 Years</v>
      </c>
    </row>
    <row r="2663" spans="1:11" x14ac:dyDescent="0.3">
      <c r="A2663" t="s">
        <v>2680</v>
      </c>
      <c r="B2663" t="s">
        <v>14</v>
      </c>
      <c r="C2663" t="s">
        <v>30</v>
      </c>
      <c r="D2663" t="s">
        <v>24</v>
      </c>
      <c r="E2663">
        <v>79.5</v>
      </c>
      <c r="F2663">
        <v>66</v>
      </c>
      <c r="G2663">
        <v>5247</v>
      </c>
      <c r="H2663" t="s">
        <v>12</v>
      </c>
      <c r="I2663" t="str">
        <f t="shared" si="124"/>
        <v>High Value</v>
      </c>
      <c r="J2663" t="str">
        <f t="shared" si="125"/>
        <v>Low Risk</v>
      </c>
      <c r="K2663" s="3" t="str">
        <f t="shared" si="123"/>
        <v>4+ Years</v>
      </c>
    </row>
    <row r="2664" spans="1:11" x14ac:dyDescent="0.3">
      <c r="A2664" t="s">
        <v>2681</v>
      </c>
      <c r="B2664" t="s">
        <v>9</v>
      </c>
      <c r="C2664" t="s">
        <v>30</v>
      </c>
      <c r="D2664" t="s">
        <v>24</v>
      </c>
      <c r="E2664">
        <v>115.05</v>
      </c>
      <c r="F2664">
        <v>72</v>
      </c>
      <c r="G2664">
        <v>8283.6</v>
      </c>
      <c r="H2664" t="s">
        <v>12</v>
      </c>
      <c r="I2664" t="str">
        <f t="shared" si="124"/>
        <v>High Value</v>
      </c>
      <c r="J2664" t="str">
        <f t="shared" si="125"/>
        <v>Low Risk</v>
      </c>
      <c r="K2664" s="3" t="str">
        <f t="shared" si="123"/>
        <v>4+ Years</v>
      </c>
    </row>
    <row r="2665" spans="1:11" x14ac:dyDescent="0.3">
      <c r="A2665" t="s">
        <v>2682</v>
      </c>
      <c r="B2665" t="s">
        <v>14</v>
      </c>
      <c r="C2665" t="s">
        <v>10</v>
      </c>
      <c r="D2665" t="s">
        <v>16</v>
      </c>
      <c r="E2665">
        <v>19.75</v>
      </c>
      <c r="F2665">
        <v>1</v>
      </c>
      <c r="G2665">
        <v>19.75</v>
      </c>
      <c r="H2665" t="s">
        <v>18</v>
      </c>
      <c r="I2665" t="str">
        <f t="shared" si="124"/>
        <v>Low Value</v>
      </c>
      <c r="J2665" t="str">
        <f t="shared" si="125"/>
        <v>High Risk</v>
      </c>
      <c r="K2665" s="3" t="str">
        <f t="shared" si="123"/>
        <v>0-1 Year</v>
      </c>
    </row>
    <row r="2666" spans="1:11" x14ac:dyDescent="0.3">
      <c r="A2666" t="s">
        <v>2683</v>
      </c>
      <c r="B2666" t="s">
        <v>9</v>
      </c>
      <c r="C2666" t="s">
        <v>10</v>
      </c>
      <c r="D2666" t="s">
        <v>11</v>
      </c>
      <c r="E2666">
        <v>95.15</v>
      </c>
      <c r="F2666">
        <v>19</v>
      </c>
      <c r="G2666">
        <v>1807.85</v>
      </c>
      <c r="H2666" t="s">
        <v>18</v>
      </c>
      <c r="I2666" t="str">
        <f t="shared" si="124"/>
        <v>Low Value</v>
      </c>
      <c r="J2666" t="str">
        <f t="shared" si="125"/>
        <v>Medium Risk</v>
      </c>
      <c r="K2666" s="3" t="str">
        <f t="shared" si="123"/>
        <v>1-2 Years</v>
      </c>
    </row>
    <row r="2667" spans="1:11" x14ac:dyDescent="0.3">
      <c r="A2667" t="s">
        <v>2684</v>
      </c>
      <c r="B2667" t="s">
        <v>9</v>
      </c>
      <c r="C2667" t="s">
        <v>15</v>
      </c>
      <c r="D2667" t="s">
        <v>16</v>
      </c>
      <c r="E2667">
        <v>95.15</v>
      </c>
      <c r="F2667">
        <v>51</v>
      </c>
      <c r="G2667">
        <v>4852.6499999999996</v>
      </c>
      <c r="H2667" t="s">
        <v>12</v>
      </c>
      <c r="I2667" t="str">
        <f t="shared" si="124"/>
        <v>Medium Value</v>
      </c>
      <c r="J2667" t="str">
        <f t="shared" si="125"/>
        <v>Low Risk</v>
      </c>
      <c r="K2667" s="3" t="str">
        <f t="shared" si="123"/>
        <v>4+ Years</v>
      </c>
    </row>
    <row r="2668" spans="1:11" x14ac:dyDescent="0.3">
      <c r="A2668" t="s">
        <v>2685</v>
      </c>
      <c r="B2668" t="s">
        <v>14</v>
      </c>
      <c r="C2668" t="s">
        <v>10</v>
      </c>
      <c r="D2668" t="s">
        <v>11</v>
      </c>
      <c r="E2668">
        <v>105.4</v>
      </c>
      <c r="F2668">
        <v>63</v>
      </c>
      <c r="G2668">
        <v>6640.2</v>
      </c>
      <c r="H2668" t="s">
        <v>12</v>
      </c>
      <c r="I2668" t="str">
        <f t="shared" si="124"/>
        <v>High Value</v>
      </c>
      <c r="J2668" t="str">
        <f t="shared" si="125"/>
        <v>Low Risk</v>
      </c>
      <c r="K2668" s="3" t="str">
        <f t="shared" si="123"/>
        <v>4+ Years</v>
      </c>
    </row>
    <row r="2669" spans="1:11" x14ac:dyDescent="0.3">
      <c r="A2669" t="s">
        <v>2686</v>
      </c>
      <c r="B2669" t="s">
        <v>14</v>
      </c>
      <c r="C2669" t="s">
        <v>15</v>
      </c>
      <c r="D2669" t="s">
        <v>20</v>
      </c>
      <c r="E2669">
        <v>20.100000000000001</v>
      </c>
      <c r="F2669">
        <v>27</v>
      </c>
      <c r="G2669">
        <v>542.70000000000005</v>
      </c>
      <c r="H2669" t="s">
        <v>12</v>
      </c>
      <c r="I2669" t="str">
        <f t="shared" si="124"/>
        <v>Low Value</v>
      </c>
      <c r="J2669" t="str">
        <f t="shared" si="125"/>
        <v>Low Risk</v>
      </c>
      <c r="K2669" s="3" t="str">
        <f t="shared" si="123"/>
        <v>2-4 Years</v>
      </c>
    </row>
    <row r="2670" spans="1:11" x14ac:dyDescent="0.3">
      <c r="A2670" t="s">
        <v>2687</v>
      </c>
      <c r="B2670" t="s">
        <v>14</v>
      </c>
      <c r="C2670" t="s">
        <v>10</v>
      </c>
      <c r="D2670" t="s">
        <v>20</v>
      </c>
      <c r="E2670">
        <v>101.35</v>
      </c>
      <c r="F2670">
        <v>22</v>
      </c>
      <c r="G2670">
        <v>2229.6999999999998</v>
      </c>
      <c r="H2670" t="s">
        <v>18</v>
      </c>
      <c r="I2670" t="str">
        <f t="shared" si="124"/>
        <v>Medium Value</v>
      </c>
      <c r="J2670" t="str">
        <f t="shared" si="125"/>
        <v>Medium Risk</v>
      </c>
      <c r="K2670" s="3" t="str">
        <f t="shared" si="123"/>
        <v>1-2 Years</v>
      </c>
    </row>
    <row r="2671" spans="1:11" x14ac:dyDescent="0.3">
      <c r="A2671" t="s">
        <v>2688</v>
      </c>
      <c r="B2671" t="s">
        <v>9</v>
      </c>
      <c r="C2671" t="s">
        <v>10</v>
      </c>
      <c r="D2671" t="s">
        <v>16</v>
      </c>
      <c r="E2671">
        <v>20.05</v>
      </c>
      <c r="F2671">
        <v>4</v>
      </c>
      <c r="G2671">
        <v>80.2</v>
      </c>
      <c r="H2671" t="s">
        <v>12</v>
      </c>
      <c r="I2671" t="str">
        <f t="shared" si="124"/>
        <v>Low Value</v>
      </c>
      <c r="J2671" t="str">
        <f t="shared" si="125"/>
        <v>High Risk</v>
      </c>
      <c r="K2671" s="3" t="str">
        <f t="shared" si="123"/>
        <v>0-1 Year</v>
      </c>
    </row>
    <row r="2672" spans="1:11" x14ac:dyDescent="0.3">
      <c r="A2672" t="s">
        <v>2689</v>
      </c>
      <c r="B2672" t="s">
        <v>14</v>
      </c>
      <c r="C2672" t="s">
        <v>30</v>
      </c>
      <c r="D2672" t="s">
        <v>16</v>
      </c>
      <c r="E2672">
        <v>20.7</v>
      </c>
      <c r="F2672">
        <v>42</v>
      </c>
      <c r="G2672">
        <v>869.4</v>
      </c>
      <c r="H2672" t="s">
        <v>12</v>
      </c>
      <c r="I2672" t="str">
        <f t="shared" si="124"/>
        <v>Low Value</v>
      </c>
      <c r="J2672" t="str">
        <f t="shared" si="125"/>
        <v>Low Risk</v>
      </c>
      <c r="K2672" s="3" t="str">
        <f t="shared" si="123"/>
        <v>2-4 Years</v>
      </c>
    </row>
    <row r="2673" spans="1:11" x14ac:dyDescent="0.3">
      <c r="A2673" t="s">
        <v>2690</v>
      </c>
      <c r="B2673" t="s">
        <v>9</v>
      </c>
      <c r="C2673" t="s">
        <v>15</v>
      </c>
      <c r="D2673" t="s">
        <v>16</v>
      </c>
      <c r="E2673">
        <v>20.350000000000001</v>
      </c>
      <c r="F2673">
        <v>29</v>
      </c>
      <c r="G2673">
        <v>590.15</v>
      </c>
      <c r="H2673" t="s">
        <v>12</v>
      </c>
      <c r="I2673" t="str">
        <f t="shared" si="124"/>
        <v>Low Value</v>
      </c>
      <c r="J2673" t="str">
        <f t="shared" si="125"/>
        <v>Low Risk</v>
      </c>
      <c r="K2673" s="3" t="str">
        <f t="shared" si="123"/>
        <v>2-4 Years</v>
      </c>
    </row>
    <row r="2674" spans="1:11" x14ac:dyDescent="0.3">
      <c r="A2674" t="s">
        <v>2691</v>
      </c>
      <c r="B2674" t="s">
        <v>9</v>
      </c>
      <c r="C2674" t="s">
        <v>10</v>
      </c>
      <c r="D2674" t="s">
        <v>24</v>
      </c>
      <c r="E2674">
        <v>70.05</v>
      </c>
      <c r="F2674">
        <v>4</v>
      </c>
      <c r="G2674">
        <v>280.2</v>
      </c>
      <c r="H2674" t="s">
        <v>18</v>
      </c>
      <c r="I2674" t="str">
        <f t="shared" si="124"/>
        <v>Low Value</v>
      </c>
      <c r="J2674" t="str">
        <f t="shared" si="125"/>
        <v>High Risk</v>
      </c>
      <c r="K2674" s="3" t="str">
        <f t="shared" si="123"/>
        <v>0-1 Year</v>
      </c>
    </row>
    <row r="2675" spans="1:11" x14ac:dyDescent="0.3">
      <c r="A2675" t="s">
        <v>2692</v>
      </c>
      <c r="B2675" t="s">
        <v>14</v>
      </c>
      <c r="C2675" t="s">
        <v>15</v>
      </c>
      <c r="D2675" t="s">
        <v>16</v>
      </c>
      <c r="E2675">
        <v>19.7</v>
      </c>
      <c r="F2675">
        <v>30</v>
      </c>
      <c r="G2675">
        <v>591</v>
      </c>
      <c r="H2675" t="s">
        <v>12</v>
      </c>
      <c r="I2675" t="str">
        <f t="shared" si="124"/>
        <v>Low Value</v>
      </c>
      <c r="J2675" t="str">
        <f t="shared" si="125"/>
        <v>Low Risk</v>
      </c>
      <c r="K2675" s="3" t="str">
        <f t="shared" si="123"/>
        <v>2-4 Years</v>
      </c>
    </row>
    <row r="2676" spans="1:11" x14ac:dyDescent="0.3">
      <c r="A2676" t="s">
        <v>2693</v>
      </c>
      <c r="B2676" t="s">
        <v>14</v>
      </c>
      <c r="C2676" t="s">
        <v>10</v>
      </c>
      <c r="D2676" t="s">
        <v>11</v>
      </c>
      <c r="E2676">
        <v>74.650000000000006</v>
      </c>
      <c r="F2676">
        <v>4</v>
      </c>
      <c r="G2676">
        <v>298.60000000000002</v>
      </c>
      <c r="H2676" t="s">
        <v>18</v>
      </c>
      <c r="I2676" t="str">
        <f t="shared" si="124"/>
        <v>Low Value</v>
      </c>
      <c r="J2676" t="str">
        <f t="shared" si="125"/>
        <v>High Risk</v>
      </c>
      <c r="K2676" s="3" t="str">
        <f t="shared" si="123"/>
        <v>0-1 Year</v>
      </c>
    </row>
    <row r="2677" spans="1:11" x14ac:dyDescent="0.3">
      <c r="A2677" t="s">
        <v>2694</v>
      </c>
      <c r="B2677" t="s">
        <v>14</v>
      </c>
      <c r="C2677" t="s">
        <v>30</v>
      </c>
      <c r="D2677" t="s">
        <v>20</v>
      </c>
      <c r="E2677">
        <v>85.45</v>
      </c>
      <c r="F2677">
        <v>71</v>
      </c>
      <c r="G2677">
        <v>6066.95</v>
      </c>
      <c r="H2677" t="s">
        <v>12</v>
      </c>
      <c r="I2677" t="str">
        <f t="shared" si="124"/>
        <v>High Value</v>
      </c>
      <c r="J2677" t="str">
        <f t="shared" si="125"/>
        <v>Low Risk</v>
      </c>
      <c r="K2677" s="3" t="str">
        <f t="shared" si="123"/>
        <v>4+ Years</v>
      </c>
    </row>
    <row r="2678" spans="1:11" x14ac:dyDescent="0.3">
      <c r="A2678" t="s">
        <v>2695</v>
      </c>
      <c r="B2678" t="s">
        <v>14</v>
      </c>
      <c r="C2678" t="s">
        <v>30</v>
      </c>
      <c r="D2678" t="s">
        <v>24</v>
      </c>
      <c r="E2678">
        <v>40.4</v>
      </c>
      <c r="F2678">
        <v>46</v>
      </c>
      <c r="G2678">
        <v>1858.3999999999901</v>
      </c>
      <c r="H2678" t="s">
        <v>12</v>
      </c>
      <c r="I2678" t="str">
        <f t="shared" si="124"/>
        <v>Low Value</v>
      </c>
      <c r="J2678" t="str">
        <f t="shared" si="125"/>
        <v>Low Risk</v>
      </c>
      <c r="K2678" s="3" t="str">
        <f t="shared" si="123"/>
        <v>2-4 Years</v>
      </c>
    </row>
    <row r="2679" spans="1:11" x14ac:dyDescent="0.3">
      <c r="A2679" t="s">
        <v>2696</v>
      </c>
      <c r="B2679" t="s">
        <v>14</v>
      </c>
      <c r="C2679" t="s">
        <v>10</v>
      </c>
      <c r="D2679" t="s">
        <v>16</v>
      </c>
      <c r="E2679">
        <v>50.4</v>
      </c>
      <c r="F2679">
        <v>4</v>
      </c>
      <c r="G2679">
        <v>201.6</v>
      </c>
      <c r="H2679" t="s">
        <v>18</v>
      </c>
      <c r="I2679" t="str">
        <f t="shared" si="124"/>
        <v>Low Value</v>
      </c>
      <c r="J2679" t="str">
        <f t="shared" si="125"/>
        <v>High Risk</v>
      </c>
      <c r="K2679" s="3" t="str">
        <f t="shared" si="123"/>
        <v>0-1 Year</v>
      </c>
    </row>
    <row r="2680" spans="1:11" x14ac:dyDescent="0.3">
      <c r="A2680" t="s">
        <v>2697</v>
      </c>
      <c r="B2680" t="s">
        <v>9</v>
      </c>
      <c r="C2680" t="s">
        <v>10</v>
      </c>
      <c r="D2680" t="s">
        <v>16</v>
      </c>
      <c r="E2680">
        <v>79.650000000000006</v>
      </c>
      <c r="F2680">
        <v>7</v>
      </c>
      <c r="G2680">
        <v>557.54999999999995</v>
      </c>
      <c r="H2680" t="s">
        <v>18</v>
      </c>
      <c r="I2680" t="str">
        <f t="shared" si="124"/>
        <v>Low Value</v>
      </c>
      <c r="J2680" t="str">
        <f t="shared" si="125"/>
        <v>High Risk</v>
      </c>
      <c r="K2680" s="3" t="str">
        <f t="shared" si="123"/>
        <v>0-1 Year</v>
      </c>
    </row>
    <row r="2681" spans="1:11" x14ac:dyDescent="0.3">
      <c r="A2681" t="s">
        <v>2698</v>
      </c>
      <c r="B2681" t="s">
        <v>14</v>
      </c>
      <c r="C2681" t="s">
        <v>15</v>
      </c>
      <c r="D2681" t="s">
        <v>20</v>
      </c>
      <c r="E2681">
        <v>105.2</v>
      </c>
      <c r="F2681">
        <v>69</v>
      </c>
      <c r="G2681">
        <v>7258.8</v>
      </c>
      <c r="H2681" t="s">
        <v>12</v>
      </c>
      <c r="I2681" t="str">
        <f t="shared" si="124"/>
        <v>High Value</v>
      </c>
      <c r="J2681" t="str">
        <f t="shared" si="125"/>
        <v>Low Risk</v>
      </c>
      <c r="K2681" s="3" t="str">
        <f t="shared" si="123"/>
        <v>4+ Years</v>
      </c>
    </row>
    <row r="2682" spans="1:11" x14ac:dyDescent="0.3">
      <c r="A2682" t="s">
        <v>2699</v>
      </c>
      <c r="B2682" t="s">
        <v>9</v>
      </c>
      <c r="C2682" t="s">
        <v>30</v>
      </c>
      <c r="D2682" t="s">
        <v>20</v>
      </c>
      <c r="E2682">
        <v>100.65</v>
      </c>
      <c r="F2682">
        <v>72</v>
      </c>
      <c r="G2682">
        <v>7246.8</v>
      </c>
      <c r="H2682" t="s">
        <v>12</v>
      </c>
      <c r="I2682" t="str">
        <f t="shared" si="124"/>
        <v>High Value</v>
      </c>
      <c r="J2682" t="str">
        <f t="shared" si="125"/>
        <v>Low Risk</v>
      </c>
      <c r="K2682" s="3" t="str">
        <f t="shared" si="123"/>
        <v>4+ Years</v>
      </c>
    </row>
    <row r="2683" spans="1:11" x14ac:dyDescent="0.3">
      <c r="A2683" t="s">
        <v>2700</v>
      </c>
      <c r="B2683" t="s">
        <v>14</v>
      </c>
      <c r="C2683" t="s">
        <v>10</v>
      </c>
      <c r="D2683" t="s">
        <v>11</v>
      </c>
      <c r="E2683">
        <v>79.849999999999994</v>
      </c>
      <c r="F2683">
        <v>19</v>
      </c>
      <c r="G2683">
        <v>1517.1499999999901</v>
      </c>
      <c r="H2683" t="s">
        <v>18</v>
      </c>
      <c r="I2683" t="str">
        <f t="shared" si="124"/>
        <v>Low Value</v>
      </c>
      <c r="J2683" t="str">
        <f t="shared" si="125"/>
        <v>Medium Risk</v>
      </c>
      <c r="K2683" s="3" t="str">
        <f t="shared" si="123"/>
        <v>1-2 Years</v>
      </c>
    </row>
    <row r="2684" spans="1:11" x14ac:dyDescent="0.3">
      <c r="A2684" t="s">
        <v>2701</v>
      </c>
      <c r="B2684" t="s">
        <v>14</v>
      </c>
      <c r="C2684" t="s">
        <v>10</v>
      </c>
      <c r="D2684" t="s">
        <v>11</v>
      </c>
      <c r="E2684">
        <v>91</v>
      </c>
      <c r="F2684">
        <v>28</v>
      </c>
      <c r="G2684">
        <v>2548</v>
      </c>
      <c r="H2684" t="s">
        <v>12</v>
      </c>
      <c r="I2684" t="str">
        <f t="shared" si="124"/>
        <v>Medium Value</v>
      </c>
      <c r="J2684" t="str">
        <f t="shared" si="125"/>
        <v>Low Risk</v>
      </c>
      <c r="K2684" s="3" t="str">
        <f t="shared" si="123"/>
        <v>2-4 Years</v>
      </c>
    </row>
    <row r="2685" spans="1:11" x14ac:dyDescent="0.3">
      <c r="A2685" t="s">
        <v>2702</v>
      </c>
      <c r="B2685" t="s">
        <v>14</v>
      </c>
      <c r="C2685" t="s">
        <v>10</v>
      </c>
      <c r="D2685" t="s">
        <v>11</v>
      </c>
      <c r="E2685">
        <v>78.75</v>
      </c>
      <c r="F2685">
        <v>5</v>
      </c>
      <c r="G2685">
        <v>393.75</v>
      </c>
      <c r="H2685" t="s">
        <v>18</v>
      </c>
      <c r="I2685" t="str">
        <f t="shared" si="124"/>
        <v>Low Value</v>
      </c>
      <c r="J2685" t="str">
        <f t="shared" si="125"/>
        <v>High Risk</v>
      </c>
      <c r="K2685" s="3" t="str">
        <f t="shared" si="123"/>
        <v>0-1 Year</v>
      </c>
    </row>
    <row r="2686" spans="1:11" x14ac:dyDescent="0.3">
      <c r="A2686" t="s">
        <v>2703</v>
      </c>
      <c r="B2686" t="s">
        <v>9</v>
      </c>
      <c r="C2686" t="s">
        <v>30</v>
      </c>
      <c r="D2686" t="s">
        <v>24</v>
      </c>
      <c r="E2686">
        <v>116.75</v>
      </c>
      <c r="F2686">
        <v>72</v>
      </c>
      <c r="G2686">
        <v>8406</v>
      </c>
      <c r="H2686" t="s">
        <v>12</v>
      </c>
      <c r="I2686" t="str">
        <f t="shared" si="124"/>
        <v>High Value</v>
      </c>
      <c r="J2686" t="str">
        <f t="shared" si="125"/>
        <v>Low Risk</v>
      </c>
      <c r="K2686" s="3" t="str">
        <f t="shared" si="123"/>
        <v>4+ Years</v>
      </c>
    </row>
    <row r="2687" spans="1:11" x14ac:dyDescent="0.3">
      <c r="A2687" t="s">
        <v>2704</v>
      </c>
      <c r="B2687" t="s">
        <v>14</v>
      </c>
      <c r="C2687" t="s">
        <v>10</v>
      </c>
      <c r="D2687" t="s">
        <v>24</v>
      </c>
      <c r="E2687">
        <v>80.45</v>
      </c>
      <c r="F2687">
        <v>8</v>
      </c>
      <c r="G2687">
        <v>643.6</v>
      </c>
      <c r="H2687" t="s">
        <v>18</v>
      </c>
      <c r="I2687" t="str">
        <f t="shared" si="124"/>
        <v>Low Value</v>
      </c>
      <c r="J2687" t="str">
        <f t="shared" si="125"/>
        <v>High Risk</v>
      </c>
      <c r="K2687" s="3" t="str">
        <f t="shared" si="123"/>
        <v>0-1 Year</v>
      </c>
    </row>
    <row r="2688" spans="1:11" x14ac:dyDescent="0.3">
      <c r="A2688" t="s">
        <v>2705</v>
      </c>
      <c r="B2688" t="s">
        <v>9</v>
      </c>
      <c r="C2688" t="s">
        <v>15</v>
      </c>
      <c r="D2688" t="s">
        <v>11</v>
      </c>
      <c r="E2688">
        <v>59.1</v>
      </c>
      <c r="F2688">
        <v>7</v>
      </c>
      <c r="G2688">
        <v>413.7</v>
      </c>
      <c r="H2688" t="s">
        <v>12</v>
      </c>
      <c r="I2688" t="str">
        <f t="shared" si="124"/>
        <v>Low Value</v>
      </c>
      <c r="J2688" t="str">
        <f t="shared" si="125"/>
        <v>High Risk</v>
      </c>
      <c r="K2688" s="3" t="str">
        <f t="shared" si="123"/>
        <v>0-1 Year</v>
      </c>
    </row>
    <row r="2689" spans="1:11" x14ac:dyDescent="0.3">
      <c r="A2689" t="s">
        <v>2706</v>
      </c>
      <c r="B2689" t="s">
        <v>9</v>
      </c>
      <c r="C2689" t="s">
        <v>10</v>
      </c>
      <c r="D2689" t="s">
        <v>11</v>
      </c>
      <c r="E2689">
        <v>49.8</v>
      </c>
      <c r="F2689">
        <v>22</v>
      </c>
      <c r="G2689">
        <v>1095.5999999999999</v>
      </c>
      <c r="H2689" t="s">
        <v>12</v>
      </c>
      <c r="I2689" t="str">
        <f t="shared" si="124"/>
        <v>Low Value</v>
      </c>
      <c r="J2689" t="str">
        <f t="shared" si="125"/>
        <v>Medium Risk</v>
      </c>
      <c r="K2689" s="3" t="str">
        <f t="shared" si="123"/>
        <v>1-2 Years</v>
      </c>
    </row>
    <row r="2690" spans="1:11" x14ac:dyDescent="0.3">
      <c r="A2690" t="s">
        <v>2707</v>
      </c>
      <c r="B2690" t="s">
        <v>14</v>
      </c>
      <c r="C2690" t="s">
        <v>30</v>
      </c>
      <c r="D2690" t="s">
        <v>20</v>
      </c>
      <c r="E2690">
        <v>19.3</v>
      </c>
      <c r="F2690">
        <v>72</v>
      </c>
      <c r="G2690">
        <v>1389.6</v>
      </c>
      <c r="H2690" t="s">
        <v>12</v>
      </c>
      <c r="I2690" t="str">
        <f t="shared" si="124"/>
        <v>Low Value</v>
      </c>
      <c r="J2690" t="str">
        <f t="shared" si="125"/>
        <v>Low Risk</v>
      </c>
      <c r="K2690" s="3" t="str">
        <f t="shared" si="123"/>
        <v>4+ Years</v>
      </c>
    </row>
    <row r="2691" spans="1:11" x14ac:dyDescent="0.3">
      <c r="A2691" t="s">
        <v>2708</v>
      </c>
      <c r="B2691" t="s">
        <v>14</v>
      </c>
      <c r="C2691" t="s">
        <v>10</v>
      </c>
      <c r="D2691" t="s">
        <v>24</v>
      </c>
      <c r="E2691">
        <v>19.649999999999999</v>
      </c>
      <c r="F2691">
        <v>8</v>
      </c>
      <c r="G2691">
        <v>157.19999999999999</v>
      </c>
      <c r="H2691" t="s">
        <v>12</v>
      </c>
      <c r="I2691" t="str">
        <f t="shared" si="124"/>
        <v>Low Value</v>
      </c>
      <c r="J2691" t="str">
        <f t="shared" si="125"/>
        <v>High Risk</v>
      </c>
      <c r="K2691" s="3" t="str">
        <f t="shared" ref="K2691:K2754" si="126">IF(F2691&lt;=12,"0-1 Year",
IF(F2691&lt;=24,"1-2 Years",
IF(F2691&lt;=48,"2-4 Years","4+ Years")))</f>
        <v>0-1 Year</v>
      </c>
    </row>
    <row r="2692" spans="1:11" x14ac:dyDescent="0.3">
      <c r="A2692" t="s">
        <v>2709</v>
      </c>
      <c r="B2692" t="s">
        <v>14</v>
      </c>
      <c r="C2692" t="s">
        <v>15</v>
      </c>
      <c r="D2692" t="s">
        <v>24</v>
      </c>
      <c r="E2692">
        <v>81.400000000000006</v>
      </c>
      <c r="F2692">
        <v>52</v>
      </c>
      <c r="G2692">
        <v>4232.8</v>
      </c>
      <c r="H2692" t="s">
        <v>12</v>
      </c>
      <c r="I2692" t="str">
        <f t="shared" ref="I2692:I2755" si="127">IF(G2692&gt;5000,"High Value",
IF(G2692&gt;2000,"Medium Value","Low Value"))</f>
        <v>Medium Value</v>
      </c>
      <c r="J2692" t="str">
        <f t="shared" ref="J2692:J2755" si="128">IF(F2692&lt;12,"High Risk",
IF(F2692&lt;24,"Medium Risk","Low Risk"))</f>
        <v>Low Risk</v>
      </c>
      <c r="K2692" s="3" t="str">
        <f t="shared" si="126"/>
        <v>4+ Years</v>
      </c>
    </row>
    <row r="2693" spans="1:11" x14ac:dyDescent="0.3">
      <c r="A2693" t="s">
        <v>2710</v>
      </c>
      <c r="B2693" t="s">
        <v>9</v>
      </c>
      <c r="C2693" t="s">
        <v>30</v>
      </c>
      <c r="D2693" t="s">
        <v>16</v>
      </c>
      <c r="E2693">
        <v>38.9</v>
      </c>
      <c r="F2693">
        <v>68</v>
      </c>
      <c r="G2693">
        <v>2645.2</v>
      </c>
      <c r="H2693" t="s">
        <v>12</v>
      </c>
      <c r="I2693" t="str">
        <f t="shared" si="127"/>
        <v>Medium Value</v>
      </c>
      <c r="J2693" t="str">
        <f t="shared" si="128"/>
        <v>Low Risk</v>
      </c>
      <c r="K2693" s="3" t="str">
        <f t="shared" si="126"/>
        <v>4+ Years</v>
      </c>
    </row>
    <row r="2694" spans="1:11" x14ac:dyDescent="0.3">
      <c r="A2694" t="s">
        <v>2711</v>
      </c>
      <c r="B2694" t="s">
        <v>9</v>
      </c>
      <c r="C2694" t="s">
        <v>30</v>
      </c>
      <c r="D2694" t="s">
        <v>20</v>
      </c>
      <c r="E2694">
        <v>87.95</v>
      </c>
      <c r="F2694">
        <v>71</v>
      </c>
      <c r="G2694">
        <v>6244.45</v>
      </c>
      <c r="H2694" t="s">
        <v>12</v>
      </c>
      <c r="I2694" t="str">
        <f t="shared" si="127"/>
        <v>High Value</v>
      </c>
      <c r="J2694" t="str">
        <f t="shared" si="128"/>
        <v>Low Risk</v>
      </c>
      <c r="K2694" s="3" t="str">
        <f t="shared" si="126"/>
        <v>4+ Years</v>
      </c>
    </row>
    <row r="2695" spans="1:11" x14ac:dyDescent="0.3">
      <c r="A2695" t="s">
        <v>2712</v>
      </c>
      <c r="B2695" t="s">
        <v>14</v>
      </c>
      <c r="C2695" t="s">
        <v>10</v>
      </c>
      <c r="D2695" t="s">
        <v>16</v>
      </c>
      <c r="E2695">
        <v>19.850000000000001</v>
      </c>
      <c r="F2695">
        <v>2</v>
      </c>
      <c r="G2695">
        <v>39.700000000000003</v>
      </c>
      <c r="H2695" t="s">
        <v>12</v>
      </c>
      <c r="I2695" t="str">
        <f t="shared" si="127"/>
        <v>Low Value</v>
      </c>
      <c r="J2695" t="str">
        <f t="shared" si="128"/>
        <v>High Risk</v>
      </c>
      <c r="K2695" s="3" t="str">
        <f t="shared" si="126"/>
        <v>0-1 Year</v>
      </c>
    </row>
    <row r="2696" spans="1:11" x14ac:dyDescent="0.3">
      <c r="A2696" t="s">
        <v>2713</v>
      </c>
      <c r="B2696" t="s">
        <v>9</v>
      </c>
      <c r="C2696" t="s">
        <v>10</v>
      </c>
      <c r="D2696" t="s">
        <v>11</v>
      </c>
      <c r="E2696">
        <v>96.35</v>
      </c>
      <c r="F2696">
        <v>34</v>
      </c>
      <c r="G2696">
        <v>3275.8999999999901</v>
      </c>
      <c r="H2696" t="s">
        <v>12</v>
      </c>
      <c r="I2696" t="str">
        <f t="shared" si="127"/>
        <v>Medium Value</v>
      </c>
      <c r="J2696" t="str">
        <f t="shared" si="128"/>
        <v>Low Risk</v>
      </c>
      <c r="K2696" s="3" t="str">
        <f t="shared" si="126"/>
        <v>2-4 Years</v>
      </c>
    </row>
    <row r="2697" spans="1:11" x14ac:dyDescent="0.3">
      <c r="A2697" t="s">
        <v>2714</v>
      </c>
      <c r="B2697" t="s">
        <v>9</v>
      </c>
      <c r="C2697" t="s">
        <v>10</v>
      </c>
      <c r="D2697" t="s">
        <v>11</v>
      </c>
      <c r="E2697">
        <v>24.15</v>
      </c>
      <c r="F2697">
        <v>35</v>
      </c>
      <c r="G2697">
        <v>845.25</v>
      </c>
      <c r="H2697" t="s">
        <v>12</v>
      </c>
      <c r="I2697" t="str">
        <f t="shared" si="127"/>
        <v>Low Value</v>
      </c>
      <c r="J2697" t="str">
        <f t="shared" si="128"/>
        <v>Low Risk</v>
      </c>
      <c r="K2697" s="3" t="str">
        <f t="shared" si="126"/>
        <v>2-4 Years</v>
      </c>
    </row>
    <row r="2698" spans="1:11" x14ac:dyDescent="0.3">
      <c r="A2698" t="s">
        <v>2715</v>
      </c>
      <c r="B2698" t="s">
        <v>9</v>
      </c>
      <c r="C2698" t="s">
        <v>15</v>
      </c>
      <c r="D2698" t="s">
        <v>24</v>
      </c>
      <c r="E2698">
        <v>19.100000000000001</v>
      </c>
      <c r="F2698">
        <v>61</v>
      </c>
      <c r="G2698">
        <v>1165.0999999999999</v>
      </c>
      <c r="H2698" t="s">
        <v>12</v>
      </c>
      <c r="I2698" t="str">
        <f t="shared" si="127"/>
        <v>Low Value</v>
      </c>
      <c r="J2698" t="str">
        <f t="shared" si="128"/>
        <v>Low Risk</v>
      </c>
      <c r="K2698" s="3" t="str">
        <f t="shared" si="126"/>
        <v>4+ Years</v>
      </c>
    </row>
    <row r="2699" spans="1:11" x14ac:dyDescent="0.3">
      <c r="A2699" t="s">
        <v>2716</v>
      </c>
      <c r="B2699" t="s">
        <v>14</v>
      </c>
      <c r="C2699" t="s">
        <v>10</v>
      </c>
      <c r="D2699" t="s">
        <v>11</v>
      </c>
      <c r="E2699">
        <v>44</v>
      </c>
      <c r="F2699">
        <v>1</v>
      </c>
      <c r="G2699">
        <v>44</v>
      </c>
      <c r="H2699" t="s">
        <v>12</v>
      </c>
      <c r="I2699" t="str">
        <f t="shared" si="127"/>
        <v>Low Value</v>
      </c>
      <c r="J2699" t="str">
        <f t="shared" si="128"/>
        <v>High Risk</v>
      </c>
      <c r="K2699" s="3" t="str">
        <f t="shared" si="126"/>
        <v>0-1 Year</v>
      </c>
    </row>
    <row r="2700" spans="1:11" x14ac:dyDescent="0.3">
      <c r="A2700" t="s">
        <v>2717</v>
      </c>
      <c r="B2700" t="s">
        <v>9</v>
      </c>
      <c r="C2700" t="s">
        <v>10</v>
      </c>
      <c r="D2700" t="s">
        <v>16</v>
      </c>
      <c r="E2700">
        <v>50.1</v>
      </c>
      <c r="F2700">
        <v>1</v>
      </c>
      <c r="G2700">
        <v>50.1</v>
      </c>
      <c r="H2700" t="s">
        <v>18</v>
      </c>
      <c r="I2700" t="str">
        <f t="shared" si="127"/>
        <v>Low Value</v>
      </c>
      <c r="J2700" t="str">
        <f t="shared" si="128"/>
        <v>High Risk</v>
      </c>
      <c r="K2700" s="3" t="str">
        <f t="shared" si="126"/>
        <v>0-1 Year</v>
      </c>
    </row>
    <row r="2701" spans="1:11" x14ac:dyDescent="0.3">
      <c r="A2701" t="s">
        <v>2718</v>
      </c>
      <c r="B2701" t="s">
        <v>9</v>
      </c>
      <c r="C2701" t="s">
        <v>15</v>
      </c>
      <c r="D2701" t="s">
        <v>24</v>
      </c>
      <c r="E2701">
        <v>60.6</v>
      </c>
      <c r="F2701">
        <v>53</v>
      </c>
      <c r="G2701">
        <v>3211.8</v>
      </c>
      <c r="H2701" t="s">
        <v>12</v>
      </c>
      <c r="I2701" t="str">
        <f t="shared" si="127"/>
        <v>Medium Value</v>
      </c>
      <c r="J2701" t="str">
        <f t="shared" si="128"/>
        <v>Low Risk</v>
      </c>
      <c r="K2701" s="3" t="str">
        <f t="shared" si="126"/>
        <v>4+ Years</v>
      </c>
    </row>
    <row r="2702" spans="1:11" x14ac:dyDescent="0.3">
      <c r="A2702" t="s">
        <v>2719</v>
      </c>
      <c r="B2702" t="s">
        <v>9</v>
      </c>
      <c r="C2702" t="s">
        <v>30</v>
      </c>
      <c r="D2702" t="s">
        <v>20</v>
      </c>
      <c r="E2702">
        <v>25.65</v>
      </c>
      <c r="F2702">
        <v>72</v>
      </c>
      <c r="G2702">
        <v>1846.8</v>
      </c>
      <c r="H2702" t="s">
        <v>12</v>
      </c>
      <c r="I2702" t="str">
        <f t="shared" si="127"/>
        <v>Low Value</v>
      </c>
      <c r="J2702" t="str">
        <f t="shared" si="128"/>
        <v>Low Risk</v>
      </c>
      <c r="K2702" s="3" t="str">
        <f t="shared" si="126"/>
        <v>4+ Years</v>
      </c>
    </row>
    <row r="2703" spans="1:11" x14ac:dyDescent="0.3">
      <c r="A2703" t="s">
        <v>2720</v>
      </c>
      <c r="B2703" t="s">
        <v>14</v>
      </c>
      <c r="C2703" t="s">
        <v>10</v>
      </c>
      <c r="D2703" t="s">
        <v>11</v>
      </c>
      <c r="E2703">
        <v>76.400000000000006</v>
      </c>
      <c r="F2703">
        <v>2</v>
      </c>
      <c r="G2703">
        <v>152.80000000000001</v>
      </c>
      <c r="H2703" t="s">
        <v>18</v>
      </c>
      <c r="I2703" t="str">
        <f t="shared" si="127"/>
        <v>Low Value</v>
      </c>
      <c r="J2703" t="str">
        <f t="shared" si="128"/>
        <v>High Risk</v>
      </c>
      <c r="K2703" s="3" t="str">
        <f t="shared" si="126"/>
        <v>0-1 Year</v>
      </c>
    </row>
    <row r="2704" spans="1:11" x14ac:dyDescent="0.3">
      <c r="A2704" t="s">
        <v>2721</v>
      </c>
      <c r="B2704" t="s">
        <v>14</v>
      </c>
      <c r="C2704" t="s">
        <v>10</v>
      </c>
      <c r="D2704" t="s">
        <v>11</v>
      </c>
      <c r="E2704">
        <v>98.7</v>
      </c>
      <c r="F2704">
        <v>3</v>
      </c>
      <c r="G2704">
        <v>296.10000000000002</v>
      </c>
      <c r="H2704" t="s">
        <v>18</v>
      </c>
      <c r="I2704" t="str">
        <f t="shared" si="127"/>
        <v>Low Value</v>
      </c>
      <c r="J2704" t="str">
        <f t="shared" si="128"/>
        <v>High Risk</v>
      </c>
      <c r="K2704" s="3" t="str">
        <f t="shared" si="126"/>
        <v>0-1 Year</v>
      </c>
    </row>
    <row r="2705" spans="1:11" x14ac:dyDescent="0.3">
      <c r="A2705" t="s">
        <v>2722</v>
      </c>
      <c r="B2705" t="s">
        <v>9</v>
      </c>
      <c r="C2705" t="s">
        <v>10</v>
      </c>
      <c r="D2705" t="s">
        <v>11</v>
      </c>
      <c r="E2705">
        <v>100.8</v>
      </c>
      <c r="F2705">
        <v>13</v>
      </c>
      <c r="G2705">
        <v>1310.3999999999901</v>
      </c>
      <c r="H2705" t="s">
        <v>18</v>
      </c>
      <c r="I2705" t="str">
        <f t="shared" si="127"/>
        <v>Low Value</v>
      </c>
      <c r="J2705" t="str">
        <f t="shared" si="128"/>
        <v>Medium Risk</v>
      </c>
      <c r="K2705" s="3" t="str">
        <f t="shared" si="126"/>
        <v>1-2 Years</v>
      </c>
    </row>
    <row r="2706" spans="1:11" x14ac:dyDescent="0.3">
      <c r="A2706" t="s">
        <v>2723</v>
      </c>
      <c r="B2706" t="s">
        <v>14</v>
      </c>
      <c r="C2706" t="s">
        <v>10</v>
      </c>
      <c r="D2706" t="s">
        <v>11</v>
      </c>
      <c r="E2706">
        <v>53.95</v>
      </c>
      <c r="F2706">
        <v>41</v>
      </c>
      <c r="G2706">
        <v>2211.9499999999998</v>
      </c>
      <c r="H2706" t="s">
        <v>12</v>
      </c>
      <c r="I2706" t="str">
        <f t="shared" si="127"/>
        <v>Medium Value</v>
      </c>
      <c r="J2706" t="str">
        <f t="shared" si="128"/>
        <v>Low Risk</v>
      </c>
      <c r="K2706" s="3" t="str">
        <f t="shared" si="126"/>
        <v>2-4 Years</v>
      </c>
    </row>
    <row r="2707" spans="1:11" x14ac:dyDescent="0.3">
      <c r="A2707" t="s">
        <v>2724</v>
      </c>
      <c r="B2707" t="s">
        <v>9</v>
      </c>
      <c r="C2707" t="s">
        <v>15</v>
      </c>
      <c r="D2707" t="s">
        <v>24</v>
      </c>
      <c r="E2707">
        <v>20.399999999999999</v>
      </c>
      <c r="F2707">
        <v>24</v>
      </c>
      <c r="G2707">
        <v>489.599999999999</v>
      </c>
      <c r="H2707" t="s">
        <v>12</v>
      </c>
      <c r="I2707" t="str">
        <f t="shared" si="127"/>
        <v>Low Value</v>
      </c>
      <c r="J2707" t="str">
        <f t="shared" si="128"/>
        <v>Low Risk</v>
      </c>
      <c r="K2707" s="3" t="str">
        <f t="shared" si="126"/>
        <v>1-2 Years</v>
      </c>
    </row>
    <row r="2708" spans="1:11" x14ac:dyDescent="0.3">
      <c r="A2708" t="s">
        <v>2725</v>
      </c>
      <c r="B2708" t="s">
        <v>9</v>
      </c>
      <c r="C2708" t="s">
        <v>15</v>
      </c>
      <c r="D2708" t="s">
        <v>20</v>
      </c>
      <c r="E2708">
        <v>90.1</v>
      </c>
      <c r="F2708">
        <v>28</v>
      </c>
      <c r="G2708">
        <v>2522.7999999999902</v>
      </c>
      <c r="H2708" t="s">
        <v>18</v>
      </c>
      <c r="I2708" t="str">
        <f t="shared" si="127"/>
        <v>Medium Value</v>
      </c>
      <c r="J2708" t="str">
        <f t="shared" si="128"/>
        <v>Low Risk</v>
      </c>
      <c r="K2708" s="3" t="str">
        <f t="shared" si="126"/>
        <v>2-4 Years</v>
      </c>
    </row>
    <row r="2709" spans="1:11" x14ac:dyDescent="0.3">
      <c r="A2709" t="s">
        <v>2726</v>
      </c>
      <c r="B2709" t="s">
        <v>14</v>
      </c>
      <c r="C2709" t="s">
        <v>10</v>
      </c>
      <c r="D2709" t="s">
        <v>16</v>
      </c>
      <c r="E2709">
        <v>29.35</v>
      </c>
      <c r="F2709">
        <v>8</v>
      </c>
      <c r="G2709">
        <v>234.8</v>
      </c>
      <c r="H2709" t="s">
        <v>12</v>
      </c>
      <c r="I2709" t="str">
        <f t="shared" si="127"/>
        <v>Low Value</v>
      </c>
      <c r="J2709" t="str">
        <f t="shared" si="128"/>
        <v>High Risk</v>
      </c>
      <c r="K2709" s="3" t="str">
        <f t="shared" si="126"/>
        <v>0-1 Year</v>
      </c>
    </row>
    <row r="2710" spans="1:11" x14ac:dyDescent="0.3">
      <c r="A2710" t="s">
        <v>2727</v>
      </c>
      <c r="B2710" t="s">
        <v>14</v>
      </c>
      <c r="C2710" t="s">
        <v>10</v>
      </c>
      <c r="D2710" t="s">
        <v>16</v>
      </c>
      <c r="E2710">
        <v>20.45</v>
      </c>
      <c r="F2710">
        <v>1</v>
      </c>
      <c r="G2710">
        <v>20.45</v>
      </c>
      <c r="H2710" t="s">
        <v>12</v>
      </c>
      <c r="I2710" t="str">
        <f t="shared" si="127"/>
        <v>Low Value</v>
      </c>
      <c r="J2710" t="str">
        <f t="shared" si="128"/>
        <v>High Risk</v>
      </c>
      <c r="K2710" s="3" t="str">
        <f t="shared" si="126"/>
        <v>0-1 Year</v>
      </c>
    </row>
    <row r="2711" spans="1:11" x14ac:dyDescent="0.3">
      <c r="A2711" t="s">
        <v>2728</v>
      </c>
      <c r="B2711" t="s">
        <v>9</v>
      </c>
      <c r="C2711" t="s">
        <v>30</v>
      </c>
      <c r="D2711" t="s">
        <v>20</v>
      </c>
      <c r="E2711">
        <v>95.1</v>
      </c>
      <c r="F2711">
        <v>54</v>
      </c>
      <c r="G2711">
        <v>5135.3999999999996</v>
      </c>
      <c r="H2711" t="s">
        <v>12</v>
      </c>
      <c r="I2711" t="str">
        <f t="shared" si="127"/>
        <v>High Value</v>
      </c>
      <c r="J2711" t="str">
        <f t="shared" si="128"/>
        <v>Low Risk</v>
      </c>
      <c r="K2711" s="3" t="str">
        <f t="shared" si="126"/>
        <v>4+ Years</v>
      </c>
    </row>
    <row r="2712" spans="1:11" x14ac:dyDescent="0.3">
      <c r="A2712" t="s">
        <v>2729</v>
      </c>
      <c r="B2712" t="s">
        <v>14</v>
      </c>
      <c r="C2712" t="s">
        <v>10</v>
      </c>
      <c r="D2712" t="s">
        <v>20</v>
      </c>
      <c r="E2712">
        <v>25.25</v>
      </c>
      <c r="F2712">
        <v>41</v>
      </c>
      <c r="G2712">
        <v>1035.25</v>
      </c>
      <c r="H2712" t="s">
        <v>12</v>
      </c>
      <c r="I2712" t="str">
        <f t="shared" si="127"/>
        <v>Low Value</v>
      </c>
      <c r="J2712" t="str">
        <f t="shared" si="128"/>
        <v>Low Risk</v>
      </c>
      <c r="K2712" s="3" t="str">
        <f t="shared" si="126"/>
        <v>2-4 Years</v>
      </c>
    </row>
    <row r="2713" spans="1:11" x14ac:dyDescent="0.3">
      <c r="A2713" t="s">
        <v>2730</v>
      </c>
      <c r="B2713" t="s">
        <v>9</v>
      </c>
      <c r="C2713" t="s">
        <v>10</v>
      </c>
      <c r="D2713" t="s">
        <v>16</v>
      </c>
      <c r="E2713">
        <v>44.9</v>
      </c>
      <c r="F2713">
        <v>19</v>
      </c>
      <c r="G2713">
        <v>853.1</v>
      </c>
      <c r="H2713" t="s">
        <v>12</v>
      </c>
      <c r="I2713" t="str">
        <f t="shared" si="127"/>
        <v>Low Value</v>
      </c>
      <c r="J2713" t="str">
        <f t="shared" si="128"/>
        <v>Medium Risk</v>
      </c>
      <c r="K2713" s="3" t="str">
        <f t="shared" si="126"/>
        <v>1-2 Years</v>
      </c>
    </row>
    <row r="2714" spans="1:11" x14ac:dyDescent="0.3">
      <c r="A2714" t="s">
        <v>2731</v>
      </c>
      <c r="B2714" t="s">
        <v>9</v>
      </c>
      <c r="C2714" t="s">
        <v>30</v>
      </c>
      <c r="D2714" t="s">
        <v>20</v>
      </c>
      <c r="E2714">
        <v>92.65</v>
      </c>
      <c r="F2714">
        <v>72</v>
      </c>
      <c r="G2714">
        <v>6670.8</v>
      </c>
      <c r="H2714" t="s">
        <v>12</v>
      </c>
      <c r="I2714" t="str">
        <f t="shared" si="127"/>
        <v>High Value</v>
      </c>
      <c r="J2714" t="str">
        <f t="shared" si="128"/>
        <v>Low Risk</v>
      </c>
      <c r="K2714" s="3" t="str">
        <f t="shared" si="126"/>
        <v>4+ Years</v>
      </c>
    </row>
    <row r="2715" spans="1:11" x14ac:dyDescent="0.3">
      <c r="A2715" t="s">
        <v>2732</v>
      </c>
      <c r="B2715" t="s">
        <v>14</v>
      </c>
      <c r="C2715" t="s">
        <v>30</v>
      </c>
      <c r="D2715" t="s">
        <v>20</v>
      </c>
      <c r="E2715">
        <v>43.7</v>
      </c>
      <c r="F2715">
        <v>62</v>
      </c>
      <c r="G2715">
        <v>2709.4</v>
      </c>
      <c r="H2715" t="s">
        <v>12</v>
      </c>
      <c r="I2715" t="str">
        <f t="shared" si="127"/>
        <v>Medium Value</v>
      </c>
      <c r="J2715" t="str">
        <f t="shared" si="128"/>
        <v>Low Risk</v>
      </c>
      <c r="K2715" s="3" t="str">
        <f t="shared" si="126"/>
        <v>4+ Years</v>
      </c>
    </row>
    <row r="2716" spans="1:11" x14ac:dyDescent="0.3">
      <c r="A2716" t="s">
        <v>2733</v>
      </c>
      <c r="B2716" t="s">
        <v>9</v>
      </c>
      <c r="C2716" t="s">
        <v>30</v>
      </c>
      <c r="D2716" t="s">
        <v>24</v>
      </c>
      <c r="E2716">
        <v>72.599999999999994</v>
      </c>
      <c r="F2716">
        <v>56</v>
      </c>
      <c r="G2716">
        <v>4065.5999999999899</v>
      </c>
      <c r="H2716" t="s">
        <v>12</v>
      </c>
      <c r="I2716" t="str">
        <f t="shared" si="127"/>
        <v>Medium Value</v>
      </c>
      <c r="J2716" t="str">
        <f t="shared" si="128"/>
        <v>Low Risk</v>
      </c>
      <c r="K2716" s="3" t="str">
        <f t="shared" si="126"/>
        <v>4+ Years</v>
      </c>
    </row>
    <row r="2717" spans="1:11" x14ac:dyDescent="0.3">
      <c r="A2717" t="s">
        <v>2734</v>
      </c>
      <c r="B2717" t="s">
        <v>14</v>
      </c>
      <c r="C2717" t="s">
        <v>10</v>
      </c>
      <c r="D2717" t="s">
        <v>11</v>
      </c>
      <c r="E2717">
        <v>51.55</v>
      </c>
      <c r="F2717">
        <v>15</v>
      </c>
      <c r="G2717">
        <v>773.25</v>
      </c>
      <c r="H2717" t="s">
        <v>18</v>
      </c>
      <c r="I2717" t="str">
        <f t="shared" si="127"/>
        <v>Low Value</v>
      </c>
      <c r="J2717" t="str">
        <f t="shared" si="128"/>
        <v>Medium Risk</v>
      </c>
      <c r="K2717" s="3" t="str">
        <f t="shared" si="126"/>
        <v>1-2 Years</v>
      </c>
    </row>
    <row r="2718" spans="1:11" x14ac:dyDescent="0.3">
      <c r="A2718" t="s">
        <v>2735</v>
      </c>
      <c r="B2718" t="s">
        <v>14</v>
      </c>
      <c r="C2718" t="s">
        <v>10</v>
      </c>
      <c r="D2718" t="s">
        <v>11</v>
      </c>
      <c r="E2718">
        <v>79.25</v>
      </c>
      <c r="F2718">
        <v>10</v>
      </c>
      <c r="G2718">
        <v>792.5</v>
      </c>
      <c r="H2718" t="s">
        <v>18</v>
      </c>
      <c r="I2718" t="str">
        <f t="shared" si="127"/>
        <v>Low Value</v>
      </c>
      <c r="J2718" t="str">
        <f t="shared" si="128"/>
        <v>High Risk</v>
      </c>
      <c r="K2718" s="3" t="str">
        <f t="shared" si="126"/>
        <v>0-1 Year</v>
      </c>
    </row>
    <row r="2719" spans="1:11" x14ac:dyDescent="0.3">
      <c r="A2719" t="s">
        <v>2736</v>
      </c>
      <c r="B2719" t="s">
        <v>14</v>
      </c>
      <c r="C2719" t="s">
        <v>30</v>
      </c>
      <c r="D2719" t="s">
        <v>16</v>
      </c>
      <c r="E2719">
        <v>18.95</v>
      </c>
      <c r="F2719">
        <v>32</v>
      </c>
      <c r="G2719">
        <v>606.4</v>
      </c>
      <c r="H2719" t="s">
        <v>12</v>
      </c>
      <c r="I2719" t="str">
        <f t="shared" si="127"/>
        <v>Low Value</v>
      </c>
      <c r="J2719" t="str">
        <f t="shared" si="128"/>
        <v>Low Risk</v>
      </c>
      <c r="K2719" s="3" t="str">
        <f t="shared" si="126"/>
        <v>2-4 Years</v>
      </c>
    </row>
    <row r="2720" spans="1:11" x14ac:dyDescent="0.3">
      <c r="A2720" t="s">
        <v>2737</v>
      </c>
      <c r="B2720" t="s">
        <v>14</v>
      </c>
      <c r="C2720" t="s">
        <v>10</v>
      </c>
      <c r="D2720" t="s">
        <v>24</v>
      </c>
      <c r="E2720">
        <v>20.5</v>
      </c>
      <c r="F2720">
        <v>21</v>
      </c>
      <c r="G2720">
        <v>430.5</v>
      </c>
      <c r="H2720" t="s">
        <v>12</v>
      </c>
      <c r="I2720" t="str">
        <f t="shared" si="127"/>
        <v>Low Value</v>
      </c>
      <c r="J2720" t="str">
        <f t="shared" si="128"/>
        <v>Medium Risk</v>
      </c>
      <c r="K2720" s="3" t="str">
        <f t="shared" si="126"/>
        <v>1-2 Years</v>
      </c>
    </row>
    <row r="2721" spans="1:11" x14ac:dyDescent="0.3">
      <c r="A2721" t="s">
        <v>2738</v>
      </c>
      <c r="B2721" t="s">
        <v>14</v>
      </c>
      <c r="C2721" t="s">
        <v>15</v>
      </c>
      <c r="D2721" t="s">
        <v>20</v>
      </c>
      <c r="E2721">
        <v>19.95</v>
      </c>
      <c r="F2721">
        <v>62</v>
      </c>
      <c r="G2721">
        <v>1236.8999999999901</v>
      </c>
      <c r="H2721" t="s">
        <v>12</v>
      </c>
      <c r="I2721" t="str">
        <f t="shared" si="127"/>
        <v>Low Value</v>
      </c>
      <c r="J2721" t="str">
        <f t="shared" si="128"/>
        <v>Low Risk</v>
      </c>
      <c r="K2721" s="3" t="str">
        <f t="shared" si="126"/>
        <v>4+ Years</v>
      </c>
    </row>
    <row r="2722" spans="1:11" x14ac:dyDescent="0.3">
      <c r="A2722" t="s">
        <v>2739</v>
      </c>
      <c r="B2722" t="s">
        <v>9</v>
      </c>
      <c r="C2722" t="s">
        <v>10</v>
      </c>
      <c r="D2722" t="s">
        <v>11</v>
      </c>
      <c r="E2722">
        <v>24.5</v>
      </c>
      <c r="F2722">
        <v>2</v>
      </c>
      <c r="G2722">
        <v>49</v>
      </c>
      <c r="H2722" t="s">
        <v>12</v>
      </c>
      <c r="I2722" t="str">
        <f t="shared" si="127"/>
        <v>Low Value</v>
      </c>
      <c r="J2722" t="str">
        <f t="shared" si="128"/>
        <v>High Risk</v>
      </c>
      <c r="K2722" s="3" t="str">
        <f t="shared" si="126"/>
        <v>0-1 Year</v>
      </c>
    </row>
    <row r="2723" spans="1:11" x14ac:dyDescent="0.3">
      <c r="A2723" t="s">
        <v>2740</v>
      </c>
      <c r="B2723" t="s">
        <v>14</v>
      </c>
      <c r="C2723" t="s">
        <v>30</v>
      </c>
      <c r="D2723" t="s">
        <v>16</v>
      </c>
      <c r="E2723">
        <v>20.6</v>
      </c>
      <c r="F2723">
        <v>27</v>
      </c>
      <c r="G2723">
        <v>556.20000000000005</v>
      </c>
      <c r="H2723" t="s">
        <v>12</v>
      </c>
      <c r="I2723" t="str">
        <f t="shared" si="127"/>
        <v>Low Value</v>
      </c>
      <c r="J2723" t="str">
        <f t="shared" si="128"/>
        <v>Low Risk</v>
      </c>
      <c r="K2723" s="3" t="str">
        <f t="shared" si="126"/>
        <v>2-4 Years</v>
      </c>
    </row>
    <row r="2724" spans="1:11" x14ac:dyDescent="0.3">
      <c r="A2724" t="s">
        <v>2741</v>
      </c>
      <c r="B2724" t="s">
        <v>14</v>
      </c>
      <c r="C2724" t="s">
        <v>10</v>
      </c>
      <c r="D2724" t="s">
        <v>20</v>
      </c>
      <c r="E2724">
        <v>94.85</v>
      </c>
      <c r="F2724">
        <v>5</v>
      </c>
      <c r="G2724">
        <v>474.25</v>
      </c>
      <c r="H2724" t="s">
        <v>18</v>
      </c>
      <c r="I2724" t="str">
        <f t="shared" si="127"/>
        <v>Low Value</v>
      </c>
      <c r="J2724" t="str">
        <f t="shared" si="128"/>
        <v>High Risk</v>
      </c>
      <c r="K2724" s="3" t="str">
        <f t="shared" si="126"/>
        <v>0-1 Year</v>
      </c>
    </row>
    <row r="2725" spans="1:11" x14ac:dyDescent="0.3">
      <c r="A2725" t="s">
        <v>2742</v>
      </c>
      <c r="B2725" t="s">
        <v>9</v>
      </c>
      <c r="C2725" t="s">
        <v>15</v>
      </c>
      <c r="D2725" t="s">
        <v>11</v>
      </c>
      <c r="E2725">
        <v>61.05</v>
      </c>
      <c r="F2725">
        <v>25</v>
      </c>
      <c r="G2725">
        <v>1526.25</v>
      </c>
      <c r="H2725" t="s">
        <v>12</v>
      </c>
      <c r="I2725" t="str">
        <f t="shared" si="127"/>
        <v>Low Value</v>
      </c>
      <c r="J2725" t="str">
        <f t="shared" si="128"/>
        <v>Low Risk</v>
      </c>
      <c r="K2725" s="3" t="str">
        <f t="shared" si="126"/>
        <v>2-4 Years</v>
      </c>
    </row>
    <row r="2726" spans="1:11" x14ac:dyDescent="0.3">
      <c r="A2726" t="s">
        <v>2743</v>
      </c>
      <c r="B2726" t="s">
        <v>9</v>
      </c>
      <c r="C2726" t="s">
        <v>10</v>
      </c>
      <c r="D2726" t="s">
        <v>11</v>
      </c>
      <c r="E2726">
        <v>85.7</v>
      </c>
      <c r="F2726">
        <v>2</v>
      </c>
      <c r="G2726">
        <v>171.4</v>
      </c>
      <c r="H2726" t="s">
        <v>18</v>
      </c>
      <c r="I2726" t="str">
        <f t="shared" si="127"/>
        <v>Low Value</v>
      </c>
      <c r="J2726" t="str">
        <f t="shared" si="128"/>
        <v>High Risk</v>
      </c>
      <c r="K2726" s="3" t="str">
        <f t="shared" si="126"/>
        <v>0-1 Year</v>
      </c>
    </row>
    <row r="2727" spans="1:11" x14ac:dyDescent="0.3">
      <c r="A2727" t="s">
        <v>2744</v>
      </c>
      <c r="B2727" t="s">
        <v>14</v>
      </c>
      <c r="C2727" t="s">
        <v>15</v>
      </c>
      <c r="D2727" t="s">
        <v>20</v>
      </c>
      <c r="E2727">
        <v>106.65</v>
      </c>
      <c r="F2727">
        <v>49</v>
      </c>
      <c r="G2727">
        <v>5225.8500000000004</v>
      </c>
      <c r="H2727" t="s">
        <v>12</v>
      </c>
      <c r="I2727" t="str">
        <f t="shared" si="127"/>
        <v>High Value</v>
      </c>
      <c r="J2727" t="str">
        <f t="shared" si="128"/>
        <v>Low Risk</v>
      </c>
      <c r="K2727" s="3" t="str">
        <f t="shared" si="126"/>
        <v>4+ Years</v>
      </c>
    </row>
    <row r="2728" spans="1:11" x14ac:dyDescent="0.3">
      <c r="A2728" t="s">
        <v>2745</v>
      </c>
      <c r="B2728" t="s">
        <v>9</v>
      </c>
      <c r="C2728" t="s">
        <v>10</v>
      </c>
      <c r="D2728" t="s">
        <v>24</v>
      </c>
      <c r="E2728">
        <v>108.25</v>
      </c>
      <c r="F2728">
        <v>63</v>
      </c>
      <c r="G2728">
        <v>6819.75</v>
      </c>
      <c r="H2728" t="s">
        <v>12</v>
      </c>
      <c r="I2728" t="str">
        <f t="shared" si="127"/>
        <v>High Value</v>
      </c>
      <c r="J2728" t="str">
        <f t="shared" si="128"/>
        <v>Low Risk</v>
      </c>
      <c r="K2728" s="3" t="str">
        <f t="shared" si="126"/>
        <v>4+ Years</v>
      </c>
    </row>
    <row r="2729" spans="1:11" x14ac:dyDescent="0.3">
      <c r="A2729" t="s">
        <v>2746</v>
      </c>
      <c r="B2729" t="s">
        <v>9</v>
      </c>
      <c r="C2729" t="s">
        <v>10</v>
      </c>
      <c r="D2729" t="s">
        <v>24</v>
      </c>
      <c r="E2729">
        <v>20.399999999999999</v>
      </c>
      <c r="F2729">
        <v>4</v>
      </c>
      <c r="G2729">
        <v>81.599999999999994</v>
      </c>
      <c r="H2729" t="s">
        <v>12</v>
      </c>
      <c r="I2729" t="str">
        <f t="shared" si="127"/>
        <v>Low Value</v>
      </c>
      <c r="J2729" t="str">
        <f t="shared" si="128"/>
        <v>High Risk</v>
      </c>
      <c r="K2729" s="3" t="str">
        <f t="shared" si="126"/>
        <v>0-1 Year</v>
      </c>
    </row>
    <row r="2730" spans="1:11" x14ac:dyDescent="0.3">
      <c r="A2730" t="s">
        <v>2747</v>
      </c>
      <c r="B2730" t="s">
        <v>9</v>
      </c>
      <c r="C2730" t="s">
        <v>10</v>
      </c>
      <c r="D2730" t="s">
        <v>16</v>
      </c>
      <c r="E2730">
        <v>55.3</v>
      </c>
      <c r="F2730">
        <v>1</v>
      </c>
      <c r="G2730">
        <v>55.3</v>
      </c>
      <c r="H2730" t="s">
        <v>12</v>
      </c>
      <c r="I2730" t="str">
        <f t="shared" si="127"/>
        <v>Low Value</v>
      </c>
      <c r="J2730" t="str">
        <f t="shared" si="128"/>
        <v>High Risk</v>
      </c>
      <c r="K2730" s="3" t="str">
        <f t="shared" si="126"/>
        <v>0-1 Year</v>
      </c>
    </row>
    <row r="2731" spans="1:11" x14ac:dyDescent="0.3">
      <c r="A2731" t="s">
        <v>2748</v>
      </c>
      <c r="B2731" t="s">
        <v>14</v>
      </c>
      <c r="C2731" t="s">
        <v>10</v>
      </c>
      <c r="D2731" t="s">
        <v>16</v>
      </c>
      <c r="E2731">
        <v>20.25</v>
      </c>
      <c r="F2731">
        <v>11</v>
      </c>
      <c r="G2731">
        <v>222.75</v>
      </c>
      <c r="H2731" t="s">
        <v>12</v>
      </c>
      <c r="I2731" t="str">
        <f t="shared" si="127"/>
        <v>Low Value</v>
      </c>
      <c r="J2731" t="str">
        <f t="shared" si="128"/>
        <v>High Risk</v>
      </c>
      <c r="K2731" s="3" t="str">
        <f t="shared" si="126"/>
        <v>0-1 Year</v>
      </c>
    </row>
    <row r="2732" spans="1:11" x14ac:dyDescent="0.3">
      <c r="A2732" t="s">
        <v>2749</v>
      </c>
      <c r="B2732" t="s">
        <v>14</v>
      </c>
      <c r="C2732" t="s">
        <v>10</v>
      </c>
      <c r="D2732" t="s">
        <v>20</v>
      </c>
      <c r="E2732">
        <v>72.95</v>
      </c>
      <c r="F2732">
        <v>52</v>
      </c>
      <c r="G2732">
        <v>3793.4</v>
      </c>
      <c r="H2732" t="s">
        <v>12</v>
      </c>
      <c r="I2732" t="str">
        <f t="shared" si="127"/>
        <v>Medium Value</v>
      </c>
      <c r="J2732" t="str">
        <f t="shared" si="128"/>
        <v>Low Risk</v>
      </c>
      <c r="K2732" s="3" t="str">
        <f t="shared" si="126"/>
        <v>4+ Years</v>
      </c>
    </row>
    <row r="2733" spans="1:11" x14ac:dyDescent="0.3">
      <c r="A2733" t="s">
        <v>2750</v>
      </c>
      <c r="B2733" t="s">
        <v>9</v>
      </c>
      <c r="C2733" t="s">
        <v>10</v>
      </c>
      <c r="D2733" t="s">
        <v>11</v>
      </c>
      <c r="E2733">
        <v>89.45</v>
      </c>
      <c r="F2733">
        <v>60</v>
      </c>
      <c r="G2733">
        <v>5367</v>
      </c>
      <c r="H2733" t="s">
        <v>12</v>
      </c>
      <c r="I2733" t="str">
        <f t="shared" si="127"/>
        <v>High Value</v>
      </c>
      <c r="J2733" t="str">
        <f t="shared" si="128"/>
        <v>Low Risk</v>
      </c>
      <c r="K2733" s="3" t="str">
        <f t="shared" si="126"/>
        <v>4+ Years</v>
      </c>
    </row>
    <row r="2734" spans="1:11" x14ac:dyDescent="0.3">
      <c r="A2734" t="s">
        <v>2751</v>
      </c>
      <c r="B2734" t="s">
        <v>14</v>
      </c>
      <c r="C2734" t="s">
        <v>15</v>
      </c>
      <c r="D2734" t="s">
        <v>24</v>
      </c>
      <c r="E2734">
        <v>104.65</v>
      </c>
      <c r="F2734">
        <v>64</v>
      </c>
      <c r="G2734">
        <v>6697.6</v>
      </c>
      <c r="H2734" t="s">
        <v>12</v>
      </c>
      <c r="I2734" t="str">
        <f t="shared" si="127"/>
        <v>High Value</v>
      </c>
      <c r="J2734" t="str">
        <f t="shared" si="128"/>
        <v>Low Risk</v>
      </c>
      <c r="K2734" s="3" t="str">
        <f t="shared" si="126"/>
        <v>4+ Years</v>
      </c>
    </row>
    <row r="2735" spans="1:11" x14ac:dyDescent="0.3">
      <c r="A2735" t="s">
        <v>2752</v>
      </c>
      <c r="B2735" t="s">
        <v>9</v>
      </c>
      <c r="C2735" t="s">
        <v>30</v>
      </c>
      <c r="D2735" t="s">
        <v>20</v>
      </c>
      <c r="E2735">
        <v>75.2</v>
      </c>
      <c r="F2735">
        <v>43</v>
      </c>
      <c r="G2735">
        <v>3233.6</v>
      </c>
      <c r="H2735" t="s">
        <v>12</v>
      </c>
      <c r="I2735" t="str">
        <f t="shared" si="127"/>
        <v>Medium Value</v>
      </c>
      <c r="J2735" t="str">
        <f t="shared" si="128"/>
        <v>Low Risk</v>
      </c>
      <c r="K2735" s="3" t="str">
        <f t="shared" si="126"/>
        <v>2-4 Years</v>
      </c>
    </row>
    <row r="2736" spans="1:11" x14ac:dyDescent="0.3">
      <c r="A2736" t="s">
        <v>2753</v>
      </c>
      <c r="B2736" t="s">
        <v>9</v>
      </c>
      <c r="C2736" t="s">
        <v>15</v>
      </c>
      <c r="D2736" t="s">
        <v>20</v>
      </c>
      <c r="E2736">
        <v>101.15</v>
      </c>
      <c r="F2736">
        <v>61</v>
      </c>
      <c r="G2736">
        <v>6170.15</v>
      </c>
      <c r="H2736" t="s">
        <v>12</v>
      </c>
      <c r="I2736" t="str">
        <f t="shared" si="127"/>
        <v>High Value</v>
      </c>
      <c r="J2736" t="str">
        <f t="shared" si="128"/>
        <v>Low Risk</v>
      </c>
      <c r="K2736" s="3" t="str">
        <f t="shared" si="126"/>
        <v>4+ Years</v>
      </c>
    </row>
    <row r="2737" spans="1:11" x14ac:dyDescent="0.3">
      <c r="A2737" t="s">
        <v>2754</v>
      </c>
      <c r="B2737" t="s">
        <v>9</v>
      </c>
      <c r="C2737" t="s">
        <v>10</v>
      </c>
      <c r="D2737" t="s">
        <v>16</v>
      </c>
      <c r="E2737">
        <v>44.4</v>
      </c>
      <c r="F2737">
        <v>1</v>
      </c>
      <c r="G2737">
        <v>44.4</v>
      </c>
      <c r="H2737" t="s">
        <v>18</v>
      </c>
      <c r="I2737" t="str">
        <f t="shared" si="127"/>
        <v>Low Value</v>
      </c>
      <c r="J2737" t="str">
        <f t="shared" si="128"/>
        <v>High Risk</v>
      </c>
      <c r="K2737" s="3" t="str">
        <f t="shared" si="126"/>
        <v>0-1 Year</v>
      </c>
    </row>
    <row r="2738" spans="1:11" x14ac:dyDescent="0.3">
      <c r="A2738" t="s">
        <v>2755</v>
      </c>
      <c r="B2738" t="s">
        <v>14</v>
      </c>
      <c r="C2738" t="s">
        <v>10</v>
      </c>
      <c r="D2738" t="s">
        <v>11</v>
      </c>
      <c r="E2738">
        <v>89.5</v>
      </c>
      <c r="F2738">
        <v>5</v>
      </c>
      <c r="G2738">
        <v>447.5</v>
      </c>
      <c r="H2738" t="s">
        <v>18</v>
      </c>
      <c r="I2738" t="str">
        <f t="shared" si="127"/>
        <v>Low Value</v>
      </c>
      <c r="J2738" t="str">
        <f t="shared" si="128"/>
        <v>High Risk</v>
      </c>
      <c r="K2738" s="3" t="str">
        <f t="shared" si="126"/>
        <v>0-1 Year</v>
      </c>
    </row>
    <row r="2739" spans="1:11" x14ac:dyDescent="0.3">
      <c r="A2739" t="s">
        <v>2756</v>
      </c>
      <c r="B2739" t="s">
        <v>14</v>
      </c>
      <c r="C2739" t="s">
        <v>30</v>
      </c>
      <c r="D2739" t="s">
        <v>20</v>
      </c>
      <c r="E2739">
        <v>68.75</v>
      </c>
      <c r="F2739">
        <v>66</v>
      </c>
      <c r="G2739">
        <v>4537.5</v>
      </c>
      <c r="H2739" t="s">
        <v>12</v>
      </c>
      <c r="I2739" t="str">
        <f t="shared" si="127"/>
        <v>Medium Value</v>
      </c>
      <c r="J2739" t="str">
        <f t="shared" si="128"/>
        <v>Low Risk</v>
      </c>
      <c r="K2739" s="3" t="str">
        <f t="shared" si="126"/>
        <v>4+ Years</v>
      </c>
    </row>
    <row r="2740" spans="1:11" x14ac:dyDescent="0.3">
      <c r="A2740" t="s">
        <v>2757</v>
      </c>
      <c r="B2740" t="s">
        <v>14</v>
      </c>
      <c r="C2740" t="s">
        <v>30</v>
      </c>
      <c r="D2740" t="s">
        <v>11</v>
      </c>
      <c r="E2740">
        <v>111.05</v>
      </c>
      <c r="F2740">
        <v>67</v>
      </c>
      <c r="G2740">
        <v>7440.3499999999904</v>
      </c>
      <c r="H2740" t="s">
        <v>12</v>
      </c>
      <c r="I2740" t="str">
        <f t="shared" si="127"/>
        <v>High Value</v>
      </c>
      <c r="J2740" t="str">
        <f t="shared" si="128"/>
        <v>Low Risk</v>
      </c>
      <c r="K2740" s="3" t="str">
        <f t="shared" si="126"/>
        <v>4+ Years</v>
      </c>
    </row>
    <row r="2741" spans="1:11" x14ac:dyDescent="0.3">
      <c r="A2741" t="s">
        <v>2758</v>
      </c>
      <c r="B2741" t="s">
        <v>9</v>
      </c>
      <c r="C2741" t="s">
        <v>30</v>
      </c>
      <c r="D2741" t="s">
        <v>24</v>
      </c>
      <c r="E2741">
        <v>99</v>
      </c>
      <c r="F2741">
        <v>42</v>
      </c>
      <c r="G2741">
        <v>4158</v>
      </c>
      <c r="H2741" t="s">
        <v>12</v>
      </c>
      <c r="I2741" t="str">
        <f t="shared" si="127"/>
        <v>Medium Value</v>
      </c>
      <c r="J2741" t="str">
        <f t="shared" si="128"/>
        <v>Low Risk</v>
      </c>
      <c r="K2741" s="3" t="str">
        <f t="shared" si="126"/>
        <v>2-4 Years</v>
      </c>
    </row>
    <row r="2742" spans="1:11" x14ac:dyDescent="0.3">
      <c r="A2742" t="s">
        <v>2759</v>
      </c>
      <c r="B2742" t="s">
        <v>14</v>
      </c>
      <c r="C2742" t="s">
        <v>10</v>
      </c>
      <c r="D2742" t="s">
        <v>11</v>
      </c>
      <c r="E2742">
        <v>86.05</v>
      </c>
      <c r="F2742">
        <v>1</v>
      </c>
      <c r="G2742">
        <v>86.05</v>
      </c>
      <c r="H2742" t="s">
        <v>18</v>
      </c>
      <c r="I2742" t="str">
        <f t="shared" si="127"/>
        <v>Low Value</v>
      </c>
      <c r="J2742" t="str">
        <f t="shared" si="128"/>
        <v>High Risk</v>
      </c>
      <c r="K2742" s="3" t="str">
        <f t="shared" si="126"/>
        <v>0-1 Year</v>
      </c>
    </row>
    <row r="2743" spans="1:11" x14ac:dyDescent="0.3">
      <c r="A2743" t="s">
        <v>2760</v>
      </c>
      <c r="B2743" t="s">
        <v>9</v>
      </c>
      <c r="C2743" t="s">
        <v>30</v>
      </c>
      <c r="D2743" t="s">
        <v>16</v>
      </c>
      <c r="E2743">
        <v>21</v>
      </c>
      <c r="F2743">
        <v>31</v>
      </c>
      <c r="G2743">
        <v>651</v>
      </c>
      <c r="H2743" t="s">
        <v>12</v>
      </c>
      <c r="I2743" t="str">
        <f t="shared" si="127"/>
        <v>Low Value</v>
      </c>
      <c r="J2743" t="str">
        <f t="shared" si="128"/>
        <v>Low Risk</v>
      </c>
      <c r="K2743" s="3" t="str">
        <f t="shared" si="126"/>
        <v>2-4 Years</v>
      </c>
    </row>
    <row r="2744" spans="1:11" x14ac:dyDescent="0.3">
      <c r="A2744" t="s">
        <v>2761</v>
      </c>
      <c r="B2744" t="s">
        <v>14</v>
      </c>
      <c r="C2744" t="s">
        <v>10</v>
      </c>
      <c r="D2744" t="s">
        <v>16</v>
      </c>
      <c r="E2744">
        <v>19.399999999999999</v>
      </c>
      <c r="F2744">
        <v>7</v>
      </c>
      <c r="G2744">
        <v>135.79999999999899</v>
      </c>
      <c r="H2744" t="s">
        <v>12</v>
      </c>
      <c r="I2744" t="str">
        <f t="shared" si="127"/>
        <v>Low Value</v>
      </c>
      <c r="J2744" t="str">
        <f t="shared" si="128"/>
        <v>High Risk</v>
      </c>
      <c r="K2744" s="3" t="str">
        <f t="shared" si="126"/>
        <v>0-1 Year</v>
      </c>
    </row>
    <row r="2745" spans="1:11" x14ac:dyDescent="0.3">
      <c r="A2745" t="s">
        <v>2762</v>
      </c>
      <c r="B2745" t="s">
        <v>14</v>
      </c>
      <c r="C2745" t="s">
        <v>10</v>
      </c>
      <c r="D2745" t="s">
        <v>11</v>
      </c>
      <c r="E2745">
        <v>44.55</v>
      </c>
      <c r="F2745">
        <v>4</v>
      </c>
      <c r="G2745">
        <v>178.2</v>
      </c>
      <c r="H2745" t="s">
        <v>18</v>
      </c>
      <c r="I2745" t="str">
        <f t="shared" si="127"/>
        <v>Low Value</v>
      </c>
      <c r="J2745" t="str">
        <f t="shared" si="128"/>
        <v>High Risk</v>
      </c>
      <c r="K2745" s="3" t="str">
        <f t="shared" si="126"/>
        <v>0-1 Year</v>
      </c>
    </row>
    <row r="2746" spans="1:11" x14ac:dyDescent="0.3">
      <c r="A2746" t="s">
        <v>2763</v>
      </c>
      <c r="B2746" t="s">
        <v>14</v>
      </c>
      <c r="C2746" t="s">
        <v>15</v>
      </c>
      <c r="D2746" t="s">
        <v>20</v>
      </c>
      <c r="E2746">
        <v>77.2</v>
      </c>
      <c r="F2746">
        <v>34</v>
      </c>
      <c r="G2746">
        <v>2624.8</v>
      </c>
      <c r="H2746" t="s">
        <v>12</v>
      </c>
      <c r="I2746" t="str">
        <f t="shared" si="127"/>
        <v>Medium Value</v>
      </c>
      <c r="J2746" t="str">
        <f t="shared" si="128"/>
        <v>Low Risk</v>
      </c>
      <c r="K2746" s="3" t="str">
        <f t="shared" si="126"/>
        <v>2-4 Years</v>
      </c>
    </row>
    <row r="2747" spans="1:11" x14ac:dyDescent="0.3">
      <c r="A2747" t="s">
        <v>2764</v>
      </c>
      <c r="B2747" t="s">
        <v>14</v>
      </c>
      <c r="C2747" t="s">
        <v>15</v>
      </c>
      <c r="D2747" t="s">
        <v>16</v>
      </c>
      <c r="E2747">
        <v>19.45</v>
      </c>
      <c r="F2747">
        <v>3</v>
      </c>
      <c r="G2747">
        <v>58.349999999999902</v>
      </c>
      <c r="H2747" t="s">
        <v>12</v>
      </c>
      <c r="I2747" t="str">
        <f t="shared" si="127"/>
        <v>Low Value</v>
      </c>
      <c r="J2747" t="str">
        <f t="shared" si="128"/>
        <v>High Risk</v>
      </c>
      <c r="K2747" s="3" t="str">
        <f t="shared" si="126"/>
        <v>0-1 Year</v>
      </c>
    </row>
    <row r="2748" spans="1:11" x14ac:dyDescent="0.3">
      <c r="A2748" t="s">
        <v>2765</v>
      </c>
      <c r="B2748" t="s">
        <v>9</v>
      </c>
      <c r="C2748" t="s">
        <v>10</v>
      </c>
      <c r="D2748" t="s">
        <v>16</v>
      </c>
      <c r="E2748">
        <v>24.85</v>
      </c>
      <c r="F2748">
        <v>19</v>
      </c>
      <c r="G2748">
        <v>472.15</v>
      </c>
      <c r="H2748" t="s">
        <v>12</v>
      </c>
      <c r="I2748" t="str">
        <f t="shared" si="127"/>
        <v>Low Value</v>
      </c>
      <c r="J2748" t="str">
        <f t="shared" si="128"/>
        <v>Medium Risk</v>
      </c>
      <c r="K2748" s="3" t="str">
        <f t="shared" si="126"/>
        <v>1-2 Years</v>
      </c>
    </row>
    <row r="2749" spans="1:11" x14ac:dyDescent="0.3">
      <c r="A2749" t="s">
        <v>2766</v>
      </c>
      <c r="B2749" t="s">
        <v>14</v>
      </c>
      <c r="C2749" t="s">
        <v>10</v>
      </c>
      <c r="D2749" t="s">
        <v>20</v>
      </c>
      <c r="E2749">
        <v>35.4</v>
      </c>
      <c r="F2749">
        <v>31</v>
      </c>
      <c r="G2749">
        <v>1097.3999999999901</v>
      </c>
      <c r="H2749" t="s">
        <v>18</v>
      </c>
      <c r="I2749" t="str">
        <f t="shared" si="127"/>
        <v>Low Value</v>
      </c>
      <c r="J2749" t="str">
        <f t="shared" si="128"/>
        <v>Low Risk</v>
      </c>
      <c r="K2749" s="3" t="str">
        <f t="shared" si="126"/>
        <v>2-4 Years</v>
      </c>
    </row>
    <row r="2750" spans="1:11" x14ac:dyDescent="0.3">
      <c r="A2750" t="s">
        <v>2767</v>
      </c>
      <c r="B2750" t="s">
        <v>9</v>
      </c>
      <c r="C2750" t="s">
        <v>10</v>
      </c>
      <c r="D2750" t="s">
        <v>16</v>
      </c>
      <c r="E2750">
        <v>95.65</v>
      </c>
      <c r="F2750">
        <v>1</v>
      </c>
      <c r="G2750">
        <v>95.65</v>
      </c>
      <c r="H2750" t="s">
        <v>18</v>
      </c>
      <c r="I2750" t="str">
        <f t="shared" si="127"/>
        <v>Low Value</v>
      </c>
      <c r="J2750" t="str">
        <f t="shared" si="128"/>
        <v>High Risk</v>
      </c>
      <c r="K2750" s="3" t="str">
        <f t="shared" si="126"/>
        <v>0-1 Year</v>
      </c>
    </row>
    <row r="2751" spans="1:11" x14ac:dyDescent="0.3">
      <c r="A2751" t="s">
        <v>2768</v>
      </c>
      <c r="B2751" t="s">
        <v>14</v>
      </c>
      <c r="C2751" t="s">
        <v>10</v>
      </c>
      <c r="D2751" t="s">
        <v>16</v>
      </c>
      <c r="E2751">
        <v>41.35</v>
      </c>
      <c r="F2751">
        <v>3</v>
      </c>
      <c r="G2751">
        <v>124.05</v>
      </c>
      <c r="H2751" t="s">
        <v>12</v>
      </c>
      <c r="I2751" t="str">
        <f t="shared" si="127"/>
        <v>Low Value</v>
      </c>
      <c r="J2751" t="str">
        <f t="shared" si="128"/>
        <v>High Risk</v>
      </c>
      <c r="K2751" s="3" t="str">
        <f t="shared" si="126"/>
        <v>0-1 Year</v>
      </c>
    </row>
    <row r="2752" spans="1:11" x14ac:dyDescent="0.3">
      <c r="A2752" t="s">
        <v>2769</v>
      </c>
      <c r="B2752" t="s">
        <v>14</v>
      </c>
      <c r="C2752" t="s">
        <v>10</v>
      </c>
      <c r="D2752" t="s">
        <v>11</v>
      </c>
      <c r="E2752">
        <v>19.600000000000001</v>
      </c>
      <c r="F2752">
        <v>46</v>
      </c>
      <c r="G2752">
        <v>901.6</v>
      </c>
      <c r="H2752" t="s">
        <v>12</v>
      </c>
      <c r="I2752" t="str">
        <f t="shared" si="127"/>
        <v>Low Value</v>
      </c>
      <c r="J2752" t="str">
        <f t="shared" si="128"/>
        <v>Low Risk</v>
      </c>
      <c r="K2752" s="3" t="str">
        <f t="shared" si="126"/>
        <v>2-4 Years</v>
      </c>
    </row>
    <row r="2753" spans="1:11" x14ac:dyDescent="0.3">
      <c r="A2753" t="s">
        <v>2770</v>
      </c>
      <c r="B2753" t="s">
        <v>9</v>
      </c>
      <c r="C2753" t="s">
        <v>10</v>
      </c>
      <c r="D2753" t="s">
        <v>16</v>
      </c>
      <c r="E2753">
        <v>20.95</v>
      </c>
      <c r="F2753">
        <v>1</v>
      </c>
      <c r="G2753">
        <v>20.95</v>
      </c>
      <c r="H2753" t="s">
        <v>18</v>
      </c>
      <c r="I2753" t="str">
        <f t="shared" si="127"/>
        <v>Low Value</v>
      </c>
      <c r="J2753" t="str">
        <f t="shared" si="128"/>
        <v>High Risk</v>
      </c>
      <c r="K2753" s="3" t="str">
        <f t="shared" si="126"/>
        <v>0-1 Year</v>
      </c>
    </row>
    <row r="2754" spans="1:11" x14ac:dyDescent="0.3">
      <c r="A2754" t="s">
        <v>2771</v>
      </c>
      <c r="B2754" t="s">
        <v>9</v>
      </c>
      <c r="C2754" t="s">
        <v>15</v>
      </c>
      <c r="D2754" t="s">
        <v>20</v>
      </c>
      <c r="E2754">
        <v>84.45</v>
      </c>
      <c r="F2754">
        <v>69</v>
      </c>
      <c r="G2754">
        <v>5827.05</v>
      </c>
      <c r="H2754" t="s">
        <v>12</v>
      </c>
      <c r="I2754" t="str">
        <f t="shared" si="127"/>
        <v>High Value</v>
      </c>
      <c r="J2754" t="str">
        <f t="shared" si="128"/>
        <v>Low Risk</v>
      </c>
      <c r="K2754" s="3" t="str">
        <f t="shared" si="126"/>
        <v>4+ Years</v>
      </c>
    </row>
    <row r="2755" spans="1:11" x14ac:dyDescent="0.3">
      <c r="A2755" t="s">
        <v>2772</v>
      </c>
      <c r="B2755" t="s">
        <v>14</v>
      </c>
      <c r="C2755" t="s">
        <v>10</v>
      </c>
      <c r="D2755" t="s">
        <v>16</v>
      </c>
      <c r="E2755">
        <v>20.25</v>
      </c>
      <c r="F2755">
        <v>5</v>
      </c>
      <c r="G2755">
        <v>101.25</v>
      </c>
      <c r="H2755" t="s">
        <v>12</v>
      </c>
      <c r="I2755" t="str">
        <f t="shared" si="127"/>
        <v>Low Value</v>
      </c>
      <c r="J2755" t="str">
        <f t="shared" si="128"/>
        <v>High Risk</v>
      </c>
      <c r="K2755" s="3" t="str">
        <f t="shared" ref="K2755:K2818" si="129">IF(F2755&lt;=12,"0-1 Year",
IF(F2755&lt;=24,"1-2 Years",
IF(F2755&lt;=48,"2-4 Years","4+ Years")))</f>
        <v>0-1 Year</v>
      </c>
    </row>
    <row r="2756" spans="1:11" x14ac:dyDescent="0.3">
      <c r="A2756" t="s">
        <v>2773</v>
      </c>
      <c r="B2756" t="s">
        <v>14</v>
      </c>
      <c r="C2756" t="s">
        <v>10</v>
      </c>
      <c r="D2756" t="s">
        <v>20</v>
      </c>
      <c r="E2756">
        <v>19.649999999999999</v>
      </c>
      <c r="F2756">
        <v>1</v>
      </c>
      <c r="G2756">
        <v>19.649999999999999</v>
      </c>
      <c r="H2756" t="s">
        <v>12</v>
      </c>
      <c r="I2756" t="str">
        <f t="shared" ref="I2756:I2819" si="130">IF(G2756&gt;5000,"High Value",
IF(G2756&gt;2000,"Medium Value","Low Value"))</f>
        <v>Low Value</v>
      </c>
      <c r="J2756" t="str">
        <f t="shared" ref="J2756:J2819" si="131">IF(F2756&lt;12,"High Risk",
IF(F2756&lt;24,"Medium Risk","Low Risk"))</f>
        <v>High Risk</v>
      </c>
      <c r="K2756" s="3" t="str">
        <f t="shared" si="129"/>
        <v>0-1 Year</v>
      </c>
    </row>
    <row r="2757" spans="1:11" x14ac:dyDescent="0.3">
      <c r="A2757" t="s">
        <v>2774</v>
      </c>
      <c r="B2757" t="s">
        <v>14</v>
      </c>
      <c r="C2757" t="s">
        <v>15</v>
      </c>
      <c r="D2757" t="s">
        <v>24</v>
      </c>
      <c r="E2757">
        <v>20.65</v>
      </c>
      <c r="F2757">
        <v>26</v>
      </c>
      <c r="G2757">
        <v>536.9</v>
      </c>
      <c r="H2757" t="s">
        <v>12</v>
      </c>
      <c r="I2757" t="str">
        <f t="shared" si="130"/>
        <v>Low Value</v>
      </c>
      <c r="J2757" t="str">
        <f t="shared" si="131"/>
        <v>Low Risk</v>
      </c>
      <c r="K2757" s="3" t="str">
        <f t="shared" si="129"/>
        <v>2-4 Years</v>
      </c>
    </row>
    <row r="2758" spans="1:11" x14ac:dyDescent="0.3">
      <c r="A2758" t="s">
        <v>2775</v>
      </c>
      <c r="B2758" t="s">
        <v>9</v>
      </c>
      <c r="C2758" t="s">
        <v>10</v>
      </c>
      <c r="D2758" t="s">
        <v>11</v>
      </c>
      <c r="E2758">
        <v>34.700000000000003</v>
      </c>
      <c r="F2758">
        <v>10</v>
      </c>
      <c r="G2758">
        <v>347</v>
      </c>
      <c r="H2758" t="s">
        <v>18</v>
      </c>
      <c r="I2758" t="str">
        <f t="shared" si="130"/>
        <v>Low Value</v>
      </c>
      <c r="J2758" t="str">
        <f t="shared" si="131"/>
        <v>High Risk</v>
      </c>
      <c r="K2758" s="3" t="str">
        <f t="shared" si="129"/>
        <v>0-1 Year</v>
      </c>
    </row>
    <row r="2759" spans="1:11" x14ac:dyDescent="0.3">
      <c r="A2759" t="s">
        <v>2776</v>
      </c>
      <c r="B2759" t="s">
        <v>14</v>
      </c>
      <c r="C2759" t="s">
        <v>30</v>
      </c>
      <c r="D2759" t="s">
        <v>20</v>
      </c>
      <c r="E2759">
        <v>99.3</v>
      </c>
      <c r="F2759">
        <v>25</v>
      </c>
      <c r="G2759">
        <v>2482.5</v>
      </c>
      <c r="H2759" t="s">
        <v>12</v>
      </c>
      <c r="I2759" t="str">
        <f t="shared" si="130"/>
        <v>Medium Value</v>
      </c>
      <c r="J2759" t="str">
        <f t="shared" si="131"/>
        <v>Low Risk</v>
      </c>
      <c r="K2759" s="3" t="str">
        <f t="shared" si="129"/>
        <v>2-4 Years</v>
      </c>
    </row>
    <row r="2760" spans="1:11" x14ac:dyDescent="0.3">
      <c r="A2760" t="s">
        <v>2777</v>
      </c>
      <c r="B2760" t="s">
        <v>14</v>
      </c>
      <c r="C2760" t="s">
        <v>10</v>
      </c>
      <c r="D2760" t="s">
        <v>11</v>
      </c>
      <c r="E2760">
        <v>81.05</v>
      </c>
      <c r="F2760">
        <v>64</v>
      </c>
      <c r="G2760">
        <v>5187.2</v>
      </c>
      <c r="H2760" t="s">
        <v>12</v>
      </c>
      <c r="I2760" t="str">
        <f t="shared" si="130"/>
        <v>High Value</v>
      </c>
      <c r="J2760" t="str">
        <f t="shared" si="131"/>
        <v>Low Risk</v>
      </c>
      <c r="K2760" s="3" t="str">
        <f t="shared" si="129"/>
        <v>4+ Years</v>
      </c>
    </row>
    <row r="2761" spans="1:11" x14ac:dyDescent="0.3">
      <c r="A2761" t="s">
        <v>2778</v>
      </c>
      <c r="B2761" t="s">
        <v>14</v>
      </c>
      <c r="C2761" t="s">
        <v>10</v>
      </c>
      <c r="D2761" t="s">
        <v>11</v>
      </c>
      <c r="E2761">
        <v>67.599999999999994</v>
      </c>
      <c r="F2761">
        <v>30</v>
      </c>
      <c r="G2761">
        <v>2027.99999999999</v>
      </c>
      <c r="H2761" t="s">
        <v>12</v>
      </c>
      <c r="I2761" t="str">
        <f t="shared" si="130"/>
        <v>Medium Value</v>
      </c>
      <c r="J2761" t="str">
        <f t="shared" si="131"/>
        <v>Low Risk</v>
      </c>
      <c r="K2761" s="3" t="str">
        <f t="shared" si="129"/>
        <v>2-4 Years</v>
      </c>
    </row>
    <row r="2762" spans="1:11" x14ac:dyDescent="0.3">
      <c r="A2762" t="s">
        <v>2779</v>
      </c>
      <c r="B2762" t="s">
        <v>14</v>
      </c>
      <c r="C2762" t="s">
        <v>10</v>
      </c>
      <c r="D2762" t="s">
        <v>11</v>
      </c>
      <c r="E2762">
        <v>70.150000000000006</v>
      </c>
      <c r="F2762">
        <v>13</v>
      </c>
      <c r="G2762">
        <v>911.95</v>
      </c>
      <c r="H2762" t="s">
        <v>12</v>
      </c>
      <c r="I2762" t="str">
        <f t="shared" si="130"/>
        <v>Low Value</v>
      </c>
      <c r="J2762" t="str">
        <f t="shared" si="131"/>
        <v>Medium Risk</v>
      </c>
      <c r="K2762" s="3" t="str">
        <f t="shared" si="129"/>
        <v>1-2 Years</v>
      </c>
    </row>
    <row r="2763" spans="1:11" x14ac:dyDescent="0.3">
      <c r="A2763" t="s">
        <v>2780</v>
      </c>
      <c r="B2763" t="s">
        <v>9</v>
      </c>
      <c r="C2763" t="s">
        <v>15</v>
      </c>
      <c r="D2763" t="s">
        <v>11</v>
      </c>
      <c r="E2763">
        <v>115</v>
      </c>
      <c r="F2763">
        <v>64</v>
      </c>
      <c r="G2763">
        <v>7360</v>
      </c>
      <c r="H2763" t="s">
        <v>12</v>
      </c>
      <c r="I2763" t="str">
        <f t="shared" si="130"/>
        <v>High Value</v>
      </c>
      <c r="J2763" t="str">
        <f t="shared" si="131"/>
        <v>Low Risk</v>
      </c>
      <c r="K2763" s="3" t="str">
        <f t="shared" si="129"/>
        <v>4+ Years</v>
      </c>
    </row>
    <row r="2764" spans="1:11" x14ac:dyDescent="0.3">
      <c r="A2764" t="s">
        <v>2781</v>
      </c>
      <c r="B2764" t="s">
        <v>9</v>
      </c>
      <c r="C2764" t="s">
        <v>10</v>
      </c>
      <c r="D2764" t="s">
        <v>20</v>
      </c>
      <c r="E2764">
        <v>84.8</v>
      </c>
      <c r="F2764">
        <v>46</v>
      </c>
      <c r="G2764">
        <v>3900.7999999999902</v>
      </c>
      <c r="H2764" t="s">
        <v>12</v>
      </c>
      <c r="I2764" t="str">
        <f t="shared" si="130"/>
        <v>Medium Value</v>
      </c>
      <c r="J2764" t="str">
        <f t="shared" si="131"/>
        <v>Low Risk</v>
      </c>
      <c r="K2764" s="3" t="str">
        <f t="shared" si="129"/>
        <v>2-4 Years</v>
      </c>
    </row>
    <row r="2765" spans="1:11" x14ac:dyDescent="0.3">
      <c r="A2765" t="s">
        <v>2782</v>
      </c>
      <c r="B2765" t="s">
        <v>9</v>
      </c>
      <c r="C2765" t="s">
        <v>15</v>
      </c>
      <c r="D2765" t="s">
        <v>16</v>
      </c>
      <c r="E2765">
        <v>19.7</v>
      </c>
      <c r="F2765">
        <v>12</v>
      </c>
      <c r="G2765">
        <v>236.39999999999901</v>
      </c>
      <c r="H2765" t="s">
        <v>12</v>
      </c>
      <c r="I2765" t="str">
        <f t="shared" si="130"/>
        <v>Low Value</v>
      </c>
      <c r="J2765" t="str">
        <f t="shared" si="131"/>
        <v>Medium Risk</v>
      </c>
      <c r="K2765" s="3" t="str">
        <f t="shared" si="129"/>
        <v>0-1 Year</v>
      </c>
    </row>
    <row r="2766" spans="1:11" x14ac:dyDescent="0.3">
      <c r="A2766" t="s">
        <v>2783</v>
      </c>
      <c r="B2766" t="s">
        <v>9</v>
      </c>
      <c r="C2766" t="s">
        <v>10</v>
      </c>
      <c r="D2766" t="s">
        <v>20</v>
      </c>
      <c r="E2766">
        <v>19.75</v>
      </c>
      <c r="F2766">
        <v>15</v>
      </c>
      <c r="G2766">
        <v>296.25</v>
      </c>
      <c r="H2766" t="s">
        <v>18</v>
      </c>
      <c r="I2766" t="str">
        <f t="shared" si="130"/>
        <v>Low Value</v>
      </c>
      <c r="J2766" t="str">
        <f t="shared" si="131"/>
        <v>Medium Risk</v>
      </c>
      <c r="K2766" s="3" t="str">
        <f t="shared" si="129"/>
        <v>1-2 Years</v>
      </c>
    </row>
    <row r="2767" spans="1:11" x14ac:dyDescent="0.3">
      <c r="A2767" t="s">
        <v>2784</v>
      </c>
      <c r="B2767" t="s">
        <v>14</v>
      </c>
      <c r="C2767" t="s">
        <v>10</v>
      </c>
      <c r="D2767" t="s">
        <v>11</v>
      </c>
      <c r="E2767">
        <v>92.55</v>
      </c>
      <c r="F2767">
        <v>17</v>
      </c>
      <c r="G2767">
        <v>1573.35</v>
      </c>
      <c r="H2767" t="s">
        <v>18</v>
      </c>
      <c r="I2767" t="str">
        <f t="shared" si="130"/>
        <v>Low Value</v>
      </c>
      <c r="J2767" t="str">
        <f t="shared" si="131"/>
        <v>Medium Risk</v>
      </c>
      <c r="K2767" s="3" t="str">
        <f t="shared" si="129"/>
        <v>1-2 Years</v>
      </c>
    </row>
    <row r="2768" spans="1:11" x14ac:dyDescent="0.3">
      <c r="A2768" t="s">
        <v>2785</v>
      </c>
      <c r="B2768" t="s">
        <v>9</v>
      </c>
      <c r="C2768" t="s">
        <v>10</v>
      </c>
      <c r="D2768" t="s">
        <v>16</v>
      </c>
      <c r="E2768">
        <v>63.15</v>
      </c>
      <c r="F2768">
        <v>13</v>
      </c>
      <c r="G2768">
        <v>820.94999999999902</v>
      </c>
      <c r="H2768" t="s">
        <v>12</v>
      </c>
      <c r="I2768" t="str">
        <f t="shared" si="130"/>
        <v>Low Value</v>
      </c>
      <c r="J2768" t="str">
        <f t="shared" si="131"/>
        <v>Medium Risk</v>
      </c>
      <c r="K2768" s="3" t="str">
        <f t="shared" si="129"/>
        <v>1-2 Years</v>
      </c>
    </row>
    <row r="2769" spans="1:11" x14ac:dyDescent="0.3">
      <c r="A2769" t="s">
        <v>2786</v>
      </c>
      <c r="B2769" t="s">
        <v>9</v>
      </c>
      <c r="C2769" t="s">
        <v>30</v>
      </c>
      <c r="D2769" t="s">
        <v>24</v>
      </c>
      <c r="E2769">
        <v>74</v>
      </c>
      <c r="F2769">
        <v>67</v>
      </c>
      <c r="G2769">
        <v>4958</v>
      </c>
      <c r="H2769" t="s">
        <v>12</v>
      </c>
      <c r="I2769" t="str">
        <f t="shared" si="130"/>
        <v>Medium Value</v>
      </c>
      <c r="J2769" t="str">
        <f t="shared" si="131"/>
        <v>Low Risk</v>
      </c>
      <c r="K2769" s="3" t="str">
        <f t="shared" si="129"/>
        <v>4+ Years</v>
      </c>
    </row>
    <row r="2770" spans="1:11" x14ac:dyDescent="0.3">
      <c r="A2770" t="s">
        <v>2787</v>
      </c>
      <c r="B2770" t="s">
        <v>14</v>
      </c>
      <c r="C2770" t="s">
        <v>10</v>
      </c>
      <c r="D2770" t="s">
        <v>11</v>
      </c>
      <c r="E2770">
        <v>29.1</v>
      </c>
      <c r="F2770">
        <v>24</v>
      </c>
      <c r="G2770">
        <v>698.4</v>
      </c>
      <c r="H2770" t="s">
        <v>12</v>
      </c>
      <c r="I2770" t="str">
        <f t="shared" si="130"/>
        <v>Low Value</v>
      </c>
      <c r="J2770" t="str">
        <f t="shared" si="131"/>
        <v>Low Risk</v>
      </c>
      <c r="K2770" s="3" t="str">
        <f t="shared" si="129"/>
        <v>1-2 Years</v>
      </c>
    </row>
    <row r="2771" spans="1:11" x14ac:dyDescent="0.3">
      <c r="A2771" t="s">
        <v>2788</v>
      </c>
      <c r="B2771" t="s">
        <v>14</v>
      </c>
      <c r="C2771" t="s">
        <v>10</v>
      </c>
      <c r="D2771" t="s">
        <v>16</v>
      </c>
      <c r="E2771">
        <v>50.05</v>
      </c>
      <c r="F2771">
        <v>6</v>
      </c>
      <c r="G2771">
        <v>300.29999999999899</v>
      </c>
      <c r="H2771" t="s">
        <v>12</v>
      </c>
      <c r="I2771" t="str">
        <f t="shared" si="130"/>
        <v>Low Value</v>
      </c>
      <c r="J2771" t="str">
        <f t="shared" si="131"/>
        <v>High Risk</v>
      </c>
      <c r="K2771" s="3" t="str">
        <f t="shared" si="129"/>
        <v>0-1 Year</v>
      </c>
    </row>
    <row r="2772" spans="1:11" x14ac:dyDescent="0.3">
      <c r="A2772" t="s">
        <v>2789</v>
      </c>
      <c r="B2772" t="s">
        <v>14</v>
      </c>
      <c r="C2772" t="s">
        <v>15</v>
      </c>
      <c r="D2772" t="s">
        <v>11</v>
      </c>
      <c r="E2772">
        <v>60.05</v>
      </c>
      <c r="F2772">
        <v>53</v>
      </c>
      <c r="G2772">
        <v>3182.6499999999901</v>
      </c>
      <c r="H2772" t="s">
        <v>18</v>
      </c>
      <c r="I2772" t="str">
        <f t="shared" si="130"/>
        <v>Medium Value</v>
      </c>
      <c r="J2772" t="str">
        <f t="shared" si="131"/>
        <v>Low Risk</v>
      </c>
      <c r="K2772" s="3" t="str">
        <f t="shared" si="129"/>
        <v>4+ Years</v>
      </c>
    </row>
    <row r="2773" spans="1:11" x14ac:dyDescent="0.3">
      <c r="A2773" t="s">
        <v>2790</v>
      </c>
      <c r="B2773" t="s">
        <v>14</v>
      </c>
      <c r="C2773" t="s">
        <v>10</v>
      </c>
      <c r="D2773" t="s">
        <v>24</v>
      </c>
      <c r="E2773">
        <v>74.3</v>
      </c>
      <c r="F2773">
        <v>16</v>
      </c>
      <c r="G2773">
        <v>1188.8</v>
      </c>
      <c r="H2773" t="s">
        <v>18</v>
      </c>
      <c r="I2773" t="str">
        <f t="shared" si="130"/>
        <v>Low Value</v>
      </c>
      <c r="J2773" t="str">
        <f t="shared" si="131"/>
        <v>Medium Risk</v>
      </c>
      <c r="K2773" s="3" t="str">
        <f t="shared" si="129"/>
        <v>1-2 Years</v>
      </c>
    </row>
    <row r="2774" spans="1:11" x14ac:dyDescent="0.3">
      <c r="A2774" t="s">
        <v>2791</v>
      </c>
      <c r="B2774" t="s">
        <v>14</v>
      </c>
      <c r="C2774" t="s">
        <v>10</v>
      </c>
      <c r="D2774" t="s">
        <v>11</v>
      </c>
      <c r="E2774">
        <v>20</v>
      </c>
      <c r="F2774">
        <v>10</v>
      </c>
      <c r="G2774">
        <v>200</v>
      </c>
      <c r="H2774" t="s">
        <v>12</v>
      </c>
      <c r="I2774" t="str">
        <f t="shared" si="130"/>
        <v>Low Value</v>
      </c>
      <c r="J2774" t="str">
        <f t="shared" si="131"/>
        <v>High Risk</v>
      </c>
      <c r="K2774" s="3" t="str">
        <f t="shared" si="129"/>
        <v>0-1 Year</v>
      </c>
    </row>
    <row r="2775" spans="1:11" x14ac:dyDescent="0.3">
      <c r="A2775" t="s">
        <v>2792</v>
      </c>
      <c r="B2775" t="s">
        <v>9</v>
      </c>
      <c r="C2775" t="s">
        <v>15</v>
      </c>
      <c r="D2775" t="s">
        <v>16</v>
      </c>
      <c r="E2775">
        <v>74.650000000000006</v>
      </c>
      <c r="F2775">
        <v>13</v>
      </c>
      <c r="G2775">
        <v>970.45</v>
      </c>
      <c r="H2775" t="s">
        <v>12</v>
      </c>
      <c r="I2775" t="str">
        <f t="shared" si="130"/>
        <v>Low Value</v>
      </c>
      <c r="J2775" t="str">
        <f t="shared" si="131"/>
        <v>Medium Risk</v>
      </c>
      <c r="K2775" s="3" t="str">
        <f t="shared" si="129"/>
        <v>1-2 Years</v>
      </c>
    </row>
    <row r="2776" spans="1:11" x14ac:dyDescent="0.3">
      <c r="A2776" t="s">
        <v>2793</v>
      </c>
      <c r="B2776" t="s">
        <v>14</v>
      </c>
      <c r="C2776" t="s">
        <v>10</v>
      </c>
      <c r="D2776" t="s">
        <v>11</v>
      </c>
      <c r="E2776">
        <v>85.35</v>
      </c>
      <c r="F2776">
        <v>9</v>
      </c>
      <c r="G2776">
        <v>768.15</v>
      </c>
      <c r="H2776" t="s">
        <v>18</v>
      </c>
      <c r="I2776" t="str">
        <f t="shared" si="130"/>
        <v>Low Value</v>
      </c>
      <c r="J2776" t="str">
        <f t="shared" si="131"/>
        <v>High Risk</v>
      </c>
      <c r="K2776" s="3" t="str">
        <f t="shared" si="129"/>
        <v>0-1 Year</v>
      </c>
    </row>
    <row r="2777" spans="1:11" x14ac:dyDescent="0.3">
      <c r="A2777" t="s">
        <v>2794</v>
      </c>
      <c r="B2777" t="s">
        <v>9</v>
      </c>
      <c r="C2777" t="s">
        <v>15</v>
      </c>
      <c r="D2777" t="s">
        <v>16</v>
      </c>
      <c r="E2777">
        <v>74.3</v>
      </c>
      <c r="F2777">
        <v>25</v>
      </c>
      <c r="G2777">
        <v>1857.5</v>
      </c>
      <c r="H2777" t="s">
        <v>18</v>
      </c>
      <c r="I2777" t="str">
        <f t="shared" si="130"/>
        <v>Low Value</v>
      </c>
      <c r="J2777" t="str">
        <f t="shared" si="131"/>
        <v>Low Risk</v>
      </c>
      <c r="K2777" s="3" t="str">
        <f t="shared" si="129"/>
        <v>2-4 Years</v>
      </c>
    </row>
    <row r="2778" spans="1:11" x14ac:dyDescent="0.3">
      <c r="A2778" t="s">
        <v>2795</v>
      </c>
      <c r="B2778" t="s">
        <v>14</v>
      </c>
      <c r="C2778" t="s">
        <v>10</v>
      </c>
      <c r="D2778" t="s">
        <v>11</v>
      </c>
      <c r="E2778">
        <v>44.4</v>
      </c>
      <c r="F2778">
        <v>7</v>
      </c>
      <c r="G2778">
        <v>310.8</v>
      </c>
      <c r="H2778" t="s">
        <v>12</v>
      </c>
      <c r="I2778" t="str">
        <f t="shared" si="130"/>
        <v>Low Value</v>
      </c>
      <c r="J2778" t="str">
        <f t="shared" si="131"/>
        <v>High Risk</v>
      </c>
      <c r="K2778" s="3" t="str">
        <f t="shared" si="129"/>
        <v>0-1 Year</v>
      </c>
    </row>
    <row r="2779" spans="1:11" x14ac:dyDescent="0.3">
      <c r="A2779" t="s">
        <v>2796</v>
      </c>
      <c r="B2779" t="s">
        <v>14</v>
      </c>
      <c r="C2779" t="s">
        <v>30</v>
      </c>
      <c r="D2779" t="s">
        <v>20</v>
      </c>
      <c r="E2779">
        <v>85.4</v>
      </c>
      <c r="F2779">
        <v>38</v>
      </c>
      <c r="G2779">
        <v>3245.2</v>
      </c>
      <c r="H2779" t="s">
        <v>12</v>
      </c>
      <c r="I2779" t="str">
        <f t="shared" si="130"/>
        <v>Medium Value</v>
      </c>
      <c r="J2779" t="str">
        <f t="shared" si="131"/>
        <v>Low Risk</v>
      </c>
      <c r="K2779" s="3" t="str">
        <f t="shared" si="129"/>
        <v>2-4 Years</v>
      </c>
    </row>
    <row r="2780" spans="1:11" x14ac:dyDescent="0.3">
      <c r="A2780" t="s">
        <v>2797</v>
      </c>
      <c r="B2780" t="s">
        <v>9</v>
      </c>
      <c r="C2780" t="s">
        <v>10</v>
      </c>
      <c r="D2780" t="s">
        <v>11</v>
      </c>
      <c r="E2780">
        <v>94.1</v>
      </c>
      <c r="F2780">
        <v>43</v>
      </c>
      <c r="G2780">
        <v>4046.2999999999902</v>
      </c>
      <c r="H2780" t="s">
        <v>12</v>
      </c>
      <c r="I2780" t="str">
        <f t="shared" si="130"/>
        <v>Medium Value</v>
      </c>
      <c r="J2780" t="str">
        <f t="shared" si="131"/>
        <v>Low Risk</v>
      </c>
      <c r="K2780" s="3" t="str">
        <f t="shared" si="129"/>
        <v>2-4 Years</v>
      </c>
    </row>
    <row r="2781" spans="1:11" x14ac:dyDescent="0.3">
      <c r="A2781" t="s">
        <v>2798</v>
      </c>
      <c r="B2781" t="s">
        <v>9</v>
      </c>
      <c r="C2781" t="s">
        <v>10</v>
      </c>
      <c r="D2781" t="s">
        <v>20</v>
      </c>
      <c r="E2781">
        <v>98.1</v>
      </c>
      <c r="F2781">
        <v>4</v>
      </c>
      <c r="G2781">
        <v>392.4</v>
      </c>
      <c r="H2781" t="s">
        <v>18</v>
      </c>
      <c r="I2781" t="str">
        <f t="shared" si="130"/>
        <v>Low Value</v>
      </c>
      <c r="J2781" t="str">
        <f t="shared" si="131"/>
        <v>High Risk</v>
      </c>
      <c r="K2781" s="3" t="str">
        <f t="shared" si="129"/>
        <v>0-1 Year</v>
      </c>
    </row>
    <row r="2782" spans="1:11" x14ac:dyDescent="0.3">
      <c r="A2782" t="s">
        <v>2799</v>
      </c>
      <c r="B2782" t="s">
        <v>9</v>
      </c>
      <c r="C2782" t="s">
        <v>30</v>
      </c>
      <c r="D2782" t="s">
        <v>11</v>
      </c>
      <c r="E2782">
        <v>108.9</v>
      </c>
      <c r="F2782">
        <v>25</v>
      </c>
      <c r="G2782">
        <v>2722.5</v>
      </c>
      <c r="H2782" t="s">
        <v>12</v>
      </c>
      <c r="I2782" t="str">
        <f t="shared" si="130"/>
        <v>Medium Value</v>
      </c>
      <c r="J2782" t="str">
        <f t="shared" si="131"/>
        <v>Low Risk</v>
      </c>
      <c r="K2782" s="3" t="str">
        <f t="shared" si="129"/>
        <v>2-4 Years</v>
      </c>
    </row>
    <row r="2783" spans="1:11" x14ac:dyDescent="0.3">
      <c r="A2783" t="s">
        <v>2800</v>
      </c>
      <c r="B2783" t="s">
        <v>14</v>
      </c>
      <c r="C2783" t="s">
        <v>15</v>
      </c>
      <c r="D2783" t="s">
        <v>16</v>
      </c>
      <c r="E2783">
        <v>56.2</v>
      </c>
      <c r="F2783">
        <v>27</v>
      </c>
      <c r="G2783">
        <v>1517.4</v>
      </c>
      <c r="H2783" t="s">
        <v>12</v>
      </c>
      <c r="I2783" t="str">
        <f t="shared" si="130"/>
        <v>Low Value</v>
      </c>
      <c r="J2783" t="str">
        <f t="shared" si="131"/>
        <v>Low Risk</v>
      </c>
      <c r="K2783" s="3" t="str">
        <f t="shared" si="129"/>
        <v>2-4 Years</v>
      </c>
    </row>
    <row r="2784" spans="1:11" x14ac:dyDescent="0.3">
      <c r="A2784" t="s">
        <v>2801</v>
      </c>
      <c r="B2784" t="s">
        <v>14</v>
      </c>
      <c r="C2784" t="s">
        <v>30</v>
      </c>
      <c r="D2784" t="s">
        <v>16</v>
      </c>
      <c r="E2784">
        <v>26.1</v>
      </c>
      <c r="F2784">
        <v>72</v>
      </c>
      <c r="G2784">
        <v>1879.2</v>
      </c>
      <c r="H2784" t="s">
        <v>12</v>
      </c>
      <c r="I2784" t="str">
        <f t="shared" si="130"/>
        <v>Low Value</v>
      </c>
      <c r="J2784" t="str">
        <f t="shared" si="131"/>
        <v>Low Risk</v>
      </c>
      <c r="K2784" s="3" t="str">
        <f t="shared" si="129"/>
        <v>4+ Years</v>
      </c>
    </row>
    <row r="2785" spans="1:11" x14ac:dyDescent="0.3">
      <c r="A2785" t="s">
        <v>2802</v>
      </c>
      <c r="B2785" t="s">
        <v>14</v>
      </c>
      <c r="C2785" t="s">
        <v>15</v>
      </c>
      <c r="D2785" t="s">
        <v>24</v>
      </c>
      <c r="E2785">
        <v>85.45</v>
      </c>
      <c r="F2785">
        <v>71</v>
      </c>
      <c r="G2785">
        <v>6066.95</v>
      </c>
      <c r="H2785" t="s">
        <v>12</v>
      </c>
      <c r="I2785" t="str">
        <f t="shared" si="130"/>
        <v>High Value</v>
      </c>
      <c r="J2785" t="str">
        <f t="shared" si="131"/>
        <v>Low Risk</v>
      </c>
      <c r="K2785" s="3" t="str">
        <f t="shared" si="129"/>
        <v>4+ Years</v>
      </c>
    </row>
    <row r="2786" spans="1:11" x14ac:dyDescent="0.3">
      <c r="A2786" t="s">
        <v>2803</v>
      </c>
      <c r="B2786" t="s">
        <v>9</v>
      </c>
      <c r="C2786" t="s">
        <v>10</v>
      </c>
      <c r="D2786" t="s">
        <v>24</v>
      </c>
      <c r="E2786">
        <v>88.95</v>
      </c>
      <c r="F2786">
        <v>24</v>
      </c>
      <c r="G2786">
        <v>2134.8000000000002</v>
      </c>
      <c r="H2786" t="s">
        <v>12</v>
      </c>
      <c r="I2786" t="str">
        <f t="shared" si="130"/>
        <v>Medium Value</v>
      </c>
      <c r="J2786" t="str">
        <f t="shared" si="131"/>
        <v>Low Risk</v>
      </c>
      <c r="K2786" s="3" t="str">
        <f t="shared" si="129"/>
        <v>1-2 Years</v>
      </c>
    </row>
    <row r="2787" spans="1:11" x14ac:dyDescent="0.3">
      <c r="A2787" t="s">
        <v>2804</v>
      </c>
      <c r="B2787" t="s">
        <v>9</v>
      </c>
      <c r="C2787" t="s">
        <v>30</v>
      </c>
      <c r="D2787" t="s">
        <v>11</v>
      </c>
      <c r="E2787">
        <v>109.65</v>
      </c>
      <c r="F2787">
        <v>50</v>
      </c>
      <c r="G2787">
        <v>5482.5</v>
      </c>
      <c r="H2787" t="s">
        <v>18</v>
      </c>
      <c r="I2787" t="str">
        <f t="shared" si="130"/>
        <v>High Value</v>
      </c>
      <c r="J2787" t="str">
        <f t="shared" si="131"/>
        <v>Low Risk</v>
      </c>
      <c r="K2787" s="3" t="str">
        <f t="shared" si="129"/>
        <v>4+ Years</v>
      </c>
    </row>
    <row r="2788" spans="1:11" x14ac:dyDescent="0.3">
      <c r="A2788" t="s">
        <v>2805</v>
      </c>
      <c r="B2788" t="s">
        <v>14</v>
      </c>
      <c r="C2788" t="s">
        <v>30</v>
      </c>
      <c r="D2788" t="s">
        <v>20</v>
      </c>
      <c r="E2788">
        <v>74.349999999999994</v>
      </c>
      <c r="F2788">
        <v>57</v>
      </c>
      <c r="G2788">
        <v>4237.95</v>
      </c>
      <c r="H2788" t="s">
        <v>12</v>
      </c>
      <c r="I2788" t="str">
        <f t="shared" si="130"/>
        <v>Medium Value</v>
      </c>
      <c r="J2788" t="str">
        <f t="shared" si="131"/>
        <v>Low Risk</v>
      </c>
      <c r="K2788" s="3" t="str">
        <f t="shared" si="129"/>
        <v>4+ Years</v>
      </c>
    </row>
    <row r="2789" spans="1:11" x14ac:dyDescent="0.3">
      <c r="A2789" t="s">
        <v>2806</v>
      </c>
      <c r="B2789" t="s">
        <v>9</v>
      </c>
      <c r="C2789" t="s">
        <v>10</v>
      </c>
      <c r="D2789" t="s">
        <v>11</v>
      </c>
      <c r="E2789">
        <v>48.85</v>
      </c>
      <c r="F2789">
        <v>15</v>
      </c>
      <c r="G2789">
        <v>732.75</v>
      </c>
      <c r="H2789" t="s">
        <v>12</v>
      </c>
      <c r="I2789" t="str">
        <f t="shared" si="130"/>
        <v>Low Value</v>
      </c>
      <c r="J2789" t="str">
        <f t="shared" si="131"/>
        <v>Medium Risk</v>
      </c>
      <c r="K2789" s="3" t="str">
        <f t="shared" si="129"/>
        <v>1-2 Years</v>
      </c>
    </row>
    <row r="2790" spans="1:11" x14ac:dyDescent="0.3">
      <c r="A2790" t="s">
        <v>2807</v>
      </c>
      <c r="B2790" t="s">
        <v>14</v>
      </c>
      <c r="C2790" t="s">
        <v>10</v>
      </c>
      <c r="D2790" t="s">
        <v>11</v>
      </c>
      <c r="E2790">
        <v>80.099999999999994</v>
      </c>
      <c r="F2790">
        <v>4</v>
      </c>
      <c r="G2790">
        <v>320.39999999999998</v>
      </c>
      <c r="H2790" t="s">
        <v>12</v>
      </c>
      <c r="I2790" t="str">
        <f t="shared" si="130"/>
        <v>Low Value</v>
      </c>
      <c r="J2790" t="str">
        <f t="shared" si="131"/>
        <v>High Risk</v>
      </c>
      <c r="K2790" s="3" t="str">
        <f t="shared" si="129"/>
        <v>0-1 Year</v>
      </c>
    </row>
    <row r="2791" spans="1:11" x14ac:dyDescent="0.3">
      <c r="A2791" t="s">
        <v>2808</v>
      </c>
      <c r="B2791" t="s">
        <v>9</v>
      </c>
      <c r="C2791" t="s">
        <v>10</v>
      </c>
      <c r="D2791" t="s">
        <v>11</v>
      </c>
      <c r="E2791">
        <v>56.05</v>
      </c>
      <c r="F2791">
        <v>28</v>
      </c>
      <c r="G2791">
        <v>1569.3999999999901</v>
      </c>
      <c r="H2791" t="s">
        <v>12</v>
      </c>
      <c r="I2791" t="str">
        <f t="shared" si="130"/>
        <v>Low Value</v>
      </c>
      <c r="J2791" t="str">
        <f t="shared" si="131"/>
        <v>Low Risk</v>
      </c>
      <c r="K2791" s="3" t="str">
        <f t="shared" si="129"/>
        <v>2-4 Years</v>
      </c>
    </row>
    <row r="2792" spans="1:11" x14ac:dyDescent="0.3">
      <c r="A2792" t="s">
        <v>2809</v>
      </c>
      <c r="B2792" t="s">
        <v>9</v>
      </c>
      <c r="C2792" t="s">
        <v>10</v>
      </c>
      <c r="D2792" t="s">
        <v>11</v>
      </c>
      <c r="E2792">
        <v>74.55</v>
      </c>
      <c r="F2792">
        <v>9</v>
      </c>
      <c r="G2792">
        <v>670.94999999999902</v>
      </c>
      <c r="H2792" t="s">
        <v>18</v>
      </c>
      <c r="I2792" t="str">
        <f t="shared" si="130"/>
        <v>Low Value</v>
      </c>
      <c r="J2792" t="str">
        <f t="shared" si="131"/>
        <v>High Risk</v>
      </c>
      <c r="K2792" s="3" t="str">
        <f t="shared" si="129"/>
        <v>0-1 Year</v>
      </c>
    </row>
    <row r="2793" spans="1:11" x14ac:dyDescent="0.3">
      <c r="A2793" t="s">
        <v>2810</v>
      </c>
      <c r="B2793" t="s">
        <v>9</v>
      </c>
      <c r="C2793" t="s">
        <v>10</v>
      </c>
      <c r="D2793" t="s">
        <v>20</v>
      </c>
      <c r="E2793">
        <v>89.8</v>
      </c>
      <c r="F2793">
        <v>55</v>
      </c>
      <c r="G2793">
        <v>4939</v>
      </c>
      <c r="H2793" t="s">
        <v>12</v>
      </c>
      <c r="I2793" t="str">
        <f t="shared" si="130"/>
        <v>Medium Value</v>
      </c>
      <c r="J2793" t="str">
        <f t="shared" si="131"/>
        <v>Low Risk</v>
      </c>
      <c r="K2793" s="3" t="str">
        <f t="shared" si="129"/>
        <v>4+ Years</v>
      </c>
    </row>
    <row r="2794" spans="1:11" x14ac:dyDescent="0.3">
      <c r="A2794" t="s">
        <v>2811</v>
      </c>
      <c r="B2794" t="s">
        <v>14</v>
      </c>
      <c r="C2794" t="s">
        <v>10</v>
      </c>
      <c r="D2794" t="s">
        <v>11</v>
      </c>
      <c r="E2794">
        <v>100.95</v>
      </c>
      <c r="F2794">
        <v>3</v>
      </c>
      <c r="G2794">
        <v>302.85000000000002</v>
      </c>
      <c r="H2794" t="s">
        <v>18</v>
      </c>
      <c r="I2794" t="str">
        <f t="shared" si="130"/>
        <v>Low Value</v>
      </c>
      <c r="J2794" t="str">
        <f t="shared" si="131"/>
        <v>High Risk</v>
      </c>
      <c r="K2794" s="3" t="str">
        <f t="shared" si="129"/>
        <v>0-1 Year</v>
      </c>
    </row>
    <row r="2795" spans="1:11" x14ac:dyDescent="0.3">
      <c r="A2795" t="s">
        <v>2812</v>
      </c>
      <c r="B2795" t="s">
        <v>14</v>
      </c>
      <c r="C2795" t="s">
        <v>10</v>
      </c>
      <c r="D2795" t="s">
        <v>11</v>
      </c>
      <c r="E2795">
        <v>94.9</v>
      </c>
      <c r="F2795">
        <v>10</v>
      </c>
      <c r="G2795">
        <v>949</v>
      </c>
      <c r="H2795" t="s">
        <v>18</v>
      </c>
      <c r="I2795" t="str">
        <f t="shared" si="130"/>
        <v>Low Value</v>
      </c>
      <c r="J2795" t="str">
        <f t="shared" si="131"/>
        <v>High Risk</v>
      </c>
      <c r="K2795" s="3" t="str">
        <f t="shared" si="129"/>
        <v>0-1 Year</v>
      </c>
    </row>
    <row r="2796" spans="1:11" x14ac:dyDescent="0.3">
      <c r="A2796" t="s">
        <v>2813</v>
      </c>
      <c r="B2796" t="s">
        <v>14</v>
      </c>
      <c r="C2796" t="s">
        <v>15</v>
      </c>
      <c r="D2796" t="s">
        <v>20</v>
      </c>
      <c r="E2796">
        <v>19.100000000000001</v>
      </c>
      <c r="F2796">
        <v>55</v>
      </c>
      <c r="G2796">
        <v>1050.5</v>
      </c>
      <c r="H2796" t="s">
        <v>12</v>
      </c>
      <c r="I2796" t="str">
        <f t="shared" si="130"/>
        <v>Low Value</v>
      </c>
      <c r="J2796" t="str">
        <f t="shared" si="131"/>
        <v>Low Risk</v>
      </c>
      <c r="K2796" s="3" t="str">
        <f t="shared" si="129"/>
        <v>4+ Years</v>
      </c>
    </row>
    <row r="2797" spans="1:11" x14ac:dyDescent="0.3">
      <c r="A2797" t="s">
        <v>2814</v>
      </c>
      <c r="B2797" t="s">
        <v>9</v>
      </c>
      <c r="C2797" t="s">
        <v>10</v>
      </c>
      <c r="D2797" t="s">
        <v>16</v>
      </c>
      <c r="E2797">
        <v>20.350000000000001</v>
      </c>
      <c r="F2797">
        <v>20</v>
      </c>
      <c r="G2797">
        <v>407</v>
      </c>
      <c r="H2797" t="s">
        <v>12</v>
      </c>
      <c r="I2797" t="str">
        <f t="shared" si="130"/>
        <v>Low Value</v>
      </c>
      <c r="J2797" t="str">
        <f t="shared" si="131"/>
        <v>Medium Risk</v>
      </c>
      <c r="K2797" s="3" t="str">
        <f t="shared" si="129"/>
        <v>1-2 Years</v>
      </c>
    </row>
    <row r="2798" spans="1:11" x14ac:dyDescent="0.3">
      <c r="A2798" t="s">
        <v>2815</v>
      </c>
      <c r="B2798" t="s">
        <v>9</v>
      </c>
      <c r="C2798" t="s">
        <v>15</v>
      </c>
      <c r="D2798" t="s">
        <v>24</v>
      </c>
      <c r="E2798">
        <v>106.05</v>
      </c>
      <c r="F2798">
        <v>62</v>
      </c>
      <c r="G2798">
        <v>6575.0999999999904</v>
      </c>
      <c r="H2798" t="s">
        <v>12</v>
      </c>
      <c r="I2798" t="str">
        <f t="shared" si="130"/>
        <v>High Value</v>
      </c>
      <c r="J2798" t="str">
        <f t="shared" si="131"/>
        <v>Low Risk</v>
      </c>
      <c r="K2798" s="3" t="str">
        <f t="shared" si="129"/>
        <v>4+ Years</v>
      </c>
    </row>
    <row r="2799" spans="1:11" x14ac:dyDescent="0.3">
      <c r="A2799" t="s">
        <v>2816</v>
      </c>
      <c r="B2799" t="s">
        <v>14</v>
      </c>
      <c r="C2799" t="s">
        <v>10</v>
      </c>
      <c r="D2799" t="s">
        <v>11</v>
      </c>
      <c r="E2799">
        <v>104.9</v>
      </c>
      <c r="F2799">
        <v>32</v>
      </c>
      <c r="G2799">
        <v>3356.8</v>
      </c>
      <c r="H2799" t="s">
        <v>18</v>
      </c>
      <c r="I2799" t="str">
        <f t="shared" si="130"/>
        <v>Medium Value</v>
      </c>
      <c r="J2799" t="str">
        <f t="shared" si="131"/>
        <v>Low Risk</v>
      </c>
      <c r="K2799" s="3" t="str">
        <f t="shared" si="129"/>
        <v>2-4 Years</v>
      </c>
    </row>
    <row r="2800" spans="1:11" x14ac:dyDescent="0.3">
      <c r="A2800" t="s">
        <v>2817</v>
      </c>
      <c r="B2800" t="s">
        <v>9</v>
      </c>
      <c r="C2800" t="s">
        <v>30</v>
      </c>
      <c r="D2800" t="s">
        <v>20</v>
      </c>
      <c r="E2800">
        <v>19.649999999999999</v>
      </c>
      <c r="F2800">
        <v>43</v>
      </c>
      <c r="G2800">
        <v>844.94999999999902</v>
      </c>
      <c r="H2800" t="s">
        <v>12</v>
      </c>
      <c r="I2800" t="str">
        <f t="shared" si="130"/>
        <v>Low Value</v>
      </c>
      <c r="J2800" t="str">
        <f t="shared" si="131"/>
        <v>Low Risk</v>
      </c>
      <c r="K2800" s="3" t="str">
        <f t="shared" si="129"/>
        <v>2-4 Years</v>
      </c>
    </row>
    <row r="2801" spans="1:11" x14ac:dyDescent="0.3">
      <c r="A2801" t="s">
        <v>2818</v>
      </c>
      <c r="B2801" t="s">
        <v>14</v>
      </c>
      <c r="C2801" t="s">
        <v>15</v>
      </c>
      <c r="D2801" t="s">
        <v>20</v>
      </c>
      <c r="E2801">
        <v>24.1</v>
      </c>
      <c r="F2801">
        <v>9</v>
      </c>
      <c r="G2801">
        <v>216.9</v>
      </c>
      <c r="H2801" t="s">
        <v>18</v>
      </c>
      <c r="I2801" t="str">
        <f t="shared" si="130"/>
        <v>Low Value</v>
      </c>
      <c r="J2801" t="str">
        <f t="shared" si="131"/>
        <v>High Risk</v>
      </c>
      <c r="K2801" s="3" t="str">
        <f t="shared" si="129"/>
        <v>0-1 Year</v>
      </c>
    </row>
    <row r="2802" spans="1:11" x14ac:dyDescent="0.3">
      <c r="A2802" t="s">
        <v>2819</v>
      </c>
      <c r="B2802" t="s">
        <v>9</v>
      </c>
      <c r="C2802" t="s">
        <v>30</v>
      </c>
      <c r="D2802" t="s">
        <v>20</v>
      </c>
      <c r="E2802">
        <v>59.85</v>
      </c>
      <c r="F2802">
        <v>60</v>
      </c>
      <c r="G2802">
        <v>3591</v>
      </c>
      <c r="H2802" t="s">
        <v>12</v>
      </c>
      <c r="I2802" t="str">
        <f t="shared" si="130"/>
        <v>Medium Value</v>
      </c>
      <c r="J2802" t="str">
        <f t="shared" si="131"/>
        <v>Low Risk</v>
      </c>
      <c r="K2802" s="3" t="str">
        <f t="shared" si="129"/>
        <v>4+ Years</v>
      </c>
    </row>
    <row r="2803" spans="1:11" x14ac:dyDescent="0.3">
      <c r="A2803" t="s">
        <v>2820</v>
      </c>
      <c r="B2803" t="s">
        <v>14</v>
      </c>
      <c r="C2803" t="s">
        <v>30</v>
      </c>
      <c r="D2803" t="s">
        <v>11</v>
      </c>
      <c r="E2803">
        <v>86.1</v>
      </c>
      <c r="F2803">
        <v>58</v>
      </c>
      <c r="G2803">
        <v>4993.7999999999902</v>
      </c>
      <c r="H2803" t="s">
        <v>12</v>
      </c>
      <c r="I2803" t="str">
        <f t="shared" si="130"/>
        <v>Medium Value</v>
      </c>
      <c r="J2803" t="str">
        <f t="shared" si="131"/>
        <v>Low Risk</v>
      </c>
      <c r="K2803" s="3" t="str">
        <f t="shared" si="129"/>
        <v>4+ Years</v>
      </c>
    </row>
    <row r="2804" spans="1:11" x14ac:dyDescent="0.3">
      <c r="A2804" t="s">
        <v>2821</v>
      </c>
      <c r="B2804" t="s">
        <v>14</v>
      </c>
      <c r="C2804" t="s">
        <v>15</v>
      </c>
      <c r="D2804" t="s">
        <v>16</v>
      </c>
      <c r="E2804">
        <v>19.45</v>
      </c>
      <c r="F2804">
        <v>7</v>
      </c>
      <c r="G2804">
        <v>136.15</v>
      </c>
      <c r="H2804" t="s">
        <v>12</v>
      </c>
      <c r="I2804" t="str">
        <f t="shared" si="130"/>
        <v>Low Value</v>
      </c>
      <c r="J2804" t="str">
        <f t="shared" si="131"/>
        <v>High Risk</v>
      </c>
      <c r="K2804" s="3" t="str">
        <f t="shared" si="129"/>
        <v>0-1 Year</v>
      </c>
    </row>
    <row r="2805" spans="1:11" x14ac:dyDescent="0.3">
      <c r="A2805" t="s">
        <v>2822</v>
      </c>
      <c r="B2805" t="s">
        <v>14</v>
      </c>
      <c r="C2805" t="s">
        <v>10</v>
      </c>
      <c r="D2805" t="s">
        <v>11</v>
      </c>
      <c r="E2805">
        <v>97.1</v>
      </c>
      <c r="F2805">
        <v>2</v>
      </c>
      <c r="G2805">
        <v>194.2</v>
      </c>
      <c r="H2805" t="s">
        <v>12</v>
      </c>
      <c r="I2805" t="str">
        <f t="shared" si="130"/>
        <v>Low Value</v>
      </c>
      <c r="J2805" t="str">
        <f t="shared" si="131"/>
        <v>High Risk</v>
      </c>
      <c r="K2805" s="3" t="str">
        <f t="shared" si="129"/>
        <v>0-1 Year</v>
      </c>
    </row>
    <row r="2806" spans="1:11" x14ac:dyDescent="0.3">
      <c r="A2806" t="s">
        <v>2823</v>
      </c>
      <c r="B2806" t="s">
        <v>14</v>
      </c>
      <c r="C2806" t="s">
        <v>10</v>
      </c>
      <c r="D2806" t="s">
        <v>11</v>
      </c>
      <c r="E2806">
        <v>36.65</v>
      </c>
      <c r="F2806">
        <v>37</v>
      </c>
      <c r="G2806">
        <v>1356.05</v>
      </c>
      <c r="H2806" t="s">
        <v>12</v>
      </c>
      <c r="I2806" t="str">
        <f t="shared" si="130"/>
        <v>Low Value</v>
      </c>
      <c r="J2806" t="str">
        <f t="shared" si="131"/>
        <v>Low Risk</v>
      </c>
      <c r="K2806" s="3" t="str">
        <f t="shared" si="129"/>
        <v>2-4 Years</v>
      </c>
    </row>
    <row r="2807" spans="1:11" x14ac:dyDescent="0.3">
      <c r="A2807" t="s">
        <v>2824</v>
      </c>
      <c r="B2807" t="s">
        <v>9</v>
      </c>
      <c r="C2807" t="s">
        <v>15</v>
      </c>
      <c r="D2807" t="s">
        <v>20</v>
      </c>
      <c r="E2807">
        <v>103.9</v>
      </c>
      <c r="F2807">
        <v>65</v>
      </c>
      <c r="G2807">
        <v>6753.5</v>
      </c>
      <c r="H2807" t="s">
        <v>12</v>
      </c>
      <c r="I2807" t="str">
        <f t="shared" si="130"/>
        <v>High Value</v>
      </c>
      <c r="J2807" t="str">
        <f t="shared" si="131"/>
        <v>Low Risk</v>
      </c>
      <c r="K2807" s="3" t="str">
        <f t="shared" si="129"/>
        <v>4+ Years</v>
      </c>
    </row>
    <row r="2808" spans="1:11" x14ac:dyDescent="0.3">
      <c r="A2808" t="s">
        <v>2825</v>
      </c>
      <c r="B2808" t="s">
        <v>9</v>
      </c>
      <c r="C2808" t="s">
        <v>30</v>
      </c>
      <c r="D2808" t="s">
        <v>16</v>
      </c>
      <c r="E2808">
        <v>19.75</v>
      </c>
      <c r="F2808">
        <v>39</v>
      </c>
      <c r="G2808">
        <v>770.25</v>
      </c>
      <c r="H2808" t="s">
        <v>12</v>
      </c>
      <c r="I2808" t="str">
        <f t="shared" si="130"/>
        <v>Low Value</v>
      </c>
      <c r="J2808" t="str">
        <f t="shared" si="131"/>
        <v>Low Risk</v>
      </c>
      <c r="K2808" s="3" t="str">
        <f t="shared" si="129"/>
        <v>2-4 Years</v>
      </c>
    </row>
    <row r="2809" spans="1:11" x14ac:dyDescent="0.3">
      <c r="A2809" t="s">
        <v>2826</v>
      </c>
      <c r="B2809" t="s">
        <v>14</v>
      </c>
      <c r="C2809" t="s">
        <v>15</v>
      </c>
      <c r="D2809" t="s">
        <v>11</v>
      </c>
      <c r="E2809">
        <v>104.05</v>
      </c>
      <c r="F2809">
        <v>66</v>
      </c>
      <c r="G2809">
        <v>6867.3</v>
      </c>
      <c r="H2809" t="s">
        <v>18</v>
      </c>
      <c r="I2809" t="str">
        <f t="shared" si="130"/>
        <v>High Value</v>
      </c>
      <c r="J2809" t="str">
        <f t="shared" si="131"/>
        <v>Low Risk</v>
      </c>
      <c r="K2809" s="3" t="str">
        <f t="shared" si="129"/>
        <v>4+ Years</v>
      </c>
    </row>
    <row r="2810" spans="1:11" x14ac:dyDescent="0.3">
      <c r="A2810" t="s">
        <v>2827</v>
      </c>
      <c r="B2810" t="s">
        <v>14</v>
      </c>
      <c r="C2810" t="s">
        <v>30</v>
      </c>
      <c r="D2810" t="s">
        <v>16</v>
      </c>
      <c r="E2810">
        <v>24.55</v>
      </c>
      <c r="F2810">
        <v>68</v>
      </c>
      <c r="G2810">
        <v>1669.4</v>
      </c>
      <c r="H2810" t="s">
        <v>12</v>
      </c>
      <c r="I2810" t="str">
        <f t="shared" si="130"/>
        <v>Low Value</v>
      </c>
      <c r="J2810" t="str">
        <f t="shared" si="131"/>
        <v>Low Risk</v>
      </c>
      <c r="K2810" s="3" t="str">
        <f t="shared" si="129"/>
        <v>4+ Years</v>
      </c>
    </row>
    <row r="2811" spans="1:11" x14ac:dyDescent="0.3">
      <c r="A2811" t="s">
        <v>2828</v>
      </c>
      <c r="B2811" t="s">
        <v>9</v>
      </c>
      <c r="C2811" t="s">
        <v>30</v>
      </c>
      <c r="D2811" t="s">
        <v>20</v>
      </c>
      <c r="E2811">
        <v>48.7</v>
      </c>
      <c r="F2811">
        <v>62</v>
      </c>
      <c r="G2811">
        <v>3019.4</v>
      </c>
      <c r="H2811" t="s">
        <v>12</v>
      </c>
      <c r="I2811" t="str">
        <f t="shared" si="130"/>
        <v>Medium Value</v>
      </c>
      <c r="J2811" t="str">
        <f t="shared" si="131"/>
        <v>Low Risk</v>
      </c>
      <c r="K2811" s="3" t="str">
        <f t="shared" si="129"/>
        <v>4+ Years</v>
      </c>
    </row>
    <row r="2812" spans="1:11" x14ac:dyDescent="0.3">
      <c r="A2812" t="s">
        <v>2829</v>
      </c>
      <c r="B2812" t="s">
        <v>14</v>
      </c>
      <c r="C2812" t="s">
        <v>10</v>
      </c>
      <c r="D2812" t="s">
        <v>16</v>
      </c>
      <c r="E2812">
        <v>88.35</v>
      </c>
      <c r="F2812">
        <v>3</v>
      </c>
      <c r="G2812">
        <v>265.04999999999899</v>
      </c>
      <c r="H2812" t="s">
        <v>18</v>
      </c>
      <c r="I2812" t="str">
        <f t="shared" si="130"/>
        <v>Low Value</v>
      </c>
      <c r="J2812" t="str">
        <f t="shared" si="131"/>
        <v>High Risk</v>
      </c>
      <c r="K2812" s="3" t="str">
        <f t="shared" si="129"/>
        <v>0-1 Year</v>
      </c>
    </row>
    <row r="2813" spans="1:11" x14ac:dyDescent="0.3">
      <c r="A2813" t="s">
        <v>2830</v>
      </c>
      <c r="B2813" t="s">
        <v>9</v>
      </c>
      <c r="C2813" t="s">
        <v>30</v>
      </c>
      <c r="D2813" t="s">
        <v>11</v>
      </c>
      <c r="E2813">
        <v>109.55</v>
      </c>
      <c r="F2813">
        <v>72</v>
      </c>
      <c r="G2813">
        <v>7887.5999999999904</v>
      </c>
      <c r="H2813" t="s">
        <v>12</v>
      </c>
      <c r="I2813" t="str">
        <f t="shared" si="130"/>
        <v>High Value</v>
      </c>
      <c r="J2813" t="str">
        <f t="shared" si="131"/>
        <v>Low Risk</v>
      </c>
      <c r="K2813" s="3" t="str">
        <f t="shared" si="129"/>
        <v>4+ Years</v>
      </c>
    </row>
    <row r="2814" spans="1:11" x14ac:dyDescent="0.3">
      <c r="A2814" t="s">
        <v>2831</v>
      </c>
      <c r="B2814" t="s">
        <v>9</v>
      </c>
      <c r="C2814" t="s">
        <v>30</v>
      </c>
      <c r="D2814" t="s">
        <v>24</v>
      </c>
      <c r="E2814">
        <v>20.65</v>
      </c>
      <c r="F2814">
        <v>41</v>
      </c>
      <c r="G2814">
        <v>846.65</v>
      </c>
      <c r="H2814" t="s">
        <v>12</v>
      </c>
      <c r="I2814" t="str">
        <f t="shared" si="130"/>
        <v>Low Value</v>
      </c>
      <c r="J2814" t="str">
        <f t="shared" si="131"/>
        <v>Low Risk</v>
      </c>
      <c r="K2814" s="3" t="str">
        <f t="shared" si="129"/>
        <v>2-4 Years</v>
      </c>
    </row>
    <row r="2815" spans="1:11" x14ac:dyDescent="0.3">
      <c r="A2815" t="s">
        <v>2832</v>
      </c>
      <c r="B2815" t="s">
        <v>14</v>
      </c>
      <c r="C2815" t="s">
        <v>10</v>
      </c>
      <c r="D2815" t="s">
        <v>24</v>
      </c>
      <c r="E2815">
        <v>94.65</v>
      </c>
      <c r="F2815">
        <v>29</v>
      </c>
      <c r="G2815">
        <v>2744.85</v>
      </c>
      <c r="H2815" t="s">
        <v>18</v>
      </c>
      <c r="I2815" t="str">
        <f t="shared" si="130"/>
        <v>Medium Value</v>
      </c>
      <c r="J2815" t="str">
        <f t="shared" si="131"/>
        <v>Low Risk</v>
      </c>
      <c r="K2815" s="3" t="str">
        <f t="shared" si="129"/>
        <v>2-4 Years</v>
      </c>
    </row>
    <row r="2816" spans="1:11" x14ac:dyDescent="0.3">
      <c r="A2816" t="s">
        <v>2833</v>
      </c>
      <c r="B2816" t="s">
        <v>9</v>
      </c>
      <c r="C2816" t="s">
        <v>10</v>
      </c>
      <c r="D2816" t="s">
        <v>11</v>
      </c>
      <c r="E2816">
        <v>55.2</v>
      </c>
      <c r="F2816">
        <v>4</v>
      </c>
      <c r="G2816">
        <v>220.8</v>
      </c>
      <c r="H2816" t="s">
        <v>12</v>
      </c>
      <c r="I2816" t="str">
        <f t="shared" si="130"/>
        <v>Low Value</v>
      </c>
      <c r="J2816" t="str">
        <f t="shared" si="131"/>
        <v>High Risk</v>
      </c>
      <c r="K2816" s="3" t="str">
        <f t="shared" si="129"/>
        <v>0-1 Year</v>
      </c>
    </row>
    <row r="2817" spans="1:11" x14ac:dyDescent="0.3">
      <c r="A2817" t="s">
        <v>2834</v>
      </c>
      <c r="B2817" t="s">
        <v>14</v>
      </c>
      <c r="C2817" t="s">
        <v>15</v>
      </c>
      <c r="D2817" t="s">
        <v>20</v>
      </c>
      <c r="E2817">
        <v>24.05</v>
      </c>
      <c r="F2817">
        <v>53</v>
      </c>
      <c r="G2817">
        <v>1274.6500000000001</v>
      </c>
      <c r="H2817" t="s">
        <v>12</v>
      </c>
      <c r="I2817" t="str">
        <f t="shared" si="130"/>
        <v>Low Value</v>
      </c>
      <c r="J2817" t="str">
        <f t="shared" si="131"/>
        <v>Low Risk</v>
      </c>
      <c r="K2817" s="3" t="str">
        <f t="shared" si="129"/>
        <v>4+ Years</v>
      </c>
    </row>
    <row r="2818" spans="1:11" x14ac:dyDescent="0.3">
      <c r="A2818" t="s">
        <v>2835</v>
      </c>
      <c r="B2818" t="s">
        <v>14</v>
      </c>
      <c r="C2818" t="s">
        <v>10</v>
      </c>
      <c r="D2818" t="s">
        <v>11</v>
      </c>
      <c r="E2818">
        <v>74.400000000000006</v>
      </c>
      <c r="F2818">
        <v>1</v>
      </c>
      <c r="G2818">
        <v>74.400000000000006</v>
      </c>
      <c r="H2818" t="s">
        <v>18</v>
      </c>
      <c r="I2818" t="str">
        <f t="shared" si="130"/>
        <v>Low Value</v>
      </c>
      <c r="J2818" t="str">
        <f t="shared" si="131"/>
        <v>High Risk</v>
      </c>
      <c r="K2818" s="3" t="str">
        <f t="shared" si="129"/>
        <v>0-1 Year</v>
      </c>
    </row>
    <row r="2819" spans="1:11" x14ac:dyDescent="0.3">
      <c r="A2819" t="s">
        <v>2836</v>
      </c>
      <c r="B2819" t="s">
        <v>9</v>
      </c>
      <c r="C2819" t="s">
        <v>10</v>
      </c>
      <c r="D2819" t="s">
        <v>24</v>
      </c>
      <c r="E2819">
        <v>79.900000000000006</v>
      </c>
      <c r="F2819">
        <v>41</v>
      </c>
      <c r="G2819">
        <v>3275.9</v>
      </c>
      <c r="H2819" t="s">
        <v>18</v>
      </c>
      <c r="I2819" t="str">
        <f t="shared" si="130"/>
        <v>Medium Value</v>
      </c>
      <c r="J2819" t="str">
        <f t="shared" si="131"/>
        <v>Low Risk</v>
      </c>
      <c r="K2819" s="3" t="str">
        <f t="shared" ref="K2819:K2882" si="132">IF(F2819&lt;=12,"0-1 Year",
IF(F2819&lt;=24,"1-2 Years",
IF(F2819&lt;=48,"2-4 Years","4+ Years")))</f>
        <v>2-4 Years</v>
      </c>
    </row>
    <row r="2820" spans="1:11" x14ac:dyDescent="0.3">
      <c r="A2820" t="s">
        <v>2837</v>
      </c>
      <c r="B2820" t="s">
        <v>14</v>
      </c>
      <c r="C2820" t="s">
        <v>30</v>
      </c>
      <c r="D2820" t="s">
        <v>20</v>
      </c>
      <c r="E2820">
        <v>20.45</v>
      </c>
      <c r="F2820">
        <v>39</v>
      </c>
      <c r="G2820">
        <v>797.55</v>
      </c>
      <c r="H2820" t="s">
        <v>12</v>
      </c>
      <c r="I2820" t="str">
        <f t="shared" ref="I2820:I2883" si="133">IF(G2820&gt;5000,"High Value",
IF(G2820&gt;2000,"Medium Value","Low Value"))</f>
        <v>Low Value</v>
      </c>
      <c r="J2820" t="str">
        <f t="shared" ref="J2820:J2883" si="134">IF(F2820&lt;12,"High Risk",
IF(F2820&lt;24,"Medium Risk","Low Risk"))</f>
        <v>Low Risk</v>
      </c>
      <c r="K2820" s="3" t="str">
        <f t="shared" si="132"/>
        <v>2-4 Years</v>
      </c>
    </row>
    <row r="2821" spans="1:11" x14ac:dyDescent="0.3">
      <c r="A2821" t="s">
        <v>2838</v>
      </c>
      <c r="B2821" t="s">
        <v>14</v>
      </c>
      <c r="C2821" t="s">
        <v>30</v>
      </c>
      <c r="D2821" t="s">
        <v>16</v>
      </c>
      <c r="E2821">
        <v>19.25</v>
      </c>
      <c r="F2821">
        <v>63</v>
      </c>
      <c r="G2821">
        <v>1212.75</v>
      </c>
      <c r="H2821" t="s">
        <v>12</v>
      </c>
      <c r="I2821" t="str">
        <f t="shared" si="133"/>
        <v>Low Value</v>
      </c>
      <c r="J2821" t="str">
        <f t="shared" si="134"/>
        <v>Low Risk</v>
      </c>
      <c r="K2821" s="3" t="str">
        <f t="shared" si="132"/>
        <v>4+ Years</v>
      </c>
    </row>
    <row r="2822" spans="1:11" x14ac:dyDescent="0.3">
      <c r="A2822" t="s">
        <v>2839</v>
      </c>
      <c r="B2822" t="s">
        <v>14</v>
      </c>
      <c r="C2822" t="s">
        <v>10</v>
      </c>
      <c r="D2822" t="s">
        <v>11</v>
      </c>
      <c r="E2822">
        <v>26.35</v>
      </c>
      <c r="F2822">
        <v>15</v>
      </c>
      <c r="G2822">
        <v>395.25</v>
      </c>
      <c r="H2822" t="s">
        <v>12</v>
      </c>
      <c r="I2822" t="str">
        <f t="shared" si="133"/>
        <v>Low Value</v>
      </c>
      <c r="J2822" t="str">
        <f t="shared" si="134"/>
        <v>Medium Risk</v>
      </c>
      <c r="K2822" s="3" t="str">
        <f t="shared" si="132"/>
        <v>1-2 Years</v>
      </c>
    </row>
    <row r="2823" spans="1:11" x14ac:dyDescent="0.3">
      <c r="A2823" t="s">
        <v>2840</v>
      </c>
      <c r="B2823" t="s">
        <v>9</v>
      </c>
      <c r="C2823" t="s">
        <v>15</v>
      </c>
      <c r="D2823" t="s">
        <v>11</v>
      </c>
      <c r="E2823">
        <v>43.8</v>
      </c>
      <c r="F2823">
        <v>13</v>
      </c>
      <c r="G2823">
        <v>569.4</v>
      </c>
      <c r="H2823" t="s">
        <v>12</v>
      </c>
      <c r="I2823" t="str">
        <f t="shared" si="133"/>
        <v>Low Value</v>
      </c>
      <c r="J2823" t="str">
        <f t="shared" si="134"/>
        <v>Medium Risk</v>
      </c>
      <c r="K2823" s="3" t="str">
        <f t="shared" si="132"/>
        <v>1-2 Years</v>
      </c>
    </row>
    <row r="2824" spans="1:11" x14ac:dyDescent="0.3">
      <c r="A2824" t="s">
        <v>2841</v>
      </c>
      <c r="B2824" t="s">
        <v>14</v>
      </c>
      <c r="C2824" t="s">
        <v>10</v>
      </c>
      <c r="D2824" t="s">
        <v>16</v>
      </c>
      <c r="E2824">
        <v>50.15</v>
      </c>
      <c r="F2824">
        <v>1</v>
      </c>
      <c r="G2824">
        <v>50.15</v>
      </c>
      <c r="H2824" t="s">
        <v>12</v>
      </c>
      <c r="I2824" t="str">
        <f t="shared" si="133"/>
        <v>Low Value</v>
      </c>
      <c r="J2824" t="str">
        <f t="shared" si="134"/>
        <v>High Risk</v>
      </c>
      <c r="K2824" s="3" t="str">
        <f t="shared" si="132"/>
        <v>0-1 Year</v>
      </c>
    </row>
    <row r="2825" spans="1:11" x14ac:dyDescent="0.3">
      <c r="A2825" t="s">
        <v>2842</v>
      </c>
      <c r="B2825" t="s">
        <v>14</v>
      </c>
      <c r="C2825" t="s">
        <v>30</v>
      </c>
      <c r="D2825" t="s">
        <v>16</v>
      </c>
      <c r="E2825">
        <v>20.45</v>
      </c>
      <c r="F2825">
        <v>1</v>
      </c>
      <c r="G2825">
        <v>20.45</v>
      </c>
      <c r="H2825" t="s">
        <v>12</v>
      </c>
      <c r="I2825" t="str">
        <f t="shared" si="133"/>
        <v>Low Value</v>
      </c>
      <c r="J2825" t="str">
        <f t="shared" si="134"/>
        <v>High Risk</v>
      </c>
      <c r="K2825" s="3" t="str">
        <f t="shared" si="132"/>
        <v>0-1 Year</v>
      </c>
    </row>
    <row r="2826" spans="1:11" x14ac:dyDescent="0.3">
      <c r="A2826" t="s">
        <v>2843</v>
      </c>
      <c r="B2826" t="s">
        <v>14</v>
      </c>
      <c r="C2826" t="s">
        <v>10</v>
      </c>
      <c r="D2826" t="s">
        <v>11</v>
      </c>
      <c r="E2826">
        <v>69.7</v>
      </c>
      <c r="F2826">
        <v>8</v>
      </c>
      <c r="G2826">
        <v>557.6</v>
      </c>
      <c r="H2826" t="s">
        <v>18</v>
      </c>
      <c r="I2826" t="str">
        <f t="shared" si="133"/>
        <v>Low Value</v>
      </c>
      <c r="J2826" t="str">
        <f t="shared" si="134"/>
        <v>High Risk</v>
      </c>
      <c r="K2826" s="3" t="str">
        <f t="shared" si="132"/>
        <v>0-1 Year</v>
      </c>
    </row>
    <row r="2827" spans="1:11" x14ac:dyDescent="0.3">
      <c r="A2827" t="s">
        <v>2844</v>
      </c>
      <c r="B2827" t="s">
        <v>14</v>
      </c>
      <c r="C2827" t="s">
        <v>30</v>
      </c>
      <c r="D2827" t="s">
        <v>11</v>
      </c>
      <c r="E2827">
        <v>61.4</v>
      </c>
      <c r="F2827">
        <v>60</v>
      </c>
      <c r="G2827">
        <v>3684</v>
      </c>
      <c r="H2827" t="s">
        <v>12</v>
      </c>
      <c r="I2827" t="str">
        <f t="shared" si="133"/>
        <v>Medium Value</v>
      </c>
      <c r="J2827" t="str">
        <f t="shared" si="134"/>
        <v>Low Risk</v>
      </c>
      <c r="K2827" s="3" t="str">
        <f t="shared" si="132"/>
        <v>4+ Years</v>
      </c>
    </row>
    <row r="2828" spans="1:11" x14ac:dyDescent="0.3">
      <c r="A2828" t="s">
        <v>2845</v>
      </c>
      <c r="B2828" t="s">
        <v>9</v>
      </c>
      <c r="C2828" t="s">
        <v>10</v>
      </c>
      <c r="D2828" t="s">
        <v>11</v>
      </c>
      <c r="E2828">
        <v>98.1</v>
      </c>
      <c r="F2828">
        <v>12</v>
      </c>
      <c r="G2828">
        <v>1177.19999999999</v>
      </c>
      <c r="H2828" t="s">
        <v>18</v>
      </c>
      <c r="I2828" t="str">
        <f t="shared" si="133"/>
        <v>Low Value</v>
      </c>
      <c r="J2828" t="str">
        <f t="shared" si="134"/>
        <v>Medium Risk</v>
      </c>
      <c r="K2828" s="3" t="str">
        <f t="shared" si="132"/>
        <v>0-1 Year</v>
      </c>
    </row>
    <row r="2829" spans="1:11" x14ac:dyDescent="0.3">
      <c r="A2829" t="s">
        <v>2846</v>
      </c>
      <c r="B2829" t="s">
        <v>14</v>
      </c>
      <c r="C2829" t="s">
        <v>15</v>
      </c>
      <c r="D2829" t="s">
        <v>24</v>
      </c>
      <c r="E2829">
        <v>70.75</v>
      </c>
      <c r="F2829">
        <v>40</v>
      </c>
      <c r="G2829">
        <v>2830</v>
      </c>
      <c r="H2829" t="s">
        <v>12</v>
      </c>
      <c r="I2829" t="str">
        <f t="shared" si="133"/>
        <v>Medium Value</v>
      </c>
      <c r="J2829" t="str">
        <f t="shared" si="134"/>
        <v>Low Risk</v>
      </c>
      <c r="K2829" s="3" t="str">
        <f t="shared" si="132"/>
        <v>2-4 Years</v>
      </c>
    </row>
    <row r="2830" spans="1:11" x14ac:dyDescent="0.3">
      <c r="A2830" t="s">
        <v>2847</v>
      </c>
      <c r="B2830" t="s">
        <v>9</v>
      </c>
      <c r="C2830" t="s">
        <v>30</v>
      </c>
      <c r="D2830" t="s">
        <v>20</v>
      </c>
      <c r="E2830">
        <v>61.15</v>
      </c>
      <c r="F2830">
        <v>66</v>
      </c>
      <c r="G2830">
        <v>4035.9</v>
      </c>
      <c r="H2830" t="s">
        <v>12</v>
      </c>
      <c r="I2830" t="str">
        <f t="shared" si="133"/>
        <v>Medium Value</v>
      </c>
      <c r="J2830" t="str">
        <f t="shared" si="134"/>
        <v>Low Risk</v>
      </c>
      <c r="K2830" s="3" t="str">
        <f t="shared" si="132"/>
        <v>4+ Years</v>
      </c>
    </row>
    <row r="2831" spans="1:11" x14ac:dyDescent="0.3">
      <c r="A2831" t="s">
        <v>2848</v>
      </c>
      <c r="B2831" t="s">
        <v>14</v>
      </c>
      <c r="C2831" t="s">
        <v>15</v>
      </c>
      <c r="D2831" t="s">
        <v>16</v>
      </c>
      <c r="E2831">
        <v>20.25</v>
      </c>
      <c r="F2831">
        <v>42</v>
      </c>
      <c r="G2831">
        <v>850.5</v>
      </c>
      <c r="H2831" t="s">
        <v>12</v>
      </c>
      <c r="I2831" t="str">
        <f t="shared" si="133"/>
        <v>Low Value</v>
      </c>
      <c r="J2831" t="str">
        <f t="shared" si="134"/>
        <v>Low Risk</v>
      </c>
      <c r="K2831" s="3" t="str">
        <f t="shared" si="132"/>
        <v>2-4 Years</v>
      </c>
    </row>
    <row r="2832" spans="1:11" x14ac:dyDescent="0.3">
      <c r="A2832" t="s">
        <v>2849</v>
      </c>
      <c r="B2832" t="s">
        <v>9</v>
      </c>
      <c r="C2832" t="s">
        <v>15</v>
      </c>
      <c r="D2832" t="s">
        <v>24</v>
      </c>
      <c r="E2832">
        <v>63.85</v>
      </c>
      <c r="F2832">
        <v>66</v>
      </c>
      <c r="G2832">
        <v>4214.1000000000004</v>
      </c>
      <c r="H2832" t="s">
        <v>12</v>
      </c>
      <c r="I2832" t="str">
        <f t="shared" si="133"/>
        <v>Medium Value</v>
      </c>
      <c r="J2832" t="str">
        <f t="shared" si="134"/>
        <v>Low Risk</v>
      </c>
      <c r="K2832" s="3" t="str">
        <f t="shared" si="132"/>
        <v>4+ Years</v>
      </c>
    </row>
    <row r="2833" spans="1:11" x14ac:dyDescent="0.3">
      <c r="A2833" t="s">
        <v>2850</v>
      </c>
      <c r="B2833" t="s">
        <v>14</v>
      </c>
      <c r="C2833" t="s">
        <v>10</v>
      </c>
      <c r="D2833" t="s">
        <v>11</v>
      </c>
      <c r="E2833">
        <v>98.7</v>
      </c>
      <c r="F2833">
        <v>49</v>
      </c>
      <c r="G2833">
        <v>4836.3</v>
      </c>
      <c r="H2833" t="s">
        <v>12</v>
      </c>
      <c r="I2833" t="str">
        <f t="shared" si="133"/>
        <v>Medium Value</v>
      </c>
      <c r="J2833" t="str">
        <f t="shared" si="134"/>
        <v>Low Risk</v>
      </c>
      <c r="K2833" s="3" t="str">
        <f t="shared" si="132"/>
        <v>4+ Years</v>
      </c>
    </row>
    <row r="2834" spans="1:11" x14ac:dyDescent="0.3">
      <c r="A2834" t="s">
        <v>2851</v>
      </c>
      <c r="B2834" t="s">
        <v>9</v>
      </c>
      <c r="C2834" t="s">
        <v>10</v>
      </c>
      <c r="D2834" t="s">
        <v>16</v>
      </c>
      <c r="E2834">
        <v>20.5</v>
      </c>
      <c r="F2834">
        <v>1</v>
      </c>
      <c r="G2834">
        <v>20.5</v>
      </c>
      <c r="H2834" t="s">
        <v>18</v>
      </c>
      <c r="I2834" t="str">
        <f t="shared" si="133"/>
        <v>Low Value</v>
      </c>
      <c r="J2834" t="str">
        <f t="shared" si="134"/>
        <v>High Risk</v>
      </c>
      <c r="K2834" s="3" t="str">
        <f t="shared" si="132"/>
        <v>0-1 Year</v>
      </c>
    </row>
    <row r="2835" spans="1:11" x14ac:dyDescent="0.3">
      <c r="A2835" t="s">
        <v>2852</v>
      </c>
      <c r="B2835" t="s">
        <v>9</v>
      </c>
      <c r="C2835" t="s">
        <v>30</v>
      </c>
      <c r="D2835" t="s">
        <v>16</v>
      </c>
      <c r="E2835">
        <v>20</v>
      </c>
      <c r="F2835">
        <v>41</v>
      </c>
      <c r="G2835">
        <v>820</v>
      </c>
      <c r="H2835" t="s">
        <v>12</v>
      </c>
      <c r="I2835" t="str">
        <f t="shared" si="133"/>
        <v>Low Value</v>
      </c>
      <c r="J2835" t="str">
        <f t="shared" si="134"/>
        <v>Low Risk</v>
      </c>
      <c r="K2835" s="3" t="str">
        <f t="shared" si="132"/>
        <v>2-4 Years</v>
      </c>
    </row>
    <row r="2836" spans="1:11" x14ac:dyDescent="0.3">
      <c r="A2836" t="s">
        <v>2853</v>
      </c>
      <c r="B2836" t="s">
        <v>9</v>
      </c>
      <c r="C2836" t="s">
        <v>30</v>
      </c>
      <c r="D2836" t="s">
        <v>20</v>
      </c>
      <c r="E2836">
        <v>19.3</v>
      </c>
      <c r="F2836">
        <v>41</v>
      </c>
      <c r="G2836">
        <v>791.3</v>
      </c>
      <c r="H2836" t="s">
        <v>12</v>
      </c>
      <c r="I2836" t="str">
        <f t="shared" si="133"/>
        <v>Low Value</v>
      </c>
      <c r="J2836" t="str">
        <f t="shared" si="134"/>
        <v>Low Risk</v>
      </c>
      <c r="K2836" s="3" t="str">
        <f t="shared" si="132"/>
        <v>2-4 Years</v>
      </c>
    </row>
    <row r="2837" spans="1:11" x14ac:dyDescent="0.3">
      <c r="A2837" t="s">
        <v>2854</v>
      </c>
      <c r="B2837" t="s">
        <v>9</v>
      </c>
      <c r="C2837" t="s">
        <v>10</v>
      </c>
      <c r="D2837" t="s">
        <v>16</v>
      </c>
      <c r="E2837">
        <v>84.4</v>
      </c>
      <c r="F2837">
        <v>23</v>
      </c>
      <c r="G2837">
        <v>1941.2</v>
      </c>
      <c r="H2837" t="s">
        <v>12</v>
      </c>
      <c r="I2837" t="str">
        <f t="shared" si="133"/>
        <v>Low Value</v>
      </c>
      <c r="J2837" t="str">
        <f t="shared" si="134"/>
        <v>Medium Risk</v>
      </c>
      <c r="K2837" s="3" t="str">
        <f t="shared" si="132"/>
        <v>1-2 Years</v>
      </c>
    </row>
    <row r="2838" spans="1:11" x14ac:dyDescent="0.3">
      <c r="A2838" t="s">
        <v>2855</v>
      </c>
      <c r="B2838" t="s">
        <v>14</v>
      </c>
      <c r="C2838" t="s">
        <v>10</v>
      </c>
      <c r="D2838" t="s">
        <v>11</v>
      </c>
      <c r="E2838">
        <v>25.1</v>
      </c>
      <c r="F2838">
        <v>3</v>
      </c>
      <c r="G2838">
        <v>75.3</v>
      </c>
      <c r="H2838" t="s">
        <v>12</v>
      </c>
      <c r="I2838" t="str">
        <f t="shared" si="133"/>
        <v>Low Value</v>
      </c>
      <c r="J2838" t="str">
        <f t="shared" si="134"/>
        <v>High Risk</v>
      </c>
      <c r="K2838" s="3" t="str">
        <f t="shared" si="132"/>
        <v>0-1 Year</v>
      </c>
    </row>
    <row r="2839" spans="1:11" x14ac:dyDescent="0.3">
      <c r="A2839" t="s">
        <v>2856</v>
      </c>
      <c r="B2839" t="s">
        <v>9</v>
      </c>
      <c r="C2839" t="s">
        <v>10</v>
      </c>
      <c r="D2839" t="s">
        <v>16</v>
      </c>
      <c r="E2839">
        <v>48.25</v>
      </c>
      <c r="F2839">
        <v>4</v>
      </c>
      <c r="G2839">
        <v>193</v>
      </c>
      <c r="H2839" t="s">
        <v>12</v>
      </c>
      <c r="I2839" t="str">
        <f t="shared" si="133"/>
        <v>Low Value</v>
      </c>
      <c r="J2839" t="str">
        <f t="shared" si="134"/>
        <v>High Risk</v>
      </c>
      <c r="K2839" s="3" t="str">
        <f t="shared" si="132"/>
        <v>0-1 Year</v>
      </c>
    </row>
    <row r="2840" spans="1:11" x14ac:dyDescent="0.3">
      <c r="A2840" t="s">
        <v>2857</v>
      </c>
      <c r="B2840" t="s">
        <v>9</v>
      </c>
      <c r="C2840" t="s">
        <v>30</v>
      </c>
      <c r="D2840" t="s">
        <v>16</v>
      </c>
      <c r="E2840">
        <v>19.850000000000001</v>
      </c>
      <c r="F2840">
        <v>52</v>
      </c>
      <c r="G2840">
        <v>1032.2</v>
      </c>
      <c r="H2840" t="s">
        <v>12</v>
      </c>
      <c r="I2840" t="str">
        <f t="shared" si="133"/>
        <v>Low Value</v>
      </c>
      <c r="J2840" t="str">
        <f t="shared" si="134"/>
        <v>Low Risk</v>
      </c>
      <c r="K2840" s="3" t="str">
        <f t="shared" si="132"/>
        <v>4+ Years</v>
      </c>
    </row>
    <row r="2841" spans="1:11" x14ac:dyDescent="0.3">
      <c r="A2841" t="s">
        <v>2858</v>
      </c>
      <c r="B2841" t="s">
        <v>9</v>
      </c>
      <c r="C2841" t="s">
        <v>10</v>
      </c>
      <c r="D2841" t="s">
        <v>11</v>
      </c>
      <c r="E2841">
        <v>99.6</v>
      </c>
      <c r="F2841">
        <v>4</v>
      </c>
      <c r="G2841">
        <v>398.4</v>
      </c>
      <c r="H2841" t="s">
        <v>18</v>
      </c>
      <c r="I2841" t="str">
        <f t="shared" si="133"/>
        <v>Low Value</v>
      </c>
      <c r="J2841" t="str">
        <f t="shared" si="134"/>
        <v>High Risk</v>
      </c>
      <c r="K2841" s="3" t="str">
        <f t="shared" si="132"/>
        <v>0-1 Year</v>
      </c>
    </row>
    <row r="2842" spans="1:11" x14ac:dyDescent="0.3">
      <c r="A2842" t="s">
        <v>2859</v>
      </c>
      <c r="B2842" t="s">
        <v>9</v>
      </c>
      <c r="C2842" t="s">
        <v>10</v>
      </c>
      <c r="D2842" t="s">
        <v>11</v>
      </c>
      <c r="E2842">
        <v>94.2</v>
      </c>
      <c r="F2842">
        <v>11</v>
      </c>
      <c r="G2842">
        <v>1036.2</v>
      </c>
      <c r="H2842" t="s">
        <v>12</v>
      </c>
      <c r="I2842" t="str">
        <f t="shared" si="133"/>
        <v>Low Value</v>
      </c>
      <c r="J2842" t="str">
        <f t="shared" si="134"/>
        <v>High Risk</v>
      </c>
      <c r="K2842" s="3" t="str">
        <f t="shared" si="132"/>
        <v>0-1 Year</v>
      </c>
    </row>
    <row r="2843" spans="1:11" x14ac:dyDescent="0.3">
      <c r="A2843" t="s">
        <v>2860</v>
      </c>
      <c r="B2843" t="s">
        <v>9</v>
      </c>
      <c r="C2843" t="s">
        <v>10</v>
      </c>
      <c r="D2843" t="s">
        <v>16</v>
      </c>
      <c r="E2843">
        <v>62.15</v>
      </c>
      <c r="F2843">
        <v>2</v>
      </c>
      <c r="G2843">
        <v>124.3</v>
      </c>
      <c r="H2843" t="s">
        <v>12</v>
      </c>
      <c r="I2843" t="str">
        <f t="shared" si="133"/>
        <v>Low Value</v>
      </c>
      <c r="J2843" t="str">
        <f t="shared" si="134"/>
        <v>High Risk</v>
      </c>
      <c r="K2843" s="3" t="str">
        <f t="shared" si="132"/>
        <v>0-1 Year</v>
      </c>
    </row>
    <row r="2844" spans="1:11" x14ac:dyDescent="0.3">
      <c r="A2844" t="s">
        <v>2861</v>
      </c>
      <c r="B2844" t="s">
        <v>9</v>
      </c>
      <c r="C2844" t="s">
        <v>10</v>
      </c>
      <c r="D2844" t="s">
        <v>20</v>
      </c>
      <c r="E2844">
        <v>79.3</v>
      </c>
      <c r="F2844">
        <v>26</v>
      </c>
      <c r="G2844">
        <v>2061.7999999999902</v>
      </c>
      <c r="H2844" t="s">
        <v>12</v>
      </c>
      <c r="I2844" t="str">
        <f t="shared" si="133"/>
        <v>Medium Value</v>
      </c>
      <c r="J2844" t="str">
        <f t="shared" si="134"/>
        <v>Low Risk</v>
      </c>
      <c r="K2844" s="3" t="str">
        <f t="shared" si="132"/>
        <v>2-4 Years</v>
      </c>
    </row>
    <row r="2845" spans="1:11" x14ac:dyDescent="0.3">
      <c r="A2845" t="s">
        <v>2862</v>
      </c>
      <c r="B2845" t="s">
        <v>14</v>
      </c>
      <c r="C2845" t="s">
        <v>15</v>
      </c>
      <c r="D2845" t="s">
        <v>24</v>
      </c>
      <c r="E2845">
        <v>56.25</v>
      </c>
      <c r="F2845">
        <v>24</v>
      </c>
      <c r="G2845">
        <v>1350</v>
      </c>
      <c r="H2845" t="s">
        <v>12</v>
      </c>
      <c r="I2845" t="str">
        <f t="shared" si="133"/>
        <v>Low Value</v>
      </c>
      <c r="J2845" t="str">
        <f t="shared" si="134"/>
        <v>Low Risk</v>
      </c>
      <c r="K2845" s="3" t="str">
        <f t="shared" si="132"/>
        <v>1-2 Years</v>
      </c>
    </row>
    <row r="2846" spans="1:11" x14ac:dyDescent="0.3">
      <c r="A2846" t="s">
        <v>2863</v>
      </c>
      <c r="B2846" t="s">
        <v>9</v>
      </c>
      <c r="C2846" t="s">
        <v>10</v>
      </c>
      <c r="D2846" t="s">
        <v>16</v>
      </c>
      <c r="E2846">
        <v>20.3</v>
      </c>
      <c r="F2846">
        <v>12</v>
      </c>
      <c r="G2846">
        <v>243.6</v>
      </c>
      <c r="H2846" t="s">
        <v>12</v>
      </c>
      <c r="I2846" t="str">
        <f t="shared" si="133"/>
        <v>Low Value</v>
      </c>
      <c r="J2846" t="str">
        <f t="shared" si="134"/>
        <v>Medium Risk</v>
      </c>
      <c r="K2846" s="3" t="str">
        <f t="shared" si="132"/>
        <v>0-1 Year</v>
      </c>
    </row>
    <row r="2847" spans="1:11" x14ac:dyDescent="0.3">
      <c r="A2847" t="s">
        <v>2864</v>
      </c>
      <c r="B2847" t="s">
        <v>14</v>
      </c>
      <c r="C2847" t="s">
        <v>10</v>
      </c>
      <c r="D2847" t="s">
        <v>11</v>
      </c>
      <c r="E2847">
        <v>99</v>
      </c>
      <c r="F2847">
        <v>60</v>
      </c>
      <c r="G2847">
        <v>5940</v>
      </c>
      <c r="H2847" t="s">
        <v>12</v>
      </c>
      <c r="I2847" t="str">
        <f t="shared" si="133"/>
        <v>High Value</v>
      </c>
      <c r="J2847" t="str">
        <f t="shared" si="134"/>
        <v>Low Risk</v>
      </c>
      <c r="K2847" s="3" t="str">
        <f t="shared" si="132"/>
        <v>4+ Years</v>
      </c>
    </row>
    <row r="2848" spans="1:11" x14ac:dyDescent="0.3">
      <c r="A2848" t="s">
        <v>2865</v>
      </c>
      <c r="B2848" t="s">
        <v>9</v>
      </c>
      <c r="C2848" t="s">
        <v>30</v>
      </c>
      <c r="D2848" t="s">
        <v>16</v>
      </c>
      <c r="E2848">
        <v>90.6</v>
      </c>
      <c r="F2848">
        <v>64</v>
      </c>
      <c r="G2848">
        <v>5798.4</v>
      </c>
      <c r="H2848" t="s">
        <v>12</v>
      </c>
      <c r="I2848" t="str">
        <f t="shared" si="133"/>
        <v>High Value</v>
      </c>
      <c r="J2848" t="str">
        <f t="shared" si="134"/>
        <v>Low Risk</v>
      </c>
      <c r="K2848" s="3" t="str">
        <f t="shared" si="132"/>
        <v>4+ Years</v>
      </c>
    </row>
    <row r="2849" spans="1:11" x14ac:dyDescent="0.3">
      <c r="A2849" t="s">
        <v>2866</v>
      </c>
      <c r="B2849" t="s">
        <v>14</v>
      </c>
      <c r="C2849" t="s">
        <v>30</v>
      </c>
      <c r="D2849" t="s">
        <v>20</v>
      </c>
      <c r="E2849">
        <v>85.9</v>
      </c>
      <c r="F2849">
        <v>66</v>
      </c>
      <c r="G2849">
        <v>5669.4</v>
      </c>
      <c r="H2849" t="s">
        <v>12</v>
      </c>
      <c r="I2849" t="str">
        <f t="shared" si="133"/>
        <v>High Value</v>
      </c>
      <c r="J2849" t="str">
        <f t="shared" si="134"/>
        <v>Low Risk</v>
      </c>
      <c r="K2849" s="3" t="str">
        <f t="shared" si="132"/>
        <v>4+ Years</v>
      </c>
    </row>
    <row r="2850" spans="1:11" x14ac:dyDescent="0.3">
      <c r="A2850" t="s">
        <v>2867</v>
      </c>
      <c r="B2850" t="s">
        <v>9</v>
      </c>
      <c r="C2850" t="s">
        <v>15</v>
      </c>
      <c r="D2850" t="s">
        <v>20</v>
      </c>
      <c r="E2850">
        <v>79.2</v>
      </c>
      <c r="F2850">
        <v>60</v>
      </c>
      <c r="G2850">
        <v>4752</v>
      </c>
      <c r="H2850" t="s">
        <v>12</v>
      </c>
      <c r="I2850" t="str">
        <f t="shared" si="133"/>
        <v>Medium Value</v>
      </c>
      <c r="J2850" t="str">
        <f t="shared" si="134"/>
        <v>Low Risk</v>
      </c>
      <c r="K2850" s="3" t="str">
        <f t="shared" si="132"/>
        <v>4+ Years</v>
      </c>
    </row>
    <row r="2851" spans="1:11" x14ac:dyDescent="0.3">
      <c r="A2851" t="s">
        <v>2868</v>
      </c>
      <c r="B2851" t="s">
        <v>14</v>
      </c>
      <c r="C2851" t="s">
        <v>15</v>
      </c>
      <c r="D2851" t="s">
        <v>20</v>
      </c>
      <c r="E2851">
        <v>70.349999999999994</v>
      </c>
      <c r="F2851">
        <v>17</v>
      </c>
      <c r="G2851">
        <v>1195.94999999999</v>
      </c>
      <c r="H2851" t="s">
        <v>12</v>
      </c>
      <c r="I2851" t="str">
        <f t="shared" si="133"/>
        <v>Low Value</v>
      </c>
      <c r="J2851" t="str">
        <f t="shared" si="134"/>
        <v>Medium Risk</v>
      </c>
      <c r="K2851" s="3" t="str">
        <f t="shared" si="132"/>
        <v>1-2 Years</v>
      </c>
    </row>
    <row r="2852" spans="1:11" x14ac:dyDescent="0.3">
      <c r="A2852" t="s">
        <v>2869</v>
      </c>
      <c r="B2852" t="s">
        <v>14</v>
      </c>
      <c r="C2852" t="s">
        <v>30</v>
      </c>
      <c r="D2852" t="s">
        <v>16</v>
      </c>
      <c r="E2852">
        <v>19.350000000000001</v>
      </c>
      <c r="F2852">
        <v>42</v>
      </c>
      <c r="G2852">
        <v>812.7</v>
      </c>
      <c r="H2852" t="s">
        <v>12</v>
      </c>
      <c r="I2852" t="str">
        <f t="shared" si="133"/>
        <v>Low Value</v>
      </c>
      <c r="J2852" t="str">
        <f t="shared" si="134"/>
        <v>Low Risk</v>
      </c>
      <c r="K2852" s="3" t="str">
        <f t="shared" si="132"/>
        <v>2-4 Years</v>
      </c>
    </row>
    <row r="2853" spans="1:11" x14ac:dyDescent="0.3">
      <c r="A2853" t="s">
        <v>2870</v>
      </c>
      <c r="B2853" t="s">
        <v>14</v>
      </c>
      <c r="C2853" t="s">
        <v>10</v>
      </c>
      <c r="D2853" t="s">
        <v>11</v>
      </c>
      <c r="E2853">
        <v>50.15</v>
      </c>
      <c r="F2853">
        <v>1</v>
      </c>
      <c r="G2853">
        <v>50.15</v>
      </c>
      <c r="H2853" t="s">
        <v>12</v>
      </c>
      <c r="I2853" t="str">
        <f t="shared" si="133"/>
        <v>Low Value</v>
      </c>
      <c r="J2853" t="str">
        <f t="shared" si="134"/>
        <v>High Risk</v>
      </c>
      <c r="K2853" s="3" t="str">
        <f t="shared" si="132"/>
        <v>0-1 Year</v>
      </c>
    </row>
    <row r="2854" spans="1:11" x14ac:dyDescent="0.3">
      <c r="A2854" t="s">
        <v>2871</v>
      </c>
      <c r="B2854" t="s">
        <v>9</v>
      </c>
      <c r="C2854" t="s">
        <v>30</v>
      </c>
      <c r="D2854" t="s">
        <v>20</v>
      </c>
      <c r="E2854">
        <v>63.8</v>
      </c>
      <c r="F2854">
        <v>47</v>
      </c>
      <c r="G2854">
        <v>2998.6</v>
      </c>
      <c r="H2854" t="s">
        <v>12</v>
      </c>
      <c r="I2854" t="str">
        <f t="shared" si="133"/>
        <v>Medium Value</v>
      </c>
      <c r="J2854" t="str">
        <f t="shared" si="134"/>
        <v>Low Risk</v>
      </c>
      <c r="K2854" s="3" t="str">
        <f t="shared" si="132"/>
        <v>2-4 Years</v>
      </c>
    </row>
    <row r="2855" spans="1:11" x14ac:dyDescent="0.3">
      <c r="A2855" t="s">
        <v>2872</v>
      </c>
      <c r="B2855" t="s">
        <v>9</v>
      </c>
      <c r="C2855" t="s">
        <v>10</v>
      </c>
      <c r="D2855" t="s">
        <v>16</v>
      </c>
      <c r="E2855">
        <v>20.55</v>
      </c>
      <c r="F2855">
        <v>10</v>
      </c>
      <c r="G2855">
        <v>205.5</v>
      </c>
      <c r="H2855" t="s">
        <v>12</v>
      </c>
      <c r="I2855" t="str">
        <f t="shared" si="133"/>
        <v>Low Value</v>
      </c>
      <c r="J2855" t="str">
        <f t="shared" si="134"/>
        <v>High Risk</v>
      </c>
      <c r="K2855" s="3" t="str">
        <f t="shared" si="132"/>
        <v>0-1 Year</v>
      </c>
    </row>
    <row r="2856" spans="1:11" x14ac:dyDescent="0.3">
      <c r="A2856" t="s">
        <v>2873</v>
      </c>
      <c r="B2856" t="s">
        <v>14</v>
      </c>
      <c r="C2856" t="s">
        <v>30</v>
      </c>
      <c r="D2856" t="s">
        <v>24</v>
      </c>
      <c r="E2856">
        <v>88.55</v>
      </c>
      <c r="F2856">
        <v>70</v>
      </c>
      <c r="G2856">
        <v>6198.5</v>
      </c>
      <c r="H2856" t="s">
        <v>12</v>
      </c>
      <c r="I2856" t="str">
        <f t="shared" si="133"/>
        <v>High Value</v>
      </c>
      <c r="J2856" t="str">
        <f t="shared" si="134"/>
        <v>Low Risk</v>
      </c>
      <c r="K2856" s="3" t="str">
        <f t="shared" si="132"/>
        <v>4+ Years</v>
      </c>
    </row>
    <row r="2857" spans="1:11" x14ac:dyDescent="0.3">
      <c r="A2857" t="s">
        <v>2874</v>
      </c>
      <c r="B2857" t="s">
        <v>14</v>
      </c>
      <c r="C2857" t="s">
        <v>10</v>
      </c>
      <c r="D2857" t="s">
        <v>24</v>
      </c>
      <c r="E2857">
        <v>101.4</v>
      </c>
      <c r="F2857">
        <v>67</v>
      </c>
      <c r="G2857">
        <v>6793.8</v>
      </c>
      <c r="H2857" t="s">
        <v>12</v>
      </c>
      <c r="I2857" t="str">
        <f t="shared" si="133"/>
        <v>High Value</v>
      </c>
      <c r="J2857" t="str">
        <f t="shared" si="134"/>
        <v>Low Risk</v>
      </c>
      <c r="K2857" s="3" t="str">
        <f t="shared" si="132"/>
        <v>4+ Years</v>
      </c>
    </row>
    <row r="2858" spans="1:11" x14ac:dyDescent="0.3">
      <c r="A2858" t="s">
        <v>2875</v>
      </c>
      <c r="B2858" t="s">
        <v>9</v>
      </c>
      <c r="C2858" t="s">
        <v>10</v>
      </c>
      <c r="D2858" t="s">
        <v>11</v>
      </c>
      <c r="E2858">
        <v>81.95</v>
      </c>
      <c r="F2858">
        <v>1</v>
      </c>
      <c r="G2858">
        <v>81.95</v>
      </c>
      <c r="H2858" t="s">
        <v>18</v>
      </c>
      <c r="I2858" t="str">
        <f t="shared" si="133"/>
        <v>Low Value</v>
      </c>
      <c r="J2858" t="str">
        <f t="shared" si="134"/>
        <v>High Risk</v>
      </c>
      <c r="K2858" s="3" t="str">
        <f t="shared" si="132"/>
        <v>0-1 Year</v>
      </c>
    </row>
    <row r="2859" spans="1:11" x14ac:dyDescent="0.3">
      <c r="A2859" t="s">
        <v>2876</v>
      </c>
      <c r="B2859" t="s">
        <v>14</v>
      </c>
      <c r="C2859" t="s">
        <v>10</v>
      </c>
      <c r="D2859" t="s">
        <v>11</v>
      </c>
      <c r="E2859">
        <v>69.349999999999994</v>
      </c>
      <c r="F2859">
        <v>7</v>
      </c>
      <c r="G2859">
        <v>485.44999999999902</v>
      </c>
      <c r="H2859" t="s">
        <v>18</v>
      </c>
      <c r="I2859" t="str">
        <f t="shared" si="133"/>
        <v>Low Value</v>
      </c>
      <c r="J2859" t="str">
        <f t="shared" si="134"/>
        <v>High Risk</v>
      </c>
      <c r="K2859" s="3" t="str">
        <f t="shared" si="132"/>
        <v>0-1 Year</v>
      </c>
    </row>
    <row r="2860" spans="1:11" x14ac:dyDescent="0.3">
      <c r="A2860" t="s">
        <v>2877</v>
      </c>
      <c r="B2860" t="s">
        <v>14</v>
      </c>
      <c r="C2860" t="s">
        <v>10</v>
      </c>
      <c r="D2860" t="s">
        <v>16</v>
      </c>
      <c r="E2860">
        <v>44.6</v>
      </c>
      <c r="F2860">
        <v>1</v>
      </c>
      <c r="G2860">
        <v>44.6</v>
      </c>
      <c r="H2860" t="s">
        <v>12</v>
      </c>
      <c r="I2860" t="str">
        <f t="shared" si="133"/>
        <v>Low Value</v>
      </c>
      <c r="J2860" t="str">
        <f t="shared" si="134"/>
        <v>High Risk</v>
      </c>
      <c r="K2860" s="3" t="str">
        <f t="shared" si="132"/>
        <v>0-1 Year</v>
      </c>
    </row>
    <row r="2861" spans="1:11" x14ac:dyDescent="0.3">
      <c r="A2861" t="s">
        <v>2878</v>
      </c>
      <c r="B2861" t="s">
        <v>14</v>
      </c>
      <c r="C2861" t="s">
        <v>10</v>
      </c>
      <c r="D2861" t="s">
        <v>20</v>
      </c>
      <c r="E2861">
        <v>63.75</v>
      </c>
      <c r="F2861">
        <v>4</v>
      </c>
      <c r="G2861">
        <v>255</v>
      </c>
      <c r="H2861" t="s">
        <v>12</v>
      </c>
      <c r="I2861" t="str">
        <f t="shared" si="133"/>
        <v>Low Value</v>
      </c>
      <c r="J2861" t="str">
        <f t="shared" si="134"/>
        <v>High Risk</v>
      </c>
      <c r="K2861" s="3" t="str">
        <f t="shared" si="132"/>
        <v>0-1 Year</v>
      </c>
    </row>
    <row r="2862" spans="1:11" x14ac:dyDescent="0.3">
      <c r="A2862" t="s">
        <v>2879</v>
      </c>
      <c r="B2862" t="s">
        <v>9</v>
      </c>
      <c r="C2862" t="s">
        <v>30</v>
      </c>
      <c r="D2862" t="s">
        <v>20</v>
      </c>
      <c r="E2862">
        <v>109.25</v>
      </c>
      <c r="F2862">
        <v>66</v>
      </c>
      <c r="G2862">
        <v>7210.5</v>
      </c>
      <c r="H2862" t="s">
        <v>12</v>
      </c>
      <c r="I2862" t="str">
        <f t="shared" si="133"/>
        <v>High Value</v>
      </c>
      <c r="J2862" t="str">
        <f t="shared" si="134"/>
        <v>Low Risk</v>
      </c>
      <c r="K2862" s="3" t="str">
        <f t="shared" si="132"/>
        <v>4+ Years</v>
      </c>
    </row>
    <row r="2863" spans="1:11" x14ac:dyDescent="0.3">
      <c r="A2863" t="s">
        <v>2880</v>
      </c>
      <c r="B2863" t="s">
        <v>9</v>
      </c>
      <c r="C2863" t="s">
        <v>10</v>
      </c>
      <c r="D2863" t="s">
        <v>11</v>
      </c>
      <c r="E2863">
        <v>84.6</v>
      </c>
      <c r="F2863">
        <v>12</v>
      </c>
      <c r="G2863">
        <v>1015.19999999999</v>
      </c>
      <c r="H2863" t="s">
        <v>12</v>
      </c>
      <c r="I2863" t="str">
        <f t="shared" si="133"/>
        <v>Low Value</v>
      </c>
      <c r="J2863" t="str">
        <f t="shared" si="134"/>
        <v>Medium Risk</v>
      </c>
      <c r="K2863" s="3" t="str">
        <f t="shared" si="132"/>
        <v>0-1 Year</v>
      </c>
    </row>
    <row r="2864" spans="1:11" x14ac:dyDescent="0.3">
      <c r="A2864" t="s">
        <v>2881</v>
      </c>
      <c r="B2864" t="s">
        <v>9</v>
      </c>
      <c r="C2864" t="s">
        <v>15</v>
      </c>
      <c r="D2864" t="s">
        <v>24</v>
      </c>
      <c r="E2864">
        <v>20.45</v>
      </c>
      <c r="F2864">
        <v>24</v>
      </c>
      <c r="G2864">
        <v>490.79999999999899</v>
      </c>
      <c r="H2864" t="s">
        <v>12</v>
      </c>
      <c r="I2864" t="str">
        <f t="shared" si="133"/>
        <v>Low Value</v>
      </c>
      <c r="J2864" t="str">
        <f t="shared" si="134"/>
        <v>Low Risk</v>
      </c>
      <c r="K2864" s="3" t="str">
        <f t="shared" si="132"/>
        <v>1-2 Years</v>
      </c>
    </row>
    <row r="2865" spans="1:11" x14ac:dyDescent="0.3">
      <c r="A2865" t="s">
        <v>2882</v>
      </c>
      <c r="B2865" t="s">
        <v>14</v>
      </c>
      <c r="C2865" t="s">
        <v>10</v>
      </c>
      <c r="D2865" t="s">
        <v>11</v>
      </c>
      <c r="E2865">
        <v>85.75</v>
      </c>
      <c r="F2865">
        <v>26</v>
      </c>
      <c r="G2865">
        <v>2229.5</v>
      </c>
      <c r="H2865" t="s">
        <v>12</v>
      </c>
      <c r="I2865" t="str">
        <f t="shared" si="133"/>
        <v>Medium Value</v>
      </c>
      <c r="J2865" t="str">
        <f t="shared" si="134"/>
        <v>Low Risk</v>
      </c>
      <c r="K2865" s="3" t="str">
        <f t="shared" si="132"/>
        <v>2-4 Years</v>
      </c>
    </row>
    <row r="2866" spans="1:11" x14ac:dyDescent="0.3">
      <c r="A2866" t="s">
        <v>2883</v>
      </c>
      <c r="B2866" t="s">
        <v>9</v>
      </c>
      <c r="C2866" t="s">
        <v>10</v>
      </c>
      <c r="D2866" t="s">
        <v>11</v>
      </c>
      <c r="E2866">
        <v>91.1</v>
      </c>
      <c r="F2866">
        <v>6</v>
      </c>
      <c r="G2866">
        <v>546.599999999999</v>
      </c>
      <c r="H2866" t="s">
        <v>18</v>
      </c>
      <c r="I2866" t="str">
        <f t="shared" si="133"/>
        <v>Low Value</v>
      </c>
      <c r="J2866" t="str">
        <f t="shared" si="134"/>
        <v>High Risk</v>
      </c>
      <c r="K2866" s="3" t="str">
        <f t="shared" si="132"/>
        <v>0-1 Year</v>
      </c>
    </row>
    <row r="2867" spans="1:11" x14ac:dyDescent="0.3">
      <c r="A2867" t="s">
        <v>2884</v>
      </c>
      <c r="B2867" t="s">
        <v>14</v>
      </c>
      <c r="C2867" t="s">
        <v>30</v>
      </c>
      <c r="D2867" t="s">
        <v>11</v>
      </c>
      <c r="E2867">
        <v>107.95</v>
      </c>
      <c r="F2867">
        <v>57</v>
      </c>
      <c r="G2867">
        <v>6153.15</v>
      </c>
      <c r="H2867" t="s">
        <v>12</v>
      </c>
      <c r="I2867" t="str">
        <f t="shared" si="133"/>
        <v>High Value</v>
      </c>
      <c r="J2867" t="str">
        <f t="shared" si="134"/>
        <v>Low Risk</v>
      </c>
      <c r="K2867" s="3" t="str">
        <f t="shared" si="132"/>
        <v>4+ Years</v>
      </c>
    </row>
    <row r="2868" spans="1:11" x14ac:dyDescent="0.3">
      <c r="A2868" t="s">
        <v>2885</v>
      </c>
      <c r="B2868" t="s">
        <v>14</v>
      </c>
      <c r="C2868" t="s">
        <v>10</v>
      </c>
      <c r="D2868" t="s">
        <v>11</v>
      </c>
      <c r="E2868">
        <v>86.1</v>
      </c>
      <c r="F2868">
        <v>14</v>
      </c>
      <c r="G2868">
        <v>1205.3999999999901</v>
      </c>
      <c r="H2868" t="s">
        <v>18</v>
      </c>
      <c r="I2868" t="str">
        <f t="shared" si="133"/>
        <v>Low Value</v>
      </c>
      <c r="J2868" t="str">
        <f t="shared" si="134"/>
        <v>Medium Risk</v>
      </c>
      <c r="K2868" s="3" t="str">
        <f t="shared" si="132"/>
        <v>1-2 Years</v>
      </c>
    </row>
    <row r="2869" spans="1:11" x14ac:dyDescent="0.3">
      <c r="A2869" t="s">
        <v>2886</v>
      </c>
      <c r="B2869" t="s">
        <v>9</v>
      </c>
      <c r="C2869" t="s">
        <v>30</v>
      </c>
      <c r="D2869" t="s">
        <v>11</v>
      </c>
      <c r="E2869">
        <v>22.95</v>
      </c>
      <c r="F2869">
        <v>42</v>
      </c>
      <c r="G2869">
        <v>963.9</v>
      </c>
      <c r="H2869" t="s">
        <v>12</v>
      </c>
      <c r="I2869" t="str">
        <f t="shared" si="133"/>
        <v>Low Value</v>
      </c>
      <c r="J2869" t="str">
        <f t="shared" si="134"/>
        <v>Low Risk</v>
      </c>
      <c r="K2869" s="3" t="str">
        <f t="shared" si="132"/>
        <v>2-4 Years</v>
      </c>
    </row>
    <row r="2870" spans="1:11" x14ac:dyDescent="0.3">
      <c r="A2870" t="s">
        <v>2887</v>
      </c>
      <c r="B2870" t="s">
        <v>14</v>
      </c>
      <c r="C2870" t="s">
        <v>10</v>
      </c>
      <c r="D2870" t="s">
        <v>20</v>
      </c>
      <c r="E2870">
        <v>94.7</v>
      </c>
      <c r="F2870">
        <v>25</v>
      </c>
      <c r="G2870">
        <v>2367.5</v>
      </c>
      <c r="H2870" t="s">
        <v>18</v>
      </c>
      <c r="I2870" t="str">
        <f t="shared" si="133"/>
        <v>Medium Value</v>
      </c>
      <c r="J2870" t="str">
        <f t="shared" si="134"/>
        <v>Low Risk</v>
      </c>
      <c r="K2870" s="3" t="str">
        <f t="shared" si="132"/>
        <v>2-4 Years</v>
      </c>
    </row>
    <row r="2871" spans="1:11" x14ac:dyDescent="0.3">
      <c r="A2871" t="s">
        <v>2888</v>
      </c>
      <c r="B2871" t="s">
        <v>9</v>
      </c>
      <c r="C2871" t="s">
        <v>30</v>
      </c>
      <c r="D2871" t="s">
        <v>24</v>
      </c>
      <c r="E2871">
        <v>19.45</v>
      </c>
      <c r="F2871">
        <v>64</v>
      </c>
      <c r="G2871">
        <v>1244.8</v>
      </c>
      <c r="H2871" t="s">
        <v>12</v>
      </c>
      <c r="I2871" t="str">
        <f t="shared" si="133"/>
        <v>Low Value</v>
      </c>
      <c r="J2871" t="str">
        <f t="shared" si="134"/>
        <v>Low Risk</v>
      </c>
      <c r="K2871" s="3" t="str">
        <f t="shared" si="132"/>
        <v>4+ Years</v>
      </c>
    </row>
    <row r="2872" spans="1:11" x14ac:dyDescent="0.3">
      <c r="A2872" t="s">
        <v>2889</v>
      </c>
      <c r="B2872" t="s">
        <v>14</v>
      </c>
      <c r="C2872" t="s">
        <v>10</v>
      </c>
      <c r="D2872" t="s">
        <v>11</v>
      </c>
      <c r="E2872">
        <v>85.1</v>
      </c>
      <c r="F2872">
        <v>22</v>
      </c>
      <c r="G2872">
        <v>1872.19999999999</v>
      </c>
      <c r="H2872" t="s">
        <v>18</v>
      </c>
      <c r="I2872" t="str">
        <f t="shared" si="133"/>
        <v>Low Value</v>
      </c>
      <c r="J2872" t="str">
        <f t="shared" si="134"/>
        <v>Medium Risk</v>
      </c>
      <c r="K2872" s="3" t="str">
        <f t="shared" si="132"/>
        <v>1-2 Years</v>
      </c>
    </row>
    <row r="2873" spans="1:11" x14ac:dyDescent="0.3">
      <c r="A2873" t="s">
        <v>2890</v>
      </c>
      <c r="B2873" t="s">
        <v>14</v>
      </c>
      <c r="C2873" t="s">
        <v>15</v>
      </c>
      <c r="D2873" t="s">
        <v>24</v>
      </c>
      <c r="E2873">
        <v>19.7</v>
      </c>
      <c r="F2873">
        <v>19</v>
      </c>
      <c r="G2873">
        <v>374.3</v>
      </c>
      <c r="H2873" t="s">
        <v>12</v>
      </c>
      <c r="I2873" t="str">
        <f t="shared" si="133"/>
        <v>Low Value</v>
      </c>
      <c r="J2873" t="str">
        <f t="shared" si="134"/>
        <v>Medium Risk</v>
      </c>
      <c r="K2873" s="3" t="str">
        <f t="shared" si="132"/>
        <v>1-2 Years</v>
      </c>
    </row>
    <row r="2874" spans="1:11" x14ac:dyDescent="0.3">
      <c r="A2874" t="s">
        <v>2891</v>
      </c>
      <c r="B2874" t="s">
        <v>9</v>
      </c>
      <c r="C2874" t="s">
        <v>10</v>
      </c>
      <c r="D2874" t="s">
        <v>11</v>
      </c>
      <c r="E2874">
        <v>99.15</v>
      </c>
      <c r="F2874">
        <v>61</v>
      </c>
      <c r="G2874">
        <v>6048.15</v>
      </c>
      <c r="H2874" t="s">
        <v>18</v>
      </c>
      <c r="I2874" t="str">
        <f t="shared" si="133"/>
        <v>High Value</v>
      </c>
      <c r="J2874" t="str">
        <f t="shared" si="134"/>
        <v>Low Risk</v>
      </c>
      <c r="K2874" s="3" t="str">
        <f t="shared" si="132"/>
        <v>4+ Years</v>
      </c>
    </row>
    <row r="2875" spans="1:11" x14ac:dyDescent="0.3">
      <c r="A2875" t="s">
        <v>2892</v>
      </c>
      <c r="B2875" t="s">
        <v>14</v>
      </c>
      <c r="C2875" t="s">
        <v>10</v>
      </c>
      <c r="D2875" t="s">
        <v>20</v>
      </c>
      <c r="E2875">
        <v>87</v>
      </c>
      <c r="F2875">
        <v>22</v>
      </c>
      <c r="G2875">
        <v>1914</v>
      </c>
      <c r="H2875" t="s">
        <v>12</v>
      </c>
      <c r="I2875" t="str">
        <f t="shared" si="133"/>
        <v>Low Value</v>
      </c>
      <c r="J2875" t="str">
        <f t="shared" si="134"/>
        <v>Medium Risk</v>
      </c>
      <c r="K2875" s="3" t="str">
        <f t="shared" si="132"/>
        <v>1-2 Years</v>
      </c>
    </row>
    <row r="2876" spans="1:11" x14ac:dyDescent="0.3">
      <c r="A2876" t="s">
        <v>2893</v>
      </c>
      <c r="B2876" t="s">
        <v>14</v>
      </c>
      <c r="C2876" t="s">
        <v>10</v>
      </c>
      <c r="D2876" t="s">
        <v>11</v>
      </c>
      <c r="E2876">
        <v>102.95</v>
      </c>
      <c r="F2876">
        <v>70</v>
      </c>
      <c r="G2876">
        <v>7206.5</v>
      </c>
      <c r="H2876" t="s">
        <v>18</v>
      </c>
      <c r="I2876" t="str">
        <f t="shared" si="133"/>
        <v>High Value</v>
      </c>
      <c r="J2876" t="str">
        <f t="shared" si="134"/>
        <v>Low Risk</v>
      </c>
      <c r="K2876" s="3" t="str">
        <f t="shared" si="132"/>
        <v>4+ Years</v>
      </c>
    </row>
    <row r="2877" spans="1:11" x14ac:dyDescent="0.3">
      <c r="A2877" t="s">
        <v>2894</v>
      </c>
      <c r="B2877" t="s">
        <v>14</v>
      </c>
      <c r="C2877" t="s">
        <v>10</v>
      </c>
      <c r="D2877" t="s">
        <v>20</v>
      </c>
      <c r="E2877">
        <v>79.95</v>
      </c>
      <c r="F2877">
        <v>12</v>
      </c>
      <c r="G2877">
        <v>959.4</v>
      </c>
      <c r="H2877" t="s">
        <v>12</v>
      </c>
      <c r="I2877" t="str">
        <f t="shared" si="133"/>
        <v>Low Value</v>
      </c>
      <c r="J2877" t="str">
        <f t="shared" si="134"/>
        <v>Medium Risk</v>
      </c>
      <c r="K2877" s="3" t="str">
        <f t="shared" si="132"/>
        <v>0-1 Year</v>
      </c>
    </row>
    <row r="2878" spans="1:11" x14ac:dyDescent="0.3">
      <c r="A2878" t="s">
        <v>2895</v>
      </c>
      <c r="B2878" t="s">
        <v>9</v>
      </c>
      <c r="C2878" t="s">
        <v>15</v>
      </c>
      <c r="D2878" t="s">
        <v>11</v>
      </c>
      <c r="E2878">
        <v>64</v>
      </c>
      <c r="F2878">
        <v>31</v>
      </c>
      <c r="G2878">
        <v>1984</v>
      </c>
      <c r="H2878" t="s">
        <v>12</v>
      </c>
      <c r="I2878" t="str">
        <f t="shared" si="133"/>
        <v>Low Value</v>
      </c>
      <c r="J2878" t="str">
        <f t="shared" si="134"/>
        <v>Low Risk</v>
      </c>
      <c r="K2878" s="3" t="str">
        <f t="shared" si="132"/>
        <v>2-4 Years</v>
      </c>
    </row>
    <row r="2879" spans="1:11" x14ac:dyDescent="0.3">
      <c r="A2879" t="s">
        <v>2896</v>
      </c>
      <c r="B2879" t="s">
        <v>9</v>
      </c>
      <c r="C2879" t="s">
        <v>10</v>
      </c>
      <c r="D2879" t="s">
        <v>11</v>
      </c>
      <c r="E2879">
        <v>64.900000000000006</v>
      </c>
      <c r="F2879">
        <v>11</v>
      </c>
      <c r="G2879">
        <v>713.9</v>
      </c>
      <c r="H2879" t="s">
        <v>12</v>
      </c>
      <c r="I2879" t="str">
        <f t="shared" si="133"/>
        <v>Low Value</v>
      </c>
      <c r="J2879" t="str">
        <f t="shared" si="134"/>
        <v>High Risk</v>
      </c>
      <c r="K2879" s="3" t="str">
        <f t="shared" si="132"/>
        <v>0-1 Year</v>
      </c>
    </row>
    <row r="2880" spans="1:11" x14ac:dyDescent="0.3">
      <c r="A2880" t="s">
        <v>2897</v>
      </c>
      <c r="B2880" t="s">
        <v>14</v>
      </c>
      <c r="C2880" t="s">
        <v>30</v>
      </c>
      <c r="D2880" t="s">
        <v>16</v>
      </c>
      <c r="E2880">
        <v>25.75</v>
      </c>
      <c r="F2880">
        <v>68</v>
      </c>
      <c r="G2880">
        <v>1751</v>
      </c>
      <c r="H2880" t="s">
        <v>12</v>
      </c>
      <c r="I2880" t="str">
        <f t="shared" si="133"/>
        <v>Low Value</v>
      </c>
      <c r="J2880" t="str">
        <f t="shared" si="134"/>
        <v>Low Risk</v>
      </c>
      <c r="K2880" s="3" t="str">
        <f t="shared" si="132"/>
        <v>4+ Years</v>
      </c>
    </row>
    <row r="2881" spans="1:11" x14ac:dyDescent="0.3">
      <c r="A2881" t="s">
        <v>2898</v>
      </c>
      <c r="B2881" t="s">
        <v>9</v>
      </c>
      <c r="C2881" t="s">
        <v>30</v>
      </c>
      <c r="D2881" t="s">
        <v>20</v>
      </c>
      <c r="E2881">
        <v>90.15</v>
      </c>
      <c r="F2881">
        <v>72</v>
      </c>
      <c r="G2881">
        <v>6490.8</v>
      </c>
      <c r="H2881" t="s">
        <v>12</v>
      </c>
      <c r="I2881" t="str">
        <f t="shared" si="133"/>
        <v>High Value</v>
      </c>
      <c r="J2881" t="str">
        <f t="shared" si="134"/>
        <v>Low Risk</v>
      </c>
      <c r="K2881" s="3" t="str">
        <f t="shared" si="132"/>
        <v>4+ Years</v>
      </c>
    </row>
    <row r="2882" spans="1:11" x14ac:dyDescent="0.3">
      <c r="A2882" t="s">
        <v>2899</v>
      </c>
      <c r="B2882" t="s">
        <v>14</v>
      </c>
      <c r="C2882" t="s">
        <v>30</v>
      </c>
      <c r="D2882" t="s">
        <v>24</v>
      </c>
      <c r="E2882">
        <v>116.1</v>
      </c>
      <c r="F2882">
        <v>67</v>
      </c>
      <c r="G2882">
        <v>7778.7</v>
      </c>
      <c r="H2882" t="s">
        <v>12</v>
      </c>
      <c r="I2882" t="str">
        <f t="shared" si="133"/>
        <v>High Value</v>
      </c>
      <c r="J2882" t="str">
        <f t="shared" si="134"/>
        <v>Low Risk</v>
      </c>
      <c r="K2882" s="3" t="str">
        <f t="shared" si="132"/>
        <v>4+ Years</v>
      </c>
    </row>
    <row r="2883" spans="1:11" x14ac:dyDescent="0.3">
      <c r="A2883" t="s">
        <v>2900</v>
      </c>
      <c r="B2883" t="s">
        <v>9</v>
      </c>
      <c r="C2883" t="s">
        <v>10</v>
      </c>
      <c r="D2883" t="s">
        <v>20</v>
      </c>
      <c r="E2883">
        <v>104.95</v>
      </c>
      <c r="F2883">
        <v>60</v>
      </c>
      <c r="G2883">
        <v>6297</v>
      </c>
      <c r="H2883" t="s">
        <v>12</v>
      </c>
      <c r="I2883" t="str">
        <f t="shared" si="133"/>
        <v>High Value</v>
      </c>
      <c r="J2883" t="str">
        <f t="shared" si="134"/>
        <v>Low Risk</v>
      </c>
      <c r="K2883" s="3" t="str">
        <f t="shared" ref="K2883:K2946" si="135">IF(F2883&lt;=12,"0-1 Year",
IF(F2883&lt;=24,"1-2 Years",
IF(F2883&lt;=48,"2-4 Years","4+ Years")))</f>
        <v>4+ Years</v>
      </c>
    </row>
    <row r="2884" spans="1:11" x14ac:dyDescent="0.3">
      <c r="A2884" t="s">
        <v>2901</v>
      </c>
      <c r="B2884" t="s">
        <v>14</v>
      </c>
      <c r="C2884" t="s">
        <v>10</v>
      </c>
      <c r="D2884" t="s">
        <v>16</v>
      </c>
      <c r="E2884">
        <v>45.05</v>
      </c>
      <c r="F2884">
        <v>1</v>
      </c>
      <c r="G2884">
        <v>45.05</v>
      </c>
      <c r="H2884" t="s">
        <v>18</v>
      </c>
      <c r="I2884" t="str">
        <f t="shared" ref="I2884:I2947" si="136">IF(G2884&gt;5000,"High Value",
IF(G2884&gt;2000,"Medium Value","Low Value"))</f>
        <v>Low Value</v>
      </c>
      <c r="J2884" t="str">
        <f t="shared" ref="J2884:J2947" si="137">IF(F2884&lt;12,"High Risk",
IF(F2884&lt;24,"Medium Risk","Low Risk"))</f>
        <v>High Risk</v>
      </c>
      <c r="K2884" s="3" t="str">
        <f t="shared" si="135"/>
        <v>0-1 Year</v>
      </c>
    </row>
    <row r="2885" spans="1:11" x14ac:dyDescent="0.3">
      <c r="A2885" t="s">
        <v>2902</v>
      </c>
      <c r="B2885" t="s">
        <v>9</v>
      </c>
      <c r="C2885" t="s">
        <v>10</v>
      </c>
      <c r="D2885" t="s">
        <v>11</v>
      </c>
      <c r="E2885">
        <v>71</v>
      </c>
      <c r="F2885">
        <v>1</v>
      </c>
      <c r="G2885">
        <v>71</v>
      </c>
      <c r="H2885" t="s">
        <v>18</v>
      </c>
      <c r="I2885" t="str">
        <f t="shared" si="136"/>
        <v>Low Value</v>
      </c>
      <c r="J2885" t="str">
        <f t="shared" si="137"/>
        <v>High Risk</v>
      </c>
      <c r="K2885" s="3" t="str">
        <f t="shared" si="135"/>
        <v>0-1 Year</v>
      </c>
    </row>
    <row r="2886" spans="1:11" x14ac:dyDescent="0.3">
      <c r="A2886" t="s">
        <v>2903</v>
      </c>
      <c r="B2886" t="s">
        <v>14</v>
      </c>
      <c r="C2886" t="s">
        <v>15</v>
      </c>
      <c r="D2886" t="s">
        <v>16</v>
      </c>
      <c r="E2886">
        <v>50</v>
      </c>
      <c r="F2886">
        <v>58</v>
      </c>
      <c r="G2886">
        <v>2900</v>
      </c>
      <c r="H2886" t="s">
        <v>12</v>
      </c>
      <c r="I2886" t="str">
        <f t="shared" si="136"/>
        <v>Medium Value</v>
      </c>
      <c r="J2886" t="str">
        <f t="shared" si="137"/>
        <v>Low Risk</v>
      </c>
      <c r="K2886" s="3" t="str">
        <f t="shared" si="135"/>
        <v>4+ Years</v>
      </c>
    </row>
    <row r="2887" spans="1:11" x14ac:dyDescent="0.3">
      <c r="A2887" t="s">
        <v>2904</v>
      </c>
      <c r="B2887" t="s">
        <v>9</v>
      </c>
      <c r="C2887" t="s">
        <v>10</v>
      </c>
      <c r="D2887" t="s">
        <v>20</v>
      </c>
      <c r="E2887">
        <v>70.55</v>
      </c>
      <c r="F2887">
        <v>47</v>
      </c>
      <c r="G2887">
        <v>3315.85</v>
      </c>
      <c r="H2887" t="s">
        <v>18</v>
      </c>
      <c r="I2887" t="str">
        <f t="shared" si="136"/>
        <v>Medium Value</v>
      </c>
      <c r="J2887" t="str">
        <f t="shared" si="137"/>
        <v>Low Risk</v>
      </c>
      <c r="K2887" s="3" t="str">
        <f t="shared" si="135"/>
        <v>2-4 Years</v>
      </c>
    </row>
    <row r="2888" spans="1:11" x14ac:dyDescent="0.3">
      <c r="A2888" t="s">
        <v>2905</v>
      </c>
      <c r="B2888" t="s">
        <v>9</v>
      </c>
      <c r="C2888" t="s">
        <v>10</v>
      </c>
      <c r="D2888" t="s">
        <v>11</v>
      </c>
      <c r="E2888">
        <v>79.7</v>
      </c>
      <c r="F2888">
        <v>1</v>
      </c>
      <c r="G2888">
        <v>79.7</v>
      </c>
      <c r="H2888" t="s">
        <v>18</v>
      </c>
      <c r="I2888" t="str">
        <f t="shared" si="136"/>
        <v>Low Value</v>
      </c>
      <c r="J2888" t="str">
        <f t="shared" si="137"/>
        <v>High Risk</v>
      </c>
      <c r="K2888" s="3" t="str">
        <f t="shared" si="135"/>
        <v>0-1 Year</v>
      </c>
    </row>
    <row r="2889" spans="1:11" x14ac:dyDescent="0.3">
      <c r="A2889" t="s">
        <v>2906</v>
      </c>
      <c r="B2889" t="s">
        <v>14</v>
      </c>
      <c r="C2889" t="s">
        <v>10</v>
      </c>
      <c r="D2889" t="s">
        <v>16</v>
      </c>
      <c r="E2889">
        <v>20.45</v>
      </c>
      <c r="F2889">
        <v>1</v>
      </c>
      <c r="G2889">
        <v>20.45</v>
      </c>
      <c r="H2889" t="s">
        <v>12</v>
      </c>
      <c r="I2889" t="str">
        <f t="shared" si="136"/>
        <v>Low Value</v>
      </c>
      <c r="J2889" t="str">
        <f t="shared" si="137"/>
        <v>High Risk</v>
      </c>
      <c r="K2889" s="3" t="str">
        <f t="shared" si="135"/>
        <v>0-1 Year</v>
      </c>
    </row>
    <row r="2890" spans="1:11" x14ac:dyDescent="0.3">
      <c r="A2890" t="s">
        <v>2907</v>
      </c>
      <c r="B2890" t="s">
        <v>14</v>
      </c>
      <c r="C2890" t="s">
        <v>10</v>
      </c>
      <c r="D2890" t="s">
        <v>11</v>
      </c>
      <c r="E2890">
        <v>59</v>
      </c>
      <c r="F2890">
        <v>22</v>
      </c>
      <c r="G2890">
        <v>1298</v>
      </c>
      <c r="H2890" t="s">
        <v>18</v>
      </c>
      <c r="I2890" t="str">
        <f t="shared" si="136"/>
        <v>Low Value</v>
      </c>
      <c r="J2890" t="str">
        <f t="shared" si="137"/>
        <v>Medium Risk</v>
      </c>
      <c r="K2890" s="3" t="str">
        <f t="shared" si="135"/>
        <v>1-2 Years</v>
      </c>
    </row>
    <row r="2891" spans="1:11" x14ac:dyDescent="0.3">
      <c r="A2891" t="s">
        <v>2908</v>
      </c>
      <c r="B2891" t="s">
        <v>9</v>
      </c>
      <c r="C2891" t="s">
        <v>15</v>
      </c>
      <c r="D2891" t="s">
        <v>24</v>
      </c>
      <c r="E2891">
        <v>60.35</v>
      </c>
      <c r="F2891">
        <v>48</v>
      </c>
      <c r="G2891">
        <v>2896.8</v>
      </c>
      <c r="H2891" t="s">
        <v>18</v>
      </c>
      <c r="I2891" t="str">
        <f t="shared" si="136"/>
        <v>Medium Value</v>
      </c>
      <c r="J2891" t="str">
        <f t="shared" si="137"/>
        <v>Low Risk</v>
      </c>
      <c r="K2891" s="3" t="str">
        <f t="shared" si="135"/>
        <v>2-4 Years</v>
      </c>
    </row>
    <row r="2892" spans="1:11" x14ac:dyDescent="0.3">
      <c r="A2892" t="s">
        <v>2909</v>
      </c>
      <c r="B2892" t="s">
        <v>9</v>
      </c>
      <c r="C2892" t="s">
        <v>15</v>
      </c>
      <c r="D2892" t="s">
        <v>20</v>
      </c>
      <c r="E2892">
        <v>19.850000000000001</v>
      </c>
      <c r="F2892">
        <v>37</v>
      </c>
      <c r="G2892">
        <v>734.45</v>
      </c>
      <c r="H2892" t="s">
        <v>12</v>
      </c>
      <c r="I2892" t="str">
        <f t="shared" si="136"/>
        <v>Low Value</v>
      </c>
      <c r="J2892" t="str">
        <f t="shared" si="137"/>
        <v>Low Risk</v>
      </c>
      <c r="K2892" s="3" t="str">
        <f t="shared" si="135"/>
        <v>2-4 Years</v>
      </c>
    </row>
    <row r="2893" spans="1:11" x14ac:dyDescent="0.3">
      <c r="A2893" t="s">
        <v>2910</v>
      </c>
      <c r="B2893" t="s">
        <v>14</v>
      </c>
      <c r="C2893" t="s">
        <v>15</v>
      </c>
      <c r="D2893" t="s">
        <v>11</v>
      </c>
      <c r="E2893">
        <v>19.95</v>
      </c>
      <c r="F2893">
        <v>13</v>
      </c>
      <c r="G2893">
        <v>259.349999999999</v>
      </c>
      <c r="H2893" t="s">
        <v>12</v>
      </c>
      <c r="I2893" t="str">
        <f t="shared" si="136"/>
        <v>Low Value</v>
      </c>
      <c r="J2893" t="str">
        <f t="shared" si="137"/>
        <v>Medium Risk</v>
      </c>
      <c r="K2893" s="3" t="str">
        <f t="shared" si="135"/>
        <v>1-2 Years</v>
      </c>
    </row>
    <row r="2894" spans="1:11" x14ac:dyDescent="0.3">
      <c r="A2894" t="s">
        <v>2911</v>
      </c>
      <c r="B2894" t="s">
        <v>14</v>
      </c>
      <c r="C2894" t="s">
        <v>30</v>
      </c>
      <c r="D2894" t="s">
        <v>20</v>
      </c>
      <c r="E2894">
        <v>26.45</v>
      </c>
      <c r="F2894">
        <v>43</v>
      </c>
      <c r="G2894">
        <v>1137.3499999999999</v>
      </c>
      <c r="H2894" t="s">
        <v>12</v>
      </c>
      <c r="I2894" t="str">
        <f t="shared" si="136"/>
        <v>Low Value</v>
      </c>
      <c r="J2894" t="str">
        <f t="shared" si="137"/>
        <v>Low Risk</v>
      </c>
      <c r="K2894" s="3" t="str">
        <f t="shared" si="135"/>
        <v>2-4 Years</v>
      </c>
    </row>
    <row r="2895" spans="1:11" x14ac:dyDescent="0.3">
      <c r="A2895" t="s">
        <v>2912</v>
      </c>
      <c r="B2895" t="s">
        <v>9</v>
      </c>
      <c r="C2895" t="s">
        <v>30</v>
      </c>
      <c r="D2895" t="s">
        <v>16</v>
      </c>
      <c r="E2895">
        <v>63.4</v>
      </c>
      <c r="F2895">
        <v>6</v>
      </c>
      <c r="G2895">
        <v>380.4</v>
      </c>
      <c r="H2895" t="s">
        <v>12</v>
      </c>
      <c r="I2895" t="str">
        <f t="shared" si="136"/>
        <v>Low Value</v>
      </c>
      <c r="J2895" t="str">
        <f t="shared" si="137"/>
        <v>High Risk</v>
      </c>
      <c r="K2895" s="3" t="str">
        <f t="shared" si="135"/>
        <v>0-1 Year</v>
      </c>
    </row>
    <row r="2896" spans="1:11" x14ac:dyDescent="0.3">
      <c r="A2896" t="s">
        <v>2913</v>
      </c>
      <c r="B2896" t="s">
        <v>14</v>
      </c>
      <c r="C2896" t="s">
        <v>30</v>
      </c>
      <c r="D2896" t="s">
        <v>20</v>
      </c>
      <c r="E2896">
        <v>53.95</v>
      </c>
      <c r="F2896">
        <v>71</v>
      </c>
      <c r="G2896">
        <v>3830.45</v>
      </c>
      <c r="H2896" t="s">
        <v>12</v>
      </c>
      <c r="I2896" t="str">
        <f t="shared" si="136"/>
        <v>Medium Value</v>
      </c>
      <c r="J2896" t="str">
        <f t="shared" si="137"/>
        <v>Low Risk</v>
      </c>
      <c r="K2896" s="3" t="str">
        <f t="shared" si="135"/>
        <v>4+ Years</v>
      </c>
    </row>
    <row r="2897" spans="1:11" x14ac:dyDescent="0.3">
      <c r="A2897" t="s">
        <v>2914</v>
      </c>
      <c r="B2897" t="s">
        <v>9</v>
      </c>
      <c r="C2897" t="s">
        <v>10</v>
      </c>
      <c r="D2897" t="s">
        <v>11</v>
      </c>
      <c r="E2897">
        <v>69.25</v>
      </c>
      <c r="F2897">
        <v>1</v>
      </c>
      <c r="G2897">
        <v>69.25</v>
      </c>
      <c r="H2897" t="s">
        <v>18</v>
      </c>
      <c r="I2897" t="str">
        <f t="shared" si="136"/>
        <v>Low Value</v>
      </c>
      <c r="J2897" t="str">
        <f t="shared" si="137"/>
        <v>High Risk</v>
      </c>
      <c r="K2897" s="3" t="str">
        <f t="shared" si="135"/>
        <v>0-1 Year</v>
      </c>
    </row>
    <row r="2898" spans="1:11" x14ac:dyDescent="0.3">
      <c r="A2898" t="s">
        <v>2915</v>
      </c>
      <c r="B2898" t="s">
        <v>9</v>
      </c>
      <c r="C2898" t="s">
        <v>30</v>
      </c>
      <c r="D2898" t="s">
        <v>11</v>
      </c>
      <c r="E2898">
        <v>95.1</v>
      </c>
      <c r="F2898">
        <v>72</v>
      </c>
      <c r="G2898">
        <v>6847.2</v>
      </c>
      <c r="H2898" t="s">
        <v>12</v>
      </c>
      <c r="I2898" t="str">
        <f t="shared" si="136"/>
        <v>High Value</v>
      </c>
      <c r="J2898" t="str">
        <f t="shared" si="137"/>
        <v>Low Risk</v>
      </c>
      <c r="K2898" s="3" t="str">
        <f t="shared" si="135"/>
        <v>4+ Years</v>
      </c>
    </row>
    <row r="2899" spans="1:11" x14ac:dyDescent="0.3">
      <c r="A2899" t="s">
        <v>2916</v>
      </c>
      <c r="B2899" t="s">
        <v>9</v>
      </c>
      <c r="C2899" t="s">
        <v>10</v>
      </c>
      <c r="D2899" t="s">
        <v>11</v>
      </c>
      <c r="E2899">
        <v>74.099999999999994</v>
      </c>
      <c r="F2899">
        <v>6</v>
      </c>
      <c r="G2899">
        <v>444.599999999999</v>
      </c>
      <c r="H2899" t="s">
        <v>12</v>
      </c>
      <c r="I2899" t="str">
        <f t="shared" si="136"/>
        <v>Low Value</v>
      </c>
      <c r="J2899" t="str">
        <f t="shared" si="137"/>
        <v>High Risk</v>
      </c>
      <c r="K2899" s="3" t="str">
        <f t="shared" si="135"/>
        <v>0-1 Year</v>
      </c>
    </row>
    <row r="2900" spans="1:11" x14ac:dyDescent="0.3">
      <c r="A2900" t="s">
        <v>2917</v>
      </c>
      <c r="B2900" t="s">
        <v>14</v>
      </c>
      <c r="C2900" t="s">
        <v>10</v>
      </c>
      <c r="D2900" t="s">
        <v>16</v>
      </c>
      <c r="E2900">
        <v>35.5</v>
      </c>
      <c r="F2900">
        <v>12</v>
      </c>
      <c r="G2900">
        <v>426</v>
      </c>
      <c r="H2900" t="s">
        <v>12</v>
      </c>
      <c r="I2900" t="str">
        <f t="shared" si="136"/>
        <v>Low Value</v>
      </c>
      <c r="J2900" t="str">
        <f t="shared" si="137"/>
        <v>Medium Risk</v>
      </c>
      <c r="K2900" s="3" t="str">
        <f t="shared" si="135"/>
        <v>0-1 Year</v>
      </c>
    </row>
    <row r="2901" spans="1:11" x14ac:dyDescent="0.3">
      <c r="A2901" t="s">
        <v>2918</v>
      </c>
      <c r="B2901" t="s">
        <v>14</v>
      </c>
      <c r="C2901" t="s">
        <v>10</v>
      </c>
      <c r="D2901" t="s">
        <v>16</v>
      </c>
      <c r="E2901">
        <v>70.95</v>
      </c>
      <c r="F2901">
        <v>25</v>
      </c>
      <c r="G2901">
        <v>1773.75</v>
      </c>
      <c r="H2901" t="s">
        <v>18</v>
      </c>
      <c r="I2901" t="str">
        <f t="shared" si="136"/>
        <v>Low Value</v>
      </c>
      <c r="J2901" t="str">
        <f t="shared" si="137"/>
        <v>Low Risk</v>
      </c>
      <c r="K2901" s="3" t="str">
        <f t="shared" si="135"/>
        <v>2-4 Years</v>
      </c>
    </row>
    <row r="2902" spans="1:11" x14ac:dyDescent="0.3">
      <c r="A2902" t="s">
        <v>2919</v>
      </c>
      <c r="B2902" t="s">
        <v>9</v>
      </c>
      <c r="C2902" t="s">
        <v>15</v>
      </c>
      <c r="D2902" t="s">
        <v>11</v>
      </c>
      <c r="E2902">
        <v>79.2</v>
      </c>
      <c r="F2902">
        <v>21</v>
      </c>
      <c r="G2902">
        <v>1663.2</v>
      </c>
      <c r="H2902" t="s">
        <v>12</v>
      </c>
      <c r="I2902" t="str">
        <f t="shared" si="136"/>
        <v>Low Value</v>
      </c>
      <c r="J2902" t="str">
        <f t="shared" si="137"/>
        <v>Medium Risk</v>
      </c>
      <c r="K2902" s="3" t="str">
        <f t="shared" si="135"/>
        <v>1-2 Years</v>
      </c>
    </row>
    <row r="2903" spans="1:11" x14ac:dyDescent="0.3">
      <c r="A2903" t="s">
        <v>2920</v>
      </c>
      <c r="B2903" t="s">
        <v>9</v>
      </c>
      <c r="C2903" t="s">
        <v>10</v>
      </c>
      <c r="D2903" t="s">
        <v>16</v>
      </c>
      <c r="E2903">
        <v>48.8</v>
      </c>
      <c r="F2903">
        <v>6</v>
      </c>
      <c r="G2903">
        <v>292.79999999999899</v>
      </c>
      <c r="H2903" t="s">
        <v>12</v>
      </c>
      <c r="I2903" t="str">
        <f t="shared" si="136"/>
        <v>Low Value</v>
      </c>
      <c r="J2903" t="str">
        <f t="shared" si="137"/>
        <v>High Risk</v>
      </c>
      <c r="K2903" s="3" t="str">
        <f t="shared" si="135"/>
        <v>0-1 Year</v>
      </c>
    </row>
    <row r="2904" spans="1:11" x14ac:dyDescent="0.3">
      <c r="A2904" t="s">
        <v>2921</v>
      </c>
      <c r="B2904" t="s">
        <v>14</v>
      </c>
      <c r="C2904" t="s">
        <v>10</v>
      </c>
      <c r="D2904" t="s">
        <v>16</v>
      </c>
      <c r="E2904">
        <v>89</v>
      </c>
      <c r="F2904">
        <v>20</v>
      </c>
      <c r="G2904">
        <v>1780</v>
      </c>
      <c r="H2904" t="s">
        <v>18</v>
      </c>
      <c r="I2904" t="str">
        <f t="shared" si="136"/>
        <v>Low Value</v>
      </c>
      <c r="J2904" t="str">
        <f t="shared" si="137"/>
        <v>Medium Risk</v>
      </c>
      <c r="K2904" s="3" t="str">
        <f t="shared" si="135"/>
        <v>1-2 Years</v>
      </c>
    </row>
    <row r="2905" spans="1:11" x14ac:dyDescent="0.3">
      <c r="A2905" t="s">
        <v>2922</v>
      </c>
      <c r="B2905" t="s">
        <v>14</v>
      </c>
      <c r="C2905" t="s">
        <v>10</v>
      </c>
      <c r="D2905" t="s">
        <v>11</v>
      </c>
      <c r="E2905">
        <v>99.4</v>
      </c>
      <c r="F2905">
        <v>18</v>
      </c>
      <c r="G2905">
        <v>1789.2</v>
      </c>
      <c r="H2905" t="s">
        <v>18</v>
      </c>
      <c r="I2905" t="str">
        <f t="shared" si="136"/>
        <v>Low Value</v>
      </c>
      <c r="J2905" t="str">
        <f t="shared" si="137"/>
        <v>Medium Risk</v>
      </c>
      <c r="K2905" s="3" t="str">
        <f t="shared" si="135"/>
        <v>1-2 Years</v>
      </c>
    </row>
    <row r="2906" spans="1:11" x14ac:dyDescent="0.3">
      <c r="A2906" t="s">
        <v>2923</v>
      </c>
      <c r="B2906" t="s">
        <v>9</v>
      </c>
      <c r="C2906" t="s">
        <v>15</v>
      </c>
      <c r="D2906" t="s">
        <v>11</v>
      </c>
      <c r="E2906">
        <v>55.45</v>
      </c>
      <c r="F2906">
        <v>43</v>
      </c>
      <c r="G2906">
        <v>2384.35</v>
      </c>
      <c r="H2906" t="s">
        <v>12</v>
      </c>
      <c r="I2906" t="str">
        <f t="shared" si="136"/>
        <v>Medium Value</v>
      </c>
      <c r="J2906" t="str">
        <f t="shared" si="137"/>
        <v>Low Risk</v>
      </c>
      <c r="K2906" s="3" t="str">
        <f t="shared" si="135"/>
        <v>2-4 Years</v>
      </c>
    </row>
    <row r="2907" spans="1:11" x14ac:dyDescent="0.3">
      <c r="A2907" t="s">
        <v>2924</v>
      </c>
      <c r="B2907" t="s">
        <v>9</v>
      </c>
      <c r="C2907" t="s">
        <v>30</v>
      </c>
      <c r="D2907" t="s">
        <v>24</v>
      </c>
      <c r="E2907">
        <v>25.4</v>
      </c>
      <c r="F2907">
        <v>35</v>
      </c>
      <c r="G2907">
        <v>889</v>
      </c>
      <c r="H2907" t="s">
        <v>12</v>
      </c>
      <c r="I2907" t="str">
        <f t="shared" si="136"/>
        <v>Low Value</v>
      </c>
      <c r="J2907" t="str">
        <f t="shared" si="137"/>
        <v>Low Risk</v>
      </c>
      <c r="K2907" s="3" t="str">
        <f t="shared" si="135"/>
        <v>2-4 Years</v>
      </c>
    </row>
    <row r="2908" spans="1:11" x14ac:dyDescent="0.3">
      <c r="A2908" t="s">
        <v>2925</v>
      </c>
      <c r="B2908" t="s">
        <v>9</v>
      </c>
      <c r="C2908" t="s">
        <v>10</v>
      </c>
      <c r="D2908" t="s">
        <v>20</v>
      </c>
      <c r="E2908">
        <v>73.5</v>
      </c>
      <c r="F2908">
        <v>1</v>
      </c>
      <c r="G2908">
        <v>73.5</v>
      </c>
      <c r="H2908" t="s">
        <v>18</v>
      </c>
      <c r="I2908" t="str">
        <f t="shared" si="136"/>
        <v>Low Value</v>
      </c>
      <c r="J2908" t="str">
        <f t="shared" si="137"/>
        <v>High Risk</v>
      </c>
      <c r="K2908" s="3" t="str">
        <f t="shared" si="135"/>
        <v>0-1 Year</v>
      </c>
    </row>
    <row r="2909" spans="1:11" x14ac:dyDescent="0.3">
      <c r="A2909" t="s">
        <v>2926</v>
      </c>
      <c r="B2909" t="s">
        <v>14</v>
      </c>
      <c r="C2909" t="s">
        <v>10</v>
      </c>
      <c r="D2909" t="s">
        <v>11</v>
      </c>
      <c r="E2909">
        <v>93.5</v>
      </c>
      <c r="F2909">
        <v>32</v>
      </c>
      <c r="G2909">
        <v>2992</v>
      </c>
      <c r="H2909" t="s">
        <v>12</v>
      </c>
      <c r="I2909" t="str">
        <f t="shared" si="136"/>
        <v>Medium Value</v>
      </c>
      <c r="J2909" t="str">
        <f t="shared" si="137"/>
        <v>Low Risk</v>
      </c>
      <c r="K2909" s="3" t="str">
        <f t="shared" si="135"/>
        <v>2-4 Years</v>
      </c>
    </row>
    <row r="2910" spans="1:11" x14ac:dyDescent="0.3">
      <c r="A2910" t="s">
        <v>2927</v>
      </c>
      <c r="B2910" t="s">
        <v>14</v>
      </c>
      <c r="C2910" t="s">
        <v>30</v>
      </c>
      <c r="D2910" t="s">
        <v>24</v>
      </c>
      <c r="E2910">
        <v>63.9</v>
      </c>
      <c r="F2910">
        <v>52</v>
      </c>
      <c r="G2910">
        <v>3322.7999999999902</v>
      </c>
      <c r="H2910" t="s">
        <v>12</v>
      </c>
      <c r="I2910" t="str">
        <f t="shared" si="136"/>
        <v>Medium Value</v>
      </c>
      <c r="J2910" t="str">
        <f t="shared" si="137"/>
        <v>Low Risk</v>
      </c>
      <c r="K2910" s="3" t="str">
        <f t="shared" si="135"/>
        <v>4+ Years</v>
      </c>
    </row>
    <row r="2911" spans="1:11" x14ac:dyDescent="0.3">
      <c r="A2911" t="s">
        <v>2928</v>
      </c>
      <c r="B2911" t="s">
        <v>14</v>
      </c>
      <c r="C2911" t="s">
        <v>15</v>
      </c>
      <c r="D2911" t="s">
        <v>20</v>
      </c>
      <c r="E2911">
        <v>64.849999999999994</v>
      </c>
      <c r="F2911">
        <v>32</v>
      </c>
      <c r="G2911">
        <v>2075.1999999999998</v>
      </c>
      <c r="H2911" t="s">
        <v>12</v>
      </c>
      <c r="I2911" t="str">
        <f t="shared" si="136"/>
        <v>Medium Value</v>
      </c>
      <c r="J2911" t="str">
        <f t="shared" si="137"/>
        <v>Low Risk</v>
      </c>
      <c r="K2911" s="3" t="str">
        <f t="shared" si="135"/>
        <v>2-4 Years</v>
      </c>
    </row>
    <row r="2912" spans="1:11" x14ac:dyDescent="0.3">
      <c r="A2912" t="s">
        <v>2929</v>
      </c>
      <c r="B2912" t="s">
        <v>9</v>
      </c>
      <c r="C2912" t="s">
        <v>30</v>
      </c>
      <c r="D2912" t="s">
        <v>20</v>
      </c>
      <c r="E2912">
        <v>63.8</v>
      </c>
      <c r="F2912">
        <v>72</v>
      </c>
      <c r="G2912">
        <v>4593.5999999999904</v>
      </c>
      <c r="H2912" t="s">
        <v>12</v>
      </c>
      <c r="I2912" t="str">
        <f t="shared" si="136"/>
        <v>Medium Value</v>
      </c>
      <c r="J2912" t="str">
        <f t="shared" si="137"/>
        <v>Low Risk</v>
      </c>
      <c r="K2912" s="3" t="str">
        <f t="shared" si="135"/>
        <v>4+ Years</v>
      </c>
    </row>
    <row r="2913" spans="1:11" x14ac:dyDescent="0.3">
      <c r="A2913" t="s">
        <v>2930</v>
      </c>
      <c r="B2913" t="s">
        <v>14</v>
      </c>
      <c r="C2913" t="s">
        <v>10</v>
      </c>
      <c r="D2913" t="s">
        <v>24</v>
      </c>
      <c r="E2913">
        <v>44.45</v>
      </c>
      <c r="F2913">
        <v>51</v>
      </c>
      <c r="G2913">
        <v>2266.9499999999998</v>
      </c>
      <c r="H2913" t="s">
        <v>12</v>
      </c>
      <c r="I2913" t="str">
        <f t="shared" si="136"/>
        <v>Medium Value</v>
      </c>
      <c r="J2913" t="str">
        <f t="shared" si="137"/>
        <v>Low Risk</v>
      </c>
      <c r="K2913" s="3" t="str">
        <f t="shared" si="135"/>
        <v>4+ Years</v>
      </c>
    </row>
    <row r="2914" spans="1:11" x14ac:dyDescent="0.3">
      <c r="A2914" t="s">
        <v>2931</v>
      </c>
      <c r="B2914" t="s">
        <v>14</v>
      </c>
      <c r="C2914" t="s">
        <v>30</v>
      </c>
      <c r="D2914" t="s">
        <v>20</v>
      </c>
      <c r="E2914">
        <v>19.95</v>
      </c>
      <c r="F2914">
        <v>68</v>
      </c>
      <c r="G2914">
        <v>1356.6</v>
      </c>
      <c r="H2914" t="s">
        <v>12</v>
      </c>
      <c r="I2914" t="str">
        <f t="shared" si="136"/>
        <v>Low Value</v>
      </c>
      <c r="J2914" t="str">
        <f t="shared" si="137"/>
        <v>Low Risk</v>
      </c>
      <c r="K2914" s="3" t="str">
        <f t="shared" si="135"/>
        <v>4+ Years</v>
      </c>
    </row>
    <row r="2915" spans="1:11" x14ac:dyDescent="0.3">
      <c r="A2915" t="s">
        <v>2932</v>
      </c>
      <c r="B2915" t="s">
        <v>14</v>
      </c>
      <c r="C2915" t="s">
        <v>10</v>
      </c>
      <c r="D2915" t="s">
        <v>16</v>
      </c>
      <c r="E2915">
        <v>43.35</v>
      </c>
      <c r="F2915">
        <v>8</v>
      </c>
      <c r="G2915">
        <v>346.8</v>
      </c>
      <c r="H2915" t="s">
        <v>12</v>
      </c>
      <c r="I2915" t="str">
        <f t="shared" si="136"/>
        <v>Low Value</v>
      </c>
      <c r="J2915" t="str">
        <f t="shared" si="137"/>
        <v>High Risk</v>
      </c>
      <c r="K2915" s="3" t="str">
        <f t="shared" si="135"/>
        <v>0-1 Year</v>
      </c>
    </row>
    <row r="2916" spans="1:11" x14ac:dyDescent="0.3">
      <c r="A2916" t="s">
        <v>2933</v>
      </c>
      <c r="B2916" t="s">
        <v>14</v>
      </c>
      <c r="C2916" t="s">
        <v>30</v>
      </c>
      <c r="D2916" t="s">
        <v>24</v>
      </c>
      <c r="E2916">
        <v>49.65</v>
      </c>
      <c r="F2916">
        <v>49</v>
      </c>
      <c r="G2916">
        <v>2432.85</v>
      </c>
      <c r="H2916" t="s">
        <v>12</v>
      </c>
      <c r="I2916" t="str">
        <f t="shared" si="136"/>
        <v>Medium Value</v>
      </c>
      <c r="J2916" t="str">
        <f t="shared" si="137"/>
        <v>Low Risk</v>
      </c>
      <c r="K2916" s="3" t="str">
        <f t="shared" si="135"/>
        <v>4+ Years</v>
      </c>
    </row>
    <row r="2917" spans="1:11" x14ac:dyDescent="0.3">
      <c r="A2917" t="s">
        <v>2934</v>
      </c>
      <c r="B2917" t="s">
        <v>9</v>
      </c>
      <c r="C2917" t="s">
        <v>30</v>
      </c>
      <c r="D2917" t="s">
        <v>16</v>
      </c>
      <c r="E2917">
        <v>85.1</v>
      </c>
      <c r="F2917">
        <v>72</v>
      </c>
      <c r="G2917">
        <v>6127.2</v>
      </c>
      <c r="H2917" t="s">
        <v>12</v>
      </c>
      <c r="I2917" t="str">
        <f t="shared" si="136"/>
        <v>High Value</v>
      </c>
      <c r="J2917" t="str">
        <f t="shared" si="137"/>
        <v>Low Risk</v>
      </c>
      <c r="K2917" s="3" t="str">
        <f t="shared" si="135"/>
        <v>4+ Years</v>
      </c>
    </row>
    <row r="2918" spans="1:11" x14ac:dyDescent="0.3">
      <c r="A2918" t="s">
        <v>2935</v>
      </c>
      <c r="B2918" t="s">
        <v>14</v>
      </c>
      <c r="C2918" t="s">
        <v>10</v>
      </c>
      <c r="D2918" t="s">
        <v>11</v>
      </c>
      <c r="E2918">
        <v>95.5</v>
      </c>
      <c r="F2918">
        <v>9</v>
      </c>
      <c r="G2918">
        <v>859.5</v>
      </c>
      <c r="H2918" t="s">
        <v>18</v>
      </c>
      <c r="I2918" t="str">
        <f t="shared" si="136"/>
        <v>Low Value</v>
      </c>
      <c r="J2918" t="str">
        <f t="shared" si="137"/>
        <v>High Risk</v>
      </c>
      <c r="K2918" s="3" t="str">
        <f t="shared" si="135"/>
        <v>0-1 Year</v>
      </c>
    </row>
    <row r="2919" spans="1:11" x14ac:dyDescent="0.3">
      <c r="A2919" t="s">
        <v>2936</v>
      </c>
      <c r="B2919" t="s">
        <v>9</v>
      </c>
      <c r="C2919" t="s">
        <v>10</v>
      </c>
      <c r="D2919" t="s">
        <v>16</v>
      </c>
      <c r="E2919">
        <v>92.35</v>
      </c>
      <c r="F2919">
        <v>28</v>
      </c>
      <c r="G2919">
        <v>2585.7999999999902</v>
      </c>
      <c r="H2919" t="s">
        <v>18</v>
      </c>
      <c r="I2919" t="str">
        <f t="shared" si="136"/>
        <v>Medium Value</v>
      </c>
      <c r="J2919" t="str">
        <f t="shared" si="137"/>
        <v>Low Risk</v>
      </c>
      <c r="K2919" s="3" t="str">
        <f t="shared" si="135"/>
        <v>2-4 Years</v>
      </c>
    </row>
    <row r="2920" spans="1:11" x14ac:dyDescent="0.3">
      <c r="A2920" t="s">
        <v>2937</v>
      </c>
      <c r="B2920" t="s">
        <v>14</v>
      </c>
      <c r="C2920" t="s">
        <v>10</v>
      </c>
      <c r="D2920" t="s">
        <v>16</v>
      </c>
      <c r="E2920">
        <v>89.8</v>
      </c>
      <c r="F2920">
        <v>54</v>
      </c>
      <c r="G2920">
        <v>4849.2</v>
      </c>
      <c r="H2920" t="s">
        <v>12</v>
      </c>
      <c r="I2920" t="str">
        <f t="shared" si="136"/>
        <v>Medium Value</v>
      </c>
      <c r="J2920" t="str">
        <f t="shared" si="137"/>
        <v>Low Risk</v>
      </c>
      <c r="K2920" s="3" t="str">
        <f t="shared" si="135"/>
        <v>4+ Years</v>
      </c>
    </row>
    <row r="2921" spans="1:11" x14ac:dyDescent="0.3">
      <c r="A2921" t="s">
        <v>2938</v>
      </c>
      <c r="B2921" t="s">
        <v>14</v>
      </c>
      <c r="C2921" t="s">
        <v>10</v>
      </c>
      <c r="D2921" t="s">
        <v>11</v>
      </c>
      <c r="E2921">
        <v>74.55</v>
      </c>
      <c r="F2921">
        <v>11</v>
      </c>
      <c r="G2921">
        <v>820.05</v>
      </c>
      <c r="H2921" t="s">
        <v>18</v>
      </c>
      <c r="I2921" t="str">
        <f t="shared" si="136"/>
        <v>Low Value</v>
      </c>
      <c r="J2921" t="str">
        <f t="shared" si="137"/>
        <v>High Risk</v>
      </c>
      <c r="K2921" s="3" t="str">
        <f t="shared" si="135"/>
        <v>0-1 Year</v>
      </c>
    </row>
    <row r="2922" spans="1:11" x14ac:dyDescent="0.3">
      <c r="A2922" t="s">
        <v>2939</v>
      </c>
      <c r="B2922" t="s">
        <v>9</v>
      </c>
      <c r="C2922" t="s">
        <v>15</v>
      </c>
      <c r="D2922" t="s">
        <v>16</v>
      </c>
      <c r="E2922">
        <v>103.05</v>
      </c>
      <c r="F2922">
        <v>50</v>
      </c>
      <c r="G2922">
        <v>5152.5</v>
      </c>
      <c r="H2922" t="s">
        <v>12</v>
      </c>
      <c r="I2922" t="str">
        <f t="shared" si="136"/>
        <v>High Value</v>
      </c>
      <c r="J2922" t="str">
        <f t="shared" si="137"/>
        <v>Low Risk</v>
      </c>
      <c r="K2922" s="3" t="str">
        <f t="shared" si="135"/>
        <v>4+ Years</v>
      </c>
    </row>
    <row r="2923" spans="1:11" x14ac:dyDescent="0.3">
      <c r="A2923" t="s">
        <v>2940</v>
      </c>
      <c r="B2923" t="s">
        <v>9</v>
      </c>
      <c r="C2923" t="s">
        <v>30</v>
      </c>
      <c r="D2923" t="s">
        <v>11</v>
      </c>
      <c r="E2923">
        <v>116</v>
      </c>
      <c r="F2923">
        <v>69</v>
      </c>
      <c r="G2923">
        <v>8004</v>
      </c>
      <c r="H2923" t="s">
        <v>12</v>
      </c>
      <c r="I2923" t="str">
        <f t="shared" si="136"/>
        <v>High Value</v>
      </c>
      <c r="J2923" t="str">
        <f t="shared" si="137"/>
        <v>Low Risk</v>
      </c>
      <c r="K2923" s="3" t="str">
        <f t="shared" si="135"/>
        <v>4+ Years</v>
      </c>
    </row>
    <row r="2924" spans="1:11" x14ac:dyDescent="0.3">
      <c r="A2924" t="s">
        <v>2941</v>
      </c>
      <c r="B2924" t="s">
        <v>14</v>
      </c>
      <c r="C2924" t="s">
        <v>10</v>
      </c>
      <c r="D2924" t="s">
        <v>11</v>
      </c>
      <c r="E2924">
        <v>69.900000000000006</v>
      </c>
      <c r="F2924">
        <v>1</v>
      </c>
      <c r="G2924">
        <v>69.900000000000006</v>
      </c>
      <c r="H2924" t="s">
        <v>12</v>
      </c>
      <c r="I2924" t="str">
        <f t="shared" si="136"/>
        <v>Low Value</v>
      </c>
      <c r="J2924" t="str">
        <f t="shared" si="137"/>
        <v>High Risk</v>
      </c>
      <c r="K2924" s="3" t="str">
        <f t="shared" si="135"/>
        <v>0-1 Year</v>
      </c>
    </row>
    <row r="2925" spans="1:11" x14ac:dyDescent="0.3">
      <c r="A2925" t="s">
        <v>2942</v>
      </c>
      <c r="B2925" t="s">
        <v>14</v>
      </c>
      <c r="C2925" t="s">
        <v>30</v>
      </c>
      <c r="D2925" t="s">
        <v>20</v>
      </c>
      <c r="E2925">
        <v>95.1</v>
      </c>
      <c r="F2925">
        <v>68</v>
      </c>
      <c r="G2925">
        <v>6466.7999999999902</v>
      </c>
      <c r="H2925" t="s">
        <v>12</v>
      </c>
      <c r="I2925" t="str">
        <f t="shared" si="136"/>
        <v>High Value</v>
      </c>
      <c r="J2925" t="str">
        <f t="shared" si="137"/>
        <v>Low Risk</v>
      </c>
      <c r="K2925" s="3" t="str">
        <f t="shared" si="135"/>
        <v>4+ Years</v>
      </c>
    </row>
    <row r="2926" spans="1:11" x14ac:dyDescent="0.3">
      <c r="A2926" t="s">
        <v>2943</v>
      </c>
      <c r="B2926" t="s">
        <v>14</v>
      </c>
      <c r="C2926" t="s">
        <v>15</v>
      </c>
      <c r="D2926" t="s">
        <v>16</v>
      </c>
      <c r="E2926">
        <v>40.25</v>
      </c>
      <c r="F2926">
        <v>40</v>
      </c>
      <c r="G2926">
        <v>1610</v>
      </c>
      <c r="H2926" t="s">
        <v>12</v>
      </c>
      <c r="I2926" t="str">
        <f t="shared" si="136"/>
        <v>Low Value</v>
      </c>
      <c r="J2926" t="str">
        <f t="shared" si="137"/>
        <v>Low Risk</v>
      </c>
      <c r="K2926" s="3" t="str">
        <f t="shared" si="135"/>
        <v>2-4 Years</v>
      </c>
    </row>
    <row r="2927" spans="1:11" x14ac:dyDescent="0.3">
      <c r="A2927" t="s">
        <v>2944</v>
      </c>
      <c r="B2927" t="s">
        <v>14</v>
      </c>
      <c r="C2927" t="s">
        <v>30</v>
      </c>
      <c r="D2927" t="s">
        <v>16</v>
      </c>
      <c r="E2927">
        <v>25.75</v>
      </c>
      <c r="F2927">
        <v>31</v>
      </c>
      <c r="G2927">
        <v>798.25</v>
      </c>
      <c r="H2927" t="s">
        <v>12</v>
      </c>
      <c r="I2927" t="str">
        <f t="shared" si="136"/>
        <v>Low Value</v>
      </c>
      <c r="J2927" t="str">
        <f t="shared" si="137"/>
        <v>Low Risk</v>
      </c>
      <c r="K2927" s="3" t="str">
        <f t="shared" si="135"/>
        <v>2-4 Years</v>
      </c>
    </row>
    <row r="2928" spans="1:11" x14ac:dyDescent="0.3">
      <c r="A2928" t="s">
        <v>2945</v>
      </c>
      <c r="B2928" t="s">
        <v>9</v>
      </c>
      <c r="C2928" t="s">
        <v>10</v>
      </c>
      <c r="D2928" t="s">
        <v>20</v>
      </c>
      <c r="E2928">
        <v>105.35</v>
      </c>
      <c r="F2928">
        <v>33</v>
      </c>
      <c r="G2928">
        <v>3476.5499999999902</v>
      </c>
      <c r="H2928" t="s">
        <v>12</v>
      </c>
      <c r="I2928" t="str">
        <f t="shared" si="136"/>
        <v>Medium Value</v>
      </c>
      <c r="J2928" t="str">
        <f t="shared" si="137"/>
        <v>Low Risk</v>
      </c>
      <c r="K2928" s="3" t="str">
        <f t="shared" si="135"/>
        <v>2-4 Years</v>
      </c>
    </row>
    <row r="2929" spans="1:11" x14ac:dyDescent="0.3">
      <c r="A2929" t="s">
        <v>2946</v>
      </c>
      <c r="B2929" t="s">
        <v>14</v>
      </c>
      <c r="C2929" t="s">
        <v>30</v>
      </c>
      <c r="D2929" t="s">
        <v>11</v>
      </c>
      <c r="E2929">
        <v>113.6</v>
      </c>
      <c r="F2929">
        <v>55</v>
      </c>
      <c r="G2929">
        <v>6248</v>
      </c>
      <c r="H2929" t="s">
        <v>12</v>
      </c>
      <c r="I2929" t="str">
        <f t="shared" si="136"/>
        <v>High Value</v>
      </c>
      <c r="J2929" t="str">
        <f t="shared" si="137"/>
        <v>Low Risk</v>
      </c>
      <c r="K2929" s="3" t="str">
        <f t="shared" si="135"/>
        <v>4+ Years</v>
      </c>
    </row>
    <row r="2930" spans="1:11" x14ac:dyDescent="0.3">
      <c r="A2930" t="s">
        <v>2947</v>
      </c>
      <c r="B2930" t="s">
        <v>14</v>
      </c>
      <c r="C2930" t="s">
        <v>30</v>
      </c>
      <c r="D2930" t="s">
        <v>20</v>
      </c>
      <c r="E2930">
        <v>24</v>
      </c>
      <c r="F2930">
        <v>68</v>
      </c>
      <c r="G2930">
        <v>1632</v>
      </c>
      <c r="H2930" t="s">
        <v>12</v>
      </c>
      <c r="I2930" t="str">
        <f t="shared" si="136"/>
        <v>Low Value</v>
      </c>
      <c r="J2930" t="str">
        <f t="shared" si="137"/>
        <v>Low Risk</v>
      </c>
      <c r="K2930" s="3" t="str">
        <f t="shared" si="135"/>
        <v>4+ Years</v>
      </c>
    </row>
    <row r="2931" spans="1:11" x14ac:dyDescent="0.3">
      <c r="A2931" t="s">
        <v>2948</v>
      </c>
      <c r="B2931" t="s">
        <v>9</v>
      </c>
      <c r="C2931" t="s">
        <v>10</v>
      </c>
      <c r="D2931" t="s">
        <v>20</v>
      </c>
      <c r="E2931">
        <v>19.399999999999999</v>
      </c>
      <c r="F2931">
        <v>12</v>
      </c>
      <c r="G2931">
        <v>232.79999999999899</v>
      </c>
      <c r="H2931" t="s">
        <v>12</v>
      </c>
      <c r="I2931" t="str">
        <f t="shared" si="136"/>
        <v>Low Value</v>
      </c>
      <c r="J2931" t="str">
        <f t="shared" si="137"/>
        <v>Medium Risk</v>
      </c>
      <c r="K2931" s="3" t="str">
        <f t="shared" si="135"/>
        <v>0-1 Year</v>
      </c>
    </row>
    <row r="2932" spans="1:11" x14ac:dyDescent="0.3">
      <c r="A2932" t="s">
        <v>2949</v>
      </c>
      <c r="B2932" t="s">
        <v>14</v>
      </c>
      <c r="C2932" t="s">
        <v>30</v>
      </c>
      <c r="D2932" t="s">
        <v>20</v>
      </c>
      <c r="E2932">
        <v>86.1</v>
      </c>
      <c r="F2932">
        <v>71</v>
      </c>
      <c r="G2932">
        <v>6113.0999999999904</v>
      </c>
      <c r="H2932" t="s">
        <v>12</v>
      </c>
      <c r="I2932" t="str">
        <f t="shared" si="136"/>
        <v>High Value</v>
      </c>
      <c r="J2932" t="str">
        <f t="shared" si="137"/>
        <v>Low Risk</v>
      </c>
      <c r="K2932" s="3" t="str">
        <f t="shared" si="135"/>
        <v>4+ Years</v>
      </c>
    </row>
    <row r="2933" spans="1:11" x14ac:dyDescent="0.3">
      <c r="A2933" t="s">
        <v>2950</v>
      </c>
      <c r="B2933" t="s">
        <v>14</v>
      </c>
      <c r="C2933" t="s">
        <v>10</v>
      </c>
      <c r="D2933" t="s">
        <v>16</v>
      </c>
      <c r="E2933">
        <v>102.65</v>
      </c>
      <c r="F2933">
        <v>40</v>
      </c>
      <c r="G2933">
        <v>4106</v>
      </c>
      <c r="H2933" t="s">
        <v>12</v>
      </c>
      <c r="I2933" t="str">
        <f t="shared" si="136"/>
        <v>Medium Value</v>
      </c>
      <c r="J2933" t="str">
        <f t="shared" si="137"/>
        <v>Low Risk</v>
      </c>
      <c r="K2933" s="3" t="str">
        <f t="shared" si="135"/>
        <v>2-4 Years</v>
      </c>
    </row>
    <row r="2934" spans="1:11" x14ac:dyDescent="0.3">
      <c r="A2934" t="s">
        <v>2951</v>
      </c>
      <c r="B2934" t="s">
        <v>9</v>
      </c>
      <c r="C2934" t="s">
        <v>15</v>
      </c>
      <c r="D2934" t="s">
        <v>11</v>
      </c>
      <c r="E2934">
        <v>92.85</v>
      </c>
      <c r="F2934">
        <v>64</v>
      </c>
      <c r="G2934">
        <v>5942.4</v>
      </c>
      <c r="H2934" t="s">
        <v>12</v>
      </c>
      <c r="I2934" t="str">
        <f t="shared" si="136"/>
        <v>High Value</v>
      </c>
      <c r="J2934" t="str">
        <f t="shared" si="137"/>
        <v>Low Risk</v>
      </c>
      <c r="K2934" s="3" t="str">
        <f t="shared" si="135"/>
        <v>4+ Years</v>
      </c>
    </row>
    <row r="2935" spans="1:11" x14ac:dyDescent="0.3">
      <c r="A2935" t="s">
        <v>2952</v>
      </c>
      <c r="B2935" t="s">
        <v>14</v>
      </c>
      <c r="C2935" t="s">
        <v>15</v>
      </c>
      <c r="D2935" t="s">
        <v>20</v>
      </c>
      <c r="E2935">
        <v>97.75</v>
      </c>
      <c r="F2935">
        <v>53</v>
      </c>
      <c r="G2935">
        <v>5180.75</v>
      </c>
      <c r="H2935" t="s">
        <v>12</v>
      </c>
      <c r="I2935" t="str">
        <f t="shared" si="136"/>
        <v>High Value</v>
      </c>
      <c r="J2935" t="str">
        <f t="shared" si="137"/>
        <v>Low Risk</v>
      </c>
      <c r="K2935" s="3" t="str">
        <f t="shared" si="135"/>
        <v>4+ Years</v>
      </c>
    </row>
    <row r="2936" spans="1:11" x14ac:dyDescent="0.3">
      <c r="A2936" t="s">
        <v>2953</v>
      </c>
      <c r="B2936" t="s">
        <v>14</v>
      </c>
      <c r="C2936" t="s">
        <v>10</v>
      </c>
      <c r="D2936" t="s">
        <v>16</v>
      </c>
      <c r="E2936">
        <v>83.8</v>
      </c>
      <c r="F2936">
        <v>12</v>
      </c>
      <c r="G2936">
        <v>1005.59999999999</v>
      </c>
      <c r="H2936" t="s">
        <v>18</v>
      </c>
      <c r="I2936" t="str">
        <f t="shared" si="136"/>
        <v>Low Value</v>
      </c>
      <c r="J2936" t="str">
        <f t="shared" si="137"/>
        <v>Medium Risk</v>
      </c>
      <c r="K2936" s="3" t="str">
        <f t="shared" si="135"/>
        <v>0-1 Year</v>
      </c>
    </row>
    <row r="2937" spans="1:11" x14ac:dyDescent="0.3">
      <c r="A2937" t="s">
        <v>2954</v>
      </c>
      <c r="B2937" t="s">
        <v>14</v>
      </c>
      <c r="C2937" t="s">
        <v>10</v>
      </c>
      <c r="D2937" t="s">
        <v>11</v>
      </c>
      <c r="E2937">
        <v>54.45</v>
      </c>
      <c r="F2937">
        <v>53</v>
      </c>
      <c r="G2937">
        <v>2885.85</v>
      </c>
      <c r="H2937" t="s">
        <v>18</v>
      </c>
      <c r="I2937" t="str">
        <f t="shared" si="136"/>
        <v>Medium Value</v>
      </c>
      <c r="J2937" t="str">
        <f t="shared" si="137"/>
        <v>Low Risk</v>
      </c>
      <c r="K2937" s="3" t="str">
        <f t="shared" si="135"/>
        <v>4+ Years</v>
      </c>
    </row>
    <row r="2938" spans="1:11" x14ac:dyDescent="0.3">
      <c r="A2938" t="s">
        <v>2955</v>
      </c>
      <c r="B2938" t="s">
        <v>14</v>
      </c>
      <c r="C2938" t="s">
        <v>30</v>
      </c>
      <c r="D2938" t="s">
        <v>24</v>
      </c>
      <c r="E2938">
        <v>97.95</v>
      </c>
      <c r="F2938">
        <v>72</v>
      </c>
      <c r="G2938">
        <v>7052.4</v>
      </c>
      <c r="H2938" t="s">
        <v>12</v>
      </c>
      <c r="I2938" t="str">
        <f t="shared" si="136"/>
        <v>High Value</v>
      </c>
      <c r="J2938" t="str">
        <f t="shared" si="137"/>
        <v>Low Risk</v>
      </c>
      <c r="K2938" s="3" t="str">
        <f t="shared" si="135"/>
        <v>4+ Years</v>
      </c>
    </row>
    <row r="2939" spans="1:11" x14ac:dyDescent="0.3">
      <c r="A2939" t="s">
        <v>2956</v>
      </c>
      <c r="B2939" t="s">
        <v>14</v>
      </c>
      <c r="C2939" t="s">
        <v>30</v>
      </c>
      <c r="D2939" t="s">
        <v>11</v>
      </c>
      <c r="E2939">
        <v>19.95</v>
      </c>
      <c r="F2939">
        <v>46</v>
      </c>
      <c r="G2939">
        <v>917.69999999999902</v>
      </c>
      <c r="H2939" t="s">
        <v>12</v>
      </c>
      <c r="I2939" t="str">
        <f t="shared" si="136"/>
        <v>Low Value</v>
      </c>
      <c r="J2939" t="str">
        <f t="shared" si="137"/>
        <v>Low Risk</v>
      </c>
      <c r="K2939" s="3" t="str">
        <f t="shared" si="135"/>
        <v>2-4 Years</v>
      </c>
    </row>
    <row r="2940" spans="1:11" x14ac:dyDescent="0.3">
      <c r="A2940" t="s">
        <v>2957</v>
      </c>
      <c r="B2940" t="s">
        <v>14</v>
      </c>
      <c r="C2940" t="s">
        <v>30</v>
      </c>
      <c r="D2940" t="s">
        <v>16</v>
      </c>
      <c r="E2940">
        <v>24.6</v>
      </c>
      <c r="F2940">
        <v>40</v>
      </c>
      <c r="G2940">
        <v>984</v>
      </c>
      <c r="H2940" t="s">
        <v>12</v>
      </c>
      <c r="I2940" t="str">
        <f t="shared" si="136"/>
        <v>Low Value</v>
      </c>
      <c r="J2940" t="str">
        <f t="shared" si="137"/>
        <v>Low Risk</v>
      </c>
      <c r="K2940" s="3" t="str">
        <f t="shared" si="135"/>
        <v>2-4 Years</v>
      </c>
    </row>
    <row r="2941" spans="1:11" x14ac:dyDescent="0.3">
      <c r="A2941" t="s">
        <v>2958</v>
      </c>
      <c r="B2941" t="s">
        <v>14</v>
      </c>
      <c r="C2941" t="s">
        <v>10</v>
      </c>
      <c r="D2941" t="s">
        <v>20</v>
      </c>
      <c r="E2941">
        <v>50.95</v>
      </c>
      <c r="F2941">
        <v>12</v>
      </c>
      <c r="G2941">
        <v>611.4</v>
      </c>
      <c r="H2941" t="s">
        <v>12</v>
      </c>
      <c r="I2941" t="str">
        <f t="shared" si="136"/>
        <v>Low Value</v>
      </c>
      <c r="J2941" t="str">
        <f t="shared" si="137"/>
        <v>Medium Risk</v>
      </c>
      <c r="K2941" s="3" t="str">
        <f t="shared" si="135"/>
        <v>0-1 Year</v>
      </c>
    </row>
    <row r="2942" spans="1:11" x14ac:dyDescent="0.3">
      <c r="A2942" t="s">
        <v>2959</v>
      </c>
      <c r="B2942" t="s">
        <v>14</v>
      </c>
      <c r="C2942" t="s">
        <v>10</v>
      </c>
      <c r="D2942" t="s">
        <v>11</v>
      </c>
      <c r="E2942">
        <v>75.599999999999994</v>
      </c>
      <c r="F2942">
        <v>9</v>
      </c>
      <c r="G2942">
        <v>680.4</v>
      </c>
      <c r="H2942" t="s">
        <v>12</v>
      </c>
      <c r="I2942" t="str">
        <f t="shared" si="136"/>
        <v>Low Value</v>
      </c>
      <c r="J2942" t="str">
        <f t="shared" si="137"/>
        <v>High Risk</v>
      </c>
      <c r="K2942" s="3" t="str">
        <f t="shared" si="135"/>
        <v>0-1 Year</v>
      </c>
    </row>
    <row r="2943" spans="1:11" x14ac:dyDescent="0.3">
      <c r="A2943" t="s">
        <v>2960</v>
      </c>
      <c r="B2943" t="s">
        <v>9</v>
      </c>
      <c r="C2943" t="s">
        <v>10</v>
      </c>
      <c r="D2943" t="s">
        <v>11</v>
      </c>
      <c r="E2943">
        <v>80.75</v>
      </c>
      <c r="F2943">
        <v>51</v>
      </c>
      <c r="G2943">
        <v>4118.25</v>
      </c>
      <c r="H2943" t="s">
        <v>12</v>
      </c>
      <c r="I2943" t="str">
        <f t="shared" si="136"/>
        <v>Medium Value</v>
      </c>
      <c r="J2943" t="str">
        <f t="shared" si="137"/>
        <v>Low Risk</v>
      </c>
      <c r="K2943" s="3" t="str">
        <f t="shared" si="135"/>
        <v>4+ Years</v>
      </c>
    </row>
    <row r="2944" spans="1:11" x14ac:dyDescent="0.3">
      <c r="A2944" t="s">
        <v>2961</v>
      </c>
      <c r="B2944" t="s">
        <v>14</v>
      </c>
      <c r="C2944" t="s">
        <v>10</v>
      </c>
      <c r="D2944" t="s">
        <v>24</v>
      </c>
      <c r="E2944">
        <v>90.4</v>
      </c>
      <c r="F2944">
        <v>49</v>
      </c>
      <c r="G2944">
        <v>4429.6000000000004</v>
      </c>
      <c r="H2944" t="s">
        <v>12</v>
      </c>
      <c r="I2944" t="str">
        <f t="shared" si="136"/>
        <v>Medium Value</v>
      </c>
      <c r="J2944" t="str">
        <f t="shared" si="137"/>
        <v>Low Risk</v>
      </c>
      <c r="K2944" s="3" t="str">
        <f t="shared" si="135"/>
        <v>4+ Years</v>
      </c>
    </row>
    <row r="2945" spans="1:11" x14ac:dyDescent="0.3">
      <c r="A2945" t="s">
        <v>2962</v>
      </c>
      <c r="B2945" t="s">
        <v>14</v>
      </c>
      <c r="C2945" t="s">
        <v>10</v>
      </c>
      <c r="D2945" t="s">
        <v>11</v>
      </c>
      <c r="E2945">
        <v>99.8</v>
      </c>
      <c r="F2945">
        <v>41</v>
      </c>
      <c r="G2945">
        <v>4091.7999999999902</v>
      </c>
      <c r="H2945" t="s">
        <v>18</v>
      </c>
      <c r="I2945" t="str">
        <f t="shared" si="136"/>
        <v>Medium Value</v>
      </c>
      <c r="J2945" t="str">
        <f t="shared" si="137"/>
        <v>Low Risk</v>
      </c>
      <c r="K2945" s="3" t="str">
        <f t="shared" si="135"/>
        <v>2-4 Years</v>
      </c>
    </row>
    <row r="2946" spans="1:11" x14ac:dyDescent="0.3">
      <c r="A2946" t="s">
        <v>2963</v>
      </c>
      <c r="B2946" t="s">
        <v>9</v>
      </c>
      <c r="C2946" t="s">
        <v>15</v>
      </c>
      <c r="D2946" t="s">
        <v>24</v>
      </c>
      <c r="E2946">
        <v>60.25</v>
      </c>
      <c r="F2946">
        <v>56</v>
      </c>
      <c r="G2946">
        <v>3374</v>
      </c>
      <c r="H2946" t="s">
        <v>12</v>
      </c>
      <c r="I2946" t="str">
        <f t="shared" si="136"/>
        <v>Medium Value</v>
      </c>
      <c r="J2946" t="str">
        <f t="shared" si="137"/>
        <v>Low Risk</v>
      </c>
      <c r="K2946" s="3" t="str">
        <f t="shared" si="135"/>
        <v>4+ Years</v>
      </c>
    </row>
    <row r="2947" spans="1:11" x14ac:dyDescent="0.3">
      <c r="A2947" t="s">
        <v>2964</v>
      </c>
      <c r="B2947" t="s">
        <v>14</v>
      </c>
      <c r="C2947" t="s">
        <v>10</v>
      </c>
      <c r="D2947" t="s">
        <v>11</v>
      </c>
      <c r="E2947">
        <v>20.2</v>
      </c>
      <c r="F2947">
        <v>4</v>
      </c>
      <c r="G2947">
        <v>80.8</v>
      </c>
      <c r="H2947" t="s">
        <v>12</v>
      </c>
      <c r="I2947" t="str">
        <f t="shared" si="136"/>
        <v>Low Value</v>
      </c>
      <c r="J2947" t="str">
        <f t="shared" si="137"/>
        <v>High Risk</v>
      </c>
      <c r="K2947" s="3" t="str">
        <f t="shared" ref="K2947:K3010" si="138">IF(F2947&lt;=12,"0-1 Year",
IF(F2947&lt;=24,"1-2 Years",
IF(F2947&lt;=48,"2-4 Years","4+ Years")))</f>
        <v>0-1 Year</v>
      </c>
    </row>
    <row r="2948" spans="1:11" x14ac:dyDescent="0.3">
      <c r="A2948" t="s">
        <v>2965</v>
      </c>
      <c r="B2948" t="s">
        <v>14</v>
      </c>
      <c r="C2948" t="s">
        <v>15</v>
      </c>
      <c r="D2948" t="s">
        <v>16</v>
      </c>
      <c r="E2948">
        <v>64.150000000000006</v>
      </c>
      <c r="F2948">
        <v>20</v>
      </c>
      <c r="G2948">
        <v>1283</v>
      </c>
      <c r="H2948" t="s">
        <v>12</v>
      </c>
      <c r="I2948" t="str">
        <f t="shared" ref="I2948:I3011" si="139">IF(G2948&gt;5000,"High Value",
IF(G2948&gt;2000,"Medium Value","Low Value"))</f>
        <v>Low Value</v>
      </c>
      <c r="J2948" t="str">
        <f t="shared" ref="J2948:J3011" si="140">IF(F2948&lt;12,"High Risk",
IF(F2948&lt;24,"Medium Risk","Low Risk"))</f>
        <v>Medium Risk</v>
      </c>
      <c r="K2948" s="3" t="str">
        <f t="shared" si="138"/>
        <v>1-2 Years</v>
      </c>
    </row>
    <row r="2949" spans="1:11" x14ac:dyDescent="0.3">
      <c r="A2949" t="s">
        <v>2966</v>
      </c>
      <c r="B2949" t="s">
        <v>9</v>
      </c>
      <c r="C2949" t="s">
        <v>10</v>
      </c>
      <c r="D2949" t="s">
        <v>24</v>
      </c>
      <c r="E2949">
        <v>20.25</v>
      </c>
      <c r="F2949">
        <v>26</v>
      </c>
      <c r="G2949">
        <v>526.5</v>
      </c>
      <c r="H2949" t="s">
        <v>12</v>
      </c>
      <c r="I2949" t="str">
        <f t="shared" si="139"/>
        <v>Low Value</v>
      </c>
      <c r="J2949" t="str">
        <f t="shared" si="140"/>
        <v>Low Risk</v>
      </c>
      <c r="K2949" s="3" t="str">
        <f t="shared" si="138"/>
        <v>2-4 Years</v>
      </c>
    </row>
    <row r="2950" spans="1:11" x14ac:dyDescent="0.3">
      <c r="A2950" t="s">
        <v>2967</v>
      </c>
      <c r="B2950" t="s">
        <v>9</v>
      </c>
      <c r="C2950" t="s">
        <v>10</v>
      </c>
      <c r="D2950" t="s">
        <v>20</v>
      </c>
      <c r="E2950">
        <v>105.85</v>
      </c>
      <c r="F2950">
        <v>20</v>
      </c>
      <c r="G2950">
        <v>2117</v>
      </c>
      <c r="H2950" t="s">
        <v>18</v>
      </c>
      <c r="I2950" t="str">
        <f t="shared" si="139"/>
        <v>Medium Value</v>
      </c>
      <c r="J2950" t="str">
        <f t="shared" si="140"/>
        <v>Medium Risk</v>
      </c>
      <c r="K2950" s="3" t="str">
        <f t="shared" si="138"/>
        <v>1-2 Years</v>
      </c>
    </row>
    <row r="2951" spans="1:11" x14ac:dyDescent="0.3">
      <c r="A2951" t="s">
        <v>2968</v>
      </c>
      <c r="B2951" t="s">
        <v>9</v>
      </c>
      <c r="C2951" t="s">
        <v>10</v>
      </c>
      <c r="D2951" t="s">
        <v>16</v>
      </c>
      <c r="E2951">
        <v>75.45</v>
      </c>
      <c r="F2951">
        <v>7</v>
      </c>
      <c r="G2951">
        <v>528.15</v>
      </c>
      <c r="H2951" t="s">
        <v>18</v>
      </c>
      <c r="I2951" t="str">
        <f t="shared" si="139"/>
        <v>Low Value</v>
      </c>
      <c r="J2951" t="str">
        <f t="shared" si="140"/>
        <v>High Risk</v>
      </c>
      <c r="K2951" s="3" t="str">
        <f t="shared" si="138"/>
        <v>0-1 Year</v>
      </c>
    </row>
    <row r="2952" spans="1:11" x14ac:dyDescent="0.3">
      <c r="A2952" t="s">
        <v>2969</v>
      </c>
      <c r="B2952" t="s">
        <v>14</v>
      </c>
      <c r="C2952" t="s">
        <v>10</v>
      </c>
      <c r="D2952" t="s">
        <v>11</v>
      </c>
      <c r="E2952">
        <v>93.85</v>
      </c>
      <c r="F2952">
        <v>7</v>
      </c>
      <c r="G2952">
        <v>656.94999999999902</v>
      </c>
      <c r="H2952" t="s">
        <v>18</v>
      </c>
      <c r="I2952" t="str">
        <f t="shared" si="139"/>
        <v>Low Value</v>
      </c>
      <c r="J2952" t="str">
        <f t="shared" si="140"/>
        <v>High Risk</v>
      </c>
      <c r="K2952" s="3" t="str">
        <f t="shared" si="138"/>
        <v>0-1 Year</v>
      </c>
    </row>
    <row r="2953" spans="1:11" x14ac:dyDescent="0.3">
      <c r="A2953" t="s">
        <v>2970</v>
      </c>
      <c r="B2953" t="s">
        <v>14</v>
      </c>
      <c r="C2953" t="s">
        <v>10</v>
      </c>
      <c r="D2953" t="s">
        <v>11</v>
      </c>
      <c r="E2953">
        <v>99</v>
      </c>
      <c r="F2953">
        <v>51</v>
      </c>
      <c r="G2953">
        <v>5049</v>
      </c>
      <c r="H2953" t="s">
        <v>12</v>
      </c>
      <c r="I2953" t="str">
        <f t="shared" si="139"/>
        <v>High Value</v>
      </c>
      <c r="J2953" t="str">
        <f t="shared" si="140"/>
        <v>Low Risk</v>
      </c>
      <c r="K2953" s="3" t="str">
        <f t="shared" si="138"/>
        <v>4+ Years</v>
      </c>
    </row>
    <row r="2954" spans="1:11" x14ac:dyDescent="0.3">
      <c r="A2954" t="s">
        <v>2971</v>
      </c>
      <c r="B2954" t="s">
        <v>9</v>
      </c>
      <c r="C2954" t="s">
        <v>10</v>
      </c>
      <c r="D2954" t="s">
        <v>16</v>
      </c>
      <c r="E2954">
        <v>80.3</v>
      </c>
      <c r="F2954">
        <v>4</v>
      </c>
      <c r="G2954">
        <v>321.2</v>
      </c>
      <c r="H2954" t="s">
        <v>12</v>
      </c>
      <c r="I2954" t="str">
        <f t="shared" si="139"/>
        <v>Low Value</v>
      </c>
      <c r="J2954" t="str">
        <f t="shared" si="140"/>
        <v>High Risk</v>
      </c>
      <c r="K2954" s="3" t="str">
        <f t="shared" si="138"/>
        <v>0-1 Year</v>
      </c>
    </row>
    <row r="2955" spans="1:11" x14ac:dyDescent="0.3">
      <c r="A2955" t="s">
        <v>2972</v>
      </c>
      <c r="B2955" t="s">
        <v>9</v>
      </c>
      <c r="C2955" t="s">
        <v>10</v>
      </c>
      <c r="D2955" t="s">
        <v>24</v>
      </c>
      <c r="E2955">
        <v>19.55</v>
      </c>
      <c r="F2955">
        <v>1</v>
      </c>
      <c r="G2955">
        <v>19.55</v>
      </c>
      <c r="H2955" t="s">
        <v>12</v>
      </c>
      <c r="I2955" t="str">
        <f t="shared" si="139"/>
        <v>Low Value</v>
      </c>
      <c r="J2955" t="str">
        <f t="shared" si="140"/>
        <v>High Risk</v>
      </c>
      <c r="K2955" s="3" t="str">
        <f t="shared" si="138"/>
        <v>0-1 Year</v>
      </c>
    </row>
    <row r="2956" spans="1:11" x14ac:dyDescent="0.3">
      <c r="A2956" t="s">
        <v>2973</v>
      </c>
      <c r="B2956" t="s">
        <v>14</v>
      </c>
      <c r="C2956" t="s">
        <v>10</v>
      </c>
      <c r="D2956" t="s">
        <v>11</v>
      </c>
      <c r="E2956">
        <v>100.75</v>
      </c>
      <c r="F2956">
        <v>27</v>
      </c>
      <c r="G2956">
        <v>2720.25</v>
      </c>
      <c r="H2956" t="s">
        <v>12</v>
      </c>
      <c r="I2956" t="str">
        <f t="shared" si="139"/>
        <v>Medium Value</v>
      </c>
      <c r="J2956" t="str">
        <f t="shared" si="140"/>
        <v>Low Risk</v>
      </c>
      <c r="K2956" s="3" t="str">
        <f t="shared" si="138"/>
        <v>2-4 Years</v>
      </c>
    </row>
    <row r="2957" spans="1:11" x14ac:dyDescent="0.3">
      <c r="A2957" t="s">
        <v>2974</v>
      </c>
      <c r="B2957" t="s">
        <v>14</v>
      </c>
      <c r="C2957" t="s">
        <v>10</v>
      </c>
      <c r="D2957" t="s">
        <v>11</v>
      </c>
      <c r="E2957">
        <v>100.75</v>
      </c>
      <c r="F2957">
        <v>22</v>
      </c>
      <c r="G2957">
        <v>2216.5</v>
      </c>
      <c r="H2957" t="s">
        <v>18</v>
      </c>
      <c r="I2957" t="str">
        <f t="shared" si="139"/>
        <v>Medium Value</v>
      </c>
      <c r="J2957" t="str">
        <f t="shared" si="140"/>
        <v>Medium Risk</v>
      </c>
      <c r="K2957" s="3" t="str">
        <f t="shared" si="138"/>
        <v>1-2 Years</v>
      </c>
    </row>
    <row r="2958" spans="1:11" x14ac:dyDescent="0.3">
      <c r="A2958" t="s">
        <v>2975</v>
      </c>
      <c r="B2958" t="s">
        <v>14</v>
      </c>
      <c r="C2958" t="s">
        <v>10</v>
      </c>
      <c r="D2958" t="s">
        <v>16</v>
      </c>
      <c r="E2958">
        <v>53.75</v>
      </c>
      <c r="F2958">
        <v>12</v>
      </c>
      <c r="G2958">
        <v>645</v>
      </c>
      <c r="H2958" t="s">
        <v>12</v>
      </c>
      <c r="I2958" t="str">
        <f t="shared" si="139"/>
        <v>Low Value</v>
      </c>
      <c r="J2958" t="str">
        <f t="shared" si="140"/>
        <v>Medium Risk</v>
      </c>
      <c r="K2958" s="3" t="str">
        <f t="shared" si="138"/>
        <v>0-1 Year</v>
      </c>
    </row>
    <row r="2959" spans="1:11" x14ac:dyDescent="0.3">
      <c r="A2959" t="s">
        <v>2976</v>
      </c>
      <c r="B2959" t="s">
        <v>9</v>
      </c>
      <c r="C2959" t="s">
        <v>10</v>
      </c>
      <c r="D2959" t="s">
        <v>16</v>
      </c>
      <c r="E2959">
        <v>31</v>
      </c>
      <c r="F2959">
        <v>3</v>
      </c>
      <c r="G2959">
        <v>93</v>
      </c>
      <c r="H2959" t="s">
        <v>18</v>
      </c>
      <c r="I2959" t="str">
        <f t="shared" si="139"/>
        <v>Low Value</v>
      </c>
      <c r="J2959" t="str">
        <f t="shared" si="140"/>
        <v>High Risk</v>
      </c>
      <c r="K2959" s="3" t="str">
        <f t="shared" si="138"/>
        <v>0-1 Year</v>
      </c>
    </row>
    <row r="2960" spans="1:11" x14ac:dyDescent="0.3">
      <c r="A2960" t="s">
        <v>2977</v>
      </c>
      <c r="B2960" t="s">
        <v>9</v>
      </c>
      <c r="C2960" t="s">
        <v>15</v>
      </c>
      <c r="D2960" t="s">
        <v>24</v>
      </c>
      <c r="E2960">
        <v>25.6</v>
      </c>
      <c r="F2960">
        <v>34</v>
      </c>
      <c r="G2960">
        <v>870.4</v>
      </c>
      <c r="H2960" t="s">
        <v>12</v>
      </c>
      <c r="I2960" t="str">
        <f t="shared" si="139"/>
        <v>Low Value</v>
      </c>
      <c r="J2960" t="str">
        <f t="shared" si="140"/>
        <v>Low Risk</v>
      </c>
      <c r="K2960" s="3" t="str">
        <f t="shared" si="138"/>
        <v>2-4 Years</v>
      </c>
    </row>
    <row r="2961" spans="1:11" x14ac:dyDescent="0.3">
      <c r="A2961" t="s">
        <v>2978</v>
      </c>
      <c r="B2961" t="s">
        <v>14</v>
      </c>
      <c r="C2961" t="s">
        <v>15</v>
      </c>
      <c r="D2961" t="s">
        <v>11</v>
      </c>
      <c r="E2961">
        <v>58.35</v>
      </c>
      <c r="F2961">
        <v>24</v>
      </c>
      <c r="G2961">
        <v>1400.4</v>
      </c>
      <c r="H2961" t="s">
        <v>12</v>
      </c>
      <c r="I2961" t="str">
        <f t="shared" si="139"/>
        <v>Low Value</v>
      </c>
      <c r="J2961" t="str">
        <f t="shared" si="140"/>
        <v>Low Risk</v>
      </c>
      <c r="K2961" s="3" t="str">
        <f t="shared" si="138"/>
        <v>1-2 Years</v>
      </c>
    </row>
    <row r="2962" spans="1:11" x14ac:dyDescent="0.3">
      <c r="A2962" t="s">
        <v>2979</v>
      </c>
      <c r="B2962" t="s">
        <v>14</v>
      </c>
      <c r="C2962" t="s">
        <v>10</v>
      </c>
      <c r="D2962" t="s">
        <v>24</v>
      </c>
      <c r="E2962">
        <v>80</v>
      </c>
      <c r="F2962">
        <v>51</v>
      </c>
      <c r="G2962">
        <v>4080</v>
      </c>
      <c r="H2962" t="s">
        <v>18</v>
      </c>
      <c r="I2962" t="str">
        <f t="shared" si="139"/>
        <v>Medium Value</v>
      </c>
      <c r="J2962" t="str">
        <f t="shared" si="140"/>
        <v>Low Risk</v>
      </c>
      <c r="K2962" s="3" t="str">
        <f t="shared" si="138"/>
        <v>4+ Years</v>
      </c>
    </row>
    <row r="2963" spans="1:11" x14ac:dyDescent="0.3">
      <c r="A2963" t="s">
        <v>2980</v>
      </c>
      <c r="B2963" t="s">
        <v>9</v>
      </c>
      <c r="C2963" t="s">
        <v>10</v>
      </c>
      <c r="D2963" t="s">
        <v>11</v>
      </c>
      <c r="E2963">
        <v>46.35</v>
      </c>
      <c r="F2963">
        <v>14</v>
      </c>
      <c r="G2963">
        <v>648.9</v>
      </c>
      <c r="H2963" t="s">
        <v>12</v>
      </c>
      <c r="I2963" t="str">
        <f t="shared" si="139"/>
        <v>Low Value</v>
      </c>
      <c r="J2963" t="str">
        <f t="shared" si="140"/>
        <v>Medium Risk</v>
      </c>
      <c r="K2963" s="3" t="str">
        <f t="shared" si="138"/>
        <v>1-2 Years</v>
      </c>
    </row>
    <row r="2964" spans="1:11" x14ac:dyDescent="0.3">
      <c r="A2964" t="s">
        <v>2981</v>
      </c>
      <c r="B2964" t="s">
        <v>14</v>
      </c>
      <c r="C2964" t="s">
        <v>30</v>
      </c>
      <c r="D2964" t="s">
        <v>11</v>
      </c>
      <c r="E2964">
        <v>113.75</v>
      </c>
      <c r="F2964">
        <v>59</v>
      </c>
      <c r="G2964">
        <v>6711.25</v>
      </c>
      <c r="H2964" t="s">
        <v>12</v>
      </c>
      <c r="I2964" t="str">
        <f t="shared" si="139"/>
        <v>High Value</v>
      </c>
      <c r="J2964" t="str">
        <f t="shared" si="140"/>
        <v>Low Risk</v>
      </c>
      <c r="K2964" s="3" t="str">
        <f t="shared" si="138"/>
        <v>4+ Years</v>
      </c>
    </row>
    <row r="2965" spans="1:11" x14ac:dyDescent="0.3">
      <c r="A2965" t="s">
        <v>2982</v>
      </c>
      <c r="B2965" t="s">
        <v>14</v>
      </c>
      <c r="C2965" t="s">
        <v>10</v>
      </c>
      <c r="D2965" t="s">
        <v>11</v>
      </c>
      <c r="E2965">
        <v>90.4</v>
      </c>
      <c r="F2965">
        <v>3</v>
      </c>
      <c r="G2965">
        <v>271.2</v>
      </c>
      <c r="H2965" t="s">
        <v>12</v>
      </c>
      <c r="I2965" t="str">
        <f t="shared" si="139"/>
        <v>Low Value</v>
      </c>
      <c r="J2965" t="str">
        <f t="shared" si="140"/>
        <v>High Risk</v>
      </c>
      <c r="K2965" s="3" t="str">
        <f t="shared" si="138"/>
        <v>0-1 Year</v>
      </c>
    </row>
    <row r="2966" spans="1:11" x14ac:dyDescent="0.3">
      <c r="A2966" t="s">
        <v>2983</v>
      </c>
      <c r="B2966" t="s">
        <v>9</v>
      </c>
      <c r="C2966" t="s">
        <v>30</v>
      </c>
      <c r="D2966" t="s">
        <v>11</v>
      </c>
      <c r="E2966">
        <v>109.3</v>
      </c>
      <c r="F2966">
        <v>65</v>
      </c>
      <c r="G2966">
        <v>7104.5</v>
      </c>
      <c r="H2966" t="s">
        <v>12</v>
      </c>
      <c r="I2966" t="str">
        <f t="shared" si="139"/>
        <v>High Value</v>
      </c>
      <c r="J2966" t="str">
        <f t="shared" si="140"/>
        <v>Low Risk</v>
      </c>
      <c r="K2966" s="3" t="str">
        <f t="shared" si="138"/>
        <v>4+ Years</v>
      </c>
    </row>
    <row r="2967" spans="1:11" x14ac:dyDescent="0.3">
      <c r="A2967" t="s">
        <v>2984</v>
      </c>
      <c r="B2967" t="s">
        <v>14</v>
      </c>
      <c r="C2967" t="s">
        <v>10</v>
      </c>
      <c r="D2967" t="s">
        <v>16</v>
      </c>
      <c r="E2967">
        <v>70.25</v>
      </c>
      <c r="F2967">
        <v>5</v>
      </c>
      <c r="G2967">
        <v>351.25</v>
      </c>
      <c r="H2967" t="s">
        <v>18</v>
      </c>
      <c r="I2967" t="str">
        <f t="shared" si="139"/>
        <v>Low Value</v>
      </c>
      <c r="J2967" t="str">
        <f t="shared" si="140"/>
        <v>High Risk</v>
      </c>
      <c r="K2967" s="3" t="str">
        <f t="shared" si="138"/>
        <v>0-1 Year</v>
      </c>
    </row>
    <row r="2968" spans="1:11" x14ac:dyDescent="0.3">
      <c r="A2968" t="s">
        <v>2985</v>
      </c>
      <c r="B2968" t="s">
        <v>9</v>
      </c>
      <c r="C2968" t="s">
        <v>30</v>
      </c>
      <c r="D2968" t="s">
        <v>24</v>
      </c>
      <c r="E2968">
        <v>90.3</v>
      </c>
      <c r="F2968">
        <v>59</v>
      </c>
      <c r="G2968">
        <v>5327.7</v>
      </c>
      <c r="H2968" t="s">
        <v>12</v>
      </c>
      <c r="I2968" t="str">
        <f t="shared" si="139"/>
        <v>High Value</v>
      </c>
      <c r="J2968" t="str">
        <f t="shared" si="140"/>
        <v>Low Risk</v>
      </c>
      <c r="K2968" s="3" t="str">
        <f t="shared" si="138"/>
        <v>4+ Years</v>
      </c>
    </row>
    <row r="2969" spans="1:11" x14ac:dyDescent="0.3">
      <c r="A2969" t="s">
        <v>2986</v>
      </c>
      <c r="B2969" t="s">
        <v>14</v>
      </c>
      <c r="C2969" t="s">
        <v>30</v>
      </c>
      <c r="D2969" t="s">
        <v>24</v>
      </c>
      <c r="E2969">
        <v>65.25</v>
      </c>
      <c r="F2969">
        <v>72</v>
      </c>
      <c r="G2969">
        <v>4698</v>
      </c>
      <c r="H2969" t="s">
        <v>12</v>
      </c>
      <c r="I2969" t="str">
        <f t="shared" si="139"/>
        <v>Medium Value</v>
      </c>
      <c r="J2969" t="str">
        <f t="shared" si="140"/>
        <v>Low Risk</v>
      </c>
      <c r="K2969" s="3" t="str">
        <f t="shared" si="138"/>
        <v>4+ Years</v>
      </c>
    </row>
    <row r="2970" spans="1:11" x14ac:dyDescent="0.3">
      <c r="A2970" t="s">
        <v>2987</v>
      </c>
      <c r="B2970" t="s">
        <v>9</v>
      </c>
      <c r="C2970" t="s">
        <v>10</v>
      </c>
      <c r="D2970" t="s">
        <v>11</v>
      </c>
      <c r="E2970">
        <v>100.15</v>
      </c>
      <c r="F2970">
        <v>62</v>
      </c>
      <c r="G2970">
        <v>6209.3</v>
      </c>
      <c r="H2970" t="s">
        <v>18</v>
      </c>
      <c r="I2970" t="str">
        <f t="shared" si="139"/>
        <v>High Value</v>
      </c>
      <c r="J2970" t="str">
        <f t="shared" si="140"/>
        <v>Low Risk</v>
      </c>
      <c r="K2970" s="3" t="str">
        <f t="shared" si="138"/>
        <v>4+ Years</v>
      </c>
    </row>
    <row r="2971" spans="1:11" x14ac:dyDescent="0.3">
      <c r="A2971" t="s">
        <v>2988</v>
      </c>
      <c r="B2971" t="s">
        <v>14</v>
      </c>
      <c r="C2971" t="s">
        <v>10</v>
      </c>
      <c r="D2971" t="s">
        <v>24</v>
      </c>
      <c r="E2971">
        <v>94.5</v>
      </c>
      <c r="F2971">
        <v>28</v>
      </c>
      <c r="G2971">
        <v>2646</v>
      </c>
      <c r="H2971" t="s">
        <v>18</v>
      </c>
      <c r="I2971" t="str">
        <f t="shared" si="139"/>
        <v>Medium Value</v>
      </c>
      <c r="J2971" t="str">
        <f t="shared" si="140"/>
        <v>Low Risk</v>
      </c>
      <c r="K2971" s="3" t="str">
        <f t="shared" si="138"/>
        <v>2-4 Years</v>
      </c>
    </row>
    <row r="2972" spans="1:11" x14ac:dyDescent="0.3">
      <c r="A2972" t="s">
        <v>2989</v>
      </c>
      <c r="B2972" t="s">
        <v>14</v>
      </c>
      <c r="C2972" t="s">
        <v>10</v>
      </c>
      <c r="D2972" t="s">
        <v>16</v>
      </c>
      <c r="E2972">
        <v>60.65</v>
      </c>
      <c r="F2972">
        <v>3</v>
      </c>
      <c r="G2972">
        <v>181.95</v>
      </c>
      <c r="H2972" t="s">
        <v>12</v>
      </c>
      <c r="I2972" t="str">
        <f t="shared" si="139"/>
        <v>Low Value</v>
      </c>
      <c r="J2972" t="str">
        <f t="shared" si="140"/>
        <v>High Risk</v>
      </c>
      <c r="K2972" s="3" t="str">
        <f t="shared" si="138"/>
        <v>0-1 Year</v>
      </c>
    </row>
    <row r="2973" spans="1:11" x14ac:dyDescent="0.3">
      <c r="A2973" t="s">
        <v>2990</v>
      </c>
      <c r="B2973" t="s">
        <v>14</v>
      </c>
      <c r="C2973" t="s">
        <v>10</v>
      </c>
      <c r="D2973" t="s">
        <v>24</v>
      </c>
      <c r="E2973">
        <v>24.1</v>
      </c>
      <c r="F2973">
        <v>19</v>
      </c>
      <c r="G2973">
        <v>457.9</v>
      </c>
      <c r="H2973" t="s">
        <v>12</v>
      </c>
      <c r="I2973" t="str">
        <f t="shared" si="139"/>
        <v>Low Value</v>
      </c>
      <c r="J2973" t="str">
        <f t="shared" si="140"/>
        <v>Medium Risk</v>
      </c>
      <c r="K2973" s="3" t="str">
        <f t="shared" si="138"/>
        <v>1-2 Years</v>
      </c>
    </row>
    <row r="2974" spans="1:11" x14ac:dyDescent="0.3">
      <c r="A2974" t="s">
        <v>2991</v>
      </c>
      <c r="B2974" t="s">
        <v>14</v>
      </c>
      <c r="C2974" t="s">
        <v>10</v>
      </c>
      <c r="D2974" t="s">
        <v>16</v>
      </c>
      <c r="E2974">
        <v>19.5</v>
      </c>
      <c r="F2974">
        <v>1</v>
      </c>
      <c r="G2974">
        <v>19.5</v>
      </c>
      <c r="H2974" t="s">
        <v>12</v>
      </c>
      <c r="I2974" t="str">
        <f t="shared" si="139"/>
        <v>Low Value</v>
      </c>
      <c r="J2974" t="str">
        <f t="shared" si="140"/>
        <v>High Risk</v>
      </c>
      <c r="K2974" s="3" t="str">
        <f t="shared" si="138"/>
        <v>0-1 Year</v>
      </c>
    </row>
    <row r="2975" spans="1:11" x14ac:dyDescent="0.3">
      <c r="A2975" t="s">
        <v>2992</v>
      </c>
      <c r="B2975" t="s">
        <v>14</v>
      </c>
      <c r="C2975" t="s">
        <v>10</v>
      </c>
      <c r="D2975" t="s">
        <v>11</v>
      </c>
      <c r="E2975">
        <v>85.95</v>
      </c>
      <c r="F2975">
        <v>24</v>
      </c>
      <c r="G2975">
        <v>2062.8000000000002</v>
      </c>
      <c r="H2975" t="s">
        <v>12</v>
      </c>
      <c r="I2975" t="str">
        <f t="shared" si="139"/>
        <v>Medium Value</v>
      </c>
      <c r="J2975" t="str">
        <f t="shared" si="140"/>
        <v>Low Risk</v>
      </c>
      <c r="K2975" s="3" t="str">
        <f t="shared" si="138"/>
        <v>1-2 Years</v>
      </c>
    </row>
    <row r="2976" spans="1:11" x14ac:dyDescent="0.3">
      <c r="A2976" t="s">
        <v>2993</v>
      </c>
      <c r="B2976" t="s">
        <v>14</v>
      </c>
      <c r="C2976" t="s">
        <v>15</v>
      </c>
      <c r="D2976" t="s">
        <v>11</v>
      </c>
      <c r="E2976">
        <v>53.5</v>
      </c>
      <c r="F2976">
        <v>57</v>
      </c>
      <c r="G2976">
        <v>3049.5</v>
      </c>
      <c r="H2976" t="s">
        <v>12</v>
      </c>
      <c r="I2976" t="str">
        <f t="shared" si="139"/>
        <v>Medium Value</v>
      </c>
      <c r="J2976" t="str">
        <f t="shared" si="140"/>
        <v>Low Risk</v>
      </c>
      <c r="K2976" s="3" t="str">
        <f t="shared" si="138"/>
        <v>4+ Years</v>
      </c>
    </row>
    <row r="2977" spans="1:11" x14ac:dyDescent="0.3">
      <c r="A2977" t="s">
        <v>2994</v>
      </c>
      <c r="B2977" t="s">
        <v>9</v>
      </c>
      <c r="C2977" t="s">
        <v>30</v>
      </c>
      <c r="D2977" t="s">
        <v>24</v>
      </c>
      <c r="E2977">
        <v>25.45</v>
      </c>
      <c r="F2977">
        <v>72</v>
      </c>
      <c r="G2977">
        <v>1832.3999999999901</v>
      </c>
      <c r="H2977" t="s">
        <v>12</v>
      </c>
      <c r="I2977" t="str">
        <f t="shared" si="139"/>
        <v>Low Value</v>
      </c>
      <c r="J2977" t="str">
        <f t="shared" si="140"/>
        <v>Low Risk</v>
      </c>
      <c r="K2977" s="3" t="str">
        <f t="shared" si="138"/>
        <v>4+ Years</v>
      </c>
    </row>
    <row r="2978" spans="1:11" x14ac:dyDescent="0.3">
      <c r="A2978" t="s">
        <v>2995</v>
      </c>
      <c r="B2978" t="s">
        <v>14</v>
      </c>
      <c r="C2978" t="s">
        <v>30</v>
      </c>
      <c r="D2978" t="s">
        <v>20</v>
      </c>
      <c r="E2978">
        <v>20.5</v>
      </c>
      <c r="F2978">
        <v>67</v>
      </c>
      <c r="G2978">
        <v>1373.5</v>
      </c>
      <c r="H2978" t="s">
        <v>12</v>
      </c>
      <c r="I2978" t="str">
        <f t="shared" si="139"/>
        <v>Low Value</v>
      </c>
      <c r="J2978" t="str">
        <f t="shared" si="140"/>
        <v>Low Risk</v>
      </c>
      <c r="K2978" s="3" t="str">
        <f t="shared" si="138"/>
        <v>4+ Years</v>
      </c>
    </row>
    <row r="2979" spans="1:11" x14ac:dyDescent="0.3">
      <c r="A2979" t="s">
        <v>2996</v>
      </c>
      <c r="B2979" t="s">
        <v>14</v>
      </c>
      <c r="C2979" t="s">
        <v>15</v>
      </c>
      <c r="D2979" t="s">
        <v>24</v>
      </c>
      <c r="E2979">
        <v>20.85</v>
      </c>
      <c r="F2979">
        <v>52</v>
      </c>
      <c r="G2979">
        <v>1084.2</v>
      </c>
      <c r="H2979" t="s">
        <v>12</v>
      </c>
      <c r="I2979" t="str">
        <f t="shared" si="139"/>
        <v>Low Value</v>
      </c>
      <c r="J2979" t="str">
        <f t="shared" si="140"/>
        <v>Low Risk</v>
      </c>
      <c r="K2979" s="3" t="str">
        <f t="shared" si="138"/>
        <v>4+ Years</v>
      </c>
    </row>
    <row r="2980" spans="1:11" x14ac:dyDescent="0.3">
      <c r="A2980" t="s">
        <v>2997</v>
      </c>
      <c r="B2980" t="s">
        <v>14</v>
      </c>
      <c r="C2980" t="s">
        <v>30</v>
      </c>
      <c r="D2980" t="s">
        <v>24</v>
      </c>
      <c r="E2980">
        <v>89.9</v>
      </c>
      <c r="F2980">
        <v>71</v>
      </c>
      <c r="G2980">
        <v>6382.9</v>
      </c>
      <c r="H2980" t="s">
        <v>12</v>
      </c>
      <c r="I2980" t="str">
        <f t="shared" si="139"/>
        <v>High Value</v>
      </c>
      <c r="J2980" t="str">
        <f t="shared" si="140"/>
        <v>Low Risk</v>
      </c>
      <c r="K2980" s="3" t="str">
        <f t="shared" si="138"/>
        <v>4+ Years</v>
      </c>
    </row>
    <row r="2981" spans="1:11" x14ac:dyDescent="0.3">
      <c r="A2981" t="s">
        <v>2998</v>
      </c>
      <c r="B2981" t="s">
        <v>9</v>
      </c>
      <c r="C2981" t="s">
        <v>15</v>
      </c>
      <c r="D2981" t="s">
        <v>16</v>
      </c>
      <c r="E2981">
        <v>26</v>
      </c>
      <c r="F2981">
        <v>26</v>
      </c>
      <c r="G2981">
        <v>676</v>
      </c>
      <c r="H2981" t="s">
        <v>12</v>
      </c>
      <c r="I2981" t="str">
        <f t="shared" si="139"/>
        <v>Low Value</v>
      </c>
      <c r="J2981" t="str">
        <f t="shared" si="140"/>
        <v>Low Risk</v>
      </c>
      <c r="K2981" s="3" t="str">
        <f t="shared" si="138"/>
        <v>2-4 Years</v>
      </c>
    </row>
    <row r="2982" spans="1:11" x14ac:dyDescent="0.3">
      <c r="A2982" t="s">
        <v>2999</v>
      </c>
      <c r="B2982" t="s">
        <v>9</v>
      </c>
      <c r="C2982" t="s">
        <v>30</v>
      </c>
      <c r="D2982" t="s">
        <v>16</v>
      </c>
      <c r="E2982">
        <v>113.2</v>
      </c>
      <c r="F2982">
        <v>35</v>
      </c>
      <c r="G2982">
        <v>3962</v>
      </c>
      <c r="H2982" t="s">
        <v>12</v>
      </c>
      <c r="I2982" t="str">
        <f t="shared" si="139"/>
        <v>Medium Value</v>
      </c>
      <c r="J2982" t="str">
        <f t="shared" si="140"/>
        <v>Low Risk</v>
      </c>
      <c r="K2982" s="3" t="str">
        <f t="shared" si="138"/>
        <v>2-4 Years</v>
      </c>
    </row>
    <row r="2983" spans="1:11" x14ac:dyDescent="0.3">
      <c r="A2983" t="s">
        <v>3000</v>
      </c>
      <c r="B2983" t="s">
        <v>9</v>
      </c>
      <c r="C2983" t="s">
        <v>30</v>
      </c>
      <c r="D2983" t="s">
        <v>24</v>
      </c>
      <c r="E2983">
        <v>69.05</v>
      </c>
      <c r="F2983">
        <v>55</v>
      </c>
      <c r="G2983">
        <v>3797.75</v>
      </c>
      <c r="H2983" t="s">
        <v>12</v>
      </c>
      <c r="I2983" t="str">
        <f t="shared" si="139"/>
        <v>Medium Value</v>
      </c>
      <c r="J2983" t="str">
        <f t="shared" si="140"/>
        <v>Low Risk</v>
      </c>
      <c r="K2983" s="3" t="str">
        <f t="shared" si="138"/>
        <v>4+ Years</v>
      </c>
    </row>
    <row r="2984" spans="1:11" x14ac:dyDescent="0.3">
      <c r="A2984" t="s">
        <v>3001</v>
      </c>
      <c r="B2984" t="s">
        <v>9</v>
      </c>
      <c r="C2984" t="s">
        <v>30</v>
      </c>
      <c r="D2984" t="s">
        <v>16</v>
      </c>
      <c r="E2984">
        <v>20.100000000000001</v>
      </c>
      <c r="F2984">
        <v>33</v>
      </c>
      <c r="G2984">
        <v>663.3</v>
      </c>
      <c r="H2984" t="s">
        <v>12</v>
      </c>
      <c r="I2984" t="str">
        <f t="shared" si="139"/>
        <v>Low Value</v>
      </c>
      <c r="J2984" t="str">
        <f t="shared" si="140"/>
        <v>Low Risk</v>
      </c>
      <c r="K2984" s="3" t="str">
        <f t="shared" si="138"/>
        <v>2-4 Years</v>
      </c>
    </row>
    <row r="2985" spans="1:11" x14ac:dyDescent="0.3">
      <c r="A2985" t="s">
        <v>3002</v>
      </c>
      <c r="B2985" t="s">
        <v>14</v>
      </c>
      <c r="C2985" t="s">
        <v>30</v>
      </c>
      <c r="D2985" t="s">
        <v>11</v>
      </c>
      <c r="E2985">
        <v>109.65</v>
      </c>
      <c r="F2985">
        <v>72</v>
      </c>
      <c r="G2985">
        <v>7894.8</v>
      </c>
      <c r="H2985" t="s">
        <v>12</v>
      </c>
      <c r="I2985" t="str">
        <f t="shared" si="139"/>
        <v>High Value</v>
      </c>
      <c r="J2985" t="str">
        <f t="shared" si="140"/>
        <v>Low Risk</v>
      </c>
      <c r="K2985" s="3" t="str">
        <f t="shared" si="138"/>
        <v>4+ Years</v>
      </c>
    </row>
    <row r="2986" spans="1:11" x14ac:dyDescent="0.3">
      <c r="A2986" t="s">
        <v>3003</v>
      </c>
      <c r="B2986" t="s">
        <v>14</v>
      </c>
      <c r="C2986" t="s">
        <v>10</v>
      </c>
      <c r="D2986" t="s">
        <v>16</v>
      </c>
      <c r="E2986">
        <v>19.2</v>
      </c>
      <c r="F2986">
        <v>1</v>
      </c>
      <c r="G2986">
        <v>19.2</v>
      </c>
      <c r="H2986" t="s">
        <v>12</v>
      </c>
      <c r="I2986" t="str">
        <f t="shared" si="139"/>
        <v>Low Value</v>
      </c>
      <c r="J2986" t="str">
        <f t="shared" si="140"/>
        <v>High Risk</v>
      </c>
      <c r="K2986" s="3" t="str">
        <f t="shared" si="138"/>
        <v>0-1 Year</v>
      </c>
    </row>
    <row r="2987" spans="1:11" x14ac:dyDescent="0.3">
      <c r="A2987" t="s">
        <v>3004</v>
      </c>
      <c r="B2987" t="s">
        <v>14</v>
      </c>
      <c r="C2987" t="s">
        <v>10</v>
      </c>
      <c r="D2987" t="s">
        <v>16</v>
      </c>
      <c r="E2987">
        <v>33.9</v>
      </c>
      <c r="F2987">
        <v>10</v>
      </c>
      <c r="G2987">
        <v>339</v>
      </c>
      <c r="H2987" t="s">
        <v>18</v>
      </c>
      <c r="I2987" t="str">
        <f t="shared" si="139"/>
        <v>Low Value</v>
      </c>
      <c r="J2987" t="str">
        <f t="shared" si="140"/>
        <v>High Risk</v>
      </c>
      <c r="K2987" s="3" t="str">
        <f t="shared" si="138"/>
        <v>0-1 Year</v>
      </c>
    </row>
    <row r="2988" spans="1:11" x14ac:dyDescent="0.3">
      <c r="A2988" t="s">
        <v>3005</v>
      </c>
      <c r="B2988" t="s">
        <v>9</v>
      </c>
      <c r="C2988" t="s">
        <v>10</v>
      </c>
      <c r="D2988" t="s">
        <v>11</v>
      </c>
      <c r="E2988">
        <v>90</v>
      </c>
      <c r="F2988">
        <v>37</v>
      </c>
      <c r="G2988">
        <v>3330</v>
      </c>
      <c r="H2988" t="s">
        <v>12</v>
      </c>
      <c r="I2988" t="str">
        <f t="shared" si="139"/>
        <v>Medium Value</v>
      </c>
      <c r="J2988" t="str">
        <f t="shared" si="140"/>
        <v>Low Risk</v>
      </c>
      <c r="K2988" s="3" t="str">
        <f t="shared" si="138"/>
        <v>2-4 Years</v>
      </c>
    </row>
    <row r="2989" spans="1:11" x14ac:dyDescent="0.3">
      <c r="A2989" t="s">
        <v>3006</v>
      </c>
      <c r="B2989" t="s">
        <v>14</v>
      </c>
      <c r="C2989" t="s">
        <v>10</v>
      </c>
      <c r="D2989" t="s">
        <v>16</v>
      </c>
      <c r="E2989">
        <v>34</v>
      </c>
      <c r="F2989">
        <v>12</v>
      </c>
      <c r="G2989">
        <v>408</v>
      </c>
      <c r="H2989" t="s">
        <v>12</v>
      </c>
      <c r="I2989" t="str">
        <f t="shared" si="139"/>
        <v>Low Value</v>
      </c>
      <c r="J2989" t="str">
        <f t="shared" si="140"/>
        <v>Medium Risk</v>
      </c>
      <c r="K2989" s="3" t="str">
        <f t="shared" si="138"/>
        <v>0-1 Year</v>
      </c>
    </row>
    <row r="2990" spans="1:11" x14ac:dyDescent="0.3">
      <c r="A2990" t="s">
        <v>3007</v>
      </c>
      <c r="B2990" t="s">
        <v>14</v>
      </c>
      <c r="C2990" t="s">
        <v>15</v>
      </c>
      <c r="D2990" t="s">
        <v>16</v>
      </c>
      <c r="E2990">
        <v>20.399999999999999</v>
      </c>
      <c r="F2990">
        <v>1</v>
      </c>
      <c r="G2990">
        <v>20.399999999999999</v>
      </c>
      <c r="H2990" t="s">
        <v>12</v>
      </c>
      <c r="I2990" t="str">
        <f t="shared" si="139"/>
        <v>Low Value</v>
      </c>
      <c r="J2990" t="str">
        <f t="shared" si="140"/>
        <v>High Risk</v>
      </c>
      <c r="K2990" s="3" t="str">
        <f t="shared" si="138"/>
        <v>0-1 Year</v>
      </c>
    </row>
    <row r="2991" spans="1:11" x14ac:dyDescent="0.3">
      <c r="A2991" t="s">
        <v>3008</v>
      </c>
      <c r="B2991" t="s">
        <v>14</v>
      </c>
      <c r="C2991" t="s">
        <v>30</v>
      </c>
      <c r="D2991" t="s">
        <v>24</v>
      </c>
      <c r="E2991">
        <v>38.6</v>
      </c>
      <c r="F2991">
        <v>62</v>
      </c>
      <c r="G2991">
        <v>2393.1999999999998</v>
      </c>
      <c r="H2991" t="s">
        <v>12</v>
      </c>
      <c r="I2991" t="str">
        <f t="shared" si="139"/>
        <v>Medium Value</v>
      </c>
      <c r="J2991" t="str">
        <f t="shared" si="140"/>
        <v>Low Risk</v>
      </c>
      <c r="K2991" s="3" t="str">
        <f t="shared" si="138"/>
        <v>4+ Years</v>
      </c>
    </row>
    <row r="2992" spans="1:11" x14ac:dyDescent="0.3">
      <c r="A2992" t="s">
        <v>3009</v>
      </c>
      <c r="B2992" t="s">
        <v>9</v>
      </c>
      <c r="C2992" t="s">
        <v>10</v>
      </c>
      <c r="D2992" t="s">
        <v>20</v>
      </c>
      <c r="E2992">
        <v>25.25</v>
      </c>
      <c r="F2992">
        <v>1</v>
      </c>
      <c r="G2992">
        <v>25.25</v>
      </c>
      <c r="H2992" t="s">
        <v>12</v>
      </c>
      <c r="I2992" t="str">
        <f t="shared" si="139"/>
        <v>Low Value</v>
      </c>
      <c r="J2992" t="str">
        <f t="shared" si="140"/>
        <v>High Risk</v>
      </c>
      <c r="K2992" s="3" t="str">
        <f t="shared" si="138"/>
        <v>0-1 Year</v>
      </c>
    </row>
    <row r="2993" spans="1:11" x14ac:dyDescent="0.3">
      <c r="A2993" t="s">
        <v>3010</v>
      </c>
      <c r="B2993" t="s">
        <v>9</v>
      </c>
      <c r="C2993" t="s">
        <v>10</v>
      </c>
      <c r="D2993" t="s">
        <v>16</v>
      </c>
      <c r="E2993">
        <v>60.6</v>
      </c>
      <c r="F2993">
        <v>18</v>
      </c>
      <c r="G2993">
        <v>1090.8</v>
      </c>
      <c r="H2993" t="s">
        <v>12</v>
      </c>
      <c r="I2993" t="str">
        <f t="shared" si="139"/>
        <v>Low Value</v>
      </c>
      <c r="J2993" t="str">
        <f t="shared" si="140"/>
        <v>Medium Risk</v>
      </c>
      <c r="K2993" s="3" t="str">
        <f t="shared" si="138"/>
        <v>1-2 Years</v>
      </c>
    </row>
    <row r="2994" spans="1:11" x14ac:dyDescent="0.3">
      <c r="A2994" t="s">
        <v>3011</v>
      </c>
      <c r="B2994" t="s">
        <v>14</v>
      </c>
      <c r="C2994" t="s">
        <v>10</v>
      </c>
      <c r="D2994" t="s">
        <v>11</v>
      </c>
      <c r="E2994">
        <v>89.95</v>
      </c>
      <c r="F2994">
        <v>69</v>
      </c>
      <c r="G2994">
        <v>6206.55</v>
      </c>
      <c r="H2994" t="s">
        <v>18</v>
      </c>
      <c r="I2994" t="str">
        <f t="shared" si="139"/>
        <v>High Value</v>
      </c>
      <c r="J2994" t="str">
        <f t="shared" si="140"/>
        <v>Low Risk</v>
      </c>
      <c r="K2994" s="3" t="str">
        <f t="shared" si="138"/>
        <v>4+ Years</v>
      </c>
    </row>
    <row r="2995" spans="1:11" x14ac:dyDescent="0.3">
      <c r="A2995" t="s">
        <v>3012</v>
      </c>
      <c r="B2995" t="s">
        <v>14</v>
      </c>
      <c r="C2995" t="s">
        <v>10</v>
      </c>
      <c r="D2995" t="s">
        <v>11</v>
      </c>
      <c r="E2995">
        <v>74.75</v>
      </c>
      <c r="F2995">
        <v>2</v>
      </c>
      <c r="G2995">
        <v>149.5</v>
      </c>
      <c r="H2995" t="s">
        <v>12</v>
      </c>
      <c r="I2995" t="str">
        <f t="shared" si="139"/>
        <v>Low Value</v>
      </c>
      <c r="J2995" t="str">
        <f t="shared" si="140"/>
        <v>High Risk</v>
      </c>
      <c r="K2995" s="3" t="str">
        <f t="shared" si="138"/>
        <v>0-1 Year</v>
      </c>
    </row>
    <row r="2996" spans="1:11" x14ac:dyDescent="0.3">
      <c r="A2996" t="s">
        <v>3013</v>
      </c>
      <c r="B2996" t="s">
        <v>14</v>
      </c>
      <c r="C2996" t="s">
        <v>10</v>
      </c>
      <c r="D2996" t="s">
        <v>16</v>
      </c>
      <c r="E2996">
        <v>20.6</v>
      </c>
      <c r="F2996">
        <v>19</v>
      </c>
      <c r="G2996">
        <v>391.4</v>
      </c>
      <c r="H2996" t="s">
        <v>12</v>
      </c>
      <c r="I2996" t="str">
        <f t="shared" si="139"/>
        <v>Low Value</v>
      </c>
      <c r="J2996" t="str">
        <f t="shared" si="140"/>
        <v>Medium Risk</v>
      </c>
      <c r="K2996" s="3" t="str">
        <f t="shared" si="138"/>
        <v>1-2 Years</v>
      </c>
    </row>
    <row r="2997" spans="1:11" x14ac:dyDescent="0.3">
      <c r="A2997" t="s">
        <v>3014</v>
      </c>
      <c r="B2997" t="s">
        <v>14</v>
      </c>
      <c r="C2997" t="s">
        <v>10</v>
      </c>
      <c r="D2997" t="s">
        <v>11</v>
      </c>
      <c r="E2997">
        <v>84.45</v>
      </c>
      <c r="F2997">
        <v>12</v>
      </c>
      <c r="G2997">
        <v>1013.4</v>
      </c>
      <c r="H2997" t="s">
        <v>18</v>
      </c>
      <c r="I2997" t="str">
        <f t="shared" si="139"/>
        <v>Low Value</v>
      </c>
      <c r="J2997" t="str">
        <f t="shared" si="140"/>
        <v>Medium Risk</v>
      </c>
      <c r="K2997" s="3" t="str">
        <f t="shared" si="138"/>
        <v>0-1 Year</v>
      </c>
    </row>
    <row r="2998" spans="1:11" x14ac:dyDescent="0.3">
      <c r="A2998" t="s">
        <v>3015</v>
      </c>
      <c r="B2998" t="s">
        <v>14</v>
      </c>
      <c r="C2998" t="s">
        <v>10</v>
      </c>
      <c r="D2998" t="s">
        <v>16</v>
      </c>
      <c r="E2998">
        <v>20.399999999999999</v>
      </c>
      <c r="F2998">
        <v>9</v>
      </c>
      <c r="G2998">
        <v>183.6</v>
      </c>
      <c r="H2998" t="s">
        <v>12</v>
      </c>
      <c r="I2998" t="str">
        <f t="shared" si="139"/>
        <v>Low Value</v>
      </c>
      <c r="J2998" t="str">
        <f t="shared" si="140"/>
        <v>High Risk</v>
      </c>
      <c r="K2998" s="3" t="str">
        <f t="shared" si="138"/>
        <v>0-1 Year</v>
      </c>
    </row>
    <row r="2999" spans="1:11" x14ac:dyDescent="0.3">
      <c r="A2999" t="s">
        <v>3016</v>
      </c>
      <c r="B2999" t="s">
        <v>14</v>
      </c>
      <c r="C2999" t="s">
        <v>15</v>
      </c>
      <c r="D2999" t="s">
        <v>11</v>
      </c>
      <c r="E2999">
        <v>81.7</v>
      </c>
      <c r="F2999">
        <v>27</v>
      </c>
      <c r="G2999">
        <v>2205.9</v>
      </c>
      <c r="H2999" t="s">
        <v>12</v>
      </c>
      <c r="I2999" t="str">
        <f t="shared" si="139"/>
        <v>Medium Value</v>
      </c>
      <c r="J2999" t="str">
        <f t="shared" si="140"/>
        <v>Low Risk</v>
      </c>
      <c r="K2999" s="3" t="str">
        <f t="shared" si="138"/>
        <v>2-4 Years</v>
      </c>
    </row>
    <row r="3000" spans="1:11" x14ac:dyDescent="0.3">
      <c r="A3000" t="s">
        <v>3017</v>
      </c>
      <c r="B3000" t="s">
        <v>14</v>
      </c>
      <c r="C3000" t="s">
        <v>10</v>
      </c>
      <c r="D3000" t="s">
        <v>11</v>
      </c>
      <c r="E3000">
        <v>79.5</v>
      </c>
      <c r="F3000">
        <v>27</v>
      </c>
      <c r="G3000">
        <v>2146.5</v>
      </c>
      <c r="H3000" t="s">
        <v>18</v>
      </c>
      <c r="I3000" t="str">
        <f t="shared" si="139"/>
        <v>Medium Value</v>
      </c>
      <c r="J3000" t="str">
        <f t="shared" si="140"/>
        <v>Low Risk</v>
      </c>
      <c r="K3000" s="3" t="str">
        <f t="shared" si="138"/>
        <v>2-4 Years</v>
      </c>
    </row>
    <row r="3001" spans="1:11" x14ac:dyDescent="0.3">
      <c r="A3001" t="s">
        <v>3018</v>
      </c>
      <c r="B3001" t="s">
        <v>14</v>
      </c>
      <c r="C3001" t="s">
        <v>10</v>
      </c>
      <c r="D3001" t="s">
        <v>16</v>
      </c>
      <c r="E3001">
        <v>89.15</v>
      </c>
      <c r="F3001">
        <v>1</v>
      </c>
      <c r="G3001">
        <v>89.15</v>
      </c>
      <c r="H3001" t="s">
        <v>18</v>
      </c>
      <c r="I3001" t="str">
        <f t="shared" si="139"/>
        <v>Low Value</v>
      </c>
      <c r="J3001" t="str">
        <f t="shared" si="140"/>
        <v>High Risk</v>
      </c>
      <c r="K3001" s="3" t="str">
        <f t="shared" si="138"/>
        <v>0-1 Year</v>
      </c>
    </row>
    <row r="3002" spans="1:11" x14ac:dyDescent="0.3">
      <c r="A3002" t="s">
        <v>3019</v>
      </c>
      <c r="B3002" t="s">
        <v>9</v>
      </c>
      <c r="C3002" t="s">
        <v>10</v>
      </c>
      <c r="D3002" t="s">
        <v>16</v>
      </c>
      <c r="E3002">
        <v>20.3</v>
      </c>
      <c r="F3002">
        <v>24</v>
      </c>
      <c r="G3002">
        <v>487.2</v>
      </c>
      <c r="H3002" t="s">
        <v>12</v>
      </c>
      <c r="I3002" t="str">
        <f t="shared" si="139"/>
        <v>Low Value</v>
      </c>
      <c r="J3002" t="str">
        <f t="shared" si="140"/>
        <v>Low Risk</v>
      </c>
      <c r="K3002" s="3" t="str">
        <f t="shared" si="138"/>
        <v>1-2 Years</v>
      </c>
    </row>
    <row r="3003" spans="1:11" x14ac:dyDescent="0.3">
      <c r="A3003" t="s">
        <v>3020</v>
      </c>
      <c r="B3003" t="s">
        <v>14</v>
      </c>
      <c r="C3003" t="s">
        <v>10</v>
      </c>
      <c r="D3003" t="s">
        <v>11</v>
      </c>
      <c r="E3003">
        <v>74.95</v>
      </c>
      <c r="F3003">
        <v>14</v>
      </c>
      <c r="G3003">
        <v>1049.3</v>
      </c>
      <c r="H3003" t="s">
        <v>18</v>
      </c>
      <c r="I3003" t="str">
        <f t="shared" si="139"/>
        <v>Low Value</v>
      </c>
      <c r="J3003" t="str">
        <f t="shared" si="140"/>
        <v>Medium Risk</v>
      </c>
      <c r="K3003" s="3" t="str">
        <f t="shared" si="138"/>
        <v>1-2 Years</v>
      </c>
    </row>
    <row r="3004" spans="1:11" x14ac:dyDescent="0.3">
      <c r="A3004" t="s">
        <v>3021</v>
      </c>
      <c r="B3004" t="s">
        <v>9</v>
      </c>
      <c r="C3004" t="s">
        <v>10</v>
      </c>
      <c r="D3004" t="s">
        <v>11</v>
      </c>
      <c r="E3004">
        <v>74.400000000000006</v>
      </c>
      <c r="F3004">
        <v>32</v>
      </c>
      <c r="G3004">
        <v>2380.8000000000002</v>
      </c>
      <c r="H3004" t="s">
        <v>18</v>
      </c>
      <c r="I3004" t="str">
        <f t="shared" si="139"/>
        <v>Medium Value</v>
      </c>
      <c r="J3004" t="str">
        <f t="shared" si="140"/>
        <v>Low Risk</v>
      </c>
      <c r="K3004" s="3" t="str">
        <f t="shared" si="138"/>
        <v>2-4 Years</v>
      </c>
    </row>
    <row r="3005" spans="1:11" x14ac:dyDescent="0.3">
      <c r="A3005" t="s">
        <v>3022</v>
      </c>
      <c r="B3005" t="s">
        <v>9</v>
      </c>
      <c r="C3005" t="s">
        <v>15</v>
      </c>
      <c r="D3005" t="s">
        <v>16</v>
      </c>
      <c r="E3005">
        <v>20</v>
      </c>
      <c r="F3005">
        <v>11</v>
      </c>
      <c r="G3005">
        <v>220</v>
      </c>
      <c r="H3005" t="s">
        <v>12</v>
      </c>
      <c r="I3005" t="str">
        <f t="shared" si="139"/>
        <v>Low Value</v>
      </c>
      <c r="J3005" t="str">
        <f t="shared" si="140"/>
        <v>High Risk</v>
      </c>
      <c r="K3005" s="3" t="str">
        <f t="shared" si="138"/>
        <v>0-1 Year</v>
      </c>
    </row>
    <row r="3006" spans="1:11" x14ac:dyDescent="0.3">
      <c r="A3006" t="s">
        <v>3023</v>
      </c>
      <c r="B3006" t="s">
        <v>14</v>
      </c>
      <c r="C3006" t="s">
        <v>10</v>
      </c>
      <c r="D3006" t="s">
        <v>16</v>
      </c>
      <c r="E3006">
        <v>25</v>
      </c>
      <c r="F3006">
        <v>1</v>
      </c>
      <c r="G3006">
        <v>25</v>
      </c>
      <c r="H3006" t="s">
        <v>12</v>
      </c>
      <c r="I3006" t="str">
        <f t="shared" si="139"/>
        <v>Low Value</v>
      </c>
      <c r="J3006" t="str">
        <f t="shared" si="140"/>
        <v>High Risk</v>
      </c>
      <c r="K3006" s="3" t="str">
        <f t="shared" si="138"/>
        <v>0-1 Year</v>
      </c>
    </row>
    <row r="3007" spans="1:11" x14ac:dyDescent="0.3">
      <c r="A3007" t="s">
        <v>3024</v>
      </c>
      <c r="B3007" t="s">
        <v>14</v>
      </c>
      <c r="C3007" t="s">
        <v>10</v>
      </c>
      <c r="D3007" t="s">
        <v>16</v>
      </c>
      <c r="E3007">
        <v>80.45</v>
      </c>
      <c r="F3007">
        <v>38</v>
      </c>
      <c r="G3007">
        <v>3057.1</v>
      </c>
      <c r="H3007" t="s">
        <v>12</v>
      </c>
      <c r="I3007" t="str">
        <f t="shared" si="139"/>
        <v>Medium Value</v>
      </c>
      <c r="J3007" t="str">
        <f t="shared" si="140"/>
        <v>Low Risk</v>
      </c>
      <c r="K3007" s="3" t="str">
        <f t="shared" si="138"/>
        <v>2-4 Years</v>
      </c>
    </row>
    <row r="3008" spans="1:11" x14ac:dyDescent="0.3">
      <c r="A3008" t="s">
        <v>3025</v>
      </c>
      <c r="B3008" t="s">
        <v>9</v>
      </c>
      <c r="C3008" t="s">
        <v>30</v>
      </c>
      <c r="D3008" t="s">
        <v>16</v>
      </c>
      <c r="E3008">
        <v>19.75</v>
      </c>
      <c r="F3008">
        <v>9</v>
      </c>
      <c r="G3008">
        <v>177.75</v>
      </c>
      <c r="H3008" t="s">
        <v>12</v>
      </c>
      <c r="I3008" t="str">
        <f t="shared" si="139"/>
        <v>Low Value</v>
      </c>
      <c r="J3008" t="str">
        <f t="shared" si="140"/>
        <v>High Risk</v>
      </c>
      <c r="K3008" s="3" t="str">
        <f t="shared" si="138"/>
        <v>0-1 Year</v>
      </c>
    </row>
    <row r="3009" spans="1:11" x14ac:dyDescent="0.3">
      <c r="A3009" t="s">
        <v>3026</v>
      </c>
      <c r="B3009" t="s">
        <v>14</v>
      </c>
      <c r="C3009" t="s">
        <v>30</v>
      </c>
      <c r="D3009" t="s">
        <v>24</v>
      </c>
      <c r="E3009">
        <v>65.650000000000006</v>
      </c>
      <c r="F3009">
        <v>54</v>
      </c>
      <c r="G3009">
        <v>3545.1</v>
      </c>
      <c r="H3009" t="s">
        <v>12</v>
      </c>
      <c r="I3009" t="str">
        <f t="shared" si="139"/>
        <v>Medium Value</v>
      </c>
      <c r="J3009" t="str">
        <f t="shared" si="140"/>
        <v>Low Risk</v>
      </c>
      <c r="K3009" s="3" t="str">
        <f t="shared" si="138"/>
        <v>4+ Years</v>
      </c>
    </row>
    <row r="3010" spans="1:11" x14ac:dyDescent="0.3">
      <c r="A3010" t="s">
        <v>3027</v>
      </c>
      <c r="B3010" t="s">
        <v>9</v>
      </c>
      <c r="C3010" t="s">
        <v>15</v>
      </c>
      <c r="D3010" t="s">
        <v>24</v>
      </c>
      <c r="E3010">
        <v>71</v>
      </c>
      <c r="F3010">
        <v>29</v>
      </c>
      <c r="G3010">
        <v>2059</v>
      </c>
      <c r="H3010" t="s">
        <v>12</v>
      </c>
      <c r="I3010" t="str">
        <f t="shared" si="139"/>
        <v>Medium Value</v>
      </c>
      <c r="J3010" t="str">
        <f t="shared" si="140"/>
        <v>Low Risk</v>
      </c>
      <c r="K3010" s="3" t="str">
        <f t="shared" si="138"/>
        <v>2-4 Years</v>
      </c>
    </row>
    <row r="3011" spans="1:11" x14ac:dyDescent="0.3">
      <c r="A3011" t="s">
        <v>3028</v>
      </c>
      <c r="B3011" t="s">
        <v>14</v>
      </c>
      <c r="C3011" t="s">
        <v>10</v>
      </c>
      <c r="D3011" t="s">
        <v>11</v>
      </c>
      <c r="E3011">
        <v>89.2</v>
      </c>
      <c r="F3011">
        <v>44</v>
      </c>
      <c r="G3011">
        <v>3924.8</v>
      </c>
      <c r="H3011" t="s">
        <v>12</v>
      </c>
      <c r="I3011" t="str">
        <f t="shared" si="139"/>
        <v>Medium Value</v>
      </c>
      <c r="J3011" t="str">
        <f t="shared" si="140"/>
        <v>Low Risk</v>
      </c>
      <c r="K3011" s="3" t="str">
        <f t="shared" ref="K3011:K3074" si="141">IF(F3011&lt;=12,"0-1 Year",
IF(F3011&lt;=24,"1-2 Years",
IF(F3011&lt;=48,"2-4 Years","4+ Years")))</f>
        <v>2-4 Years</v>
      </c>
    </row>
    <row r="3012" spans="1:11" x14ac:dyDescent="0.3">
      <c r="A3012" t="s">
        <v>3029</v>
      </c>
      <c r="B3012" t="s">
        <v>14</v>
      </c>
      <c r="C3012" t="s">
        <v>30</v>
      </c>
      <c r="D3012" t="s">
        <v>11</v>
      </c>
      <c r="E3012">
        <v>86.75</v>
      </c>
      <c r="F3012">
        <v>59</v>
      </c>
      <c r="G3012">
        <v>5118.25</v>
      </c>
      <c r="H3012" t="s">
        <v>12</v>
      </c>
      <c r="I3012" t="str">
        <f t="shared" ref="I3012:I3075" si="142">IF(G3012&gt;5000,"High Value",
IF(G3012&gt;2000,"Medium Value","Low Value"))</f>
        <v>High Value</v>
      </c>
      <c r="J3012" t="str">
        <f t="shared" ref="J3012:J3075" si="143">IF(F3012&lt;12,"High Risk",
IF(F3012&lt;24,"Medium Risk","Low Risk"))</f>
        <v>Low Risk</v>
      </c>
      <c r="K3012" s="3" t="str">
        <f t="shared" si="141"/>
        <v>4+ Years</v>
      </c>
    </row>
    <row r="3013" spans="1:11" x14ac:dyDescent="0.3">
      <c r="A3013" t="s">
        <v>3030</v>
      </c>
      <c r="B3013" t="s">
        <v>9</v>
      </c>
      <c r="C3013" t="s">
        <v>10</v>
      </c>
      <c r="D3013" t="s">
        <v>11</v>
      </c>
      <c r="E3013">
        <v>55.3</v>
      </c>
      <c r="F3013">
        <v>3</v>
      </c>
      <c r="G3013">
        <v>165.89999999999901</v>
      </c>
      <c r="H3013" t="s">
        <v>18</v>
      </c>
      <c r="I3013" t="str">
        <f t="shared" si="142"/>
        <v>Low Value</v>
      </c>
      <c r="J3013" t="str">
        <f t="shared" si="143"/>
        <v>High Risk</v>
      </c>
      <c r="K3013" s="3" t="str">
        <f t="shared" si="141"/>
        <v>0-1 Year</v>
      </c>
    </row>
    <row r="3014" spans="1:11" x14ac:dyDescent="0.3">
      <c r="A3014" t="s">
        <v>3031</v>
      </c>
      <c r="B3014" t="s">
        <v>9</v>
      </c>
      <c r="C3014" t="s">
        <v>15</v>
      </c>
      <c r="D3014" t="s">
        <v>16</v>
      </c>
      <c r="E3014">
        <v>61.5</v>
      </c>
      <c r="F3014">
        <v>18</v>
      </c>
      <c r="G3014">
        <v>1107</v>
      </c>
      <c r="H3014" t="s">
        <v>12</v>
      </c>
      <c r="I3014" t="str">
        <f t="shared" si="142"/>
        <v>Low Value</v>
      </c>
      <c r="J3014" t="str">
        <f t="shared" si="143"/>
        <v>Medium Risk</v>
      </c>
      <c r="K3014" s="3" t="str">
        <f t="shared" si="141"/>
        <v>1-2 Years</v>
      </c>
    </row>
    <row r="3015" spans="1:11" x14ac:dyDescent="0.3">
      <c r="A3015" t="s">
        <v>3032</v>
      </c>
      <c r="B3015" t="s">
        <v>14</v>
      </c>
      <c r="C3015" t="s">
        <v>30</v>
      </c>
      <c r="D3015" t="s">
        <v>24</v>
      </c>
      <c r="E3015">
        <v>25.1</v>
      </c>
      <c r="F3015">
        <v>67</v>
      </c>
      <c r="G3015">
        <v>1681.7</v>
      </c>
      <c r="H3015" t="s">
        <v>12</v>
      </c>
      <c r="I3015" t="str">
        <f t="shared" si="142"/>
        <v>Low Value</v>
      </c>
      <c r="J3015" t="str">
        <f t="shared" si="143"/>
        <v>Low Risk</v>
      </c>
      <c r="K3015" s="3" t="str">
        <f t="shared" si="141"/>
        <v>4+ Years</v>
      </c>
    </row>
    <row r="3016" spans="1:11" x14ac:dyDescent="0.3">
      <c r="A3016" t="s">
        <v>3033</v>
      </c>
      <c r="B3016" t="s">
        <v>9</v>
      </c>
      <c r="C3016" t="s">
        <v>10</v>
      </c>
      <c r="D3016" t="s">
        <v>11</v>
      </c>
      <c r="E3016">
        <v>55.15</v>
      </c>
      <c r="F3016">
        <v>22</v>
      </c>
      <c r="G3016">
        <v>1213.3</v>
      </c>
      <c r="H3016" t="s">
        <v>18</v>
      </c>
      <c r="I3016" t="str">
        <f t="shared" si="142"/>
        <v>Low Value</v>
      </c>
      <c r="J3016" t="str">
        <f t="shared" si="143"/>
        <v>Medium Risk</v>
      </c>
      <c r="K3016" s="3" t="str">
        <f t="shared" si="141"/>
        <v>1-2 Years</v>
      </c>
    </row>
    <row r="3017" spans="1:11" x14ac:dyDescent="0.3">
      <c r="A3017" t="s">
        <v>3034</v>
      </c>
      <c r="B3017" t="s">
        <v>14</v>
      </c>
      <c r="C3017" t="s">
        <v>15</v>
      </c>
      <c r="D3017" t="s">
        <v>24</v>
      </c>
      <c r="E3017">
        <v>34.049999999999997</v>
      </c>
      <c r="F3017">
        <v>33</v>
      </c>
      <c r="G3017">
        <v>1123.6499999999901</v>
      </c>
      <c r="H3017" t="s">
        <v>12</v>
      </c>
      <c r="I3017" t="str">
        <f t="shared" si="142"/>
        <v>Low Value</v>
      </c>
      <c r="J3017" t="str">
        <f t="shared" si="143"/>
        <v>Low Risk</v>
      </c>
      <c r="K3017" s="3" t="str">
        <f t="shared" si="141"/>
        <v>2-4 Years</v>
      </c>
    </row>
    <row r="3018" spans="1:11" x14ac:dyDescent="0.3">
      <c r="A3018" t="s">
        <v>3035</v>
      </c>
      <c r="B3018" t="s">
        <v>14</v>
      </c>
      <c r="C3018" t="s">
        <v>10</v>
      </c>
      <c r="D3018" t="s">
        <v>16</v>
      </c>
      <c r="E3018">
        <v>19.95</v>
      </c>
      <c r="F3018">
        <v>5</v>
      </c>
      <c r="G3018">
        <v>99.75</v>
      </c>
      <c r="H3018" t="s">
        <v>12</v>
      </c>
      <c r="I3018" t="str">
        <f t="shared" si="142"/>
        <v>Low Value</v>
      </c>
      <c r="J3018" t="str">
        <f t="shared" si="143"/>
        <v>High Risk</v>
      </c>
      <c r="K3018" s="3" t="str">
        <f t="shared" si="141"/>
        <v>0-1 Year</v>
      </c>
    </row>
    <row r="3019" spans="1:11" x14ac:dyDescent="0.3">
      <c r="A3019" t="s">
        <v>3036</v>
      </c>
      <c r="B3019" t="s">
        <v>9</v>
      </c>
      <c r="C3019" t="s">
        <v>10</v>
      </c>
      <c r="D3019" t="s">
        <v>16</v>
      </c>
      <c r="E3019">
        <v>19.95</v>
      </c>
      <c r="F3019">
        <v>2</v>
      </c>
      <c r="G3019">
        <v>39.9</v>
      </c>
      <c r="H3019" t="s">
        <v>12</v>
      </c>
      <c r="I3019" t="str">
        <f t="shared" si="142"/>
        <v>Low Value</v>
      </c>
      <c r="J3019" t="str">
        <f t="shared" si="143"/>
        <v>High Risk</v>
      </c>
      <c r="K3019" s="3" t="str">
        <f t="shared" si="141"/>
        <v>0-1 Year</v>
      </c>
    </row>
    <row r="3020" spans="1:11" x14ac:dyDescent="0.3">
      <c r="A3020" t="s">
        <v>3037</v>
      </c>
      <c r="B3020" t="s">
        <v>14</v>
      </c>
      <c r="C3020" t="s">
        <v>30</v>
      </c>
      <c r="D3020" t="s">
        <v>24</v>
      </c>
      <c r="E3020">
        <v>89.7</v>
      </c>
      <c r="F3020">
        <v>72</v>
      </c>
      <c r="G3020">
        <v>6458.4</v>
      </c>
      <c r="H3020" t="s">
        <v>12</v>
      </c>
      <c r="I3020" t="str">
        <f t="shared" si="142"/>
        <v>High Value</v>
      </c>
      <c r="J3020" t="str">
        <f t="shared" si="143"/>
        <v>Low Risk</v>
      </c>
      <c r="K3020" s="3" t="str">
        <f t="shared" si="141"/>
        <v>4+ Years</v>
      </c>
    </row>
    <row r="3021" spans="1:11" x14ac:dyDescent="0.3">
      <c r="A3021" t="s">
        <v>3038</v>
      </c>
      <c r="B3021" t="s">
        <v>14</v>
      </c>
      <c r="C3021" t="s">
        <v>10</v>
      </c>
      <c r="D3021" t="s">
        <v>16</v>
      </c>
      <c r="E3021">
        <v>20.399999999999999</v>
      </c>
      <c r="F3021">
        <v>9</v>
      </c>
      <c r="G3021">
        <v>183.6</v>
      </c>
      <c r="H3021" t="s">
        <v>12</v>
      </c>
      <c r="I3021" t="str">
        <f t="shared" si="142"/>
        <v>Low Value</v>
      </c>
      <c r="J3021" t="str">
        <f t="shared" si="143"/>
        <v>High Risk</v>
      </c>
      <c r="K3021" s="3" t="str">
        <f t="shared" si="141"/>
        <v>0-1 Year</v>
      </c>
    </row>
    <row r="3022" spans="1:11" x14ac:dyDescent="0.3">
      <c r="A3022" t="s">
        <v>3039</v>
      </c>
      <c r="B3022" t="s">
        <v>14</v>
      </c>
      <c r="C3022" t="s">
        <v>30</v>
      </c>
      <c r="D3022" t="s">
        <v>16</v>
      </c>
      <c r="E3022">
        <v>26.3</v>
      </c>
      <c r="F3022">
        <v>67</v>
      </c>
      <c r="G3022">
        <v>1762.1</v>
      </c>
      <c r="H3022" t="s">
        <v>12</v>
      </c>
      <c r="I3022" t="str">
        <f t="shared" si="142"/>
        <v>Low Value</v>
      </c>
      <c r="J3022" t="str">
        <f t="shared" si="143"/>
        <v>Low Risk</v>
      </c>
      <c r="K3022" s="3" t="str">
        <f t="shared" si="141"/>
        <v>4+ Years</v>
      </c>
    </row>
    <row r="3023" spans="1:11" x14ac:dyDescent="0.3">
      <c r="A3023" t="s">
        <v>3040</v>
      </c>
      <c r="B3023" t="s">
        <v>9</v>
      </c>
      <c r="C3023" t="s">
        <v>10</v>
      </c>
      <c r="D3023" t="s">
        <v>11</v>
      </c>
      <c r="E3023">
        <v>84.95</v>
      </c>
      <c r="F3023">
        <v>16</v>
      </c>
      <c r="G3023">
        <v>1359.2</v>
      </c>
      <c r="H3023" t="s">
        <v>18</v>
      </c>
      <c r="I3023" t="str">
        <f t="shared" si="142"/>
        <v>Low Value</v>
      </c>
      <c r="J3023" t="str">
        <f t="shared" si="143"/>
        <v>Medium Risk</v>
      </c>
      <c r="K3023" s="3" t="str">
        <f t="shared" si="141"/>
        <v>1-2 Years</v>
      </c>
    </row>
    <row r="3024" spans="1:11" x14ac:dyDescent="0.3">
      <c r="A3024" t="s">
        <v>3041</v>
      </c>
      <c r="B3024" t="s">
        <v>9</v>
      </c>
      <c r="C3024" t="s">
        <v>10</v>
      </c>
      <c r="D3024" t="s">
        <v>16</v>
      </c>
      <c r="E3024">
        <v>20.7</v>
      </c>
      <c r="F3024">
        <v>8</v>
      </c>
      <c r="G3024">
        <v>165.6</v>
      </c>
      <c r="H3024" t="s">
        <v>12</v>
      </c>
      <c r="I3024" t="str">
        <f t="shared" si="142"/>
        <v>Low Value</v>
      </c>
      <c r="J3024" t="str">
        <f t="shared" si="143"/>
        <v>High Risk</v>
      </c>
      <c r="K3024" s="3" t="str">
        <f t="shared" si="141"/>
        <v>0-1 Year</v>
      </c>
    </row>
    <row r="3025" spans="1:11" x14ac:dyDescent="0.3">
      <c r="A3025" t="s">
        <v>3042</v>
      </c>
      <c r="B3025" t="s">
        <v>14</v>
      </c>
      <c r="C3025" t="s">
        <v>10</v>
      </c>
      <c r="D3025" t="s">
        <v>16</v>
      </c>
      <c r="E3025">
        <v>43.25</v>
      </c>
      <c r="F3025">
        <v>5</v>
      </c>
      <c r="G3025">
        <v>216.25</v>
      </c>
      <c r="H3025" t="s">
        <v>18</v>
      </c>
      <c r="I3025" t="str">
        <f t="shared" si="142"/>
        <v>Low Value</v>
      </c>
      <c r="J3025" t="str">
        <f t="shared" si="143"/>
        <v>High Risk</v>
      </c>
      <c r="K3025" s="3" t="str">
        <f t="shared" si="141"/>
        <v>0-1 Year</v>
      </c>
    </row>
    <row r="3026" spans="1:11" x14ac:dyDescent="0.3">
      <c r="A3026" t="s">
        <v>3043</v>
      </c>
      <c r="B3026" t="s">
        <v>14</v>
      </c>
      <c r="C3026" t="s">
        <v>15</v>
      </c>
      <c r="D3026" t="s">
        <v>24</v>
      </c>
      <c r="E3026">
        <v>48.35</v>
      </c>
      <c r="F3026">
        <v>23</v>
      </c>
      <c r="G3026">
        <v>1112.05</v>
      </c>
      <c r="H3026" t="s">
        <v>18</v>
      </c>
      <c r="I3026" t="str">
        <f t="shared" si="142"/>
        <v>Low Value</v>
      </c>
      <c r="J3026" t="str">
        <f t="shared" si="143"/>
        <v>Medium Risk</v>
      </c>
      <c r="K3026" s="3" t="str">
        <f t="shared" si="141"/>
        <v>1-2 Years</v>
      </c>
    </row>
    <row r="3027" spans="1:11" x14ac:dyDescent="0.3">
      <c r="A3027" t="s">
        <v>3044</v>
      </c>
      <c r="B3027" t="s">
        <v>14</v>
      </c>
      <c r="C3027" t="s">
        <v>10</v>
      </c>
      <c r="D3027" t="s">
        <v>11</v>
      </c>
      <c r="E3027">
        <v>79.55</v>
      </c>
      <c r="F3027">
        <v>1</v>
      </c>
      <c r="G3027">
        <v>79.55</v>
      </c>
      <c r="H3027" t="s">
        <v>18</v>
      </c>
      <c r="I3027" t="str">
        <f t="shared" si="142"/>
        <v>Low Value</v>
      </c>
      <c r="J3027" t="str">
        <f t="shared" si="143"/>
        <v>High Risk</v>
      </c>
      <c r="K3027" s="3" t="str">
        <f t="shared" si="141"/>
        <v>0-1 Year</v>
      </c>
    </row>
    <row r="3028" spans="1:11" x14ac:dyDescent="0.3">
      <c r="A3028" t="s">
        <v>3045</v>
      </c>
      <c r="B3028" t="s">
        <v>9</v>
      </c>
      <c r="C3028" t="s">
        <v>10</v>
      </c>
      <c r="D3028" t="s">
        <v>11</v>
      </c>
      <c r="E3028">
        <v>71.05</v>
      </c>
      <c r="F3028">
        <v>50</v>
      </c>
      <c r="G3028">
        <v>3552.5</v>
      </c>
      <c r="H3028" t="s">
        <v>18</v>
      </c>
      <c r="I3028" t="str">
        <f t="shared" si="142"/>
        <v>Medium Value</v>
      </c>
      <c r="J3028" t="str">
        <f t="shared" si="143"/>
        <v>Low Risk</v>
      </c>
      <c r="K3028" s="3" t="str">
        <f t="shared" si="141"/>
        <v>4+ Years</v>
      </c>
    </row>
    <row r="3029" spans="1:11" x14ac:dyDescent="0.3">
      <c r="A3029" t="s">
        <v>3046</v>
      </c>
      <c r="B3029" t="s">
        <v>14</v>
      </c>
      <c r="C3029" t="s">
        <v>30</v>
      </c>
      <c r="D3029" t="s">
        <v>24</v>
      </c>
      <c r="E3029">
        <v>19.45</v>
      </c>
      <c r="F3029">
        <v>17</v>
      </c>
      <c r="G3029">
        <v>330.65</v>
      </c>
      <c r="H3029" t="s">
        <v>12</v>
      </c>
      <c r="I3029" t="str">
        <f t="shared" si="142"/>
        <v>Low Value</v>
      </c>
      <c r="J3029" t="str">
        <f t="shared" si="143"/>
        <v>Medium Risk</v>
      </c>
      <c r="K3029" s="3" t="str">
        <f t="shared" si="141"/>
        <v>1-2 Years</v>
      </c>
    </row>
    <row r="3030" spans="1:11" x14ac:dyDescent="0.3">
      <c r="A3030" t="s">
        <v>3047</v>
      </c>
      <c r="B3030" t="s">
        <v>9</v>
      </c>
      <c r="C3030" t="s">
        <v>30</v>
      </c>
      <c r="D3030" t="s">
        <v>20</v>
      </c>
      <c r="E3030">
        <v>110.8</v>
      </c>
      <c r="F3030">
        <v>68</v>
      </c>
      <c r="G3030">
        <v>7534.4</v>
      </c>
      <c r="H3030" t="s">
        <v>12</v>
      </c>
      <c r="I3030" t="str">
        <f t="shared" si="142"/>
        <v>High Value</v>
      </c>
      <c r="J3030" t="str">
        <f t="shared" si="143"/>
        <v>Low Risk</v>
      </c>
      <c r="K3030" s="3" t="str">
        <f t="shared" si="141"/>
        <v>4+ Years</v>
      </c>
    </row>
    <row r="3031" spans="1:11" x14ac:dyDescent="0.3">
      <c r="A3031" t="s">
        <v>3048</v>
      </c>
      <c r="B3031" t="s">
        <v>14</v>
      </c>
      <c r="C3031" t="s">
        <v>10</v>
      </c>
      <c r="D3031" t="s">
        <v>11</v>
      </c>
      <c r="E3031">
        <v>84.5</v>
      </c>
      <c r="F3031">
        <v>1</v>
      </c>
      <c r="G3031">
        <v>84.5</v>
      </c>
      <c r="H3031" t="s">
        <v>18</v>
      </c>
      <c r="I3031" t="str">
        <f t="shared" si="142"/>
        <v>Low Value</v>
      </c>
      <c r="J3031" t="str">
        <f t="shared" si="143"/>
        <v>High Risk</v>
      </c>
      <c r="K3031" s="3" t="str">
        <f t="shared" si="141"/>
        <v>0-1 Year</v>
      </c>
    </row>
    <row r="3032" spans="1:11" x14ac:dyDescent="0.3">
      <c r="A3032" t="s">
        <v>3049</v>
      </c>
      <c r="B3032" t="s">
        <v>9</v>
      </c>
      <c r="C3032" t="s">
        <v>10</v>
      </c>
      <c r="D3032" t="s">
        <v>11</v>
      </c>
      <c r="E3032">
        <v>69.3</v>
      </c>
      <c r="F3032">
        <v>25</v>
      </c>
      <c r="G3032">
        <v>1732.5</v>
      </c>
      <c r="H3032" t="s">
        <v>12</v>
      </c>
      <c r="I3032" t="str">
        <f t="shared" si="142"/>
        <v>Low Value</v>
      </c>
      <c r="J3032" t="str">
        <f t="shared" si="143"/>
        <v>Low Risk</v>
      </c>
      <c r="K3032" s="3" t="str">
        <f t="shared" si="141"/>
        <v>2-4 Years</v>
      </c>
    </row>
    <row r="3033" spans="1:11" x14ac:dyDescent="0.3">
      <c r="A3033" t="s">
        <v>3050</v>
      </c>
      <c r="B3033" t="s">
        <v>14</v>
      </c>
      <c r="C3033" t="s">
        <v>15</v>
      </c>
      <c r="D3033" t="s">
        <v>20</v>
      </c>
      <c r="E3033">
        <v>49.35</v>
      </c>
      <c r="F3033">
        <v>67</v>
      </c>
      <c r="G3033">
        <v>3306.45</v>
      </c>
      <c r="H3033" t="s">
        <v>12</v>
      </c>
      <c r="I3033" t="str">
        <f t="shared" si="142"/>
        <v>Medium Value</v>
      </c>
      <c r="J3033" t="str">
        <f t="shared" si="143"/>
        <v>Low Risk</v>
      </c>
      <c r="K3033" s="3" t="str">
        <f t="shared" si="141"/>
        <v>4+ Years</v>
      </c>
    </row>
    <row r="3034" spans="1:11" x14ac:dyDescent="0.3">
      <c r="A3034" t="s">
        <v>3051</v>
      </c>
      <c r="B3034" t="s">
        <v>14</v>
      </c>
      <c r="C3034" t="s">
        <v>15</v>
      </c>
      <c r="D3034" t="s">
        <v>24</v>
      </c>
      <c r="E3034">
        <v>20.350000000000001</v>
      </c>
      <c r="F3034">
        <v>32</v>
      </c>
      <c r="G3034">
        <v>651.20000000000005</v>
      </c>
      <c r="H3034" t="s">
        <v>12</v>
      </c>
      <c r="I3034" t="str">
        <f t="shared" si="142"/>
        <v>Low Value</v>
      </c>
      <c r="J3034" t="str">
        <f t="shared" si="143"/>
        <v>Low Risk</v>
      </c>
      <c r="K3034" s="3" t="str">
        <f t="shared" si="141"/>
        <v>2-4 Years</v>
      </c>
    </row>
    <row r="3035" spans="1:11" x14ac:dyDescent="0.3">
      <c r="A3035" t="s">
        <v>3052</v>
      </c>
      <c r="B3035" t="s">
        <v>9</v>
      </c>
      <c r="C3035" t="s">
        <v>15</v>
      </c>
      <c r="D3035" t="s">
        <v>11</v>
      </c>
      <c r="E3035">
        <v>105.6</v>
      </c>
      <c r="F3035">
        <v>67</v>
      </c>
      <c r="G3035">
        <v>7075.2</v>
      </c>
      <c r="H3035" t="s">
        <v>12</v>
      </c>
      <c r="I3035" t="str">
        <f t="shared" si="142"/>
        <v>High Value</v>
      </c>
      <c r="J3035" t="str">
        <f t="shared" si="143"/>
        <v>Low Risk</v>
      </c>
      <c r="K3035" s="3" t="str">
        <f t="shared" si="141"/>
        <v>4+ Years</v>
      </c>
    </row>
    <row r="3036" spans="1:11" x14ac:dyDescent="0.3">
      <c r="A3036" t="s">
        <v>3053</v>
      </c>
      <c r="B3036" t="s">
        <v>14</v>
      </c>
      <c r="C3036" t="s">
        <v>30</v>
      </c>
      <c r="D3036" t="s">
        <v>24</v>
      </c>
      <c r="E3036">
        <v>64.45</v>
      </c>
      <c r="F3036">
        <v>72</v>
      </c>
      <c r="G3036">
        <v>4640.3999999999996</v>
      </c>
      <c r="H3036" t="s">
        <v>12</v>
      </c>
      <c r="I3036" t="str">
        <f t="shared" si="142"/>
        <v>Medium Value</v>
      </c>
      <c r="J3036" t="str">
        <f t="shared" si="143"/>
        <v>Low Risk</v>
      </c>
      <c r="K3036" s="3" t="str">
        <f t="shared" si="141"/>
        <v>4+ Years</v>
      </c>
    </row>
    <row r="3037" spans="1:11" x14ac:dyDescent="0.3">
      <c r="A3037" t="s">
        <v>3054</v>
      </c>
      <c r="B3037" t="s">
        <v>14</v>
      </c>
      <c r="C3037" t="s">
        <v>30</v>
      </c>
      <c r="D3037" t="s">
        <v>24</v>
      </c>
      <c r="E3037">
        <v>108.6</v>
      </c>
      <c r="F3037">
        <v>71</v>
      </c>
      <c r="G3037">
        <v>7710.5999999999904</v>
      </c>
      <c r="H3037" t="s">
        <v>18</v>
      </c>
      <c r="I3037" t="str">
        <f t="shared" si="142"/>
        <v>High Value</v>
      </c>
      <c r="J3037" t="str">
        <f t="shared" si="143"/>
        <v>Low Risk</v>
      </c>
      <c r="K3037" s="3" t="str">
        <f t="shared" si="141"/>
        <v>4+ Years</v>
      </c>
    </row>
    <row r="3038" spans="1:11" x14ac:dyDescent="0.3">
      <c r="A3038" t="s">
        <v>3055</v>
      </c>
      <c r="B3038" t="s">
        <v>14</v>
      </c>
      <c r="C3038" t="s">
        <v>10</v>
      </c>
      <c r="D3038" t="s">
        <v>11</v>
      </c>
      <c r="E3038">
        <v>49.9</v>
      </c>
      <c r="F3038">
        <v>1</v>
      </c>
      <c r="G3038">
        <v>49.9</v>
      </c>
      <c r="H3038" t="s">
        <v>12</v>
      </c>
      <c r="I3038" t="str">
        <f t="shared" si="142"/>
        <v>Low Value</v>
      </c>
      <c r="J3038" t="str">
        <f t="shared" si="143"/>
        <v>High Risk</v>
      </c>
      <c r="K3038" s="3" t="str">
        <f t="shared" si="141"/>
        <v>0-1 Year</v>
      </c>
    </row>
    <row r="3039" spans="1:11" x14ac:dyDescent="0.3">
      <c r="A3039" t="s">
        <v>3056</v>
      </c>
      <c r="B3039" t="s">
        <v>14</v>
      </c>
      <c r="C3039" t="s">
        <v>10</v>
      </c>
      <c r="D3039" t="s">
        <v>20</v>
      </c>
      <c r="E3039">
        <v>30.3</v>
      </c>
      <c r="F3039">
        <v>46</v>
      </c>
      <c r="G3039">
        <v>1393.8</v>
      </c>
      <c r="H3039" t="s">
        <v>18</v>
      </c>
      <c r="I3039" t="str">
        <f t="shared" si="142"/>
        <v>Low Value</v>
      </c>
      <c r="J3039" t="str">
        <f t="shared" si="143"/>
        <v>Low Risk</v>
      </c>
      <c r="K3039" s="3" t="str">
        <f t="shared" si="141"/>
        <v>2-4 Years</v>
      </c>
    </row>
    <row r="3040" spans="1:11" x14ac:dyDescent="0.3">
      <c r="A3040" t="s">
        <v>3057</v>
      </c>
      <c r="B3040" t="s">
        <v>9</v>
      </c>
      <c r="C3040" t="s">
        <v>10</v>
      </c>
      <c r="D3040" t="s">
        <v>11</v>
      </c>
      <c r="E3040">
        <v>30.4</v>
      </c>
      <c r="F3040">
        <v>2</v>
      </c>
      <c r="G3040">
        <v>60.8</v>
      </c>
      <c r="H3040" t="s">
        <v>18</v>
      </c>
      <c r="I3040" t="str">
        <f t="shared" si="142"/>
        <v>Low Value</v>
      </c>
      <c r="J3040" t="str">
        <f t="shared" si="143"/>
        <v>High Risk</v>
      </c>
      <c r="K3040" s="3" t="str">
        <f t="shared" si="141"/>
        <v>0-1 Year</v>
      </c>
    </row>
    <row r="3041" spans="1:11" x14ac:dyDescent="0.3">
      <c r="A3041" t="s">
        <v>3058</v>
      </c>
      <c r="B3041" t="s">
        <v>9</v>
      </c>
      <c r="C3041" t="s">
        <v>10</v>
      </c>
      <c r="D3041" t="s">
        <v>16</v>
      </c>
      <c r="E3041">
        <v>45.4</v>
      </c>
      <c r="F3041">
        <v>1</v>
      </c>
      <c r="G3041">
        <v>45.4</v>
      </c>
      <c r="H3041" t="s">
        <v>18</v>
      </c>
      <c r="I3041" t="str">
        <f t="shared" si="142"/>
        <v>Low Value</v>
      </c>
      <c r="J3041" t="str">
        <f t="shared" si="143"/>
        <v>High Risk</v>
      </c>
      <c r="K3041" s="3" t="str">
        <f t="shared" si="141"/>
        <v>0-1 Year</v>
      </c>
    </row>
    <row r="3042" spans="1:11" x14ac:dyDescent="0.3">
      <c r="A3042" t="s">
        <v>3059</v>
      </c>
      <c r="B3042" t="s">
        <v>9</v>
      </c>
      <c r="C3042" t="s">
        <v>15</v>
      </c>
      <c r="D3042" t="s">
        <v>11</v>
      </c>
      <c r="E3042">
        <v>65.650000000000006</v>
      </c>
      <c r="F3042">
        <v>48</v>
      </c>
      <c r="G3042">
        <v>3151.2</v>
      </c>
      <c r="H3042" t="s">
        <v>12</v>
      </c>
      <c r="I3042" t="str">
        <f t="shared" si="142"/>
        <v>Medium Value</v>
      </c>
      <c r="J3042" t="str">
        <f t="shared" si="143"/>
        <v>Low Risk</v>
      </c>
      <c r="K3042" s="3" t="str">
        <f t="shared" si="141"/>
        <v>2-4 Years</v>
      </c>
    </row>
    <row r="3043" spans="1:11" x14ac:dyDescent="0.3">
      <c r="A3043" t="s">
        <v>3060</v>
      </c>
      <c r="B3043" t="s">
        <v>9</v>
      </c>
      <c r="C3043" t="s">
        <v>15</v>
      </c>
      <c r="D3043" t="s">
        <v>20</v>
      </c>
      <c r="E3043">
        <v>103.3</v>
      </c>
      <c r="F3043">
        <v>61</v>
      </c>
      <c r="G3043">
        <v>6301.3</v>
      </c>
      <c r="H3043" t="s">
        <v>12</v>
      </c>
      <c r="I3043" t="str">
        <f t="shared" si="142"/>
        <v>High Value</v>
      </c>
      <c r="J3043" t="str">
        <f t="shared" si="143"/>
        <v>Low Risk</v>
      </c>
      <c r="K3043" s="3" t="str">
        <f t="shared" si="141"/>
        <v>4+ Years</v>
      </c>
    </row>
    <row r="3044" spans="1:11" x14ac:dyDescent="0.3">
      <c r="A3044" t="s">
        <v>3061</v>
      </c>
      <c r="B3044" t="s">
        <v>9</v>
      </c>
      <c r="C3044" t="s">
        <v>10</v>
      </c>
      <c r="D3044" t="s">
        <v>20</v>
      </c>
      <c r="E3044">
        <v>84.15</v>
      </c>
      <c r="F3044">
        <v>32</v>
      </c>
      <c r="G3044">
        <v>2692.8</v>
      </c>
      <c r="H3044" t="s">
        <v>18</v>
      </c>
      <c r="I3044" t="str">
        <f t="shared" si="142"/>
        <v>Medium Value</v>
      </c>
      <c r="J3044" t="str">
        <f t="shared" si="143"/>
        <v>Low Risk</v>
      </c>
      <c r="K3044" s="3" t="str">
        <f t="shared" si="141"/>
        <v>2-4 Years</v>
      </c>
    </row>
    <row r="3045" spans="1:11" x14ac:dyDescent="0.3">
      <c r="A3045" t="s">
        <v>3062</v>
      </c>
      <c r="B3045" t="s">
        <v>9</v>
      </c>
      <c r="C3045" t="s">
        <v>10</v>
      </c>
      <c r="D3045" t="s">
        <v>11</v>
      </c>
      <c r="E3045">
        <v>44.45</v>
      </c>
      <c r="F3045">
        <v>2</v>
      </c>
      <c r="G3045">
        <v>88.9</v>
      </c>
      <c r="H3045" t="s">
        <v>12</v>
      </c>
      <c r="I3045" t="str">
        <f t="shared" si="142"/>
        <v>Low Value</v>
      </c>
      <c r="J3045" t="str">
        <f t="shared" si="143"/>
        <v>High Risk</v>
      </c>
      <c r="K3045" s="3" t="str">
        <f t="shared" si="141"/>
        <v>0-1 Year</v>
      </c>
    </row>
    <row r="3046" spans="1:11" x14ac:dyDescent="0.3">
      <c r="A3046" t="s">
        <v>3063</v>
      </c>
      <c r="B3046" t="s">
        <v>9</v>
      </c>
      <c r="C3046" t="s">
        <v>10</v>
      </c>
      <c r="D3046" t="s">
        <v>11</v>
      </c>
      <c r="E3046">
        <v>19.75</v>
      </c>
      <c r="F3046">
        <v>3</v>
      </c>
      <c r="G3046">
        <v>59.25</v>
      </c>
      <c r="H3046" t="s">
        <v>18</v>
      </c>
      <c r="I3046" t="str">
        <f t="shared" si="142"/>
        <v>Low Value</v>
      </c>
      <c r="J3046" t="str">
        <f t="shared" si="143"/>
        <v>High Risk</v>
      </c>
      <c r="K3046" s="3" t="str">
        <f t="shared" si="141"/>
        <v>0-1 Year</v>
      </c>
    </row>
    <row r="3047" spans="1:11" x14ac:dyDescent="0.3">
      <c r="A3047" t="s">
        <v>3064</v>
      </c>
      <c r="B3047" t="s">
        <v>9</v>
      </c>
      <c r="C3047" t="s">
        <v>10</v>
      </c>
      <c r="D3047" t="s">
        <v>24</v>
      </c>
      <c r="E3047">
        <v>85.4</v>
      </c>
      <c r="F3047">
        <v>5</v>
      </c>
      <c r="G3047">
        <v>427</v>
      </c>
      <c r="H3047" t="s">
        <v>18</v>
      </c>
      <c r="I3047" t="str">
        <f t="shared" si="142"/>
        <v>Low Value</v>
      </c>
      <c r="J3047" t="str">
        <f t="shared" si="143"/>
        <v>High Risk</v>
      </c>
      <c r="K3047" s="3" t="str">
        <f t="shared" si="141"/>
        <v>0-1 Year</v>
      </c>
    </row>
    <row r="3048" spans="1:11" x14ac:dyDescent="0.3">
      <c r="A3048" t="s">
        <v>3065</v>
      </c>
      <c r="B3048" t="s">
        <v>9</v>
      </c>
      <c r="C3048" t="s">
        <v>30</v>
      </c>
      <c r="D3048" t="s">
        <v>20</v>
      </c>
      <c r="E3048">
        <v>89.9</v>
      </c>
      <c r="F3048">
        <v>71</v>
      </c>
      <c r="G3048">
        <v>6382.9</v>
      </c>
      <c r="H3048" t="s">
        <v>12</v>
      </c>
      <c r="I3048" t="str">
        <f t="shared" si="142"/>
        <v>High Value</v>
      </c>
      <c r="J3048" t="str">
        <f t="shared" si="143"/>
        <v>Low Risk</v>
      </c>
      <c r="K3048" s="3" t="str">
        <f t="shared" si="141"/>
        <v>4+ Years</v>
      </c>
    </row>
    <row r="3049" spans="1:11" x14ac:dyDescent="0.3">
      <c r="A3049" t="s">
        <v>3066</v>
      </c>
      <c r="B3049" t="s">
        <v>14</v>
      </c>
      <c r="C3049" t="s">
        <v>10</v>
      </c>
      <c r="D3049" t="s">
        <v>16</v>
      </c>
      <c r="E3049">
        <v>55.05</v>
      </c>
      <c r="F3049">
        <v>37</v>
      </c>
      <c r="G3049">
        <v>2036.85</v>
      </c>
      <c r="H3049" t="s">
        <v>12</v>
      </c>
      <c r="I3049" t="str">
        <f t="shared" si="142"/>
        <v>Medium Value</v>
      </c>
      <c r="J3049" t="str">
        <f t="shared" si="143"/>
        <v>Low Risk</v>
      </c>
      <c r="K3049" s="3" t="str">
        <f t="shared" si="141"/>
        <v>2-4 Years</v>
      </c>
    </row>
    <row r="3050" spans="1:11" x14ac:dyDescent="0.3">
      <c r="A3050" t="s">
        <v>3067</v>
      </c>
      <c r="B3050" t="s">
        <v>14</v>
      </c>
      <c r="C3050" t="s">
        <v>30</v>
      </c>
      <c r="D3050" t="s">
        <v>20</v>
      </c>
      <c r="E3050">
        <v>104.1</v>
      </c>
      <c r="F3050">
        <v>65</v>
      </c>
      <c r="G3050">
        <v>6766.5</v>
      </c>
      <c r="H3050" t="s">
        <v>12</v>
      </c>
      <c r="I3050" t="str">
        <f t="shared" si="142"/>
        <v>High Value</v>
      </c>
      <c r="J3050" t="str">
        <f t="shared" si="143"/>
        <v>Low Risk</v>
      </c>
      <c r="K3050" s="3" t="str">
        <f t="shared" si="141"/>
        <v>4+ Years</v>
      </c>
    </row>
    <row r="3051" spans="1:11" x14ac:dyDescent="0.3">
      <c r="A3051" t="s">
        <v>3068</v>
      </c>
      <c r="B3051" t="s">
        <v>9</v>
      </c>
      <c r="C3051" t="s">
        <v>15</v>
      </c>
      <c r="D3051" t="s">
        <v>20</v>
      </c>
      <c r="E3051">
        <v>106.6</v>
      </c>
      <c r="F3051">
        <v>67</v>
      </c>
      <c r="G3051">
        <v>7142.2</v>
      </c>
      <c r="H3051" t="s">
        <v>12</v>
      </c>
      <c r="I3051" t="str">
        <f t="shared" si="142"/>
        <v>High Value</v>
      </c>
      <c r="J3051" t="str">
        <f t="shared" si="143"/>
        <v>Low Risk</v>
      </c>
      <c r="K3051" s="3" t="str">
        <f t="shared" si="141"/>
        <v>4+ Years</v>
      </c>
    </row>
    <row r="3052" spans="1:11" x14ac:dyDescent="0.3">
      <c r="A3052" t="s">
        <v>3069</v>
      </c>
      <c r="B3052" t="s">
        <v>14</v>
      </c>
      <c r="C3052" t="s">
        <v>10</v>
      </c>
      <c r="D3052" t="s">
        <v>24</v>
      </c>
      <c r="E3052">
        <v>75.2</v>
      </c>
      <c r="F3052">
        <v>49</v>
      </c>
      <c r="G3052">
        <v>3684.8</v>
      </c>
      <c r="H3052" t="s">
        <v>18</v>
      </c>
      <c r="I3052" t="str">
        <f t="shared" si="142"/>
        <v>Medium Value</v>
      </c>
      <c r="J3052" t="str">
        <f t="shared" si="143"/>
        <v>Low Risk</v>
      </c>
      <c r="K3052" s="3" t="str">
        <f t="shared" si="141"/>
        <v>4+ Years</v>
      </c>
    </row>
    <row r="3053" spans="1:11" x14ac:dyDescent="0.3">
      <c r="A3053" t="s">
        <v>3070</v>
      </c>
      <c r="B3053" t="s">
        <v>14</v>
      </c>
      <c r="C3053" t="s">
        <v>30</v>
      </c>
      <c r="D3053" t="s">
        <v>24</v>
      </c>
      <c r="E3053">
        <v>70.5</v>
      </c>
      <c r="F3053">
        <v>50</v>
      </c>
      <c r="G3053">
        <v>3525</v>
      </c>
      <c r="H3053" t="s">
        <v>12</v>
      </c>
      <c r="I3053" t="str">
        <f t="shared" si="142"/>
        <v>Medium Value</v>
      </c>
      <c r="J3053" t="str">
        <f t="shared" si="143"/>
        <v>Low Risk</v>
      </c>
      <c r="K3053" s="3" t="str">
        <f t="shared" si="141"/>
        <v>4+ Years</v>
      </c>
    </row>
    <row r="3054" spans="1:11" x14ac:dyDescent="0.3">
      <c r="A3054" t="s">
        <v>3071</v>
      </c>
      <c r="B3054" t="s">
        <v>14</v>
      </c>
      <c r="C3054" t="s">
        <v>15</v>
      </c>
      <c r="D3054" t="s">
        <v>11</v>
      </c>
      <c r="E3054">
        <v>19.600000000000001</v>
      </c>
      <c r="F3054">
        <v>25</v>
      </c>
      <c r="G3054">
        <v>490</v>
      </c>
      <c r="H3054" t="s">
        <v>12</v>
      </c>
      <c r="I3054" t="str">
        <f t="shared" si="142"/>
        <v>Low Value</v>
      </c>
      <c r="J3054" t="str">
        <f t="shared" si="143"/>
        <v>Low Risk</v>
      </c>
      <c r="K3054" s="3" t="str">
        <f t="shared" si="141"/>
        <v>2-4 Years</v>
      </c>
    </row>
    <row r="3055" spans="1:11" x14ac:dyDescent="0.3">
      <c r="A3055" t="s">
        <v>3072</v>
      </c>
      <c r="B3055" t="s">
        <v>9</v>
      </c>
      <c r="C3055" t="s">
        <v>15</v>
      </c>
      <c r="D3055" t="s">
        <v>16</v>
      </c>
      <c r="E3055">
        <v>55.85</v>
      </c>
      <c r="F3055">
        <v>17</v>
      </c>
      <c r="G3055">
        <v>949.45</v>
      </c>
      <c r="H3055" t="s">
        <v>18</v>
      </c>
      <c r="I3055" t="str">
        <f t="shared" si="142"/>
        <v>Low Value</v>
      </c>
      <c r="J3055" t="str">
        <f t="shared" si="143"/>
        <v>Medium Risk</v>
      </c>
      <c r="K3055" s="3" t="str">
        <f t="shared" si="141"/>
        <v>1-2 Years</v>
      </c>
    </row>
    <row r="3056" spans="1:11" x14ac:dyDescent="0.3">
      <c r="A3056" t="s">
        <v>3073</v>
      </c>
      <c r="B3056" t="s">
        <v>9</v>
      </c>
      <c r="C3056" t="s">
        <v>30</v>
      </c>
      <c r="D3056" t="s">
        <v>16</v>
      </c>
      <c r="E3056">
        <v>24.05</v>
      </c>
      <c r="F3056">
        <v>64</v>
      </c>
      <c r="G3056">
        <v>1539.2</v>
      </c>
      <c r="H3056" t="s">
        <v>12</v>
      </c>
      <c r="I3056" t="str">
        <f t="shared" si="142"/>
        <v>Low Value</v>
      </c>
      <c r="J3056" t="str">
        <f t="shared" si="143"/>
        <v>Low Risk</v>
      </c>
      <c r="K3056" s="3" t="str">
        <f t="shared" si="141"/>
        <v>4+ Years</v>
      </c>
    </row>
    <row r="3057" spans="1:11" x14ac:dyDescent="0.3">
      <c r="A3057" t="s">
        <v>3074</v>
      </c>
      <c r="B3057" t="s">
        <v>14</v>
      </c>
      <c r="C3057" t="s">
        <v>15</v>
      </c>
      <c r="D3057" t="s">
        <v>24</v>
      </c>
      <c r="E3057">
        <v>38.1</v>
      </c>
      <c r="F3057">
        <v>25</v>
      </c>
      <c r="G3057">
        <v>952.5</v>
      </c>
      <c r="H3057" t="s">
        <v>12</v>
      </c>
      <c r="I3057" t="str">
        <f t="shared" si="142"/>
        <v>Low Value</v>
      </c>
      <c r="J3057" t="str">
        <f t="shared" si="143"/>
        <v>Low Risk</v>
      </c>
      <c r="K3057" s="3" t="str">
        <f t="shared" si="141"/>
        <v>2-4 Years</v>
      </c>
    </row>
    <row r="3058" spans="1:11" x14ac:dyDescent="0.3">
      <c r="A3058" t="s">
        <v>3075</v>
      </c>
      <c r="B3058" t="s">
        <v>14</v>
      </c>
      <c r="C3058" t="s">
        <v>10</v>
      </c>
      <c r="D3058" t="s">
        <v>11</v>
      </c>
      <c r="E3058">
        <v>106.4</v>
      </c>
      <c r="F3058">
        <v>23</v>
      </c>
      <c r="G3058">
        <v>2447.1999999999998</v>
      </c>
      <c r="H3058" t="s">
        <v>18</v>
      </c>
      <c r="I3058" t="str">
        <f t="shared" si="142"/>
        <v>Medium Value</v>
      </c>
      <c r="J3058" t="str">
        <f t="shared" si="143"/>
        <v>Medium Risk</v>
      </c>
      <c r="K3058" s="3" t="str">
        <f t="shared" si="141"/>
        <v>1-2 Years</v>
      </c>
    </row>
    <row r="3059" spans="1:11" x14ac:dyDescent="0.3">
      <c r="A3059" t="s">
        <v>3076</v>
      </c>
      <c r="B3059" t="s">
        <v>14</v>
      </c>
      <c r="C3059" t="s">
        <v>10</v>
      </c>
      <c r="D3059" t="s">
        <v>16</v>
      </c>
      <c r="E3059">
        <v>34.25</v>
      </c>
      <c r="F3059">
        <v>24</v>
      </c>
      <c r="G3059">
        <v>822</v>
      </c>
      <c r="H3059" t="s">
        <v>12</v>
      </c>
      <c r="I3059" t="str">
        <f t="shared" si="142"/>
        <v>Low Value</v>
      </c>
      <c r="J3059" t="str">
        <f t="shared" si="143"/>
        <v>Low Risk</v>
      </c>
      <c r="K3059" s="3" t="str">
        <f t="shared" si="141"/>
        <v>1-2 Years</v>
      </c>
    </row>
    <row r="3060" spans="1:11" x14ac:dyDescent="0.3">
      <c r="A3060" t="s">
        <v>3077</v>
      </c>
      <c r="B3060" t="s">
        <v>9</v>
      </c>
      <c r="C3060" t="s">
        <v>10</v>
      </c>
      <c r="D3060" t="s">
        <v>11</v>
      </c>
      <c r="E3060">
        <v>100.05</v>
      </c>
      <c r="F3060">
        <v>37</v>
      </c>
      <c r="G3060">
        <v>3701.85</v>
      </c>
      <c r="H3060" t="s">
        <v>12</v>
      </c>
      <c r="I3060" t="str">
        <f t="shared" si="142"/>
        <v>Medium Value</v>
      </c>
      <c r="J3060" t="str">
        <f t="shared" si="143"/>
        <v>Low Risk</v>
      </c>
      <c r="K3060" s="3" t="str">
        <f t="shared" si="141"/>
        <v>2-4 Years</v>
      </c>
    </row>
    <row r="3061" spans="1:11" x14ac:dyDescent="0.3">
      <c r="A3061" t="s">
        <v>3078</v>
      </c>
      <c r="B3061" t="s">
        <v>9</v>
      </c>
      <c r="C3061" t="s">
        <v>10</v>
      </c>
      <c r="D3061" t="s">
        <v>11</v>
      </c>
      <c r="E3061">
        <v>68.650000000000006</v>
      </c>
      <c r="F3061">
        <v>21</v>
      </c>
      <c r="G3061">
        <v>1441.65</v>
      </c>
      <c r="H3061" t="s">
        <v>12</v>
      </c>
      <c r="I3061" t="str">
        <f t="shared" si="142"/>
        <v>Low Value</v>
      </c>
      <c r="J3061" t="str">
        <f t="shared" si="143"/>
        <v>Medium Risk</v>
      </c>
      <c r="K3061" s="3" t="str">
        <f t="shared" si="141"/>
        <v>1-2 Years</v>
      </c>
    </row>
    <row r="3062" spans="1:11" x14ac:dyDescent="0.3">
      <c r="A3062" t="s">
        <v>3079</v>
      </c>
      <c r="B3062" t="s">
        <v>14</v>
      </c>
      <c r="C3062" t="s">
        <v>10</v>
      </c>
      <c r="D3062" t="s">
        <v>16</v>
      </c>
      <c r="E3062">
        <v>45.8</v>
      </c>
      <c r="F3062">
        <v>1</v>
      </c>
      <c r="G3062">
        <v>45.8</v>
      </c>
      <c r="H3062" t="s">
        <v>12</v>
      </c>
      <c r="I3062" t="str">
        <f t="shared" si="142"/>
        <v>Low Value</v>
      </c>
      <c r="J3062" t="str">
        <f t="shared" si="143"/>
        <v>High Risk</v>
      </c>
      <c r="K3062" s="3" t="str">
        <f t="shared" si="141"/>
        <v>0-1 Year</v>
      </c>
    </row>
    <row r="3063" spans="1:11" x14ac:dyDescent="0.3">
      <c r="A3063" t="s">
        <v>3080</v>
      </c>
      <c r="B3063" t="s">
        <v>9</v>
      </c>
      <c r="C3063" t="s">
        <v>10</v>
      </c>
      <c r="D3063" t="s">
        <v>16</v>
      </c>
      <c r="E3063">
        <v>75.75</v>
      </c>
      <c r="F3063">
        <v>10</v>
      </c>
      <c r="G3063">
        <v>757.5</v>
      </c>
      <c r="H3063" t="s">
        <v>12</v>
      </c>
      <c r="I3063" t="str">
        <f t="shared" si="142"/>
        <v>Low Value</v>
      </c>
      <c r="J3063" t="str">
        <f t="shared" si="143"/>
        <v>High Risk</v>
      </c>
      <c r="K3063" s="3" t="str">
        <f t="shared" si="141"/>
        <v>0-1 Year</v>
      </c>
    </row>
    <row r="3064" spans="1:11" x14ac:dyDescent="0.3">
      <c r="A3064" t="s">
        <v>3081</v>
      </c>
      <c r="B3064" t="s">
        <v>14</v>
      </c>
      <c r="C3064" t="s">
        <v>10</v>
      </c>
      <c r="D3064" t="s">
        <v>11</v>
      </c>
      <c r="E3064">
        <v>84.4</v>
      </c>
      <c r="F3064">
        <v>6</v>
      </c>
      <c r="G3064">
        <v>506.4</v>
      </c>
      <c r="H3064" t="s">
        <v>18</v>
      </c>
      <c r="I3064" t="str">
        <f t="shared" si="142"/>
        <v>Low Value</v>
      </c>
      <c r="J3064" t="str">
        <f t="shared" si="143"/>
        <v>High Risk</v>
      </c>
      <c r="K3064" s="3" t="str">
        <f t="shared" si="141"/>
        <v>0-1 Year</v>
      </c>
    </row>
    <row r="3065" spans="1:11" x14ac:dyDescent="0.3">
      <c r="A3065" t="s">
        <v>3082</v>
      </c>
      <c r="B3065" t="s">
        <v>14</v>
      </c>
      <c r="C3065" t="s">
        <v>15</v>
      </c>
      <c r="D3065" t="s">
        <v>24</v>
      </c>
      <c r="E3065">
        <v>96.4</v>
      </c>
      <c r="F3065">
        <v>51</v>
      </c>
      <c r="G3065">
        <v>4916.3999999999996</v>
      </c>
      <c r="H3065" t="s">
        <v>12</v>
      </c>
      <c r="I3065" t="str">
        <f t="shared" si="142"/>
        <v>Medium Value</v>
      </c>
      <c r="J3065" t="str">
        <f t="shared" si="143"/>
        <v>Low Risk</v>
      </c>
      <c r="K3065" s="3" t="str">
        <f t="shared" si="141"/>
        <v>4+ Years</v>
      </c>
    </row>
    <row r="3066" spans="1:11" x14ac:dyDescent="0.3">
      <c r="A3066" t="s">
        <v>3083</v>
      </c>
      <c r="B3066" t="s">
        <v>9</v>
      </c>
      <c r="C3066" t="s">
        <v>10</v>
      </c>
      <c r="D3066" t="s">
        <v>16</v>
      </c>
      <c r="E3066">
        <v>20.55</v>
      </c>
      <c r="F3066">
        <v>10</v>
      </c>
      <c r="G3066">
        <v>205.5</v>
      </c>
      <c r="H3066" t="s">
        <v>12</v>
      </c>
      <c r="I3066" t="str">
        <f t="shared" si="142"/>
        <v>Low Value</v>
      </c>
      <c r="J3066" t="str">
        <f t="shared" si="143"/>
        <v>High Risk</v>
      </c>
      <c r="K3066" s="3" t="str">
        <f t="shared" si="141"/>
        <v>0-1 Year</v>
      </c>
    </row>
    <row r="3067" spans="1:11" x14ac:dyDescent="0.3">
      <c r="A3067" t="s">
        <v>3084</v>
      </c>
      <c r="B3067" t="s">
        <v>9</v>
      </c>
      <c r="C3067" t="s">
        <v>10</v>
      </c>
      <c r="D3067" t="s">
        <v>24</v>
      </c>
      <c r="E3067">
        <v>50.95</v>
      </c>
      <c r="F3067">
        <v>6</v>
      </c>
      <c r="G3067">
        <v>305.7</v>
      </c>
      <c r="H3067" t="s">
        <v>12</v>
      </c>
      <c r="I3067" t="str">
        <f t="shared" si="142"/>
        <v>Low Value</v>
      </c>
      <c r="J3067" t="str">
        <f t="shared" si="143"/>
        <v>High Risk</v>
      </c>
      <c r="K3067" s="3" t="str">
        <f t="shared" si="141"/>
        <v>0-1 Year</v>
      </c>
    </row>
    <row r="3068" spans="1:11" x14ac:dyDescent="0.3">
      <c r="A3068" t="s">
        <v>3085</v>
      </c>
      <c r="B3068" t="s">
        <v>14</v>
      </c>
      <c r="C3068" t="s">
        <v>30</v>
      </c>
      <c r="D3068" t="s">
        <v>16</v>
      </c>
      <c r="E3068">
        <v>90.5</v>
      </c>
      <c r="F3068">
        <v>47</v>
      </c>
      <c r="G3068">
        <v>4253.5</v>
      </c>
      <c r="H3068" t="s">
        <v>12</v>
      </c>
      <c r="I3068" t="str">
        <f t="shared" si="142"/>
        <v>Medium Value</v>
      </c>
      <c r="J3068" t="str">
        <f t="shared" si="143"/>
        <v>Low Risk</v>
      </c>
      <c r="K3068" s="3" t="str">
        <f t="shared" si="141"/>
        <v>2-4 Years</v>
      </c>
    </row>
    <row r="3069" spans="1:11" x14ac:dyDescent="0.3">
      <c r="A3069" t="s">
        <v>3086</v>
      </c>
      <c r="B3069" t="s">
        <v>9</v>
      </c>
      <c r="C3069" t="s">
        <v>15</v>
      </c>
      <c r="D3069" t="s">
        <v>11</v>
      </c>
      <c r="E3069">
        <v>79.400000000000006</v>
      </c>
      <c r="F3069">
        <v>61</v>
      </c>
      <c r="G3069">
        <v>4843.3999999999996</v>
      </c>
      <c r="H3069" t="s">
        <v>12</v>
      </c>
      <c r="I3069" t="str">
        <f t="shared" si="142"/>
        <v>Medium Value</v>
      </c>
      <c r="J3069" t="str">
        <f t="shared" si="143"/>
        <v>Low Risk</v>
      </c>
      <c r="K3069" s="3" t="str">
        <f t="shared" si="141"/>
        <v>4+ Years</v>
      </c>
    </row>
    <row r="3070" spans="1:11" x14ac:dyDescent="0.3">
      <c r="A3070" t="s">
        <v>3087</v>
      </c>
      <c r="B3070" t="s">
        <v>9</v>
      </c>
      <c r="C3070" t="s">
        <v>30</v>
      </c>
      <c r="D3070" t="s">
        <v>20</v>
      </c>
      <c r="E3070">
        <v>58.75</v>
      </c>
      <c r="F3070">
        <v>52</v>
      </c>
      <c r="G3070">
        <v>3055</v>
      </c>
      <c r="H3070" t="s">
        <v>12</v>
      </c>
      <c r="I3070" t="str">
        <f t="shared" si="142"/>
        <v>Medium Value</v>
      </c>
      <c r="J3070" t="str">
        <f t="shared" si="143"/>
        <v>Low Risk</v>
      </c>
      <c r="K3070" s="3" t="str">
        <f t="shared" si="141"/>
        <v>4+ Years</v>
      </c>
    </row>
    <row r="3071" spans="1:11" x14ac:dyDescent="0.3">
      <c r="A3071" t="s">
        <v>3088</v>
      </c>
      <c r="B3071" t="s">
        <v>9</v>
      </c>
      <c r="C3071" t="s">
        <v>10</v>
      </c>
      <c r="D3071" t="s">
        <v>24</v>
      </c>
      <c r="E3071">
        <v>59.45</v>
      </c>
      <c r="F3071">
        <v>35</v>
      </c>
      <c r="G3071">
        <v>2080.75</v>
      </c>
      <c r="H3071" t="s">
        <v>12</v>
      </c>
      <c r="I3071" t="str">
        <f t="shared" si="142"/>
        <v>Medium Value</v>
      </c>
      <c r="J3071" t="str">
        <f t="shared" si="143"/>
        <v>Low Risk</v>
      </c>
      <c r="K3071" s="3" t="str">
        <f t="shared" si="141"/>
        <v>2-4 Years</v>
      </c>
    </row>
    <row r="3072" spans="1:11" x14ac:dyDescent="0.3">
      <c r="A3072" t="s">
        <v>3089</v>
      </c>
      <c r="B3072" t="s">
        <v>14</v>
      </c>
      <c r="C3072" t="s">
        <v>15</v>
      </c>
      <c r="D3072" t="s">
        <v>20</v>
      </c>
      <c r="E3072">
        <v>105.7</v>
      </c>
      <c r="F3072">
        <v>71</v>
      </c>
      <c r="G3072">
        <v>7504.7</v>
      </c>
      <c r="H3072" t="s">
        <v>12</v>
      </c>
      <c r="I3072" t="str">
        <f t="shared" si="142"/>
        <v>High Value</v>
      </c>
      <c r="J3072" t="str">
        <f t="shared" si="143"/>
        <v>Low Risk</v>
      </c>
      <c r="K3072" s="3" t="str">
        <f t="shared" si="141"/>
        <v>4+ Years</v>
      </c>
    </row>
    <row r="3073" spans="1:11" x14ac:dyDescent="0.3">
      <c r="A3073" t="s">
        <v>3090</v>
      </c>
      <c r="B3073" t="s">
        <v>9</v>
      </c>
      <c r="C3073" t="s">
        <v>10</v>
      </c>
      <c r="D3073" t="s">
        <v>11</v>
      </c>
      <c r="E3073">
        <v>56.25</v>
      </c>
      <c r="F3073">
        <v>6</v>
      </c>
      <c r="G3073">
        <v>337.5</v>
      </c>
      <c r="H3073" t="s">
        <v>18</v>
      </c>
      <c r="I3073" t="str">
        <f t="shared" si="142"/>
        <v>Low Value</v>
      </c>
      <c r="J3073" t="str">
        <f t="shared" si="143"/>
        <v>High Risk</v>
      </c>
      <c r="K3073" s="3" t="str">
        <f t="shared" si="141"/>
        <v>0-1 Year</v>
      </c>
    </row>
    <row r="3074" spans="1:11" x14ac:dyDescent="0.3">
      <c r="A3074" t="s">
        <v>3091</v>
      </c>
      <c r="B3074" t="s">
        <v>14</v>
      </c>
      <c r="C3074" t="s">
        <v>30</v>
      </c>
      <c r="D3074" t="s">
        <v>24</v>
      </c>
      <c r="E3074">
        <v>53.3</v>
      </c>
      <c r="F3074">
        <v>45</v>
      </c>
      <c r="G3074">
        <v>2398.5</v>
      </c>
      <c r="H3074" t="s">
        <v>12</v>
      </c>
      <c r="I3074" t="str">
        <f t="shared" si="142"/>
        <v>Medium Value</v>
      </c>
      <c r="J3074" t="str">
        <f t="shared" si="143"/>
        <v>Low Risk</v>
      </c>
      <c r="K3074" s="3" t="str">
        <f t="shared" si="141"/>
        <v>2-4 Years</v>
      </c>
    </row>
    <row r="3075" spans="1:11" x14ac:dyDescent="0.3">
      <c r="A3075" t="s">
        <v>3092</v>
      </c>
      <c r="B3075" t="s">
        <v>9</v>
      </c>
      <c r="C3075" t="s">
        <v>10</v>
      </c>
      <c r="D3075" t="s">
        <v>11</v>
      </c>
      <c r="E3075">
        <v>85.55</v>
      </c>
      <c r="F3075">
        <v>2</v>
      </c>
      <c r="G3075">
        <v>171.1</v>
      </c>
      <c r="H3075" t="s">
        <v>18</v>
      </c>
      <c r="I3075" t="str">
        <f t="shared" si="142"/>
        <v>Low Value</v>
      </c>
      <c r="J3075" t="str">
        <f t="shared" si="143"/>
        <v>High Risk</v>
      </c>
      <c r="K3075" s="3" t="str">
        <f t="shared" ref="K3075:K3138" si="144">IF(F3075&lt;=12,"0-1 Year",
IF(F3075&lt;=24,"1-2 Years",
IF(F3075&lt;=48,"2-4 Years","4+ Years")))</f>
        <v>0-1 Year</v>
      </c>
    </row>
    <row r="3076" spans="1:11" x14ac:dyDescent="0.3">
      <c r="A3076" t="s">
        <v>3093</v>
      </c>
      <c r="B3076" t="s">
        <v>9</v>
      </c>
      <c r="C3076" t="s">
        <v>10</v>
      </c>
      <c r="D3076" t="s">
        <v>20</v>
      </c>
      <c r="E3076">
        <v>68.650000000000006</v>
      </c>
      <c r="F3076">
        <v>4</v>
      </c>
      <c r="G3076">
        <v>274.60000000000002</v>
      </c>
      <c r="H3076" t="s">
        <v>18</v>
      </c>
      <c r="I3076" t="str">
        <f t="shared" ref="I3076:I3139" si="145">IF(G3076&gt;5000,"High Value",
IF(G3076&gt;2000,"Medium Value","Low Value"))</f>
        <v>Low Value</v>
      </c>
      <c r="J3076" t="str">
        <f t="shared" ref="J3076:J3139" si="146">IF(F3076&lt;12,"High Risk",
IF(F3076&lt;24,"Medium Risk","Low Risk"))</f>
        <v>High Risk</v>
      </c>
      <c r="K3076" s="3" t="str">
        <f t="shared" si="144"/>
        <v>0-1 Year</v>
      </c>
    </row>
    <row r="3077" spans="1:11" x14ac:dyDescent="0.3">
      <c r="A3077" t="s">
        <v>3094</v>
      </c>
      <c r="B3077" t="s">
        <v>14</v>
      </c>
      <c r="C3077" t="s">
        <v>10</v>
      </c>
      <c r="D3077" t="s">
        <v>16</v>
      </c>
      <c r="E3077">
        <v>24.3</v>
      </c>
      <c r="F3077">
        <v>2</v>
      </c>
      <c r="G3077">
        <v>48.6</v>
      </c>
      <c r="H3077" t="s">
        <v>12</v>
      </c>
      <c r="I3077" t="str">
        <f t="shared" si="145"/>
        <v>Low Value</v>
      </c>
      <c r="J3077" t="str">
        <f t="shared" si="146"/>
        <v>High Risk</v>
      </c>
      <c r="K3077" s="3" t="str">
        <f t="shared" si="144"/>
        <v>0-1 Year</v>
      </c>
    </row>
    <row r="3078" spans="1:11" x14ac:dyDescent="0.3">
      <c r="A3078" t="s">
        <v>3095</v>
      </c>
      <c r="B3078" t="s">
        <v>14</v>
      </c>
      <c r="C3078" t="s">
        <v>10</v>
      </c>
      <c r="D3078" t="s">
        <v>11</v>
      </c>
      <c r="E3078">
        <v>77.849999999999994</v>
      </c>
      <c r="F3078">
        <v>4</v>
      </c>
      <c r="G3078">
        <v>311.39999999999998</v>
      </c>
      <c r="H3078" t="s">
        <v>18</v>
      </c>
      <c r="I3078" t="str">
        <f t="shared" si="145"/>
        <v>Low Value</v>
      </c>
      <c r="J3078" t="str">
        <f t="shared" si="146"/>
        <v>High Risk</v>
      </c>
      <c r="K3078" s="3" t="str">
        <f t="shared" si="144"/>
        <v>0-1 Year</v>
      </c>
    </row>
    <row r="3079" spans="1:11" x14ac:dyDescent="0.3">
      <c r="A3079" t="s">
        <v>3096</v>
      </c>
      <c r="B3079" t="s">
        <v>14</v>
      </c>
      <c r="C3079" t="s">
        <v>15</v>
      </c>
      <c r="D3079" t="s">
        <v>24</v>
      </c>
      <c r="E3079">
        <v>59.9</v>
      </c>
      <c r="F3079">
        <v>51</v>
      </c>
      <c r="G3079">
        <v>3054.9</v>
      </c>
      <c r="H3079" t="s">
        <v>12</v>
      </c>
      <c r="I3079" t="str">
        <f t="shared" si="145"/>
        <v>Medium Value</v>
      </c>
      <c r="J3079" t="str">
        <f t="shared" si="146"/>
        <v>Low Risk</v>
      </c>
      <c r="K3079" s="3" t="str">
        <f t="shared" si="144"/>
        <v>4+ Years</v>
      </c>
    </row>
    <row r="3080" spans="1:11" x14ac:dyDescent="0.3">
      <c r="A3080" t="s">
        <v>3097</v>
      </c>
      <c r="B3080" t="s">
        <v>14</v>
      </c>
      <c r="C3080" t="s">
        <v>15</v>
      </c>
      <c r="D3080" t="s">
        <v>24</v>
      </c>
      <c r="E3080">
        <v>23.95</v>
      </c>
      <c r="F3080">
        <v>60</v>
      </c>
      <c r="G3080">
        <v>1437</v>
      </c>
      <c r="H3080" t="s">
        <v>12</v>
      </c>
      <c r="I3080" t="str">
        <f t="shared" si="145"/>
        <v>Low Value</v>
      </c>
      <c r="J3080" t="str">
        <f t="shared" si="146"/>
        <v>Low Risk</v>
      </c>
      <c r="K3080" s="3" t="str">
        <f t="shared" si="144"/>
        <v>4+ Years</v>
      </c>
    </row>
    <row r="3081" spans="1:11" x14ac:dyDescent="0.3">
      <c r="A3081" t="s">
        <v>3098</v>
      </c>
      <c r="B3081" t="s">
        <v>14</v>
      </c>
      <c r="C3081" t="s">
        <v>15</v>
      </c>
      <c r="D3081" t="s">
        <v>16</v>
      </c>
      <c r="E3081">
        <v>20.149999999999999</v>
      </c>
      <c r="F3081">
        <v>9</v>
      </c>
      <c r="G3081">
        <v>181.35</v>
      </c>
      <c r="H3081" t="s">
        <v>12</v>
      </c>
      <c r="I3081" t="str">
        <f t="shared" si="145"/>
        <v>Low Value</v>
      </c>
      <c r="J3081" t="str">
        <f t="shared" si="146"/>
        <v>High Risk</v>
      </c>
      <c r="K3081" s="3" t="str">
        <f t="shared" si="144"/>
        <v>0-1 Year</v>
      </c>
    </row>
    <row r="3082" spans="1:11" x14ac:dyDescent="0.3">
      <c r="A3082" t="s">
        <v>3099</v>
      </c>
      <c r="B3082" t="s">
        <v>14</v>
      </c>
      <c r="C3082" t="s">
        <v>10</v>
      </c>
      <c r="D3082" t="s">
        <v>20</v>
      </c>
      <c r="E3082">
        <v>105.35</v>
      </c>
      <c r="F3082">
        <v>3</v>
      </c>
      <c r="G3082">
        <v>316.04999999999899</v>
      </c>
      <c r="H3082" t="s">
        <v>18</v>
      </c>
      <c r="I3082" t="str">
        <f t="shared" si="145"/>
        <v>Low Value</v>
      </c>
      <c r="J3082" t="str">
        <f t="shared" si="146"/>
        <v>High Risk</v>
      </c>
      <c r="K3082" s="3" t="str">
        <f t="shared" si="144"/>
        <v>0-1 Year</v>
      </c>
    </row>
    <row r="3083" spans="1:11" x14ac:dyDescent="0.3">
      <c r="A3083" t="s">
        <v>3100</v>
      </c>
      <c r="B3083" t="s">
        <v>14</v>
      </c>
      <c r="C3083" t="s">
        <v>10</v>
      </c>
      <c r="D3083" t="s">
        <v>20</v>
      </c>
      <c r="E3083">
        <v>95.65</v>
      </c>
      <c r="F3083">
        <v>17</v>
      </c>
      <c r="G3083">
        <v>1626.05</v>
      </c>
      <c r="H3083" t="s">
        <v>12</v>
      </c>
      <c r="I3083" t="str">
        <f t="shared" si="145"/>
        <v>Low Value</v>
      </c>
      <c r="J3083" t="str">
        <f t="shared" si="146"/>
        <v>Medium Risk</v>
      </c>
      <c r="K3083" s="3" t="str">
        <f t="shared" si="144"/>
        <v>1-2 Years</v>
      </c>
    </row>
    <row r="3084" spans="1:11" x14ac:dyDescent="0.3">
      <c r="A3084" t="s">
        <v>3101</v>
      </c>
      <c r="B3084" t="s">
        <v>9</v>
      </c>
      <c r="C3084" t="s">
        <v>10</v>
      </c>
      <c r="D3084" t="s">
        <v>11</v>
      </c>
      <c r="E3084">
        <v>87.05</v>
      </c>
      <c r="F3084">
        <v>8</v>
      </c>
      <c r="G3084">
        <v>696.4</v>
      </c>
      <c r="H3084" t="s">
        <v>18</v>
      </c>
      <c r="I3084" t="str">
        <f t="shared" si="145"/>
        <v>Low Value</v>
      </c>
      <c r="J3084" t="str">
        <f t="shared" si="146"/>
        <v>High Risk</v>
      </c>
      <c r="K3084" s="3" t="str">
        <f t="shared" si="144"/>
        <v>0-1 Year</v>
      </c>
    </row>
    <row r="3085" spans="1:11" x14ac:dyDescent="0.3">
      <c r="A3085" t="s">
        <v>3102</v>
      </c>
      <c r="B3085" t="s">
        <v>14</v>
      </c>
      <c r="C3085" t="s">
        <v>30</v>
      </c>
      <c r="D3085" t="s">
        <v>16</v>
      </c>
      <c r="E3085">
        <v>81</v>
      </c>
      <c r="F3085">
        <v>46</v>
      </c>
      <c r="G3085">
        <v>3726</v>
      </c>
      <c r="H3085" t="s">
        <v>12</v>
      </c>
      <c r="I3085" t="str">
        <f t="shared" si="145"/>
        <v>Medium Value</v>
      </c>
      <c r="J3085" t="str">
        <f t="shared" si="146"/>
        <v>Low Risk</v>
      </c>
      <c r="K3085" s="3" t="str">
        <f t="shared" si="144"/>
        <v>2-4 Years</v>
      </c>
    </row>
    <row r="3086" spans="1:11" x14ac:dyDescent="0.3">
      <c r="A3086" t="s">
        <v>3103</v>
      </c>
      <c r="B3086" t="s">
        <v>9</v>
      </c>
      <c r="C3086" t="s">
        <v>30</v>
      </c>
      <c r="D3086" t="s">
        <v>24</v>
      </c>
      <c r="E3086">
        <v>82.45</v>
      </c>
      <c r="F3086">
        <v>68</v>
      </c>
      <c r="G3086">
        <v>5606.6</v>
      </c>
      <c r="H3086" t="s">
        <v>12</v>
      </c>
      <c r="I3086" t="str">
        <f t="shared" si="145"/>
        <v>High Value</v>
      </c>
      <c r="J3086" t="str">
        <f t="shared" si="146"/>
        <v>Low Risk</v>
      </c>
      <c r="K3086" s="3" t="str">
        <f t="shared" si="144"/>
        <v>4+ Years</v>
      </c>
    </row>
    <row r="3087" spans="1:11" x14ac:dyDescent="0.3">
      <c r="A3087" t="s">
        <v>3104</v>
      </c>
      <c r="B3087" t="s">
        <v>14</v>
      </c>
      <c r="C3087" t="s">
        <v>10</v>
      </c>
      <c r="D3087" t="s">
        <v>16</v>
      </c>
      <c r="E3087">
        <v>53.5</v>
      </c>
      <c r="F3087">
        <v>1</v>
      </c>
      <c r="G3087">
        <v>53.5</v>
      </c>
      <c r="H3087" t="s">
        <v>18</v>
      </c>
      <c r="I3087" t="str">
        <f t="shared" si="145"/>
        <v>Low Value</v>
      </c>
      <c r="J3087" t="str">
        <f t="shared" si="146"/>
        <v>High Risk</v>
      </c>
      <c r="K3087" s="3" t="str">
        <f t="shared" si="144"/>
        <v>0-1 Year</v>
      </c>
    </row>
    <row r="3088" spans="1:11" x14ac:dyDescent="0.3">
      <c r="A3088" t="s">
        <v>3105</v>
      </c>
      <c r="B3088" t="s">
        <v>9</v>
      </c>
      <c r="C3088" t="s">
        <v>15</v>
      </c>
      <c r="D3088" t="s">
        <v>20</v>
      </c>
      <c r="E3088">
        <v>20.5</v>
      </c>
      <c r="F3088">
        <v>4</v>
      </c>
      <c r="G3088">
        <v>82</v>
      </c>
      <c r="H3088" t="s">
        <v>12</v>
      </c>
      <c r="I3088" t="str">
        <f t="shared" si="145"/>
        <v>Low Value</v>
      </c>
      <c r="J3088" t="str">
        <f t="shared" si="146"/>
        <v>High Risk</v>
      </c>
      <c r="K3088" s="3" t="str">
        <f t="shared" si="144"/>
        <v>0-1 Year</v>
      </c>
    </row>
    <row r="3089" spans="1:11" x14ac:dyDescent="0.3">
      <c r="A3089" t="s">
        <v>3106</v>
      </c>
      <c r="B3089" t="s">
        <v>9</v>
      </c>
      <c r="C3089" t="s">
        <v>10</v>
      </c>
      <c r="D3089" t="s">
        <v>16</v>
      </c>
      <c r="E3089">
        <v>25.1</v>
      </c>
      <c r="F3089">
        <v>1</v>
      </c>
      <c r="G3089">
        <v>25.1</v>
      </c>
      <c r="H3089" t="s">
        <v>18</v>
      </c>
      <c r="I3089" t="str">
        <f t="shared" si="145"/>
        <v>Low Value</v>
      </c>
      <c r="J3089" t="str">
        <f t="shared" si="146"/>
        <v>High Risk</v>
      </c>
      <c r="K3089" s="3" t="str">
        <f t="shared" si="144"/>
        <v>0-1 Year</v>
      </c>
    </row>
    <row r="3090" spans="1:11" x14ac:dyDescent="0.3">
      <c r="A3090" t="s">
        <v>3107</v>
      </c>
      <c r="B3090" t="s">
        <v>14</v>
      </c>
      <c r="C3090" t="s">
        <v>15</v>
      </c>
      <c r="D3090" t="s">
        <v>24</v>
      </c>
      <c r="E3090">
        <v>54.4</v>
      </c>
      <c r="F3090">
        <v>28</v>
      </c>
      <c r="G3090">
        <v>1523.2</v>
      </c>
      <c r="H3090" t="s">
        <v>12</v>
      </c>
      <c r="I3090" t="str">
        <f t="shared" si="145"/>
        <v>Low Value</v>
      </c>
      <c r="J3090" t="str">
        <f t="shared" si="146"/>
        <v>Low Risk</v>
      </c>
      <c r="K3090" s="3" t="str">
        <f t="shared" si="144"/>
        <v>2-4 Years</v>
      </c>
    </row>
    <row r="3091" spans="1:11" x14ac:dyDescent="0.3">
      <c r="A3091" t="s">
        <v>3108</v>
      </c>
      <c r="B3091" t="s">
        <v>9</v>
      </c>
      <c r="C3091" t="s">
        <v>15</v>
      </c>
      <c r="D3091" t="s">
        <v>24</v>
      </c>
      <c r="E3091">
        <v>58.6</v>
      </c>
      <c r="F3091">
        <v>39</v>
      </c>
      <c r="G3091">
        <v>2285.4</v>
      </c>
      <c r="H3091" t="s">
        <v>12</v>
      </c>
      <c r="I3091" t="str">
        <f t="shared" si="145"/>
        <v>Medium Value</v>
      </c>
      <c r="J3091" t="str">
        <f t="shared" si="146"/>
        <v>Low Risk</v>
      </c>
      <c r="K3091" s="3" t="str">
        <f t="shared" si="144"/>
        <v>2-4 Years</v>
      </c>
    </row>
    <row r="3092" spans="1:11" x14ac:dyDescent="0.3">
      <c r="A3092" t="s">
        <v>3109</v>
      </c>
      <c r="B3092" t="s">
        <v>14</v>
      </c>
      <c r="C3092" t="s">
        <v>10</v>
      </c>
      <c r="D3092" t="s">
        <v>11</v>
      </c>
      <c r="E3092">
        <v>84.8</v>
      </c>
      <c r="F3092">
        <v>11</v>
      </c>
      <c r="G3092">
        <v>932.8</v>
      </c>
      <c r="H3092" t="s">
        <v>12</v>
      </c>
      <c r="I3092" t="str">
        <f t="shared" si="145"/>
        <v>Low Value</v>
      </c>
      <c r="J3092" t="str">
        <f t="shared" si="146"/>
        <v>High Risk</v>
      </c>
      <c r="K3092" s="3" t="str">
        <f t="shared" si="144"/>
        <v>0-1 Year</v>
      </c>
    </row>
    <row r="3093" spans="1:11" x14ac:dyDescent="0.3">
      <c r="A3093" t="s">
        <v>3110</v>
      </c>
      <c r="B3093" t="s">
        <v>9</v>
      </c>
      <c r="C3093" t="s">
        <v>30</v>
      </c>
      <c r="D3093" t="s">
        <v>24</v>
      </c>
      <c r="E3093">
        <v>61.4</v>
      </c>
      <c r="F3093">
        <v>71</v>
      </c>
      <c r="G3093">
        <v>4359.3999999999996</v>
      </c>
      <c r="H3093" t="s">
        <v>12</v>
      </c>
      <c r="I3093" t="str">
        <f t="shared" si="145"/>
        <v>Medium Value</v>
      </c>
      <c r="J3093" t="str">
        <f t="shared" si="146"/>
        <v>Low Risk</v>
      </c>
      <c r="K3093" s="3" t="str">
        <f t="shared" si="144"/>
        <v>4+ Years</v>
      </c>
    </row>
    <row r="3094" spans="1:11" x14ac:dyDescent="0.3">
      <c r="A3094" t="s">
        <v>3111</v>
      </c>
      <c r="B3094" t="s">
        <v>14</v>
      </c>
      <c r="C3094" t="s">
        <v>10</v>
      </c>
      <c r="D3094" t="s">
        <v>16</v>
      </c>
      <c r="E3094">
        <v>20.399999999999999</v>
      </c>
      <c r="F3094">
        <v>2</v>
      </c>
      <c r="G3094">
        <v>40.799999999999997</v>
      </c>
      <c r="H3094" t="s">
        <v>12</v>
      </c>
      <c r="I3094" t="str">
        <f t="shared" si="145"/>
        <v>Low Value</v>
      </c>
      <c r="J3094" t="str">
        <f t="shared" si="146"/>
        <v>High Risk</v>
      </c>
      <c r="K3094" s="3" t="str">
        <f t="shared" si="144"/>
        <v>0-1 Year</v>
      </c>
    </row>
    <row r="3095" spans="1:11" x14ac:dyDescent="0.3">
      <c r="A3095" t="s">
        <v>3112</v>
      </c>
      <c r="B3095" t="s">
        <v>14</v>
      </c>
      <c r="C3095" t="s">
        <v>10</v>
      </c>
      <c r="D3095" t="s">
        <v>16</v>
      </c>
      <c r="E3095">
        <v>79.650000000000006</v>
      </c>
      <c r="F3095">
        <v>30</v>
      </c>
      <c r="G3095">
        <v>2389.5</v>
      </c>
      <c r="H3095" t="s">
        <v>18</v>
      </c>
      <c r="I3095" t="str">
        <f t="shared" si="145"/>
        <v>Medium Value</v>
      </c>
      <c r="J3095" t="str">
        <f t="shared" si="146"/>
        <v>Low Risk</v>
      </c>
      <c r="K3095" s="3" t="str">
        <f t="shared" si="144"/>
        <v>2-4 Years</v>
      </c>
    </row>
    <row r="3096" spans="1:11" x14ac:dyDescent="0.3">
      <c r="A3096" t="s">
        <v>3113</v>
      </c>
      <c r="B3096" t="s">
        <v>9</v>
      </c>
      <c r="C3096" t="s">
        <v>15</v>
      </c>
      <c r="D3096" t="s">
        <v>16</v>
      </c>
      <c r="E3096">
        <v>20.149999999999999</v>
      </c>
      <c r="F3096">
        <v>17</v>
      </c>
      <c r="G3096">
        <v>342.54999999999899</v>
      </c>
      <c r="H3096" t="s">
        <v>12</v>
      </c>
      <c r="I3096" t="str">
        <f t="shared" si="145"/>
        <v>Low Value</v>
      </c>
      <c r="J3096" t="str">
        <f t="shared" si="146"/>
        <v>Medium Risk</v>
      </c>
      <c r="K3096" s="3" t="str">
        <f t="shared" si="144"/>
        <v>1-2 Years</v>
      </c>
    </row>
    <row r="3097" spans="1:11" x14ac:dyDescent="0.3">
      <c r="A3097" t="s">
        <v>3114</v>
      </c>
      <c r="B3097" t="s">
        <v>9</v>
      </c>
      <c r="C3097" t="s">
        <v>10</v>
      </c>
      <c r="D3097" t="s">
        <v>24</v>
      </c>
      <c r="E3097">
        <v>94.45</v>
      </c>
      <c r="F3097">
        <v>55</v>
      </c>
      <c r="G3097">
        <v>5194.75</v>
      </c>
      <c r="H3097" t="s">
        <v>12</v>
      </c>
      <c r="I3097" t="str">
        <f t="shared" si="145"/>
        <v>High Value</v>
      </c>
      <c r="J3097" t="str">
        <f t="shared" si="146"/>
        <v>Low Risk</v>
      </c>
      <c r="K3097" s="3" t="str">
        <f t="shared" si="144"/>
        <v>4+ Years</v>
      </c>
    </row>
    <row r="3098" spans="1:11" x14ac:dyDescent="0.3">
      <c r="A3098" t="s">
        <v>3115</v>
      </c>
      <c r="B3098" t="s">
        <v>9</v>
      </c>
      <c r="C3098" t="s">
        <v>10</v>
      </c>
      <c r="D3098" t="s">
        <v>20</v>
      </c>
      <c r="E3098">
        <v>79.8</v>
      </c>
      <c r="F3098">
        <v>58</v>
      </c>
      <c r="G3098">
        <v>4628.3999999999996</v>
      </c>
      <c r="H3098" t="s">
        <v>12</v>
      </c>
      <c r="I3098" t="str">
        <f t="shared" si="145"/>
        <v>Medium Value</v>
      </c>
      <c r="J3098" t="str">
        <f t="shared" si="146"/>
        <v>Low Risk</v>
      </c>
      <c r="K3098" s="3" t="str">
        <f t="shared" si="144"/>
        <v>4+ Years</v>
      </c>
    </row>
    <row r="3099" spans="1:11" x14ac:dyDescent="0.3">
      <c r="A3099" t="s">
        <v>3116</v>
      </c>
      <c r="B3099" t="s">
        <v>9</v>
      </c>
      <c r="C3099" t="s">
        <v>10</v>
      </c>
      <c r="D3099" t="s">
        <v>11</v>
      </c>
      <c r="E3099">
        <v>54.2</v>
      </c>
      <c r="F3099">
        <v>5</v>
      </c>
      <c r="G3099">
        <v>271</v>
      </c>
      <c r="H3099" t="s">
        <v>18</v>
      </c>
      <c r="I3099" t="str">
        <f t="shared" si="145"/>
        <v>Low Value</v>
      </c>
      <c r="J3099" t="str">
        <f t="shared" si="146"/>
        <v>High Risk</v>
      </c>
      <c r="K3099" s="3" t="str">
        <f t="shared" si="144"/>
        <v>0-1 Year</v>
      </c>
    </row>
    <row r="3100" spans="1:11" x14ac:dyDescent="0.3">
      <c r="A3100" t="s">
        <v>3117</v>
      </c>
      <c r="B3100" t="s">
        <v>9</v>
      </c>
      <c r="C3100" t="s">
        <v>10</v>
      </c>
      <c r="D3100" t="s">
        <v>11</v>
      </c>
      <c r="E3100">
        <v>19.45</v>
      </c>
      <c r="F3100">
        <v>1</v>
      </c>
      <c r="G3100">
        <v>19.45</v>
      </c>
      <c r="H3100" t="s">
        <v>18</v>
      </c>
      <c r="I3100" t="str">
        <f t="shared" si="145"/>
        <v>Low Value</v>
      </c>
      <c r="J3100" t="str">
        <f t="shared" si="146"/>
        <v>High Risk</v>
      </c>
      <c r="K3100" s="3" t="str">
        <f t="shared" si="144"/>
        <v>0-1 Year</v>
      </c>
    </row>
    <row r="3101" spans="1:11" x14ac:dyDescent="0.3">
      <c r="A3101" t="s">
        <v>3118</v>
      </c>
      <c r="B3101" t="s">
        <v>14</v>
      </c>
      <c r="C3101" t="s">
        <v>10</v>
      </c>
      <c r="D3101" t="s">
        <v>11</v>
      </c>
      <c r="E3101">
        <v>74.05</v>
      </c>
      <c r="F3101">
        <v>9</v>
      </c>
      <c r="G3101">
        <v>666.44999999999902</v>
      </c>
      <c r="H3101" t="s">
        <v>12</v>
      </c>
      <c r="I3101" t="str">
        <f t="shared" si="145"/>
        <v>Low Value</v>
      </c>
      <c r="J3101" t="str">
        <f t="shared" si="146"/>
        <v>High Risk</v>
      </c>
      <c r="K3101" s="3" t="str">
        <f t="shared" si="144"/>
        <v>0-1 Year</v>
      </c>
    </row>
    <row r="3102" spans="1:11" x14ac:dyDescent="0.3">
      <c r="A3102" t="s">
        <v>3119</v>
      </c>
      <c r="B3102" t="s">
        <v>14</v>
      </c>
      <c r="C3102" t="s">
        <v>10</v>
      </c>
      <c r="D3102" t="s">
        <v>20</v>
      </c>
      <c r="E3102">
        <v>49.15</v>
      </c>
      <c r="F3102">
        <v>26</v>
      </c>
      <c r="G3102">
        <v>1277.8999999999901</v>
      </c>
      <c r="H3102" t="s">
        <v>12</v>
      </c>
      <c r="I3102" t="str">
        <f t="shared" si="145"/>
        <v>Low Value</v>
      </c>
      <c r="J3102" t="str">
        <f t="shared" si="146"/>
        <v>Low Risk</v>
      </c>
      <c r="K3102" s="3" t="str">
        <f t="shared" si="144"/>
        <v>2-4 Years</v>
      </c>
    </row>
    <row r="3103" spans="1:11" x14ac:dyDescent="0.3">
      <c r="A3103" t="s">
        <v>3120</v>
      </c>
      <c r="B3103" t="s">
        <v>9</v>
      </c>
      <c r="C3103" t="s">
        <v>30</v>
      </c>
      <c r="D3103" t="s">
        <v>24</v>
      </c>
      <c r="E3103">
        <v>19.399999999999999</v>
      </c>
      <c r="F3103">
        <v>50</v>
      </c>
      <c r="G3103">
        <v>969.99999999999898</v>
      </c>
      <c r="H3103" t="s">
        <v>12</v>
      </c>
      <c r="I3103" t="str">
        <f t="shared" si="145"/>
        <v>Low Value</v>
      </c>
      <c r="J3103" t="str">
        <f t="shared" si="146"/>
        <v>Low Risk</v>
      </c>
      <c r="K3103" s="3" t="str">
        <f t="shared" si="144"/>
        <v>4+ Years</v>
      </c>
    </row>
    <row r="3104" spans="1:11" x14ac:dyDescent="0.3">
      <c r="A3104" t="s">
        <v>3121</v>
      </c>
      <c r="B3104" t="s">
        <v>9</v>
      </c>
      <c r="C3104" t="s">
        <v>30</v>
      </c>
      <c r="D3104" t="s">
        <v>20</v>
      </c>
      <c r="E3104">
        <v>113.65</v>
      </c>
      <c r="F3104">
        <v>72</v>
      </c>
      <c r="G3104">
        <v>8182.8</v>
      </c>
      <c r="H3104" t="s">
        <v>12</v>
      </c>
      <c r="I3104" t="str">
        <f t="shared" si="145"/>
        <v>High Value</v>
      </c>
      <c r="J3104" t="str">
        <f t="shared" si="146"/>
        <v>Low Risk</v>
      </c>
      <c r="K3104" s="3" t="str">
        <f t="shared" si="144"/>
        <v>4+ Years</v>
      </c>
    </row>
    <row r="3105" spans="1:11" x14ac:dyDescent="0.3">
      <c r="A3105" t="s">
        <v>3122</v>
      </c>
      <c r="B3105" t="s">
        <v>9</v>
      </c>
      <c r="C3105" t="s">
        <v>15</v>
      </c>
      <c r="D3105" t="s">
        <v>24</v>
      </c>
      <c r="E3105">
        <v>106</v>
      </c>
      <c r="F3105">
        <v>43</v>
      </c>
      <c r="G3105">
        <v>4558</v>
      </c>
      <c r="H3105" t="s">
        <v>12</v>
      </c>
      <c r="I3105" t="str">
        <f t="shared" si="145"/>
        <v>Medium Value</v>
      </c>
      <c r="J3105" t="str">
        <f t="shared" si="146"/>
        <v>Low Risk</v>
      </c>
      <c r="K3105" s="3" t="str">
        <f t="shared" si="144"/>
        <v>2-4 Years</v>
      </c>
    </row>
    <row r="3106" spans="1:11" x14ac:dyDescent="0.3">
      <c r="A3106" t="s">
        <v>3123</v>
      </c>
      <c r="B3106" t="s">
        <v>14</v>
      </c>
      <c r="C3106" t="s">
        <v>30</v>
      </c>
      <c r="D3106" t="s">
        <v>20</v>
      </c>
      <c r="E3106">
        <v>25.95</v>
      </c>
      <c r="F3106">
        <v>56</v>
      </c>
      <c r="G3106">
        <v>1453.2</v>
      </c>
      <c r="H3106" t="s">
        <v>12</v>
      </c>
      <c r="I3106" t="str">
        <f t="shared" si="145"/>
        <v>Low Value</v>
      </c>
      <c r="J3106" t="str">
        <f t="shared" si="146"/>
        <v>Low Risk</v>
      </c>
      <c r="K3106" s="3" t="str">
        <f t="shared" si="144"/>
        <v>4+ Years</v>
      </c>
    </row>
    <row r="3107" spans="1:11" x14ac:dyDescent="0.3">
      <c r="A3107" t="s">
        <v>3124</v>
      </c>
      <c r="B3107" t="s">
        <v>9</v>
      </c>
      <c r="C3107" t="s">
        <v>10</v>
      </c>
      <c r="D3107" t="s">
        <v>16</v>
      </c>
      <c r="E3107">
        <v>19.100000000000001</v>
      </c>
      <c r="F3107">
        <v>1</v>
      </c>
      <c r="G3107">
        <v>19.100000000000001</v>
      </c>
      <c r="H3107" t="s">
        <v>12</v>
      </c>
      <c r="I3107" t="str">
        <f t="shared" si="145"/>
        <v>Low Value</v>
      </c>
      <c r="J3107" t="str">
        <f t="shared" si="146"/>
        <v>High Risk</v>
      </c>
      <c r="K3107" s="3" t="str">
        <f t="shared" si="144"/>
        <v>0-1 Year</v>
      </c>
    </row>
    <row r="3108" spans="1:11" x14ac:dyDescent="0.3">
      <c r="A3108" t="s">
        <v>3125</v>
      </c>
      <c r="B3108" t="s">
        <v>14</v>
      </c>
      <c r="C3108" t="s">
        <v>30</v>
      </c>
      <c r="D3108" t="s">
        <v>11</v>
      </c>
      <c r="E3108">
        <v>103.4</v>
      </c>
      <c r="F3108">
        <v>72</v>
      </c>
      <c r="G3108">
        <v>7444.8</v>
      </c>
      <c r="H3108" t="s">
        <v>18</v>
      </c>
      <c r="I3108" t="str">
        <f t="shared" si="145"/>
        <v>High Value</v>
      </c>
      <c r="J3108" t="str">
        <f t="shared" si="146"/>
        <v>Low Risk</v>
      </c>
      <c r="K3108" s="3" t="str">
        <f t="shared" si="144"/>
        <v>4+ Years</v>
      </c>
    </row>
    <row r="3109" spans="1:11" x14ac:dyDescent="0.3">
      <c r="A3109" t="s">
        <v>3126</v>
      </c>
      <c r="B3109" t="s">
        <v>14</v>
      </c>
      <c r="C3109" t="s">
        <v>30</v>
      </c>
      <c r="D3109" t="s">
        <v>20</v>
      </c>
      <c r="E3109">
        <v>100.55</v>
      </c>
      <c r="F3109">
        <v>72</v>
      </c>
      <c r="G3109">
        <v>7239.5999999999904</v>
      </c>
      <c r="H3109" t="s">
        <v>12</v>
      </c>
      <c r="I3109" t="str">
        <f t="shared" si="145"/>
        <v>High Value</v>
      </c>
      <c r="J3109" t="str">
        <f t="shared" si="146"/>
        <v>Low Risk</v>
      </c>
      <c r="K3109" s="3" t="str">
        <f t="shared" si="144"/>
        <v>4+ Years</v>
      </c>
    </row>
    <row r="3110" spans="1:11" x14ac:dyDescent="0.3">
      <c r="A3110" t="s">
        <v>3127</v>
      </c>
      <c r="B3110" t="s">
        <v>14</v>
      </c>
      <c r="C3110" t="s">
        <v>10</v>
      </c>
      <c r="D3110" t="s">
        <v>11</v>
      </c>
      <c r="E3110">
        <v>95.4</v>
      </c>
      <c r="F3110">
        <v>36</v>
      </c>
      <c r="G3110">
        <v>3434.4</v>
      </c>
      <c r="H3110" t="s">
        <v>12</v>
      </c>
      <c r="I3110" t="str">
        <f t="shared" si="145"/>
        <v>Medium Value</v>
      </c>
      <c r="J3110" t="str">
        <f t="shared" si="146"/>
        <v>Low Risk</v>
      </c>
      <c r="K3110" s="3" t="str">
        <f t="shared" si="144"/>
        <v>2-4 Years</v>
      </c>
    </row>
    <row r="3111" spans="1:11" x14ac:dyDescent="0.3">
      <c r="A3111" t="s">
        <v>3128</v>
      </c>
      <c r="B3111" t="s">
        <v>14</v>
      </c>
      <c r="C3111" t="s">
        <v>10</v>
      </c>
      <c r="D3111" t="s">
        <v>20</v>
      </c>
      <c r="E3111">
        <v>75.150000000000006</v>
      </c>
      <c r="F3111">
        <v>5</v>
      </c>
      <c r="G3111">
        <v>375.75</v>
      </c>
      <c r="H3111" t="s">
        <v>12</v>
      </c>
      <c r="I3111" t="str">
        <f t="shared" si="145"/>
        <v>Low Value</v>
      </c>
      <c r="J3111" t="str">
        <f t="shared" si="146"/>
        <v>High Risk</v>
      </c>
      <c r="K3111" s="3" t="str">
        <f t="shared" si="144"/>
        <v>0-1 Year</v>
      </c>
    </row>
    <row r="3112" spans="1:11" x14ac:dyDescent="0.3">
      <c r="A3112" t="s">
        <v>3129</v>
      </c>
      <c r="B3112" t="s">
        <v>9</v>
      </c>
      <c r="C3112" t="s">
        <v>10</v>
      </c>
      <c r="D3112" t="s">
        <v>11</v>
      </c>
      <c r="E3112">
        <v>84.45</v>
      </c>
      <c r="F3112">
        <v>13</v>
      </c>
      <c r="G3112">
        <v>1097.8499999999999</v>
      </c>
      <c r="H3112" t="s">
        <v>18</v>
      </c>
      <c r="I3112" t="str">
        <f t="shared" si="145"/>
        <v>Low Value</v>
      </c>
      <c r="J3112" t="str">
        <f t="shared" si="146"/>
        <v>Medium Risk</v>
      </c>
      <c r="K3112" s="3" t="str">
        <f t="shared" si="144"/>
        <v>1-2 Years</v>
      </c>
    </row>
    <row r="3113" spans="1:11" x14ac:dyDescent="0.3">
      <c r="A3113" t="s">
        <v>3130</v>
      </c>
      <c r="B3113" t="s">
        <v>9</v>
      </c>
      <c r="C3113" t="s">
        <v>15</v>
      </c>
      <c r="D3113" t="s">
        <v>24</v>
      </c>
      <c r="E3113">
        <v>89.15</v>
      </c>
      <c r="F3113">
        <v>44</v>
      </c>
      <c r="G3113">
        <v>3922.6</v>
      </c>
      <c r="H3113" t="s">
        <v>12</v>
      </c>
      <c r="I3113" t="str">
        <f t="shared" si="145"/>
        <v>Medium Value</v>
      </c>
      <c r="J3113" t="str">
        <f t="shared" si="146"/>
        <v>Low Risk</v>
      </c>
      <c r="K3113" s="3" t="str">
        <f t="shared" si="144"/>
        <v>2-4 Years</v>
      </c>
    </row>
    <row r="3114" spans="1:11" x14ac:dyDescent="0.3">
      <c r="A3114" t="s">
        <v>3131</v>
      </c>
      <c r="B3114" t="s">
        <v>9</v>
      </c>
      <c r="C3114" t="s">
        <v>15</v>
      </c>
      <c r="D3114" t="s">
        <v>11</v>
      </c>
      <c r="E3114">
        <v>107.9</v>
      </c>
      <c r="F3114">
        <v>70</v>
      </c>
      <c r="G3114">
        <v>7553</v>
      </c>
      <c r="H3114" t="s">
        <v>12</v>
      </c>
      <c r="I3114" t="str">
        <f t="shared" si="145"/>
        <v>High Value</v>
      </c>
      <c r="J3114" t="str">
        <f t="shared" si="146"/>
        <v>Low Risk</v>
      </c>
      <c r="K3114" s="3" t="str">
        <f t="shared" si="144"/>
        <v>4+ Years</v>
      </c>
    </row>
    <row r="3115" spans="1:11" x14ac:dyDescent="0.3">
      <c r="A3115" t="s">
        <v>3132</v>
      </c>
      <c r="B3115" t="s">
        <v>14</v>
      </c>
      <c r="C3115" t="s">
        <v>15</v>
      </c>
      <c r="D3115" t="s">
        <v>24</v>
      </c>
      <c r="E3115">
        <v>19.5</v>
      </c>
      <c r="F3115">
        <v>44</v>
      </c>
      <c r="G3115">
        <v>858</v>
      </c>
      <c r="H3115" t="s">
        <v>12</v>
      </c>
      <c r="I3115" t="str">
        <f t="shared" si="145"/>
        <v>Low Value</v>
      </c>
      <c r="J3115" t="str">
        <f t="shared" si="146"/>
        <v>Low Risk</v>
      </c>
      <c r="K3115" s="3" t="str">
        <f t="shared" si="144"/>
        <v>2-4 Years</v>
      </c>
    </row>
    <row r="3116" spans="1:11" x14ac:dyDescent="0.3">
      <c r="A3116" t="s">
        <v>3133</v>
      </c>
      <c r="B3116" t="s">
        <v>9</v>
      </c>
      <c r="C3116" t="s">
        <v>10</v>
      </c>
      <c r="D3116" t="s">
        <v>24</v>
      </c>
      <c r="E3116">
        <v>85.95</v>
      </c>
      <c r="F3116">
        <v>32</v>
      </c>
      <c r="G3116">
        <v>2750.4</v>
      </c>
      <c r="H3116" t="s">
        <v>18</v>
      </c>
      <c r="I3116" t="str">
        <f t="shared" si="145"/>
        <v>Medium Value</v>
      </c>
      <c r="J3116" t="str">
        <f t="shared" si="146"/>
        <v>Low Risk</v>
      </c>
      <c r="K3116" s="3" t="str">
        <f t="shared" si="144"/>
        <v>2-4 Years</v>
      </c>
    </row>
    <row r="3117" spans="1:11" x14ac:dyDescent="0.3">
      <c r="A3117" t="s">
        <v>3134</v>
      </c>
      <c r="B3117" t="s">
        <v>9</v>
      </c>
      <c r="C3117" t="s">
        <v>30</v>
      </c>
      <c r="D3117" t="s">
        <v>24</v>
      </c>
      <c r="E3117">
        <v>24.95</v>
      </c>
      <c r="F3117">
        <v>69</v>
      </c>
      <c r="G3117">
        <v>1721.55</v>
      </c>
      <c r="H3117" t="s">
        <v>12</v>
      </c>
      <c r="I3117" t="str">
        <f t="shared" si="145"/>
        <v>Low Value</v>
      </c>
      <c r="J3117" t="str">
        <f t="shared" si="146"/>
        <v>Low Risk</v>
      </c>
      <c r="K3117" s="3" t="str">
        <f t="shared" si="144"/>
        <v>4+ Years</v>
      </c>
    </row>
    <row r="3118" spans="1:11" x14ac:dyDescent="0.3">
      <c r="A3118" t="s">
        <v>3135</v>
      </c>
      <c r="B3118" t="s">
        <v>9</v>
      </c>
      <c r="C3118" t="s">
        <v>10</v>
      </c>
      <c r="D3118" t="s">
        <v>11</v>
      </c>
      <c r="E3118">
        <v>59.4</v>
      </c>
      <c r="F3118">
        <v>16</v>
      </c>
      <c r="G3118">
        <v>950.4</v>
      </c>
      <c r="H3118" t="s">
        <v>18</v>
      </c>
      <c r="I3118" t="str">
        <f t="shared" si="145"/>
        <v>Low Value</v>
      </c>
      <c r="J3118" t="str">
        <f t="shared" si="146"/>
        <v>Medium Risk</v>
      </c>
      <c r="K3118" s="3" t="str">
        <f t="shared" si="144"/>
        <v>1-2 Years</v>
      </c>
    </row>
    <row r="3119" spans="1:11" x14ac:dyDescent="0.3">
      <c r="A3119" t="s">
        <v>3136</v>
      </c>
      <c r="B3119" t="s">
        <v>14</v>
      </c>
      <c r="C3119" t="s">
        <v>15</v>
      </c>
      <c r="D3119" t="s">
        <v>20</v>
      </c>
      <c r="E3119">
        <v>19.5</v>
      </c>
      <c r="F3119">
        <v>68</v>
      </c>
      <c r="G3119">
        <v>1326</v>
      </c>
      <c r="H3119" t="s">
        <v>12</v>
      </c>
      <c r="I3119" t="str">
        <f t="shared" si="145"/>
        <v>Low Value</v>
      </c>
      <c r="J3119" t="str">
        <f t="shared" si="146"/>
        <v>Low Risk</v>
      </c>
      <c r="K3119" s="3" t="str">
        <f t="shared" si="144"/>
        <v>4+ Years</v>
      </c>
    </row>
    <row r="3120" spans="1:11" x14ac:dyDescent="0.3">
      <c r="A3120" t="s">
        <v>3137</v>
      </c>
      <c r="B3120" t="s">
        <v>14</v>
      </c>
      <c r="C3120" t="s">
        <v>10</v>
      </c>
      <c r="D3120" t="s">
        <v>24</v>
      </c>
      <c r="E3120">
        <v>69.95</v>
      </c>
      <c r="F3120">
        <v>16</v>
      </c>
      <c r="G3120">
        <v>1119.2</v>
      </c>
      <c r="H3120" t="s">
        <v>12</v>
      </c>
      <c r="I3120" t="str">
        <f t="shared" si="145"/>
        <v>Low Value</v>
      </c>
      <c r="J3120" t="str">
        <f t="shared" si="146"/>
        <v>Medium Risk</v>
      </c>
      <c r="K3120" s="3" t="str">
        <f t="shared" si="144"/>
        <v>1-2 Years</v>
      </c>
    </row>
    <row r="3121" spans="1:11" x14ac:dyDescent="0.3">
      <c r="A3121" t="s">
        <v>3138</v>
      </c>
      <c r="B3121" t="s">
        <v>14</v>
      </c>
      <c r="C3121" t="s">
        <v>30</v>
      </c>
      <c r="D3121" t="s">
        <v>20</v>
      </c>
      <c r="E3121">
        <v>82.85</v>
      </c>
      <c r="F3121">
        <v>68</v>
      </c>
      <c r="G3121">
        <v>5633.7999999999902</v>
      </c>
      <c r="H3121" t="s">
        <v>12</v>
      </c>
      <c r="I3121" t="str">
        <f t="shared" si="145"/>
        <v>High Value</v>
      </c>
      <c r="J3121" t="str">
        <f t="shared" si="146"/>
        <v>Low Risk</v>
      </c>
      <c r="K3121" s="3" t="str">
        <f t="shared" si="144"/>
        <v>4+ Years</v>
      </c>
    </row>
    <row r="3122" spans="1:11" x14ac:dyDescent="0.3">
      <c r="A3122" t="s">
        <v>3139</v>
      </c>
      <c r="B3122" t="s">
        <v>14</v>
      </c>
      <c r="C3122" t="s">
        <v>10</v>
      </c>
      <c r="D3122" t="s">
        <v>16</v>
      </c>
      <c r="E3122">
        <v>19</v>
      </c>
      <c r="F3122">
        <v>4</v>
      </c>
      <c r="G3122">
        <v>76</v>
      </c>
      <c r="H3122" t="s">
        <v>12</v>
      </c>
      <c r="I3122" t="str">
        <f t="shared" si="145"/>
        <v>Low Value</v>
      </c>
      <c r="J3122" t="str">
        <f t="shared" si="146"/>
        <v>High Risk</v>
      </c>
      <c r="K3122" s="3" t="str">
        <f t="shared" si="144"/>
        <v>0-1 Year</v>
      </c>
    </row>
    <row r="3123" spans="1:11" x14ac:dyDescent="0.3">
      <c r="A3123" t="s">
        <v>3140</v>
      </c>
      <c r="B3123" t="s">
        <v>9</v>
      </c>
      <c r="C3123" t="s">
        <v>10</v>
      </c>
      <c r="D3123" t="s">
        <v>24</v>
      </c>
      <c r="E3123">
        <v>38.85</v>
      </c>
      <c r="F3123">
        <v>26</v>
      </c>
      <c r="G3123">
        <v>1010.1</v>
      </c>
      <c r="H3123" t="s">
        <v>12</v>
      </c>
      <c r="I3123" t="str">
        <f t="shared" si="145"/>
        <v>Low Value</v>
      </c>
      <c r="J3123" t="str">
        <f t="shared" si="146"/>
        <v>Low Risk</v>
      </c>
      <c r="K3123" s="3" t="str">
        <f t="shared" si="144"/>
        <v>2-4 Years</v>
      </c>
    </row>
    <row r="3124" spans="1:11" x14ac:dyDescent="0.3">
      <c r="A3124" t="s">
        <v>3141</v>
      </c>
      <c r="B3124" t="s">
        <v>9</v>
      </c>
      <c r="C3124" t="s">
        <v>10</v>
      </c>
      <c r="D3124" t="s">
        <v>11</v>
      </c>
      <c r="E3124">
        <v>30.6</v>
      </c>
      <c r="F3124">
        <v>29</v>
      </c>
      <c r="G3124">
        <v>887.4</v>
      </c>
      <c r="H3124" t="s">
        <v>18</v>
      </c>
      <c r="I3124" t="str">
        <f t="shared" si="145"/>
        <v>Low Value</v>
      </c>
      <c r="J3124" t="str">
        <f t="shared" si="146"/>
        <v>Low Risk</v>
      </c>
      <c r="K3124" s="3" t="str">
        <f t="shared" si="144"/>
        <v>2-4 Years</v>
      </c>
    </row>
    <row r="3125" spans="1:11" x14ac:dyDescent="0.3">
      <c r="A3125" t="s">
        <v>3142</v>
      </c>
      <c r="B3125" t="s">
        <v>14</v>
      </c>
      <c r="C3125" t="s">
        <v>10</v>
      </c>
      <c r="D3125" t="s">
        <v>24</v>
      </c>
      <c r="E3125">
        <v>20.350000000000001</v>
      </c>
      <c r="F3125">
        <v>5</v>
      </c>
      <c r="G3125">
        <v>101.75</v>
      </c>
      <c r="H3125" t="s">
        <v>12</v>
      </c>
      <c r="I3125" t="str">
        <f t="shared" si="145"/>
        <v>Low Value</v>
      </c>
      <c r="J3125" t="str">
        <f t="shared" si="146"/>
        <v>High Risk</v>
      </c>
      <c r="K3125" s="3" t="str">
        <f t="shared" si="144"/>
        <v>0-1 Year</v>
      </c>
    </row>
    <row r="3126" spans="1:11" x14ac:dyDescent="0.3">
      <c r="A3126" t="s">
        <v>3143</v>
      </c>
      <c r="B3126" t="s">
        <v>14</v>
      </c>
      <c r="C3126" t="s">
        <v>15</v>
      </c>
      <c r="D3126" t="s">
        <v>20</v>
      </c>
      <c r="E3126">
        <v>95</v>
      </c>
      <c r="F3126">
        <v>70</v>
      </c>
      <c r="G3126">
        <v>6650</v>
      </c>
      <c r="H3126" t="s">
        <v>12</v>
      </c>
      <c r="I3126" t="str">
        <f t="shared" si="145"/>
        <v>High Value</v>
      </c>
      <c r="J3126" t="str">
        <f t="shared" si="146"/>
        <v>Low Risk</v>
      </c>
      <c r="K3126" s="3" t="str">
        <f t="shared" si="144"/>
        <v>4+ Years</v>
      </c>
    </row>
    <row r="3127" spans="1:11" x14ac:dyDescent="0.3">
      <c r="A3127" t="s">
        <v>3144</v>
      </c>
      <c r="B3127" t="s">
        <v>14</v>
      </c>
      <c r="C3127" t="s">
        <v>15</v>
      </c>
      <c r="D3127" t="s">
        <v>20</v>
      </c>
      <c r="E3127">
        <v>74.400000000000006</v>
      </c>
      <c r="F3127">
        <v>24</v>
      </c>
      <c r="G3127">
        <v>1785.6</v>
      </c>
      <c r="H3127" t="s">
        <v>12</v>
      </c>
      <c r="I3127" t="str">
        <f t="shared" si="145"/>
        <v>Low Value</v>
      </c>
      <c r="J3127" t="str">
        <f t="shared" si="146"/>
        <v>Low Risk</v>
      </c>
      <c r="K3127" s="3" t="str">
        <f t="shared" si="144"/>
        <v>1-2 Years</v>
      </c>
    </row>
    <row r="3128" spans="1:11" x14ac:dyDescent="0.3">
      <c r="A3128" t="s">
        <v>3145</v>
      </c>
      <c r="B3128" t="s">
        <v>9</v>
      </c>
      <c r="C3128" t="s">
        <v>30</v>
      </c>
      <c r="D3128" t="s">
        <v>20</v>
      </c>
      <c r="E3128">
        <v>78.45</v>
      </c>
      <c r="F3128">
        <v>72</v>
      </c>
      <c r="G3128">
        <v>5648.4</v>
      </c>
      <c r="H3128" t="s">
        <v>12</v>
      </c>
      <c r="I3128" t="str">
        <f t="shared" si="145"/>
        <v>High Value</v>
      </c>
      <c r="J3128" t="str">
        <f t="shared" si="146"/>
        <v>Low Risk</v>
      </c>
      <c r="K3128" s="3" t="str">
        <f t="shared" si="144"/>
        <v>4+ Years</v>
      </c>
    </row>
    <row r="3129" spans="1:11" x14ac:dyDescent="0.3">
      <c r="A3129" t="s">
        <v>3146</v>
      </c>
      <c r="B3129" t="s">
        <v>14</v>
      </c>
      <c r="C3129" t="s">
        <v>10</v>
      </c>
      <c r="D3129" t="s">
        <v>16</v>
      </c>
      <c r="E3129">
        <v>74.3</v>
      </c>
      <c r="F3129">
        <v>1</v>
      </c>
      <c r="G3129">
        <v>74.3</v>
      </c>
      <c r="H3129" t="s">
        <v>12</v>
      </c>
      <c r="I3129" t="str">
        <f t="shared" si="145"/>
        <v>Low Value</v>
      </c>
      <c r="J3129" t="str">
        <f t="shared" si="146"/>
        <v>High Risk</v>
      </c>
      <c r="K3129" s="3" t="str">
        <f t="shared" si="144"/>
        <v>0-1 Year</v>
      </c>
    </row>
    <row r="3130" spans="1:11" x14ac:dyDescent="0.3">
      <c r="A3130" t="s">
        <v>3147</v>
      </c>
      <c r="B3130" t="s">
        <v>14</v>
      </c>
      <c r="C3130" t="s">
        <v>15</v>
      </c>
      <c r="D3130" t="s">
        <v>20</v>
      </c>
      <c r="E3130">
        <v>51.05</v>
      </c>
      <c r="F3130">
        <v>70</v>
      </c>
      <c r="G3130">
        <v>3573.5</v>
      </c>
      <c r="H3130" t="s">
        <v>12</v>
      </c>
      <c r="I3130" t="str">
        <f t="shared" si="145"/>
        <v>Medium Value</v>
      </c>
      <c r="J3130" t="str">
        <f t="shared" si="146"/>
        <v>Low Risk</v>
      </c>
      <c r="K3130" s="3" t="str">
        <f t="shared" si="144"/>
        <v>4+ Years</v>
      </c>
    </row>
    <row r="3131" spans="1:11" x14ac:dyDescent="0.3">
      <c r="A3131" t="s">
        <v>3148</v>
      </c>
      <c r="B3131" t="s">
        <v>9</v>
      </c>
      <c r="C3131" t="s">
        <v>10</v>
      </c>
      <c r="D3131" t="s">
        <v>20</v>
      </c>
      <c r="E3131">
        <v>19.2</v>
      </c>
      <c r="F3131">
        <v>36</v>
      </c>
      <c r="G3131">
        <v>691.19999999999902</v>
      </c>
      <c r="H3131" t="s">
        <v>12</v>
      </c>
      <c r="I3131" t="str">
        <f t="shared" si="145"/>
        <v>Low Value</v>
      </c>
      <c r="J3131" t="str">
        <f t="shared" si="146"/>
        <v>Low Risk</v>
      </c>
      <c r="K3131" s="3" t="str">
        <f t="shared" si="144"/>
        <v>2-4 Years</v>
      </c>
    </row>
    <row r="3132" spans="1:11" x14ac:dyDescent="0.3">
      <c r="A3132" t="s">
        <v>3149</v>
      </c>
      <c r="B3132" t="s">
        <v>9</v>
      </c>
      <c r="C3132" t="s">
        <v>10</v>
      </c>
      <c r="D3132" t="s">
        <v>11</v>
      </c>
      <c r="E3132">
        <v>99.55</v>
      </c>
      <c r="F3132">
        <v>38</v>
      </c>
      <c r="G3132">
        <v>3782.9</v>
      </c>
      <c r="H3132" t="s">
        <v>18</v>
      </c>
      <c r="I3132" t="str">
        <f t="shared" si="145"/>
        <v>Medium Value</v>
      </c>
      <c r="J3132" t="str">
        <f t="shared" si="146"/>
        <v>Low Risk</v>
      </c>
      <c r="K3132" s="3" t="str">
        <f t="shared" si="144"/>
        <v>2-4 Years</v>
      </c>
    </row>
    <row r="3133" spans="1:11" x14ac:dyDescent="0.3">
      <c r="A3133" t="s">
        <v>3150</v>
      </c>
      <c r="B3133" t="s">
        <v>9</v>
      </c>
      <c r="C3133" t="s">
        <v>10</v>
      </c>
      <c r="D3133" t="s">
        <v>11</v>
      </c>
      <c r="E3133">
        <v>70</v>
      </c>
      <c r="F3133">
        <v>17</v>
      </c>
      <c r="G3133">
        <v>1190</v>
      </c>
      <c r="H3133" t="s">
        <v>18</v>
      </c>
      <c r="I3133" t="str">
        <f t="shared" si="145"/>
        <v>Low Value</v>
      </c>
      <c r="J3133" t="str">
        <f t="shared" si="146"/>
        <v>Medium Risk</v>
      </c>
      <c r="K3133" s="3" t="str">
        <f t="shared" si="144"/>
        <v>1-2 Years</v>
      </c>
    </row>
    <row r="3134" spans="1:11" x14ac:dyDescent="0.3">
      <c r="A3134" t="s">
        <v>3151</v>
      </c>
      <c r="B3134" t="s">
        <v>9</v>
      </c>
      <c r="C3134" t="s">
        <v>15</v>
      </c>
      <c r="D3134" t="s">
        <v>20</v>
      </c>
      <c r="E3134">
        <v>109.1</v>
      </c>
      <c r="F3134">
        <v>41</v>
      </c>
      <c r="G3134">
        <v>4473.0999999999904</v>
      </c>
      <c r="H3134" t="s">
        <v>12</v>
      </c>
      <c r="I3134" t="str">
        <f t="shared" si="145"/>
        <v>Medium Value</v>
      </c>
      <c r="J3134" t="str">
        <f t="shared" si="146"/>
        <v>Low Risk</v>
      </c>
      <c r="K3134" s="3" t="str">
        <f t="shared" si="144"/>
        <v>2-4 Years</v>
      </c>
    </row>
    <row r="3135" spans="1:11" x14ac:dyDescent="0.3">
      <c r="A3135" t="s">
        <v>3152</v>
      </c>
      <c r="B3135" t="s">
        <v>9</v>
      </c>
      <c r="C3135" t="s">
        <v>10</v>
      </c>
      <c r="D3135" t="s">
        <v>11</v>
      </c>
      <c r="E3135">
        <v>45.3</v>
      </c>
      <c r="F3135">
        <v>1</v>
      </c>
      <c r="G3135">
        <v>45.3</v>
      </c>
      <c r="H3135" t="s">
        <v>18</v>
      </c>
      <c r="I3135" t="str">
        <f t="shared" si="145"/>
        <v>Low Value</v>
      </c>
      <c r="J3135" t="str">
        <f t="shared" si="146"/>
        <v>High Risk</v>
      </c>
      <c r="K3135" s="3" t="str">
        <f t="shared" si="144"/>
        <v>0-1 Year</v>
      </c>
    </row>
    <row r="3136" spans="1:11" x14ac:dyDescent="0.3">
      <c r="A3136" t="s">
        <v>3153</v>
      </c>
      <c r="B3136" t="s">
        <v>14</v>
      </c>
      <c r="C3136" t="s">
        <v>10</v>
      </c>
      <c r="D3136" t="s">
        <v>20</v>
      </c>
      <c r="E3136">
        <v>29.85</v>
      </c>
      <c r="F3136">
        <v>2</v>
      </c>
      <c r="G3136">
        <v>59.7</v>
      </c>
      <c r="H3136" t="s">
        <v>18</v>
      </c>
      <c r="I3136" t="str">
        <f t="shared" si="145"/>
        <v>Low Value</v>
      </c>
      <c r="J3136" t="str">
        <f t="shared" si="146"/>
        <v>High Risk</v>
      </c>
      <c r="K3136" s="3" t="str">
        <f t="shared" si="144"/>
        <v>0-1 Year</v>
      </c>
    </row>
    <row r="3137" spans="1:11" x14ac:dyDescent="0.3">
      <c r="A3137" t="s">
        <v>3154</v>
      </c>
      <c r="B3137" t="s">
        <v>14</v>
      </c>
      <c r="C3137" t="s">
        <v>10</v>
      </c>
      <c r="D3137" t="s">
        <v>11</v>
      </c>
      <c r="E3137">
        <v>76.45</v>
      </c>
      <c r="F3137">
        <v>14</v>
      </c>
      <c r="G3137">
        <v>1070.3</v>
      </c>
      <c r="H3137" t="s">
        <v>12</v>
      </c>
      <c r="I3137" t="str">
        <f t="shared" si="145"/>
        <v>Low Value</v>
      </c>
      <c r="J3137" t="str">
        <f t="shared" si="146"/>
        <v>Medium Risk</v>
      </c>
      <c r="K3137" s="3" t="str">
        <f t="shared" si="144"/>
        <v>1-2 Years</v>
      </c>
    </row>
    <row r="3138" spans="1:11" x14ac:dyDescent="0.3">
      <c r="A3138" t="s">
        <v>3155</v>
      </c>
      <c r="B3138" t="s">
        <v>14</v>
      </c>
      <c r="C3138" t="s">
        <v>10</v>
      </c>
      <c r="D3138" t="s">
        <v>24</v>
      </c>
      <c r="E3138">
        <v>95.1</v>
      </c>
      <c r="F3138">
        <v>2</v>
      </c>
      <c r="G3138">
        <v>190.2</v>
      </c>
      <c r="H3138" t="s">
        <v>18</v>
      </c>
      <c r="I3138" t="str">
        <f t="shared" si="145"/>
        <v>Low Value</v>
      </c>
      <c r="J3138" t="str">
        <f t="shared" si="146"/>
        <v>High Risk</v>
      </c>
      <c r="K3138" s="3" t="str">
        <f t="shared" si="144"/>
        <v>0-1 Year</v>
      </c>
    </row>
    <row r="3139" spans="1:11" x14ac:dyDescent="0.3">
      <c r="A3139" t="s">
        <v>3156</v>
      </c>
      <c r="B3139" t="s">
        <v>14</v>
      </c>
      <c r="C3139" t="s">
        <v>10</v>
      </c>
      <c r="D3139" t="s">
        <v>16</v>
      </c>
      <c r="E3139">
        <v>19.8</v>
      </c>
      <c r="F3139">
        <v>1</v>
      </c>
      <c r="G3139">
        <v>19.8</v>
      </c>
      <c r="H3139" t="s">
        <v>18</v>
      </c>
      <c r="I3139" t="str">
        <f t="shared" si="145"/>
        <v>Low Value</v>
      </c>
      <c r="J3139" t="str">
        <f t="shared" si="146"/>
        <v>High Risk</v>
      </c>
      <c r="K3139" s="3" t="str">
        <f t="shared" ref="K3139:K3202" si="147">IF(F3139&lt;=12,"0-1 Year",
IF(F3139&lt;=24,"1-2 Years",
IF(F3139&lt;=48,"2-4 Years","4+ Years")))</f>
        <v>0-1 Year</v>
      </c>
    </row>
    <row r="3140" spans="1:11" x14ac:dyDescent="0.3">
      <c r="A3140" t="s">
        <v>3157</v>
      </c>
      <c r="B3140" t="s">
        <v>14</v>
      </c>
      <c r="C3140" t="s">
        <v>10</v>
      </c>
      <c r="D3140" t="s">
        <v>11</v>
      </c>
      <c r="E3140">
        <v>72.8</v>
      </c>
      <c r="F3140">
        <v>13</v>
      </c>
      <c r="G3140">
        <v>946.4</v>
      </c>
      <c r="H3140" t="s">
        <v>12</v>
      </c>
      <c r="I3140" t="str">
        <f t="shared" ref="I3140:I3203" si="148">IF(G3140&gt;5000,"High Value",
IF(G3140&gt;2000,"Medium Value","Low Value"))</f>
        <v>Low Value</v>
      </c>
      <c r="J3140" t="str">
        <f t="shared" ref="J3140:J3203" si="149">IF(F3140&lt;12,"High Risk",
IF(F3140&lt;24,"Medium Risk","Low Risk"))</f>
        <v>Medium Risk</v>
      </c>
      <c r="K3140" s="3" t="str">
        <f t="shared" si="147"/>
        <v>1-2 Years</v>
      </c>
    </row>
    <row r="3141" spans="1:11" x14ac:dyDescent="0.3">
      <c r="A3141" t="s">
        <v>3158</v>
      </c>
      <c r="B3141" t="s">
        <v>14</v>
      </c>
      <c r="C3141" t="s">
        <v>10</v>
      </c>
      <c r="D3141" t="s">
        <v>16</v>
      </c>
      <c r="E3141">
        <v>18.95</v>
      </c>
      <c r="F3141">
        <v>6</v>
      </c>
      <c r="G3141">
        <v>113.69999999999899</v>
      </c>
      <c r="H3141" t="s">
        <v>12</v>
      </c>
      <c r="I3141" t="str">
        <f t="shared" si="148"/>
        <v>Low Value</v>
      </c>
      <c r="J3141" t="str">
        <f t="shared" si="149"/>
        <v>High Risk</v>
      </c>
      <c r="K3141" s="3" t="str">
        <f t="shared" si="147"/>
        <v>0-1 Year</v>
      </c>
    </row>
    <row r="3142" spans="1:11" x14ac:dyDescent="0.3">
      <c r="A3142" t="s">
        <v>3159</v>
      </c>
      <c r="B3142" t="s">
        <v>9</v>
      </c>
      <c r="C3142" t="s">
        <v>10</v>
      </c>
      <c r="D3142" t="s">
        <v>20</v>
      </c>
      <c r="E3142">
        <v>76.650000000000006</v>
      </c>
      <c r="F3142">
        <v>4</v>
      </c>
      <c r="G3142">
        <v>306.60000000000002</v>
      </c>
      <c r="H3142" t="s">
        <v>18</v>
      </c>
      <c r="I3142" t="str">
        <f t="shared" si="148"/>
        <v>Low Value</v>
      </c>
      <c r="J3142" t="str">
        <f t="shared" si="149"/>
        <v>High Risk</v>
      </c>
      <c r="K3142" s="3" t="str">
        <f t="shared" si="147"/>
        <v>0-1 Year</v>
      </c>
    </row>
    <row r="3143" spans="1:11" x14ac:dyDescent="0.3">
      <c r="A3143" t="s">
        <v>3160</v>
      </c>
      <c r="B3143" t="s">
        <v>9</v>
      </c>
      <c r="C3143" t="s">
        <v>10</v>
      </c>
      <c r="D3143" t="s">
        <v>16</v>
      </c>
      <c r="E3143">
        <v>99.15</v>
      </c>
      <c r="F3143">
        <v>5</v>
      </c>
      <c r="G3143">
        <v>495.75</v>
      </c>
      <c r="H3143" t="s">
        <v>18</v>
      </c>
      <c r="I3143" t="str">
        <f t="shared" si="148"/>
        <v>Low Value</v>
      </c>
      <c r="J3143" t="str">
        <f t="shared" si="149"/>
        <v>High Risk</v>
      </c>
      <c r="K3143" s="3" t="str">
        <f t="shared" si="147"/>
        <v>0-1 Year</v>
      </c>
    </row>
    <row r="3144" spans="1:11" x14ac:dyDescent="0.3">
      <c r="A3144" t="s">
        <v>3161</v>
      </c>
      <c r="B3144" t="s">
        <v>9</v>
      </c>
      <c r="C3144" t="s">
        <v>10</v>
      </c>
      <c r="D3144" t="s">
        <v>11</v>
      </c>
      <c r="E3144">
        <v>101.75</v>
      </c>
      <c r="F3144">
        <v>15</v>
      </c>
      <c r="G3144">
        <v>1526.25</v>
      </c>
      <c r="H3144" t="s">
        <v>12</v>
      </c>
      <c r="I3144" t="str">
        <f t="shared" si="148"/>
        <v>Low Value</v>
      </c>
      <c r="J3144" t="str">
        <f t="shared" si="149"/>
        <v>Medium Risk</v>
      </c>
      <c r="K3144" s="3" t="str">
        <f t="shared" si="147"/>
        <v>1-2 Years</v>
      </c>
    </row>
    <row r="3145" spans="1:11" x14ac:dyDescent="0.3">
      <c r="A3145" t="s">
        <v>3162</v>
      </c>
      <c r="B3145" t="s">
        <v>9</v>
      </c>
      <c r="C3145" t="s">
        <v>10</v>
      </c>
      <c r="D3145" t="s">
        <v>24</v>
      </c>
      <c r="E3145">
        <v>75.45</v>
      </c>
      <c r="F3145">
        <v>47</v>
      </c>
      <c r="G3145">
        <v>3546.15</v>
      </c>
      <c r="H3145" t="s">
        <v>12</v>
      </c>
      <c r="I3145" t="str">
        <f t="shared" si="148"/>
        <v>Medium Value</v>
      </c>
      <c r="J3145" t="str">
        <f t="shared" si="149"/>
        <v>Low Risk</v>
      </c>
      <c r="K3145" s="3" t="str">
        <f t="shared" si="147"/>
        <v>2-4 Years</v>
      </c>
    </row>
    <row r="3146" spans="1:11" x14ac:dyDescent="0.3">
      <c r="A3146" t="s">
        <v>3163</v>
      </c>
      <c r="B3146" t="s">
        <v>9</v>
      </c>
      <c r="C3146" t="s">
        <v>10</v>
      </c>
      <c r="D3146" t="s">
        <v>16</v>
      </c>
      <c r="E3146">
        <v>64.099999999999994</v>
      </c>
      <c r="F3146">
        <v>8</v>
      </c>
      <c r="G3146">
        <v>512.79999999999995</v>
      </c>
      <c r="H3146" t="s">
        <v>12</v>
      </c>
      <c r="I3146" t="str">
        <f t="shared" si="148"/>
        <v>Low Value</v>
      </c>
      <c r="J3146" t="str">
        <f t="shared" si="149"/>
        <v>High Risk</v>
      </c>
      <c r="K3146" s="3" t="str">
        <f t="shared" si="147"/>
        <v>0-1 Year</v>
      </c>
    </row>
    <row r="3147" spans="1:11" x14ac:dyDescent="0.3">
      <c r="A3147" t="s">
        <v>3164</v>
      </c>
      <c r="B3147" t="s">
        <v>14</v>
      </c>
      <c r="C3147" t="s">
        <v>10</v>
      </c>
      <c r="D3147" t="s">
        <v>16</v>
      </c>
      <c r="E3147">
        <v>25.65</v>
      </c>
      <c r="F3147">
        <v>17</v>
      </c>
      <c r="G3147">
        <v>436.04999999999899</v>
      </c>
      <c r="H3147" t="s">
        <v>12</v>
      </c>
      <c r="I3147" t="str">
        <f t="shared" si="148"/>
        <v>Low Value</v>
      </c>
      <c r="J3147" t="str">
        <f t="shared" si="149"/>
        <v>Medium Risk</v>
      </c>
      <c r="K3147" s="3" t="str">
        <f t="shared" si="147"/>
        <v>1-2 Years</v>
      </c>
    </row>
    <row r="3148" spans="1:11" x14ac:dyDescent="0.3">
      <c r="A3148" t="s">
        <v>3165</v>
      </c>
      <c r="B3148" t="s">
        <v>14</v>
      </c>
      <c r="C3148" t="s">
        <v>10</v>
      </c>
      <c r="D3148" t="s">
        <v>16</v>
      </c>
      <c r="E3148">
        <v>75.099999999999994</v>
      </c>
      <c r="F3148">
        <v>15</v>
      </c>
      <c r="G3148">
        <v>1126.5</v>
      </c>
      <c r="H3148" t="s">
        <v>12</v>
      </c>
      <c r="I3148" t="str">
        <f t="shared" si="148"/>
        <v>Low Value</v>
      </c>
      <c r="J3148" t="str">
        <f t="shared" si="149"/>
        <v>Medium Risk</v>
      </c>
      <c r="K3148" s="3" t="str">
        <f t="shared" si="147"/>
        <v>1-2 Years</v>
      </c>
    </row>
    <row r="3149" spans="1:11" x14ac:dyDescent="0.3">
      <c r="A3149" t="s">
        <v>3166</v>
      </c>
      <c r="B3149" t="s">
        <v>9</v>
      </c>
      <c r="C3149" t="s">
        <v>15</v>
      </c>
      <c r="D3149" t="s">
        <v>20</v>
      </c>
      <c r="E3149">
        <v>95.85</v>
      </c>
      <c r="F3149">
        <v>26</v>
      </c>
      <c r="G3149">
        <v>2492.1</v>
      </c>
      <c r="H3149" t="s">
        <v>12</v>
      </c>
      <c r="I3149" t="str">
        <f t="shared" si="148"/>
        <v>Medium Value</v>
      </c>
      <c r="J3149" t="str">
        <f t="shared" si="149"/>
        <v>Low Risk</v>
      </c>
      <c r="K3149" s="3" t="str">
        <f t="shared" si="147"/>
        <v>2-4 Years</v>
      </c>
    </row>
    <row r="3150" spans="1:11" x14ac:dyDescent="0.3">
      <c r="A3150" t="s">
        <v>3167</v>
      </c>
      <c r="B3150" t="s">
        <v>9</v>
      </c>
      <c r="C3150" t="s">
        <v>10</v>
      </c>
      <c r="D3150" t="s">
        <v>11</v>
      </c>
      <c r="E3150">
        <v>54.4</v>
      </c>
      <c r="F3150">
        <v>23</v>
      </c>
      <c r="G3150">
        <v>1251.2</v>
      </c>
      <c r="H3150" t="s">
        <v>12</v>
      </c>
      <c r="I3150" t="str">
        <f t="shared" si="148"/>
        <v>Low Value</v>
      </c>
      <c r="J3150" t="str">
        <f t="shared" si="149"/>
        <v>Medium Risk</v>
      </c>
      <c r="K3150" s="3" t="str">
        <f t="shared" si="147"/>
        <v>1-2 Years</v>
      </c>
    </row>
    <row r="3151" spans="1:11" x14ac:dyDescent="0.3">
      <c r="A3151" t="s">
        <v>3168</v>
      </c>
      <c r="B3151" t="s">
        <v>9</v>
      </c>
      <c r="C3151" t="s">
        <v>10</v>
      </c>
      <c r="D3151" t="s">
        <v>11</v>
      </c>
      <c r="E3151">
        <v>72.75</v>
      </c>
      <c r="F3151">
        <v>4</v>
      </c>
      <c r="G3151">
        <v>291</v>
      </c>
      <c r="H3151" t="s">
        <v>12</v>
      </c>
      <c r="I3151" t="str">
        <f t="shared" si="148"/>
        <v>Low Value</v>
      </c>
      <c r="J3151" t="str">
        <f t="shared" si="149"/>
        <v>High Risk</v>
      </c>
      <c r="K3151" s="3" t="str">
        <f t="shared" si="147"/>
        <v>0-1 Year</v>
      </c>
    </row>
    <row r="3152" spans="1:11" x14ac:dyDescent="0.3">
      <c r="A3152" t="s">
        <v>3169</v>
      </c>
      <c r="B3152" t="s">
        <v>14</v>
      </c>
      <c r="C3152" t="s">
        <v>15</v>
      </c>
      <c r="D3152" t="s">
        <v>16</v>
      </c>
      <c r="E3152">
        <v>19.850000000000001</v>
      </c>
      <c r="F3152">
        <v>29</v>
      </c>
      <c r="G3152">
        <v>575.65</v>
      </c>
      <c r="H3152" t="s">
        <v>12</v>
      </c>
      <c r="I3152" t="str">
        <f t="shared" si="148"/>
        <v>Low Value</v>
      </c>
      <c r="J3152" t="str">
        <f t="shared" si="149"/>
        <v>Low Risk</v>
      </c>
      <c r="K3152" s="3" t="str">
        <f t="shared" si="147"/>
        <v>2-4 Years</v>
      </c>
    </row>
    <row r="3153" spans="1:11" x14ac:dyDescent="0.3">
      <c r="A3153" t="s">
        <v>3170</v>
      </c>
      <c r="B3153" t="s">
        <v>9</v>
      </c>
      <c r="C3153" t="s">
        <v>10</v>
      </c>
      <c r="D3153" t="s">
        <v>16</v>
      </c>
      <c r="E3153">
        <v>19.05</v>
      </c>
      <c r="F3153">
        <v>25</v>
      </c>
      <c r="G3153">
        <v>476.25</v>
      </c>
      <c r="H3153" t="s">
        <v>12</v>
      </c>
      <c r="I3153" t="str">
        <f t="shared" si="148"/>
        <v>Low Value</v>
      </c>
      <c r="J3153" t="str">
        <f t="shared" si="149"/>
        <v>Low Risk</v>
      </c>
      <c r="K3153" s="3" t="str">
        <f t="shared" si="147"/>
        <v>2-4 Years</v>
      </c>
    </row>
    <row r="3154" spans="1:11" x14ac:dyDescent="0.3">
      <c r="A3154" t="s">
        <v>3171</v>
      </c>
      <c r="B3154" t="s">
        <v>14</v>
      </c>
      <c r="C3154" t="s">
        <v>10</v>
      </c>
      <c r="D3154" t="s">
        <v>16</v>
      </c>
      <c r="E3154">
        <v>44.95</v>
      </c>
      <c r="F3154">
        <v>9</v>
      </c>
      <c r="G3154">
        <v>404.55</v>
      </c>
      <c r="H3154" t="s">
        <v>18</v>
      </c>
      <c r="I3154" t="str">
        <f t="shared" si="148"/>
        <v>Low Value</v>
      </c>
      <c r="J3154" t="str">
        <f t="shared" si="149"/>
        <v>High Risk</v>
      </c>
      <c r="K3154" s="3" t="str">
        <f t="shared" si="147"/>
        <v>0-1 Year</v>
      </c>
    </row>
    <row r="3155" spans="1:11" x14ac:dyDescent="0.3">
      <c r="A3155" t="s">
        <v>3172</v>
      </c>
      <c r="B3155" t="s">
        <v>14</v>
      </c>
      <c r="C3155" t="s">
        <v>10</v>
      </c>
      <c r="D3155" t="s">
        <v>16</v>
      </c>
      <c r="E3155">
        <v>49.55</v>
      </c>
      <c r="F3155">
        <v>18</v>
      </c>
      <c r="G3155">
        <v>891.9</v>
      </c>
      <c r="H3155" t="s">
        <v>18</v>
      </c>
      <c r="I3155" t="str">
        <f t="shared" si="148"/>
        <v>Low Value</v>
      </c>
      <c r="J3155" t="str">
        <f t="shared" si="149"/>
        <v>Medium Risk</v>
      </c>
      <c r="K3155" s="3" t="str">
        <f t="shared" si="147"/>
        <v>1-2 Years</v>
      </c>
    </row>
    <row r="3156" spans="1:11" x14ac:dyDescent="0.3">
      <c r="A3156" t="s">
        <v>3173</v>
      </c>
      <c r="B3156" t="s">
        <v>14</v>
      </c>
      <c r="C3156" t="s">
        <v>10</v>
      </c>
      <c r="D3156" t="s">
        <v>11</v>
      </c>
      <c r="E3156">
        <v>94.85</v>
      </c>
      <c r="F3156">
        <v>3</v>
      </c>
      <c r="G3156">
        <v>284.54999999999899</v>
      </c>
      <c r="H3156" t="s">
        <v>12</v>
      </c>
      <c r="I3156" t="str">
        <f t="shared" si="148"/>
        <v>Low Value</v>
      </c>
      <c r="J3156" t="str">
        <f t="shared" si="149"/>
        <v>High Risk</v>
      </c>
      <c r="K3156" s="3" t="str">
        <f t="shared" si="147"/>
        <v>0-1 Year</v>
      </c>
    </row>
    <row r="3157" spans="1:11" x14ac:dyDescent="0.3">
      <c r="A3157" t="s">
        <v>3174</v>
      </c>
      <c r="B3157" t="s">
        <v>9</v>
      </c>
      <c r="C3157" t="s">
        <v>30</v>
      </c>
      <c r="D3157" t="s">
        <v>20</v>
      </c>
      <c r="E3157">
        <v>46.25</v>
      </c>
      <c r="F3157">
        <v>69</v>
      </c>
      <c r="G3157">
        <v>3191.25</v>
      </c>
      <c r="H3157" t="s">
        <v>12</v>
      </c>
      <c r="I3157" t="str">
        <f t="shared" si="148"/>
        <v>Medium Value</v>
      </c>
      <c r="J3157" t="str">
        <f t="shared" si="149"/>
        <v>Low Risk</v>
      </c>
      <c r="K3157" s="3" t="str">
        <f t="shared" si="147"/>
        <v>4+ Years</v>
      </c>
    </row>
    <row r="3158" spans="1:11" x14ac:dyDescent="0.3">
      <c r="A3158" t="s">
        <v>3175</v>
      </c>
      <c r="B3158" t="s">
        <v>14</v>
      </c>
      <c r="C3158" t="s">
        <v>15</v>
      </c>
      <c r="D3158" t="s">
        <v>16</v>
      </c>
      <c r="E3158">
        <v>19.350000000000001</v>
      </c>
      <c r="F3158">
        <v>14</v>
      </c>
      <c r="G3158">
        <v>270.89999999999998</v>
      </c>
      <c r="H3158" t="s">
        <v>12</v>
      </c>
      <c r="I3158" t="str">
        <f t="shared" si="148"/>
        <v>Low Value</v>
      </c>
      <c r="J3158" t="str">
        <f t="shared" si="149"/>
        <v>Medium Risk</v>
      </c>
      <c r="K3158" s="3" t="str">
        <f t="shared" si="147"/>
        <v>1-2 Years</v>
      </c>
    </row>
    <row r="3159" spans="1:11" x14ac:dyDescent="0.3">
      <c r="A3159" t="s">
        <v>3176</v>
      </c>
      <c r="B3159" t="s">
        <v>14</v>
      </c>
      <c r="C3159" t="s">
        <v>10</v>
      </c>
      <c r="D3159" t="s">
        <v>16</v>
      </c>
      <c r="E3159">
        <v>69.599999999999994</v>
      </c>
      <c r="F3159">
        <v>19</v>
      </c>
      <c r="G3159">
        <v>1322.3999999999901</v>
      </c>
      <c r="H3159" t="s">
        <v>12</v>
      </c>
      <c r="I3159" t="str">
        <f t="shared" si="148"/>
        <v>Low Value</v>
      </c>
      <c r="J3159" t="str">
        <f t="shared" si="149"/>
        <v>Medium Risk</v>
      </c>
      <c r="K3159" s="3" t="str">
        <f t="shared" si="147"/>
        <v>1-2 Years</v>
      </c>
    </row>
    <row r="3160" spans="1:11" x14ac:dyDescent="0.3">
      <c r="A3160" t="s">
        <v>3177</v>
      </c>
      <c r="B3160" t="s">
        <v>14</v>
      </c>
      <c r="C3160" t="s">
        <v>10</v>
      </c>
      <c r="D3160" t="s">
        <v>11</v>
      </c>
      <c r="E3160">
        <v>90.7</v>
      </c>
      <c r="F3160">
        <v>39</v>
      </c>
      <c r="G3160">
        <v>3537.3</v>
      </c>
      <c r="H3160" t="s">
        <v>12</v>
      </c>
      <c r="I3160" t="str">
        <f t="shared" si="148"/>
        <v>Medium Value</v>
      </c>
      <c r="J3160" t="str">
        <f t="shared" si="149"/>
        <v>Low Risk</v>
      </c>
      <c r="K3160" s="3" t="str">
        <f t="shared" si="147"/>
        <v>2-4 Years</v>
      </c>
    </row>
    <row r="3161" spans="1:11" x14ac:dyDescent="0.3">
      <c r="A3161" t="s">
        <v>3178</v>
      </c>
      <c r="B3161" t="s">
        <v>14</v>
      </c>
      <c r="C3161" t="s">
        <v>10</v>
      </c>
      <c r="D3161" t="s">
        <v>11</v>
      </c>
      <c r="E3161">
        <v>101.4</v>
      </c>
      <c r="F3161">
        <v>31</v>
      </c>
      <c r="G3161">
        <v>3143.4</v>
      </c>
      <c r="H3161" t="s">
        <v>12</v>
      </c>
      <c r="I3161" t="str">
        <f t="shared" si="148"/>
        <v>Medium Value</v>
      </c>
      <c r="J3161" t="str">
        <f t="shared" si="149"/>
        <v>Low Risk</v>
      </c>
      <c r="K3161" s="3" t="str">
        <f t="shared" si="147"/>
        <v>2-4 Years</v>
      </c>
    </row>
    <row r="3162" spans="1:11" x14ac:dyDescent="0.3">
      <c r="A3162" t="s">
        <v>3179</v>
      </c>
      <c r="B3162" t="s">
        <v>14</v>
      </c>
      <c r="C3162" t="s">
        <v>15</v>
      </c>
      <c r="D3162" t="s">
        <v>16</v>
      </c>
      <c r="E3162">
        <v>20.25</v>
      </c>
      <c r="F3162">
        <v>24</v>
      </c>
      <c r="G3162">
        <v>486</v>
      </c>
      <c r="H3162" t="s">
        <v>12</v>
      </c>
      <c r="I3162" t="str">
        <f t="shared" si="148"/>
        <v>Low Value</v>
      </c>
      <c r="J3162" t="str">
        <f t="shared" si="149"/>
        <v>Low Risk</v>
      </c>
      <c r="K3162" s="3" t="str">
        <f t="shared" si="147"/>
        <v>1-2 Years</v>
      </c>
    </row>
    <row r="3163" spans="1:11" x14ac:dyDescent="0.3">
      <c r="A3163" t="s">
        <v>3180</v>
      </c>
      <c r="B3163" t="s">
        <v>14</v>
      </c>
      <c r="C3163" t="s">
        <v>10</v>
      </c>
      <c r="D3163" t="s">
        <v>20</v>
      </c>
      <c r="E3163">
        <v>48.8</v>
      </c>
      <c r="F3163">
        <v>14</v>
      </c>
      <c r="G3163">
        <v>683.19999999999902</v>
      </c>
      <c r="H3163" t="s">
        <v>12</v>
      </c>
      <c r="I3163" t="str">
        <f t="shared" si="148"/>
        <v>Low Value</v>
      </c>
      <c r="J3163" t="str">
        <f t="shared" si="149"/>
        <v>Medium Risk</v>
      </c>
      <c r="K3163" s="3" t="str">
        <f t="shared" si="147"/>
        <v>1-2 Years</v>
      </c>
    </row>
    <row r="3164" spans="1:11" x14ac:dyDescent="0.3">
      <c r="A3164" t="s">
        <v>3181</v>
      </c>
      <c r="B3164" t="s">
        <v>9</v>
      </c>
      <c r="C3164" t="s">
        <v>30</v>
      </c>
      <c r="D3164" t="s">
        <v>16</v>
      </c>
      <c r="E3164">
        <v>74.349999999999994</v>
      </c>
      <c r="F3164">
        <v>64</v>
      </c>
      <c r="G3164">
        <v>4758.3999999999996</v>
      </c>
      <c r="H3164" t="s">
        <v>12</v>
      </c>
      <c r="I3164" t="str">
        <f t="shared" si="148"/>
        <v>Medium Value</v>
      </c>
      <c r="J3164" t="str">
        <f t="shared" si="149"/>
        <v>Low Risk</v>
      </c>
      <c r="K3164" s="3" t="str">
        <f t="shared" si="147"/>
        <v>4+ Years</v>
      </c>
    </row>
    <row r="3165" spans="1:11" x14ac:dyDescent="0.3">
      <c r="A3165" t="s">
        <v>3182</v>
      </c>
      <c r="B3165" t="s">
        <v>9</v>
      </c>
      <c r="C3165" t="s">
        <v>15</v>
      </c>
      <c r="D3165" t="s">
        <v>16</v>
      </c>
      <c r="E3165">
        <v>19.350000000000001</v>
      </c>
      <c r="F3165">
        <v>50</v>
      </c>
      <c r="G3165">
        <v>967.5</v>
      </c>
      <c r="H3165" t="s">
        <v>12</v>
      </c>
      <c r="I3165" t="str">
        <f t="shared" si="148"/>
        <v>Low Value</v>
      </c>
      <c r="J3165" t="str">
        <f t="shared" si="149"/>
        <v>Low Risk</v>
      </c>
      <c r="K3165" s="3" t="str">
        <f t="shared" si="147"/>
        <v>4+ Years</v>
      </c>
    </row>
    <row r="3166" spans="1:11" x14ac:dyDescent="0.3">
      <c r="A3166" t="s">
        <v>3183</v>
      </c>
      <c r="B3166" t="s">
        <v>14</v>
      </c>
      <c r="C3166" t="s">
        <v>15</v>
      </c>
      <c r="D3166" t="s">
        <v>11</v>
      </c>
      <c r="E3166">
        <v>68.75</v>
      </c>
      <c r="F3166">
        <v>52</v>
      </c>
      <c r="G3166">
        <v>3575</v>
      </c>
      <c r="H3166" t="s">
        <v>12</v>
      </c>
      <c r="I3166" t="str">
        <f t="shared" si="148"/>
        <v>Medium Value</v>
      </c>
      <c r="J3166" t="str">
        <f t="shared" si="149"/>
        <v>Low Risk</v>
      </c>
      <c r="K3166" s="3" t="str">
        <f t="shared" si="147"/>
        <v>4+ Years</v>
      </c>
    </row>
    <row r="3167" spans="1:11" x14ac:dyDescent="0.3">
      <c r="A3167" t="s">
        <v>3184</v>
      </c>
      <c r="B3167" t="s">
        <v>14</v>
      </c>
      <c r="C3167" t="s">
        <v>15</v>
      </c>
      <c r="D3167" t="s">
        <v>11</v>
      </c>
      <c r="E3167">
        <v>100.2</v>
      </c>
      <c r="F3167">
        <v>28</v>
      </c>
      <c r="G3167">
        <v>2805.6</v>
      </c>
      <c r="H3167" t="s">
        <v>12</v>
      </c>
      <c r="I3167" t="str">
        <f t="shared" si="148"/>
        <v>Medium Value</v>
      </c>
      <c r="J3167" t="str">
        <f t="shared" si="149"/>
        <v>Low Risk</v>
      </c>
      <c r="K3167" s="3" t="str">
        <f t="shared" si="147"/>
        <v>2-4 Years</v>
      </c>
    </row>
    <row r="3168" spans="1:11" x14ac:dyDescent="0.3">
      <c r="A3168" t="s">
        <v>3185</v>
      </c>
      <c r="B3168" t="s">
        <v>9</v>
      </c>
      <c r="C3168" t="s">
        <v>30</v>
      </c>
      <c r="D3168" t="s">
        <v>24</v>
      </c>
      <c r="E3168">
        <v>20.85</v>
      </c>
      <c r="F3168">
        <v>21</v>
      </c>
      <c r="G3168">
        <v>437.85</v>
      </c>
      <c r="H3168" t="s">
        <v>12</v>
      </c>
      <c r="I3168" t="str">
        <f t="shared" si="148"/>
        <v>Low Value</v>
      </c>
      <c r="J3168" t="str">
        <f t="shared" si="149"/>
        <v>Medium Risk</v>
      </c>
      <c r="K3168" s="3" t="str">
        <f t="shared" si="147"/>
        <v>1-2 Years</v>
      </c>
    </row>
    <row r="3169" spans="1:11" x14ac:dyDescent="0.3">
      <c r="A3169" t="s">
        <v>3186</v>
      </c>
      <c r="B3169" t="s">
        <v>14</v>
      </c>
      <c r="C3169" t="s">
        <v>10</v>
      </c>
      <c r="D3169" t="s">
        <v>11</v>
      </c>
      <c r="E3169">
        <v>95.9</v>
      </c>
      <c r="F3169">
        <v>25</v>
      </c>
      <c r="G3169">
        <v>2397.5</v>
      </c>
      <c r="H3169" t="s">
        <v>18</v>
      </c>
      <c r="I3169" t="str">
        <f t="shared" si="148"/>
        <v>Medium Value</v>
      </c>
      <c r="J3169" t="str">
        <f t="shared" si="149"/>
        <v>Low Risk</v>
      </c>
      <c r="K3169" s="3" t="str">
        <f t="shared" si="147"/>
        <v>2-4 Years</v>
      </c>
    </row>
    <row r="3170" spans="1:11" x14ac:dyDescent="0.3">
      <c r="A3170" t="s">
        <v>3187</v>
      </c>
      <c r="B3170" t="s">
        <v>9</v>
      </c>
      <c r="C3170" t="s">
        <v>15</v>
      </c>
      <c r="D3170" t="s">
        <v>16</v>
      </c>
      <c r="E3170">
        <v>19.350000000000001</v>
      </c>
      <c r="F3170">
        <v>17</v>
      </c>
      <c r="G3170">
        <v>328.95</v>
      </c>
      <c r="H3170" t="s">
        <v>12</v>
      </c>
      <c r="I3170" t="str">
        <f t="shared" si="148"/>
        <v>Low Value</v>
      </c>
      <c r="J3170" t="str">
        <f t="shared" si="149"/>
        <v>Medium Risk</v>
      </c>
      <c r="K3170" s="3" t="str">
        <f t="shared" si="147"/>
        <v>1-2 Years</v>
      </c>
    </row>
    <row r="3171" spans="1:11" x14ac:dyDescent="0.3">
      <c r="A3171" t="s">
        <v>3188</v>
      </c>
      <c r="B3171" t="s">
        <v>14</v>
      </c>
      <c r="C3171" t="s">
        <v>15</v>
      </c>
      <c r="D3171" t="s">
        <v>24</v>
      </c>
      <c r="E3171">
        <v>45</v>
      </c>
      <c r="F3171">
        <v>58</v>
      </c>
      <c r="G3171">
        <v>2610</v>
      </c>
      <c r="H3171" t="s">
        <v>12</v>
      </c>
      <c r="I3171" t="str">
        <f t="shared" si="148"/>
        <v>Medium Value</v>
      </c>
      <c r="J3171" t="str">
        <f t="shared" si="149"/>
        <v>Low Risk</v>
      </c>
      <c r="K3171" s="3" t="str">
        <f t="shared" si="147"/>
        <v>4+ Years</v>
      </c>
    </row>
    <row r="3172" spans="1:11" x14ac:dyDescent="0.3">
      <c r="A3172" t="s">
        <v>3189</v>
      </c>
      <c r="B3172" t="s">
        <v>14</v>
      </c>
      <c r="C3172" t="s">
        <v>10</v>
      </c>
      <c r="D3172" t="s">
        <v>20</v>
      </c>
      <c r="E3172">
        <v>81.5</v>
      </c>
      <c r="F3172">
        <v>17</v>
      </c>
      <c r="G3172">
        <v>1385.5</v>
      </c>
      <c r="H3172" t="s">
        <v>18</v>
      </c>
      <c r="I3172" t="str">
        <f t="shared" si="148"/>
        <v>Low Value</v>
      </c>
      <c r="J3172" t="str">
        <f t="shared" si="149"/>
        <v>Medium Risk</v>
      </c>
      <c r="K3172" s="3" t="str">
        <f t="shared" si="147"/>
        <v>1-2 Years</v>
      </c>
    </row>
    <row r="3173" spans="1:11" x14ac:dyDescent="0.3">
      <c r="A3173" t="s">
        <v>3190</v>
      </c>
      <c r="B3173" t="s">
        <v>9</v>
      </c>
      <c r="C3173" t="s">
        <v>30</v>
      </c>
      <c r="D3173" t="s">
        <v>16</v>
      </c>
      <c r="E3173">
        <v>25.5</v>
      </c>
      <c r="F3173">
        <v>51</v>
      </c>
      <c r="G3173">
        <v>1300.5</v>
      </c>
      <c r="H3173" t="s">
        <v>12</v>
      </c>
      <c r="I3173" t="str">
        <f t="shared" si="148"/>
        <v>Low Value</v>
      </c>
      <c r="J3173" t="str">
        <f t="shared" si="149"/>
        <v>Low Risk</v>
      </c>
      <c r="K3173" s="3" t="str">
        <f t="shared" si="147"/>
        <v>4+ Years</v>
      </c>
    </row>
    <row r="3174" spans="1:11" x14ac:dyDescent="0.3">
      <c r="A3174" t="s">
        <v>3191</v>
      </c>
      <c r="B3174" t="s">
        <v>14</v>
      </c>
      <c r="C3174" t="s">
        <v>30</v>
      </c>
      <c r="D3174" t="s">
        <v>16</v>
      </c>
      <c r="E3174">
        <v>48.9</v>
      </c>
      <c r="F3174">
        <v>72</v>
      </c>
      <c r="G3174">
        <v>3520.7999999999902</v>
      </c>
      <c r="H3174" t="s">
        <v>12</v>
      </c>
      <c r="I3174" t="str">
        <f t="shared" si="148"/>
        <v>Medium Value</v>
      </c>
      <c r="J3174" t="str">
        <f t="shared" si="149"/>
        <v>Low Risk</v>
      </c>
      <c r="K3174" s="3" t="str">
        <f t="shared" si="147"/>
        <v>4+ Years</v>
      </c>
    </row>
    <row r="3175" spans="1:11" x14ac:dyDescent="0.3">
      <c r="A3175" t="s">
        <v>3192</v>
      </c>
      <c r="B3175" t="s">
        <v>14</v>
      </c>
      <c r="C3175" t="s">
        <v>10</v>
      </c>
      <c r="D3175" t="s">
        <v>11</v>
      </c>
      <c r="E3175">
        <v>84.1</v>
      </c>
      <c r="F3175">
        <v>52</v>
      </c>
      <c r="G3175">
        <v>4373.2</v>
      </c>
      <c r="H3175" t="s">
        <v>18</v>
      </c>
      <c r="I3175" t="str">
        <f t="shared" si="148"/>
        <v>Medium Value</v>
      </c>
      <c r="J3175" t="str">
        <f t="shared" si="149"/>
        <v>Low Risk</v>
      </c>
      <c r="K3175" s="3" t="str">
        <f t="shared" si="147"/>
        <v>4+ Years</v>
      </c>
    </row>
    <row r="3176" spans="1:11" x14ac:dyDescent="0.3">
      <c r="A3176" t="s">
        <v>3193</v>
      </c>
      <c r="B3176" t="s">
        <v>9</v>
      </c>
      <c r="C3176" t="s">
        <v>30</v>
      </c>
      <c r="D3176" t="s">
        <v>16</v>
      </c>
      <c r="E3176">
        <v>19.600000000000001</v>
      </c>
      <c r="F3176">
        <v>27</v>
      </c>
      <c r="G3176">
        <v>529.20000000000005</v>
      </c>
      <c r="H3176" t="s">
        <v>12</v>
      </c>
      <c r="I3176" t="str">
        <f t="shared" si="148"/>
        <v>Low Value</v>
      </c>
      <c r="J3176" t="str">
        <f t="shared" si="149"/>
        <v>Low Risk</v>
      </c>
      <c r="K3176" s="3" t="str">
        <f t="shared" si="147"/>
        <v>2-4 Years</v>
      </c>
    </row>
    <row r="3177" spans="1:11" x14ac:dyDescent="0.3">
      <c r="A3177" t="s">
        <v>3194</v>
      </c>
      <c r="B3177" t="s">
        <v>9</v>
      </c>
      <c r="C3177" t="s">
        <v>10</v>
      </c>
      <c r="D3177" t="s">
        <v>16</v>
      </c>
      <c r="E3177">
        <v>20</v>
      </c>
      <c r="F3177">
        <v>3</v>
      </c>
      <c r="G3177">
        <v>60</v>
      </c>
      <c r="H3177" t="s">
        <v>12</v>
      </c>
      <c r="I3177" t="str">
        <f t="shared" si="148"/>
        <v>Low Value</v>
      </c>
      <c r="J3177" t="str">
        <f t="shared" si="149"/>
        <v>High Risk</v>
      </c>
      <c r="K3177" s="3" t="str">
        <f t="shared" si="147"/>
        <v>0-1 Year</v>
      </c>
    </row>
    <row r="3178" spans="1:11" x14ac:dyDescent="0.3">
      <c r="A3178" t="s">
        <v>3195</v>
      </c>
      <c r="B3178" t="s">
        <v>9</v>
      </c>
      <c r="C3178" t="s">
        <v>30</v>
      </c>
      <c r="D3178" t="s">
        <v>16</v>
      </c>
      <c r="E3178">
        <v>81.3</v>
      </c>
      <c r="F3178">
        <v>64</v>
      </c>
      <c r="G3178">
        <v>5203.2</v>
      </c>
      <c r="H3178" t="s">
        <v>12</v>
      </c>
      <c r="I3178" t="str">
        <f t="shared" si="148"/>
        <v>High Value</v>
      </c>
      <c r="J3178" t="str">
        <f t="shared" si="149"/>
        <v>Low Risk</v>
      </c>
      <c r="K3178" s="3" t="str">
        <f t="shared" si="147"/>
        <v>4+ Years</v>
      </c>
    </row>
    <row r="3179" spans="1:11" x14ac:dyDescent="0.3">
      <c r="A3179" t="s">
        <v>3196</v>
      </c>
      <c r="B3179" t="s">
        <v>9</v>
      </c>
      <c r="C3179" t="s">
        <v>30</v>
      </c>
      <c r="D3179" t="s">
        <v>24</v>
      </c>
      <c r="E3179">
        <v>95.2</v>
      </c>
      <c r="F3179">
        <v>45</v>
      </c>
      <c r="G3179">
        <v>4284</v>
      </c>
      <c r="H3179" t="s">
        <v>12</v>
      </c>
      <c r="I3179" t="str">
        <f t="shared" si="148"/>
        <v>Medium Value</v>
      </c>
      <c r="J3179" t="str">
        <f t="shared" si="149"/>
        <v>Low Risk</v>
      </c>
      <c r="K3179" s="3" t="str">
        <f t="shared" si="147"/>
        <v>2-4 Years</v>
      </c>
    </row>
    <row r="3180" spans="1:11" x14ac:dyDescent="0.3">
      <c r="A3180" t="s">
        <v>3197</v>
      </c>
      <c r="B3180" t="s">
        <v>14</v>
      </c>
      <c r="C3180" t="s">
        <v>10</v>
      </c>
      <c r="D3180" t="s">
        <v>16</v>
      </c>
      <c r="E3180">
        <v>36.450000000000003</v>
      </c>
      <c r="F3180">
        <v>3</v>
      </c>
      <c r="G3180">
        <v>109.35</v>
      </c>
      <c r="H3180" t="s">
        <v>18</v>
      </c>
      <c r="I3180" t="str">
        <f t="shared" si="148"/>
        <v>Low Value</v>
      </c>
      <c r="J3180" t="str">
        <f t="shared" si="149"/>
        <v>High Risk</v>
      </c>
      <c r="K3180" s="3" t="str">
        <f t="shared" si="147"/>
        <v>0-1 Year</v>
      </c>
    </row>
    <row r="3181" spans="1:11" x14ac:dyDescent="0.3">
      <c r="A3181" t="s">
        <v>3198</v>
      </c>
      <c r="B3181" t="s">
        <v>9</v>
      </c>
      <c r="C3181" t="s">
        <v>30</v>
      </c>
      <c r="D3181" t="s">
        <v>24</v>
      </c>
      <c r="E3181">
        <v>83.3</v>
      </c>
      <c r="F3181">
        <v>71</v>
      </c>
      <c r="G3181">
        <v>5914.3</v>
      </c>
      <c r="H3181" t="s">
        <v>12</v>
      </c>
      <c r="I3181" t="str">
        <f t="shared" si="148"/>
        <v>High Value</v>
      </c>
      <c r="J3181" t="str">
        <f t="shared" si="149"/>
        <v>Low Risk</v>
      </c>
      <c r="K3181" s="3" t="str">
        <f t="shared" si="147"/>
        <v>4+ Years</v>
      </c>
    </row>
    <row r="3182" spans="1:11" x14ac:dyDescent="0.3">
      <c r="A3182" t="s">
        <v>3199</v>
      </c>
      <c r="B3182" t="s">
        <v>9</v>
      </c>
      <c r="C3182" t="s">
        <v>10</v>
      </c>
      <c r="D3182" t="s">
        <v>16</v>
      </c>
      <c r="E3182">
        <v>25.05</v>
      </c>
      <c r="F3182">
        <v>1</v>
      </c>
      <c r="G3182">
        <v>25.05</v>
      </c>
      <c r="H3182" t="s">
        <v>18</v>
      </c>
      <c r="I3182" t="str">
        <f t="shared" si="148"/>
        <v>Low Value</v>
      </c>
      <c r="J3182" t="str">
        <f t="shared" si="149"/>
        <v>High Risk</v>
      </c>
      <c r="K3182" s="3" t="str">
        <f t="shared" si="147"/>
        <v>0-1 Year</v>
      </c>
    </row>
    <row r="3183" spans="1:11" x14ac:dyDescent="0.3">
      <c r="A3183" t="s">
        <v>3200</v>
      </c>
      <c r="B3183" t="s">
        <v>9</v>
      </c>
      <c r="C3183" t="s">
        <v>30</v>
      </c>
      <c r="D3183" t="s">
        <v>24</v>
      </c>
      <c r="E3183">
        <v>20.3</v>
      </c>
      <c r="F3183">
        <v>58</v>
      </c>
      <c r="G3183">
        <v>1177.4000000000001</v>
      </c>
      <c r="H3183" t="s">
        <v>12</v>
      </c>
      <c r="I3183" t="str">
        <f t="shared" si="148"/>
        <v>Low Value</v>
      </c>
      <c r="J3183" t="str">
        <f t="shared" si="149"/>
        <v>Low Risk</v>
      </c>
      <c r="K3183" s="3" t="str">
        <f t="shared" si="147"/>
        <v>4+ Years</v>
      </c>
    </row>
    <row r="3184" spans="1:11" x14ac:dyDescent="0.3">
      <c r="A3184" t="s">
        <v>3201</v>
      </c>
      <c r="B3184" t="s">
        <v>14</v>
      </c>
      <c r="C3184" t="s">
        <v>10</v>
      </c>
      <c r="D3184" t="s">
        <v>11</v>
      </c>
      <c r="E3184">
        <v>89.85</v>
      </c>
      <c r="F3184">
        <v>34</v>
      </c>
      <c r="G3184">
        <v>3054.8999999999901</v>
      </c>
      <c r="H3184" t="s">
        <v>12</v>
      </c>
      <c r="I3184" t="str">
        <f t="shared" si="148"/>
        <v>Medium Value</v>
      </c>
      <c r="J3184" t="str">
        <f t="shared" si="149"/>
        <v>Low Risk</v>
      </c>
      <c r="K3184" s="3" t="str">
        <f t="shared" si="147"/>
        <v>2-4 Years</v>
      </c>
    </row>
    <row r="3185" spans="1:11" x14ac:dyDescent="0.3">
      <c r="A3185" t="s">
        <v>3202</v>
      </c>
      <c r="B3185" t="s">
        <v>9</v>
      </c>
      <c r="C3185" t="s">
        <v>10</v>
      </c>
      <c r="D3185" t="s">
        <v>11</v>
      </c>
      <c r="E3185">
        <v>49.85</v>
      </c>
      <c r="F3185">
        <v>8</v>
      </c>
      <c r="G3185">
        <v>398.8</v>
      </c>
      <c r="H3185" t="s">
        <v>18</v>
      </c>
      <c r="I3185" t="str">
        <f t="shared" si="148"/>
        <v>Low Value</v>
      </c>
      <c r="J3185" t="str">
        <f t="shared" si="149"/>
        <v>High Risk</v>
      </c>
      <c r="K3185" s="3" t="str">
        <f t="shared" si="147"/>
        <v>0-1 Year</v>
      </c>
    </row>
    <row r="3186" spans="1:11" x14ac:dyDescent="0.3">
      <c r="A3186" t="s">
        <v>3203</v>
      </c>
      <c r="B3186" t="s">
        <v>9</v>
      </c>
      <c r="C3186" t="s">
        <v>10</v>
      </c>
      <c r="D3186" t="s">
        <v>16</v>
      </c>
      <c r="E3186">
        <v>19.8</v>
      </c>
      <c r="F3186">
        <v>15</v>
      </c>
      <c r="G3186">
        <v>297</v>
      </c>
      <c r="H3186" t="s">
        <v>12</v>
      </c>
      <c r="I3186" t="str">
        <f t="shared" si="148"/>
        <v>Low Value</v>
      </c>
      <c r="J3186" t="str">
        <f t="shared" si="149"/>
        <v>Medium Risk</v>
      </c>
      <c r="K3186" s="3" t="str">
        <f t="shared" si="147"/>
        <v>1-2 Years</v>
      </c>
    </row>
    <row r="3187" spans="1:11" x14ac:dyDescent="0.3">
      <c r="A3187" t="s">
        <v>3204</v>
      </c>
      <c r="B3187" t="s">
        <v>14</v>
      </c>
      <c r="C3187" t="s">
        <v>30</v>
      </c>
      <c r="D3187" t="s">
        <v>20</v>
      </c>
      <c r="E3187">
        <v>54.65</v>
      </c>
      <c r="F3187">
        <v>66</v>
      </c>
      <c r="G3187">
        <v>3606.9</v>
      </c>
      <c r="H3187" t="s">
        <v>12</v>
      </c>
      <c r="I3187" t="str">
        <f t="shared" si="148"/>
        <v>Medium Value</v>
      </c>
      <c r="J3187" t="str">
        <f t="shared" si="149"/>
        <v>Low Risk</v>
      </c>
      <c r="K3187" s="3" t="str">
        <f t="shared" si="147"/>
        <v>4+ Years</v>
      </c>
    </row>
    <row r="3188" spans="1:11" x14ac:dyDescent="0.3">
      <c r="A3188" t="s">
        <v>3205</v>
      </c>
      <c r="B3188" t="s">
        <v>14</v>
      </c>
      <c r="C3188" t="s">
        <v>10</v>
      </c>
      <c r="D3188" t="s">
        <v>24</v>
      </c>
      <c r="E3188">
        <v>29.35</v>
      </c>
      <c r="F3188">
        <v>12</v>
      </c>
      <c r="G3188">
        <v>352.2</v>
      </c>
      <c r="H3188" t="s">
        <v>12</v>
      </c>
      <c r="I3188" t="str">
        <f t="shared" si="148"/>
        <v>Low Value</v>
      </c>
      <c r="J3188" t="str">
        <f t="shared" si="149"/>
        <v>Medium Risk</v>
      </c>
      <c r="K3188" s="3" t="str">
        <f t="shared" si="147"/>
        <v>0-1 Year</v>
      </c>
    </row>
    <row r="3189" spans="1:11" x14ac:dyDescent="0.3">
      <c r="A3189" t="s">
        <v>3206</v>
      </c>
      <c r="B3189" t="s">
        <v>14</v>
      </c>
      <c r="C3189" t="s">
        <v>30</v>
      </c>
      <c r="D3189" t="s">
        <v>20</v>
      </c>
      <c r="E3189">
        <v>19.149999999999999</v>
      </c>
      <c r="F3189">
        <v>58</v>
      </c>
      <c r="G3189">
        <v>1110.69999999999</v>
      </c>
      <c r="H3189" t="s">
        <v>12</v>
      </c>
      <c r="I3189" t="str">
        <f t="shared" si="148"/>
        <v>Low Value</v>
      </c>
      <c r="J3189" t="str">
        <f t="shared" si="149"/>
        <v>Low Risk</v>
      </c>
      <c r="K3189" s="3" t="str">
        <f t="shared" si="147"/>
        <v>4+ Years</v>
      </c>
    </row>
    <row r="3190" spans="1:11" x14ac:dyDescent="0.3">
      <c r="A3190" t="s">
        <v>3207</v>
      </c>
      <c r="B3190" t="s">
        <v>9</v>
      </c>
      <c r="C3190" t="s">
        <v>30</v>
      </c>
      <c r="D3190" t="s">
        <v>16</v>
      </c>
      <c r="E3190">
        <v>19.100000000000001</v>
      </c>
      <c r="F3190">
        <v>3</v>
      </c>
      <c r="G3190">
        <v>57.3</v>
      </c>
      <c r="H3190" t="s">
        <v>12</v>
      </c>
      <c r="I3190" t="str">
        <f t="shared" si="148"/>
        <v>Low Value</v>
      </c>
      <c r="J3190" t="str">
        <f t="shared" si="149"/>
        <v>High Risk</v>
      </c>
      <c r="K3190" s="3" t="str">
        <f t="shared" si="147"/>
        <v>0-1 Year</v>
      </c>
    </row>
    <row r="3191" spans="1:11" x14ac:dyDescent="0.3">
      <c r="A3191" t="s">
        <v>3208</v>
      </c>
      <c r="B3191" t="s">
        <v>9</v>
      </c>
      <c r="C3191" t="s">
        <v>10</v>
      </c>
      <c r="D3191" t="s">
        <v>24</v>
      </c>
      <c r="E3191">
        <v>55.55</v>
      </c>
      <c r="F3191">
        <v>43</v>
      </c>
      <c r="G3191">
        <v>2388.65</v>
      </c>
      <c r="H3191" t="s">
        <v>18</v>
      </c>
      <c r="I3191" t="str">
        <f t="shared" si="148"/>
        <v>Medium Value</v>
      </c>
      <c r="J3191" t="str">
        <f t="shared" si="149"/>
        <v>Low Risk</v>
      </c>
      <c r="K3191" s="3" t="str">
        <f t="shared" si="147"/>
        <v>2-4 Years</v>
      </c>
    </row>
    <row r="3192" spans="1:11" x14ac:dyDescent="0.3">
      <c r="A3192" t="s">
        <v>3209</v>
      </c>
      <c r="B3192" t="s">
        <v>9</v>
      </c>
      <c r="C3192" t="s">
        <v>10</v>
      </c>
      <c r="D3192" t="s">
        <v>11</v>
      </c>
      <c r="E3192">
        <v>80.55</v>
      </c>
      <c r="F3192">
        <v>9</v>
      </c>
      <c r="G3192">
        <v>724.94999999999902</v>
      </c>
      <c r="H3192" t="s">
        <v>12</v>
      </c>
      <c r="I3192" t="str">
        <f t="shared" si="148"/>
        <v>Low Value</v>
      </c>
      <c r="J3192" t="str">
        <f t="shared" si="149"/>
        <v>High Risk</v>
      </c>
      <c r="K3192" s="3" t="str">
        <f t="shared" si="147"/>
        <v>0-1 Year</v>
      </c>
    </row>
    <row r="3193" spans="1:11" x14ac:dyDescent="0.3">
      <c r="A3193" t="s">
        <v>3210</v>
      </c>
      <c r="B3193" t="s">
        <v>9</v>
      </c>
      <c r="C3193" t="s">
        <v>15</v>
      </c>
      <c r="D3193" t="s">
        <v>16</v>
      </c>
      <c r="E3193">
        <v>20.25</v>
      </c>
      <c r="F3193">
        <v>3</v>
      </c>
      <c r="G3193">
        <v>60.75</v>
      </c>
      <c r="H3193" t="s">
        <v>12</v>
      </c>
      <c r="I3193" t="str">
        <f t="shared" si="148"/>
        <v>Low Value</v>
      </c>
      <c r="J3193" t="str">
        <f t="shared" si="149"/>
        <v>High Risk</v>
      </c>
      <c r="K3193" s="3" t="str">
        <f t="shared" si="147"/>
        <v>0-1 Year</v>
      </c>
    </row>
    <row r="3194" spans="1:11" x14ac:dyDescent="0.3">
      <c r="A3194" t="s">
        <v>3211</v>
      </c>
      <c r="B3194" t="s">
        <v>9</v>
      </c>
      <c r="C3194" t="s">
        <v>15</v>
      </c>
      <c r="D3194" t="s">
        <v>20</v>
      </c>
      <c r="E3194">
        <v>69.5</v>
      </c>
      <c r="F3194">
        <v>22</v>
      </c>
      <c r="G3194">
        <v>1529</v>
      </c>
      <c r="H3194" t="s">
        <v>18</v>
      </c>
      <c r="I3194" t="str">
        <f t="shared" si="148"/>
        <v>Low Value</v>
      </c>
      <c r="J3194" t="str">
        <f t="shared" si="149"/>
        <v>Medium Risk</v>
      </c>
      <c r="K3194" s="3" t="str">
        <f t="shared" si="147"/>
        <v>1-2 Years</v>
      </c>
    </row>
    <row r="3195" spans="1:11" x14ac:dyDescent="0.3">
      <c r="A3195" t="s">
        <v>3212</v>
      </c>
      <c r="B3195" t="s">
        <v>14</v>
      </c>
      <c r="C3195" t="s">
        <v>15</v>
      </c>
      <c r="D3195" t="s">
        <v>20</v>
      </c>
      <c r="E3195">
        <v>106</v>
      </c>
      <c r="F3195">
        <v>40</v>
      </c>
      <c r="G3195">
        <v>4240</v>
      </c>
      <c r="H3195" t="s">
        <v>12</v>
      </c>
      <c r="I3195" t="str">
        <f t="shared" si="148"/>
        <v>Medium Value</v>
      </c>
      <c r="J3195" t="str">
        <f t="shared" si="149"/>
        <v>Low Risk</v>
      </c>
      <c r="K3195" s="3" t="str">
        <f t="shared" si="147"/>
        <v>2-4 Years</v>
      </c>
    </row>
    <row r="3196" spans="1:11" x14ac:dyDescent="0.3">
      <c r="A3196" t="s">
        <v>3213</v>
      </c>
      <c r="B3196" t="s">
        <v>9</v>
      </c>
      <c r="C3196" t="s">
        <v>30</v>
      </c>
      <c r="D3196" t="s">
        <v>20</v>
      </c>
      <c r="E3196">
        <v>25.5</v>
      </c>
      <c r="F3196">
        <v>68</v>
      </c>
      <c r="G3196">
        <v>1734</v>
      </c>
      <c r="H3196" t="s">
        <v>12</v>
      </c>
      <c r="I3196" t="str">
        <f t="shared" si="148"/>
        <v>Low Value</v>
      </c>
      <c r="J3196" t="str">
        <f t="shared" si="149"/>
        <v>Low Risk</v>
      </c>
      <c r="K3196" s="3" t="str">
        <f t="shared" si="147"/>
        <v>4+ Years</v>
      </c>
    </row>
    <row r="3197" spans="1:11" x14ac:dyDescent="0.3">
      <c r="A3197" t="s">
        <v>3214</v>
      </c>
      <c r="B3197" t="s">
        <v>14</v>
      </c>
      <c r="C3197" t="s">
        <v>10</v>
      </c>
      <c r="D3197" t="s">
        <v>11</v>
      </c>
      <c r="E3197">
        <v>104.3</v>
      </c>
      <c r="F3197">
        <v>54</v>
      </c>
      <c r="G3197">
        <v>5632.2</v>
      </c>
      <c r="H3197" t="s">
        <v>18</v>
      </c>
      <c r="I3197" t="str">
        <f t="shared" si="148"/>
        <v>High Value</v>
      </c>
      <c r="J3197" t="str">
        <f t="shared" si="149"/>
        <v>Low Risk</v>
      </c>
      <c r="K3197" s="3" t="str">
        <f t="shared" si="147"/>
        <v>4+ Years</v>
      </c>
    </row>
    <row r="3198" spans="1:11" x14ac:dyDescent="0.3">
      <c r="A3198" t="s">
        <v>3215</v>
      </c>
      <c r="B3198" t="s">
        <v>9</v>
      </c>
      <c r="C3198" t="s">
        <v>30</v>
      </c>
      <c r="D3198" t="s">
        <v>16</v>
      </c>
      <c r="E3198">
        <v>79.599999999999994</v>
      </c>
      <c r="F3198">
        <v>50</v>
      </c>
      <c r="G3198">
        <v>3979.99999999999</v>
      </c>
      <c r="H3198" t="s">
        <v>12</v>
      </c>
      <c r="I3198" t="str">
        <f t="shared" si="148"/>
        <v>Medium Value</v>
      </c>
      <c r="J3198" t="str">
        <f t="shared" si="149"/>
        <v>Low Risk</v>
      </c>
      <c r="K3198" s="3" t="str">
        <f t="shared" si="147"/>
        <v>4+ Years</v>
      </c>
    </row>
    <row r="3199" spans="1:11" x14ac:dyDescent="0.3">
      <c r="A3199" t="s">
        <v>3216</v>
      </c>
      <c r="B3199" t="s">
        <v>14</v>
      </c>
      <c r="C3199" t="s">
        <v>10</v>
      </c>
      <c r="D3199" t="s">
        <v>11</v>
      </c>
      <c r="E3199">
        <v>55.25</v>
      </c>
      <c r="F3199">
        <v>1</v>
      </c>
      <c r="G3199">
        <v>55.25</v>
      </c>
      <c r="H3199" t="s">
        <v>12</v>
      </c>
      <c r="I3199" t="str">
        <f t="shared" si="148"/>
        <v>Low Value</v>
      </c>
      <c r="J3199" t="str">
        <f t="shared" si="149"/>
        <v>High Risk</v>
      </c>
      <c r="K3199" s="3" t="str">
        <f t="shared" si="147"/>
        <v>0-1 Year</v>
      </c>
    </row>
    <row r="3200" spans="1:11" x14ac:dyDescent="0.3">
      <c r="A3200" t="s">
        <v>3217</v>
      </c>
      <c r="B3200" t="s">
        <v>9</v>
      </c>
      <c r="C3200" t="s">
        <v>30</v>
      </c>
      <c r="D3200" t="s">
        <v>20</v>
      </c>
      <c r="E3200">
        <v>88.05</v>
      </c>
      <c r="F3200">
        <v>72</v>
      </c>
      <c r="G3200">
        <v>6339.5999999999904</v>
      </c>
      <c r="H3200" t="s">
        <v>12</v>
      </c>
      <c r="I3200" t="str">
        <f t="shared" si="148"/>
        <v>High Value</v>
      </c>
      <c r="J3200" t="str">
        <f t="shared" si="149"/>
        <v>Low Risk</v>
      </c>
      <c r="K3200" s="3" t="str">
        <f t="shared" si="147"/>
        <v>4+ Years</v>
      </c>
    </row>
    <row r="3201" spans="1:11" x14ac:dyDescent="0.3">
      <c r="A3201" t="s">
        <v>3218</v>
      </c>
      <c r="B3201" t="s">
        <v>14</v>
      </c>
      <c r="C3201" t="s">
        <v>15</v>
      </c>
      <c r="D3201" t="s">
        <v>20</v>
      </c>
      <c r="E3201">
        <v>20.399999999999999</v>
      </c>
      <c r="F3201">
        <v>40</v>
      </c>
      <c r="G3201">
        <v>816</v>
      </c>
      <c r="H3201" t="s">
        <v>12</v>
      </c>
      <c r="I3201" t="str">
        <f t="shared" si="148"/>
        <v>Low Value</v>
      </c>
      <c r="J3201" t="str">
        <f t="shared" si="149"/>
        <v>Low Risk</v>
      </c>
      <c r="K3201" s="3" t="str">
        <f t="shared" si="147"/>
        <v>2-4 Years</v>
      </c>
    </row>
    <row r="3202" spans="1:11" x14ac:dyDescent="0.3">
      <c r="A3202" t="s">
        <v>3219</v>
      </c>
      <c r="B3202" t="s">
        <v>9</v>
      </c>
      <c r="C3202" t="s">
        <v>30</v>
      </c>
      <c r="D3202" t="s">
        <v>20</v>
      </c>
      <c r="E3202">
        <v>117.6</v>
      </c>
      <c r="F3202">
        <v>72</v>
      </c>
      <c r="G3202">
        <v>8467.1999999999898</v>
      </c>
      <c r="H3202" t="s">
        <v>12</v>
      </c>
      <c r="I3202" t="str">
        <f t="shared" si="148"/>
        <v>High Value</v>
      </c>
      <c r="J3202" t="str">
        <f t="shared" si="149"/>
        <v>Low Risk</v>
      </c>
      <c r="K3202" s="3" t="str">
        <f t="shared" si="147"/>
        <v>4+ Years</v>
      </c>
    </row>
    <row r="3203" spans="1:11" x14ac:dyDescent="0.3">
      <c r="A3203" t="s">
        <v>3220</v>
      </c>
      <c r="B3203" t="s">
        <v>9</v>
      </c>
      <c r="C3203" t="s">
        <v>10</v>
      </c>
      <c r="D3203" t="s">
        <v>16</v>
      </c>
      <c r="E3203">
        <v>20</v>
      </c>
      <c r="F3203">
        <v>6</v>
      </c>
      <c r="G3203">
        <v>120</v>
      </c>
      <c r="H3203" t="s">
        <v>12</v>
      </c>
      <c r="I3203" t="str">
        <f t="shared" si="148"/>
        <v>Low Value</v>
      </c>
      <c r="J3203" t="str">
        <f t="shared" si="149"/>
        <v>High Risk</v>
      </c>
      <c r="K3203" s="3" t="str">
        <f t="shared" ref="K3203:K3266" si="150">IF(F3203&lt;=12,"0-1 Year",
IF(F3203&lt;=24,"1-2 Years",
IF(F3203&lt;=48,"2-4 Years","4+ Years")))</f>
        <v>0-1 Year</v>
      </c>
    </row>
    <row r="3204" spans="1:11" x14ac:dyDescent="0.3">
      <c r="A3204" t="s">
        <v>3221</v>
      </c>
      <c r="B3204" t="s">
        <v>9</v>
      </c>
      <c r="C3204" t="s">
        <v>10</v>
      </c>
      <c r="D3204" t="s">
        <v>24</v>
      </c>
      <c r="E3204">
        <v>19.649999999999999</v>
      </c>
      <c r="F3204">
        <v>5</v>
      </c>
      <c r="G3204">
        <v>98.25</v>
      </c>
      <c r="H3204" t="s">
        <v>12</v>
      </c>
      <c r="I3204" t="str">
        <f t="shared" ref="I3204:I3267" si="151">IF(G3204&gt;5000,"High Value",
IF(G3204&gt;2000,"Medium Value","Low Value"))</f>
        <v>Low Value</v>
      </c>
      <c r="J3204" t="str">
        <f t="shared" ref="J3204:J3267" si="152">IF(F3204&lt;12,"High Risk",
IF(F3204&lt;24,"Medium Risk","Low Risk"))</f>
        <v>High Risk</v>
      </c>
      <c r="K3204" s="3" t="str">
        <f t="shared" si="150"/>
        <v>0-1 Year</v>
      </c>
    </row>
    <row r="3205" spans="1:11" x14ac:dyDescent="0.3">
      <c r="A3205" t="s">
        <v>3222</v>
      </c>
      <c r="B3205" t="s">
        <v>14</v>
      </c>
      <c r="C3205" t="s">
        <v>15</v>
      </c>
      <c r="D3205" t="s">
        <v>24</v>
      </c>
      <c r="E3205">
        <v>70.55</v>
      </c>
      <c r="F3205">
        <v>48</v>
      </c>
      <c r="G3205">
        <v>3386.3999999999901</v>
      </c>
      <c r="H3205" t="s">
        <v>12</v>
      </c>
      <c r="I3205" t="str">
        <f t="shared" si="151"/>
        <v>Medium Value</v>
      </c>
      <c r="J3205" t="str">
        <f t="shared" si="152"/>
        <v>Low Risk</v>
      </c>
      <c r="K3205" s="3" t="str">
        <f t="shared" si="150"/>
        <v>2-4 Years</v>
      </c>
    </row>
    <row r="3206" spans="1:11" x14ac:dyDescent="0.3">
      <c r="A3206" t="s">
        <v>3223</v>
      </c>
      <c r="B3206" t="s">
        <v>9</v>
      </c>
      <c r="C3206" t="s">
        <v>10</v>
      </c>
      <c r="D3206" t="s">
        <v>11</v>
      </c>
      <c r="E3206">
        <v>93.85</v>
      </c>
      <c r="F3206">
        <v>1</v>
      </c>
      <c r="G3206">
        <v>93.85</v>
      </c>
      <c r="H3206" t="s">
        <v>18</v>
      </c>
      <c r="I3206" t="str">
        <f t="shared" si="151"/>
        <v>Low Value</v>
      </c>
      <c r="J3206" t="str">
        <f t="shared" si="152"/>
        <v>High Risk</v>
      </c>
      <c r="K3206" s="3" t="str">
        <f t="shared" si="150"/>
        <v>0-1 Year</v>
      </c>
    </row>
    <row r="3207" spans="1:11" x14ac:dyDescent="0.3">
      <c r="A3207" t="s">
        <v>3224</v>
      </c>
      <c r="B3207" t="s">
        <v>9</v>
      </c>
      <c r="C3207" t="s">
        <v>15</v>
      </c>
      <c r="D3207" t="s">
        <v>16</v>
      </c>
      <c r="E3207">
        <v>65.8</v>
      </c>
      <c r="F3207">
        <v>64</v>
      </c>
      <c r="G3207">
        <v>4211.2</v>
      </c>
      <c r="H3207" t="s">
        <v>12</v>
      </c>
      <c r="I3207" t="str">
        <f t="shared" si="151"/>
        <v>Medium Value</v>
      </c>
      <c r="J3207" t="str">
        <f t="shared" si="152"/>
        <v>Low Risk</v>
      </c>
      <c r="K3207" s="3" t="str">
        <f t="shared" si="150"/>
        <v>4+ Years</v>
      </c>
    </row>
    <row r="3208" spans="1:11" x14ac:dyDescent="0.3">
      <c r="A3208" t="s">
        <v>3225</v>
      </c>
      <c r="B3208" t="s">
        <v>9</v>
      </c>
      <c r="C3208" t="s">
        <v>15</v>
      </c>
      <c r="D3208" t="s">
        <v>24</v>
      </c>
      <c r="E3208">
        <v>20.05</v>
      </c>
      <c r="F3208">
        <v>17</v>
      </c>
      <c r="G3208">
        <v>340.85</v>
      </c>
      <c r="H3208" t="s">
        <v>12</v>
      </c>
      <c r="I3208" t="str">
        <f t="shared" si="151"/>
        <v>Low Value</v>
      </c>
      <c r="J3208" t="str">
        <f t="shared" si="152"/>
        <v>Medium Risk</v>
      </c>
      <c r="K3208" s="3" t="str">
        <f t="shared" si="150"/>
        <v>1-2 Years</v>
      </c>
    </row>
    <row r="3209" spans="1:11" x14ac:dyDescent="0.3">
      <c r="A3209" t="s">
        <v>3226</v>
      </c>
      <c r="B3209" t="s">
        <v>14</v>
      </c>
      <c r="C3209" t="s">
        <v>10</v>
      </c>
      <c r="D3209" t="s">
        <v>11</v>
      </c>
      <c r="E3209">
        <v>80</v>
      </c>
      <c r="F3209">
        <v>40</v>
      </c>
      <c r="G3209">
        <v>3200</v>
      </c>
      <c r="H3209" t="s">
        <v>12</v>
      </c>
      <c r="I3209" t="str">
        <f t="shared" si="151"/>
        <v>Medium Value</v>
      </c>
      <c r="J3209" t="str">
        <f t="shared" si="152"/>
        <v>Low Risk</v>
      </c>
      <c r="K3209" s="3" t="str">
        <f t="shared" si="150"/>
        <v>2-4 Years</v>
      </c>
    </row>
    <row r="3210" spans="1:11" x14ac:dyDescent="0.3">
      <c r="A3210" t="s">
        <v>3227</v>
      </c>
      <c r="B3210" t="s">
        <v>9</v>
      </c>
      <c r="C3210" t="s">
        <v>15</v>
      </c>
      <c r="D3210" t="s">
        <v>24</v>
      </c>
      <c r="E3210">
        <v>35.4</v>
      </c>
      <c r="F3210">
        <v>41</v>
      </c>
      <c r="G3210">
        <v>1451.3999999999901</v>
      </c>
      <c r="H3210" t="s">
        <v>12</v>
      </c>
      <c r="I3210" t="str">
        <f t="shared" si="151"/>
        <v>Low Value</v>
      </c>
      <c r="J3210" t="str">
        <f t="shared" si="152"/>
        <v>Low Risk</v>
      </c>
      <c r="K3210" s="3" t="str">
        <f t="shared" si="150"/>
        <v>2-4 Years</v>
      </c>
    </row>
    <row r="3211" spans="1:11" x14ac:dyDescent="0.3">
      <c r="A3211" t="s">
        <v>3228</v>
      </c>
      <c r="B3211" t="s">
        <v>14</v>
      </c>
      <c r="C3211" t="s">
        <v>15</v>
      </c>
      <c r="D3211" t="s">
        <v>20</v>
      </c>
      <c r="E3211">
        <v>79.599999999999994</v>
      </c>
      <c r="F3211">
        <v>51</v>
      </c>
      <c r="G3211">
        <v>4059.6</v>
      </c>
      <c r="H3211" t="s">
        <v>12</v>
      </c>
      <c r="I3211" t="str">
        <f t="shared" si="151"/>
        <v>Medium Value</v>
      </c>
      <c r="J3211" t="str">
        <f t="shared" si="152"/>
        <v>Low Risk</v>
      </c>
      <c r="K3211" s="3" t="str">
        <f t="shared" si="150"/>
        <v>4+ Years</v>
      </c>
    </row>
    <row r="3212" spans="1:11" x14ac:dyDescent="0.3">
      <c r="A3212" t="s">
        <v>3229</v>
      </c>
      <c r="B3212" t="s">
        <v>14</v>
      </c>
      <c r="C3212" t="s">
        <v>10</v>
      </c>
      <c r="D3212" t="s">
        <v>11</v>
      </c>
      <c r="E3212">
        <v>80.25</v>
      </c>
      <c r="F3212">
        <v>41</v>
      </c>
      <c r="G3212">
        <v>3290.25</v>
      </c>
      <c r="H3212" t="s">
        <v>12</v>
      </c>
      <c r="I3212" t="str">
        <f t="shared" si="151"/>
        <v>Medium Value</v>
      </c>
      <c r="J3212" t="str">
        <f t="shared" si="152"/>
        <v>Low Risk</v>
      </c>
      <c r="K3212" s="3" t="str">
        <f t="shared" si="150"/>
        <v>2-4 Years</v>
      </c>
    </row>
    <row r="3213" spans="1:11" x14ac:dyDescent="0.3">
      <c r="A3213" t="s">
        <v>3230</v>
      </c>
      <c r="B3213" t="s">
        <v>9</v>
      </c>
      <c r="C3213" t="s">
        <v>10</v>
      </c>
      <c r="D3213" t="s">
        <v>16</v>
      </c>
      <c r="E3213">
        <v>50.45</v>
      </c>
      <c r="F3213">
        <v>1</v>
      </c>
      <c r="G3213">
        <v>50.45</v>
      </c>
      <c r="H3213" t="s">
        <v>18</v>
      </c>
      <c r="I3213" t="str">
        <f t="shared" si="151"/>
        <v>Low Value</v>
      </c>
      <c r="J3213" t="str">
        <f t="shared" si="152"/>
        <v>High Risk</v>
      </c>
      <c r="K3213" s="3" t="str">
        <f t="shared" si="150"/>
        <v>0-1 Year</v>
      </c>
    </row>
    <row r="3214" spans="1:11" x14ac:dyDescent="0.3">
      <c r="A3214" t="s">
        <v>3231</v>
      </c>
      <c r="B3214" t="s">
        <v>9</v>
      </c>
      <c r="C3214" t="s">
        <v>10</v>
      </c>
      <c r="D3214" t="s">
        <v>16</v>
      </c>
      <c r="E3214">
        <v>20.45</v>
      </c>
      <c r="F3214">
        <v>2</v>
      </c>
      <c r="G3214">
        <v>40.9</v>
      </c>
      <c r="H3214" t="s">
        <v>12</v>
      </c>
      <c r="I3214" t="str">
        <f t="shared" si="151"/>
        <v>Low Value</v>
      </c>
      <c r="J3214" t="str">
        <f t="shared" si="152"/>
        <v>High Risk</v>
      </c>
      <c r="K3214" s="3" t="str">
        <f t="shared" si="150"/>
        <v>0-1 Year</v>
      </c>
    </row>
    <row r="3215" spans="1:11" x14ac:dyDescent="0.3">
      <c r="A3215" t="s">
        <v>3232</v>
      </c>
      <c r="B3215" t="s">
        <v>14</v>
      </c>
      <c r="C3215" t="s">
        <v>15</v>
      </c>
      <c r="D3215" t="s">
        <v>24</v>
      </c>
      <c r="E3215">
        <v>79.599999999999994</v>
      </c>
      <c r="F3215">
        <v>68</v>
      </c>
      <c r="G3215">
        <v>5412.7999999999902</v>
      </c>
      <c r="H3215" t="s">
        <v>12</v>
      </c>
      <c r="I3215" t="str">
        <f t="shared" si="151"/>
        <v>High Value</v>
      </c>
      <c r="J3215" t="str">
        <f t="shared" si="152"/>
        <v>Low Risk</v>
      </c>
      <c r="K3215" s="3" t="str">
        <f t="shared" si="150"/>
        <v>4+ Years</v>
      </c>
    </row>
    <row r="3216" spans="1:11" x14ac:dyDescent="0.3">
      <c r="A3216" t="s">
        <v>3233</v>
      </c>
      <c r="B3216" t="s">
        <v>9</v>
      </c>
      <c r="C3216" t="s">
        <v>30</v>
      </c>
      <c r="D3216" t="s">
        <v>16</v>
      </c>
      <c r="E3216">
        <v>24.7</v>
      </c>
      <c r="F3216">
        <v>24</v>
      </c>
      <c r="G3216">
        <v>592.79999999999995</v>
      </c>
      <c r="H3216" t="s">
        <v>12</v>
      </c>
      <c r="I3216" t="str">
        <f t="shared" si="151"/>
        <v>Low Value</v>
      </c>
      <c r="J3216" t="str">
        <f t="shared" si="152"/>
        <v>Low Risk</v>
      </c>
      <c r="K3216" s="3" t="str">
        <f t="shared" si="150"/>
        <v>1-2 Years</v>
      </c>
    </row>
    <row r="3217" spans="1:11" x14ac:dyDescent="0.3">
      <c r="A3217" t="s">
        <v>3234</v>
      </c>
      <c r="B3217" t="s">
        <v>14</v>
      </c>
      <c r="C3217" t="s">
        <v>30</v>
      </c>
      <c r="D3217" t="s">
        <v>24</v>
      </c>
      <c r="E3217">
        <v>77.3</v>
      </c>
      <c r="F3217">
        <v>70</v>
      </c>
      <c r="G3217">
        <v>5411</v>
      </c>
      <c r="H3217" t="s">
        <v>12</v>
      </c>
      <c r="I3217" t="str">
        <f t="shared" si="151"/>
        <v>High Value</v>
      </c>
      <c r="J3217" t="str">
        <f t="shared" si="152"/>
        <v>Low Risk</v>
      </c>
      <c r="K3217" s="3" t="str">
        <f t="shared" si="150"/>
        <v>4+ Years</v>
      </c>
    </row>
    <row r="3218" spans="1:11" x14ac:dyDescent="0.3">
      <c r="A3218" t="s">
        <v>3235</v>
      </c>
      <c r="B3218" t="s">
        <v>14</v>
      </c>
      <c r="C3218" t="s">
        <v>10</v>
      </c>
      <c r="D3218" t="s">
        <v>11</v>
      </c>
      <c r="E3218">
        <v>29.75</v>
      </c>
      <c r="F3218">
        <v>3</v>
      </c>
      <c r="G3218">
        <v>89.25</v>
      </c>
      <c r="H3218" t="s">
        <v>12</v>
      </c>
      <c r="I3218" t="str">
        <f t="shared" si="151"/>
        <v>Low Value</v>
      </c>
      <c r="J3218" t="str">
        <f t="shared" si="152"/>
        <v>High Risk</v>
      </c>
      <c r="K3218" s="3" t="str">
        <f t="shared" si="150"/>
        <v>0-1 Year</v>
      </c>
    </row>
    <row r="3219" spans="1:11" x14ac:dyDescent="0.3">
      <c r="A3219" t="s">
        <v>3236</v>
      </c>
      <c r="B3219" t="s">
        <v>14</v>
      </c>
      <c r="C3219" t="s">
        <v>10</v>
      </c>
      <c r="D3219" t="s">
        <v>20</v>
      </c>
      <c r="E3219">
        <v>44.9</v>
      </c>
      <c r="F3219">
        <v>2</v>
      </c>
      <c r="G3219">
        <v>89.8</v>
      </c>
      <c r="H3219" t="s">
        <v>12</v>
      </c>
      <c r="I3219" t="str">
        <f t="shared" si="151"/>
        <v>Low Value</v>
      </c>
      <c r="J3219" t="str">
        <f t="shared" si="152"/>
        <v>High Risk</v>
      </c>
      <c r="K3219" s="3" t="str">
        <f t="shared" si="150"/>
        <v>0-1 Year</v>
      </c>
    </row>
    <row r="3220" spans="1:11" x14ac:dyDescent="0.3">
      <c r="A3220" t="s">
        <v>3237</v>
      </c>
      <c r="B3220" t="s">
        <v>14</v>
      </c>
      <c r="C3220" t="s">
        <v>10</v>
      </c>
      <c r="D3220" t="s">
        <v>24</v>
      </c>
      <c r="E3220">
        <v>29.8</v>
      </c>
      <c r="F3220">
        <v>3</v>
      </c>
      <c r="G3220">
        <v>89.4</v>
      </c>
      <c r="H3220" t="s">
        <v>12</v>
      </c>
      <c r="I3220" t="str">
        <f t="shared" si="151"/>
        <v>Low Value</v>
      </c>
      <c r="J3220" t="str">
        <f t="shared" si="152"/>
        <v>High Risk</v>
      </c>
      <c r="K3220" s="3" t="str">
        <f t="shared" si="150"/>
        <v>0-1 Year</v>
      </c>
    </row>
    <row r="3221" spans="1:11" x14ac:dyDescent="0.3">
      <c r="A3221" t="s">
        <v>3238</v>
      </c>
      <c r="B3221" t="s">
        <v>9</v>
      </c>
      <c r="C3221" t="s">
        <v>10</v>
      </c>
      <c r="D3221" t="s">
        <v>11</v>
      </c>
      <c r="E3221">
        <v>74.650000000000006</v>
      </c>
      <c r="F3221">
        <v>7</v>
      </c>
      <c r="G3221">
        <v>522.54999999999995</v>
      </c>
      <c r="H3221" t="s">
        <v>18</v>
      </c>
      <c r="I3221" t="str">
        <f t="shared" si="151"/>
        <v>Low Value</v>
      </c>
      <c r="J3221" t="str">
        <f t="shared" si="152"/>
        <v>High Risk</v>
      </c>
      <c r="K3221" s="3" t="str">
        <f t="shared" si="150"/>
        <v>0-1 Year</v>
      </c>
    </row>
    <row r="3222" spans="1:11" x14ac:dyDescent="0.3">
      <c r="A3222" t="s">
        <v>3239</v>
      </c>
      <c r="B3222" t="s">
        <v>9</v>
      </c>
      <c r="C3222" t="s">
        <v>10</v>
      </c>
      <c r="D3222" t="s">
        <v>11</v>
      </c>
      <c r="E3222">
        <v>71.95</v>
      </c>
      <c r="F3222">
        <v>13</v>
      </c>
      <c r="G3222">
        <v>935.35</v>
      </c>
      <c r="H3222" t="s">
        <v>12</v>
      </c>
      <c r="I3222" t="str">
        <f t="shared" si="151"/>
        <v>Low Value</v>
      </c>
      <c r="J3222" t="str">
        <f t="shared" si="152"/>
        <v>Medium Risk</v>
      </c>
      <c r="K3222" s="3" t="str">
        <f t="shared" si="150"/>
        <v>1-2 Years</v>
      </c>
    </row>
    <row r="3223" spans="1:11" x14ac:dyDescent="0.3">
      <c r="A3223" t="s">
        <v>3240</v>
      </c>
      <c r="B3223" t="s">
        <v>14</v>
      </c>
      <c r="C3223" t="s">
        <v>10</v>
      </c>
      <c r="D3223" t="s">
        <v>16</v>
      </c>
      <c r="E3223">
        <v>20.75</v>
      </c>
      <c r="F3223">
        <v>7</v>
      </c>
      <c r="G3223">
        <v>145.25</v>
      </c>
      <c r="H3223" t="s">
        <v>12</v>
      </c>
      <c r="I3223" t="str">
        <f t="shared" si="151"/>
        <v>Low Value</v>
      </c>
      <c r="J3223" t="str">
        <f t="shared" si="152"/>
        <v>High Risk</v>
      </c>
      <c r="K3223" s="3" t="str">
        <f t="shared" si="150"/>
        <v>0-1 Year</v>
      </c>
    </row>
    <row r="3224" spans="1:11" x14ac:dyDescent="0.3">
      <c r="A3224" t="s">
        <v>3241</v>
      </c>
      <c r="B3224" t="s">
        <v>14</v>
      </c>
      <c r="C3224" t="s">
        <v>10</v>
      </c>
      <c r="D3224" t="s">
        <v>16</v>
      </c>
      <c r="E3224">
        <v>56.3</v>
      </c>
      <c r="F3224">
        <v>12</v>
      </c>
      <c r="G3224">
        <v>675.599999999999</v>
      </c>
      <c r="H3224" t="s">
        <v>12</v>
      </c>
      <c r="I3224" t="str">
        <f t="shared" si="151"/>
        <v>Low Value</v>
      </c>
      <c r="J3224" t="str">
        <f t="shared" si="152"/>
        <v>Medium Risk</v>
      </c>
      <c r="K3224" s="3" t="str">
        <f t="shared" si="150"/>
        <v>0-1 Year</v>
      </c>
    </row>
    <row r="3225" spans="1:11" x14ac:dyDescent="0.3">
      <c r="A3225" t="s">
        <v>3242</v>
      </c>
      <c r="B3225" t="s">
        <v>14</v>
      </c>
      <c r="C3225" t="s">
        <v>15</v>
      </c>
      <c r="D3225" t="s">
        <v>11</v>
      </c>
      <c r="E3225">
        <v>105.25</v>
      </c>
      <c r="F3225">
        <v>53</v>
      </c>
      <c r="G3225">
        <v>5578.25</v>
      </c>
      <c r="H3225" t="s">
        <v>12</v>
      </c>
      <c r="I3225" t="str">
        <f t="shared" si="151"/>
        <v>High Value</v>
      </c>
      <c r="J3225" t="str">
        <f t="shared" si="152"/>
        <v>Low Risk</v>
      </c>
      <c r="K3225" s="3" t="str">
        <f t="shared" si="150"/>
        <v>4+ Years</v>
      </c>
    </row>
    <row r="3226" spans="1:11" x14ac:dyDescent="0.3">
      <c r="A3226" t="s">
        <v>3243</v>
      </c>
      <c r="B3226" t="s">
        <v>9</v>
      </c>
      <c r="C3226" t="s">
        <v>10</v>
      </c>
      <c r="D3226" t="s">
        <v>11</v>
      </c>
      <c r="E3226">
        <v>94.2</v>
      </c>
      <c r="F3226">
        <v>12</v>
      </c>
      <c r="G3226">
        <v>1130.4000000000001</v>
      </c>
      <c r="H3226" t="s">
        <v>18</v>
      </c>
      <c r="I3226" t="str">
        <f t="shared" si="151"/>
        <v>Low Value</v>
      </c>
      <c r="J3226" t="str">
        <f t="shared" si="152"/>
        <v>Medium Risk</v>
      </c>
      <c r="K3226" s="3" t="str">
        <f t="shared" si="150"/>
        <v>0-1 Year</v>
      </c>
    </row>
    <row r="3227" spans="1:11" x14ac:dyDescent="0.3">
      <c r="A3227" t="s">
        <v>3244</v>
      </c>
      <c r="B3227" t="s">
        <v>14</v>
      </c>
      <c r="C3227" t="s">
        <v>30</v>
      </c>
      <c r="D3227" t="s">
        <v>16</v>
      </c>
      <c r="E3227">
        <v>19.55</v>
      </c>
      <c r="F3227">
        <v>63</v>
      </c>
      <c r="G3227">
        <v>1231.6500000000001</v>
      </c>
      <c r="H3227" t="s">
        <v>12</v>
      </c>
      <c r="I3227" t="str">
        <f t="shared" si="151"/>
        <v>Low Value</v>
      </c>
      <c r="J3227" t="str">
        <f t="shared" si="152"/>
        <v>Low Risk</v>
      </c>
      <c r="K3227" s="3" t="str">
        <f t="shared" si="150"/>
        <v>4+ Years</v>
      </c>
    </row>
    <row r="3228" spans="1:11" x14ac:dyDescent="0.3">
      <c r="A3228" t="s">
        <v>3245</v>
      </c>
      <c r="B3228" t="s">
        <v>9</v>
      </c>
      <c r="C3228" t="s">
        <v>10</v>
      </c>
      <c r="D3228" t="s">
        <v>16</v>
      </c>
      <c r="E3228">
        <v>84.45</v>
      </c>
      <c r="F3228">
        <v>15</v>
      </c>
      <c r="G3228">
        <v>1266.75</v>
      </c>
      <c r="H3228" t="s">
        <v>12</v>
      </c>
      <c r="I3228" t="str">
        <f t="shared" si="151"/>
        <v>Low Value</v>
      </c>
      <c r="J3228" t="str">
        <f t="shared" si="152"/>
        <v>Medium Risk</v>
      </c>
      <c r="K3228" s="3" t="str">
        <f t="shared" si="150"/>
        <v>1-2 Years</v>
      </c>
    </row>
    <row r="3229" spans="1:11" x14ac:dyDescent="0.3">
      <c r="A3229" t="s">
        <v>3246</v>
      </c>
      <c r="B3229" t="s">
        <v>14</v>
      </c>
      <c r="C3229" t="s">
        <v>15</v>
      </c>
      <c r="D3229" t="s">
        <v>16</v>
      </c>
      <c r="E3229">
        <v>53.65</v>
      </c>
      <c r="F3229">
        <v>36</v>
      </c>
      <c r="G3229">
        <v>1931.3999999999901</v>
      </c>
      <c r="H3229" t="s">
        <v>12</v>
      </c>
      <c r="I3229" t="str">
        <f t="shared" si="151"/>
        <v>Low Value</v>
      </c>
      <c r="J3229" t="str">
        <f t="shared" si="152"/>
        <v>Low Risk</v>
      </c>
      <c r="K3229" s="3" t="str">
        <f t="shared" si="150"/>
        <v>2-4 Years</v>
      </c>
    </row>
    <row r="3230" spans="1:11" x14ac:dyDescent="0.3">
      <c r="A3230" t="s">
        <v>3247</v>
      </c>
      <c r="B3230" t="s">
        <v>14</v>
      </c>
      <c r="C3230" t="s">
        <v>10</v>
      </c>
      <c r="D3230" t="s">
        <v>11</v>
      </c>
      <c r="E3230">
        <v>29.9</v>
      </c>
      <c r="F3230">
        <v>4</v>
      </c>
      <c r="G3230">
        <v>119.6</v>
      </c>
      <c r="H3230" t="s">
        <v>12</v>
      </c>
      <c r="I3230" t="str">
        <f t="shared" si="151"/>
        <v>Low Value</v>
      </c>
      <c r="J3230" t="str">
        <f t="shared" si="152"/>
        <v>High Risk</v>
      </c>
      <c r="K3230" s="3" t="str">
        <f t="shared" si="150"/>
        <v>0-1 Year</v>
      </c>
    </row>
    <row r="3231" spans="1:11" x14ac:dyDescent="0.3">
      <c r="A3231" t="s">
        <v>3248</v>
      </c>
      <c r="B3231" t="s">
        <v>9</v>
      </c>
      <c r="C3231" t="s">
        <v>30</v>
      </c>
      <c r="D3231" t="s">
        <v>16</v>
      </c>
      <c r="E3231">
        <v>19.7</v>
      </c>
      <c r="F3231">
        <v>24</v>
      </c>
      <c r="G3231">
        <v>472.79999999999899</v>
      </c>
      <c r="H3231" t="s">
        <v>12</v>
      </c>
      <c r="I3231" t="str">
        <f t="shared" si="151"/>
        <v>Low Value</v>
      </c>
      <c r="J3231" t="str">
        <f t="shared" si="152"/>
        <v>Low Risk</v>
      </c>
      <c r="K3231" s="3" t="str">
        <f t="shared" si="150"/>
        <v>1-2 Years</v>
      </c>
    </row>
    <row r="3232" spans="1:11" x14ac:dyDescent="0.3">
      <c r="A3232" t="s">
        <v>3249</v>
      </c>
      <c r="B3232" t="s">
        <v>9</v>
      </c>
      <c r="C3232" t="s">
        <v>15</v>
      </c>
      <c r="D3232" t="s">
        <v>24</v>
      </c>
      <c r="E3232">
        <v>43.7</v>
      </c>
      <c r="F3232">
        <v>61</v>
      </c>
      <c r="G3232">
        <v>2665.7</v>
      </c>
      <c r="H3232" t="s">
        <v>12</v>
      </c>
      <c r="I3232" t="str">
        <f t="shared" si="151"/>
        <v>Medium Value</v>
      </c>
      <c r="J3232" t="str">
        <f t="shared" si="152"/>
        <v>Low Risk</v>
      </c>
      <c r="K3232" s="3" t="str">
        <f t="shared" si="150"/>
        <v>4+ Years</v>
      </c>
    </row>
    <row r="3233" spans="1:11" x14ac:dyDescent="0.3">
      <c r="A3233" t="s">
        <v>3250</v>
      </c>
      <c r="B3233" t="s">
        <v>14</v>
      </c>
      <c r="C3233" t="s">
        <v>10</v>
      </c>
      <c r="D3233" t="s">
        <v>11</v>
      </c>
      <c r="E3233">
        <v>55.3</v>
      </c>
      <c r="F3233">
        <v>16</v>
      </c>
      <c r="G3233">
        <v>884.8</v>
      </c>
      <c r="H3233" t="s">
        <v>12</v>
      </c>
      <c r="I3233" t="str">
        <f t="shared" si="151"/>
        <v>Low Value</v>
      </c>
      <c r="J3233" t="str">
        <f t="shared" si="152"/>
        <v>Medium Risk</v>
      </c>
      <c r="K3233" s="3" t="str">
        <f t="shared" si="150"/>
        <v>1-2 Years</v>
      </c>
    </row>
    <row r="3234" spans="1:11" x14ac:dyDescent="0.3">
      <c r="A3234" t="s">
        <v>3251</v>
      </c>
      <c r="B3234" t="s">
        <v>14</v>
      </c>
      <c r="C3234" t="s">
        <v>30</v>
      </c>
      <c r="D3234" t="s">
        <v>24</v>
      </c>
      <c r="E3234">
        <v>19.850000000000001</v>
      </c>
      <c r="F3234">
        <v>65</v>
      </c>
      <c r="G3234">
        <v>1290.25</v>
      </c>
      <c r="H3234" t="s">
        <v>12</v>
      </c>
      <c r="I3234" t="str">
        <f t="shared" si="151"/>
        <v>Low Value</v>
      </c>
      <c r="J3234" t="str">
        <f t="shared" si="152"/>
        <v>Low Risk</v>
      </c>
      <c r="K3234" s="3" t="str">
        <f t="shared" si="150"/>
        <v>4+ Years</v>
      </c>
    </row>
    <row r="3235" spans="1:11" x14ac:dyDescent="0.3">
      <c r="A3235" t="s">
        <v>3252</v>
      </c>
      <c r="B3235" t="s">
        <v>9</v>
      </c>
      <c r="C3235" t="s">
        <v>30</v>
      </c>
      <c r="D3235" t="s">
        <v>24</v>
      </c>
      <c r="E3235">
        <v>19.649999999999999</v>
      </c>
      <c r="F3235">
        <v>26</v>
      </c>
      <c r="G3235">
        <v>510.9</v>
      </c>
      <c r="H3235" t="s">
        <v>12</v>
      </c>
      <c r="I3235" t="str">
        <f t="shared" si="151"/>
        <v>Low Value</v>
      </c>
      <c r="J3235" t="str">
        <f t="shared" si="152"/>
        <v>Low Risk</v>
      </c>
      <c r="K3235" s="3" t="str">
        <f t="shared" si="150"/>
        <v>2-4 Years</v>
      </c>
    </row>
    <row r="3236" spans="1:11" x14ac:dyDescent="0.3">
      <c r="A3236" t="s">
        <v>3253</v>
      </c>
      <c r="B3236" t="s">
        <v>14</v>
      </c>
      <c r="C3236" t="s">
        <v>10</v>
      </c>
      <c r="D3236" t="s">
        <v>16</v>
      </c>
      <c r="E3236">
        <v>49.45</v>
      </c>
      <c r="F3236">
        <v>16</v>
      </c>
      <c r="G3236">
        <v>791.2</v>
      </c>
      <c r="H3236" t="s">
        <v>12</v>
      </c>
      <c r="I3236" t="str">
        <f t="shared" si="151"/>
        <v>Low Value</v>
      </c>
      <c r="J3236" t="str">
        <f t="shared" si="152"/>
        <v>Medium Risk</v>
      </c>
      <c r="K3236" s="3" t="str">
        <f t="shared" si="150"/>
        <v>1-2 Years</v>
      </c>
    </row>
    <row r="3237" spans="1:11" x14ac:dyDescent="0.3">
      <c r="A3237" t="s">
        <v>3254</v>
      </c>
      <c r="B3237" t="s">
        <v>9</v>
      </c>
      <c r="C3237" t="s">
        <v>15</v>
      </c>
      <c r="D3237" t="s">
        <v>20</v>
      </c>
      <c r="E3237">
        <v>106.55</v>
      </c>
      <c r="F3237">
        <v>54</v>
      </c>
      <c r="G3237">
        <v>5753.7</v>
      </c>
      <c r="H3237" t="s">
        <v>18</v>
      </c>
      <c r="I3237" t="str">
        <f t="shared" si="151"/>
        <v>High Value</v>
      </c>
      <c r="J3237" t="str">
        <f t="shared" si="152"/>
        <v>Low Risk</v>
      </c>
      <c r="K3237" s="3" t="str">
        <f t="shared" si="150"/>
        <v>4+ Years</v>
      </c>
    </row>
    <row r="3238" spans="1:11" x14ac:dyDescent="0.3">
      <c r="A3238" t="s">
        <v>3255</v>
      </c>
      <c r="B3238" t="s">
        <v>14</v>
      </c>
      <c r="C3238" t="s">
        <v>10</v>
      </c>
      <c r="D3238" t="s">
        <v>16</v>
      </c>
      <c r="E3238">
        <v>20.100000000000001</v>
      </c>
      <c r="F3238">
        <v>1</v>
      </c>
      <c r="G3238">
        <v>20.100000000000001</v>
      </c>
      <c r="H3238" t="s">
        <v>18</v>
      </c>
      <c r="I3238" t="str">
        <f t="shared" si="151"/>
        <v>Low Value</v>
      </c>
      <c r="J3238" t="str">
        <f t="shared" si="152"/>
        <v>High Risk</v>
      </c>
      <c r="K3238" s="3" t="str">
        <f t="shared" si="150"/>
        <v>0-1 Year</v>
      </c>
    </row>
    <row r="3239" spans="1:11" x14ac:dyDescent="0.3">
      <c r="A3239" t="s">
        <v>3256</v>
      </c>
      <c r="B3239" t="s">
        <v>14</v>
      </c>
      <c r="C3239" t="s">
        <v>30</v>
      </c>
      <c r="D3239" t="s">
        <v>16</v>
      </c>
      <c r="E3239">
        <v>20.45</v>
      </c>
      <c r="F3239">
        <v>5</v>
      </c>
      <c r="G3239">
        <v>102.25</v>
      </c>
      <c r="H3239" t="s">
        <v>12</v>
      </c>
      <c r="I3239" t="str">
        <f t="shared" si="151"/>
        <v>Low Value</v>
      </c>
      <c r="J3239" t="str">
        <f t="shared" si="152"/>
        <v>High Risk</v>
      </c>
      <c r="K3239" s="3" t="str">
        <f t="shared" si="150"/>
        <v>0-1 Year</v>
      </c>
    </row>
    <row r="3240" spans="1:11" x14ac:dyDescent="0.3">
      <c r="A3240" t="s">
        <v>3257</v>
      </c>
      <c r="B3240" t="s">
        <v>9</v>
      </c>
      <c r="C3240" t="s">
        <v>10</v>
      </c>
      <c r="D3240" t="s">
        <v>11</v>
      </c>
      <c r="E3240">
        <v>39.700000000000003</v>
      </c>
      <c r="F3240">
        <v>19</v>
      </c>
      <c r="G3240">
        <v>754.3</v>
      </c>
      <c r="H3240" t="s">
        <v>12</v>
      </c>
      <c r="I3240" t="str">
        <f t="shared" si="151"/>
        <v>Low Value</v>
      </c>
      <c r="J3240" t="str">
        <f t="shared" si="152"/>
        <v>Medium Risk</v>
      </c>
      <c r="K3240" s="3" t="str">
        <f t="shared" si="150"/>
        <v>1-2 Years</v>
      </c>
    </row>
    <row r="3241" spans="1:11" x14ac:dyDescent="0.3">
      <c r="A3241" t="s">
        <v>3258</v>
      </c>
      <c r="B3241" t="s">
        <v>14</v>
      </c>
      <c r="C3241" t="s">
        <v>10</v>
      </c>
      <c r="D3241" t="s">
        <v>24</v>
      </c>
      <c r="E3241">
        <v>54.5</v>
      </c>
      <c r="F3241">
        <v>10</v>
      </c>
      <c r="G3241">
        <v>545</v>
      </c>
      <c r="H3241" t="s">
        <v>12</v>
      </c>
      <c r="I3241" t="str">
        <f t="shared" si="151"/>
        <v>Low Value</v>
      </c>
      <c r="J3241" t="str">
        <f t="shared" si="152"/>
        <v>High Risk</v>
      </c>
      <c r="K3241" s="3" t="str">
        <f t="shared" si="150"/>
        <v>0-1 Year</v>
      </c>
    </row>
    <row r="3242" spans="1:11" x14ac:dyDescent="0.3">
      <c r="A3242" t="s">
        <v>3259</v>
      </c>
      <c r="B3242" t="s">
        <v>9</v>
      </c>
      <c r="C3242" t="s">
        <v>10</v>
      </c>
      <c r="D3242" t="s">
        <v>11</v>
      </c>
      <c r="E3242">
        <v>83.8</v>
      </c>
      <c r="F3242">
        <v>23</v>
      </c>
      <c r="G3242">
        <v>1927.3999999999901</v>
      </c>
      <c r="H3242" t="s">
        <v>18</v>
      </c>
      <c r="I3242" t="str">
        <f t="shared" si="151"/>
        <v>Low Value</v>
      </c>
      <c r="J3242" t="str">
        <f t="shared" si="152"/>
        <v>Medium Risk</v>
      </c>
      <c r="K3242" s="3" t="str">
        <f t="shared" si="150"/>
        <v>1-2 Years</v>
      </c>
    </row>
    <row r="3243" spans="1:11" x14ac:dyDescent="0.3">
      <c r="A3243" t="s">
        <v>3260</v>
      </c>
      <c r="B3243" t="s">
        <v>14</v>
      </c>
      <c r="C3243" t="s">
        <v>10</v>
      </c>
      <c r="D3243" t="s">
        <v>16</v>
      </c>
      <c r="E3243">
        <v>55.15</v>
      </c>
      <c r="F3243">
        <v>3</v>
      </c>
      <c r="G3243">
        <v>165.45</v>
      </c>
      <c r="H3243" t="s">
        <v>18</v>
      </c>
      <c r="I3243" t="str">
        <f t="shared" si="151"/>
        <v>Low Value</v>
      </c>
      <c r="J3243" t="str">
        <f t="shared" si="152"/>
        <v>High Risk</v>
      </c>
      <c r="K3243" s="3" t="str">
        <f t="shared" si="150"/>
        <v>0-1 Year</v>
      </c>
    </row>
    <row r="3244" spans="1:11" x14ac:dyDescent="0.3">
      <c r="A3244" t="s">
        <v>3261</v>
      </c>
      <c r="B3244" t="s">
        <v>9</v>
      </c>
      <c r="C3244" t="s">
        <v>30</v>
      </c>
      <c r="D3244" t="s">
        <v>20</v>
      </c>
      <c r="E3244">
        <v>111.6</v>
      </c>
      <c r="F3244">
        <v>72</v>
      </c>
      <c r="G3244">
        <v>8035.2</v>
      </c>
      <c r="H3244" t="s">
        <v>12</v>
      </c>
      <c r="I3244" t="str">
        <f t="shared" si="151"/>
        <v>High Value</v>
      </c>
      <c r="J3244" t="str">
        <f t="shared" si="152"/>
        <v>Low Risk</v>
      </c>
      <c r="K3244" s="3" t="str">
        <f t="shared" si="150"/>
        <v>4+ Years</v>
      </c>
    </row>
    <row r="3245" spans="1:11" x14ac:dyDescent="0.3">
      <c r="A3245" t="s">
        <v>3262</v>
      </c>
      <c r="B3245" t="s">
        <v>14</v>
      </c>
      <c r="C3245" t="s">
        <v>10</v>
      </c>
      <c r="D3245" t="s">
        <v>11</v>
      </c>
      <c r="E3245">
        <v>86.65</v>
      </c>
      <c r="F3245">
        <v>10</v>
      </c>
      <c r="G3245">
        <v>866.5</v>
      </c>
      <c r="H3245" t="s">
        <v>18</v>
      </c>
      <c r="I3245" t="str">
        <f t="shared" si="151"/>
        <v>Low Value</v>
      </c>
      <c r="J3245" t="str">
        <f t="shared" si="152"/>
        <v>High Risk</v>
      </c>
      <c r="K3245" s="3" t="str">
        <f t="shared" si="150"/>
        <v>0-1 Year</v>
      </c>
    </row>
    <row r="3246" spans="1:11" x14ac:dyDescent="0.3">
      <c r="A3246" t="s">
        <v>3263</v>
      </c>
      <c r="B3246" t="s">
        <v>9</v>
      </c>
      <c r="C3246" t="s">
        <v>10</v>
      </c>
      <c r="D3246" t="s">
        <v>16</v>
      </c>
      <c r="E3246">
        <v>55.55</v>
      </c>
      <c r="F3246">
        <v>10</v>
      </c>
      <c r="G3246">
        <v>555.5</v>
      </c>
      <c r="H3246" t="s">
        <v>12</v>
      </c>
      <c r="I3246" t="str">
        <f t="shared" si="151"/>
        <v>Low Value</v>
      </c>
      <c r="J3246" t="str">
        <f t="shared" si="152"/>
        <v>High Risk</v>
      </c>
      <c r="K3246" s="3" t="str">
        <f t="shared" si="150"/>
        <v>0-1 Year</v>
      </c>
    </row>
    <row r="3247" spans="1:11" x14ac:dyDescent="0.3">
      <c r="A3247" t="s">
        <v>3264</v>
      </c>
      <c r="B3247" t="s">
        <v>14</v>
      </c>
      <c r="C3247" t="s">
        <v>15</v>
      </c>
      <c r="D3247" t="s">
        <v>16</v>
      </c>
      <c r="E3247">
        <v>20.55</v>
      </c>
      <c r="F3247">
        <v>11</v>
      </c>
      <c r="G3247">
        <v>226.05</v>
      </c>
      <c r="H3247" t="s">
        <v>12</v>
      </c>
      <c r="I3247" t="str">
        <f t="shared" si="151"/>
        <v>Low Value</v>
      </c>
      <c r="J3247" t="str">
        <f t="shared" si="152"/>
        <v>High Risk</v>
      </c>
      <c r="K3247" s="3" t="str">
        <f t="shared" si="150"/>
        <v>0-1 Year</v>
      </c>
    </row>
    <row r="3248" spans="1:11" x14ac:dyDescent="0.3">
      <c r="A3248" t="s">
        <v>3265</v>
      </c>
      <c r="B3248" t="s">
        <v>9</v>
      </c>
      <c r="C3248" t="s">
        <v>10</v>
      </c>
      <c r="D3248" t="s">
        <v>20</v>
      </c>
      <c r="E3248">
        <v>106.75</v>
      </c>
      <c r="F3248">
        <v>37</v>
      </c>
      <c r="G3248">
        <v>3949.75</v>
      </c>
      <c r="H3248" t="s">
        <v>18</v>
      </c>
      <c r="I3248" t="str">
        <f t="shared" si="151"/>
        <v>Medium Value</v>
      </c>
      <c r="J3248" t="str">
        <f t="shared" si="152"/>
        <v>Low Risk</v>
      </c>
      <c r="K3248" s="3" t="str">
        <f t="shared" si="150"/>
        <v>2-4 Years</v>
      </c>
    </row>
    <row r="3249" spans="1:11" x14ac:dyDescent="0.3">
      <c r="A3249" t="s">
        <v>3266</v>
      </c>
      <c r="B3249" t="s">
        <v>14</v>
      </c>
      <c r="C3249" t="s">
        <v>15</v>
      </c>
      <c r="D3249" t="s">
        <v>16</v>
      </c>
      <c r="E3249">
        <v>62.1</v>
      </c>
      <c r="F3249">
        <v>17</v>
      </c>
      <c r="G3249">
        <v>1055.7</v>
      </c>
      <c r="H3249" t="s">
        <v>12</v>
      </c>
      <c r="I3249" t="str">
        <f t="shared" si="151"/>
        <v>Low Value</v>
      </c>
      <c r="J3249" t="str">
        <f t="shared" si="152"/>
        <v>Medium Risk</v>
      </c>
      <c r="K3249" s="3" t="str">
        <f t="shared" si="150"/>
        <v>1-2 Years</v>
      </c>
    </row>
    <row r="3250" spans="1:11" x14ac:dyDescent="0.3">
      <c r="A3250" t="s">
        <v>3267</v>
      </c>
      <c r="B3250" t="s">
        <v>9</v>
      </c>
      <c r="C3250" t="s">
        <v>10</v>
      </c>
      <c r="D3250" t="s">
        <v>24</v>
      </c>
      <c r="E3250">
        <v>104.5</v>
      </c>
      <c r="F3250">
        <v>36</v>
      </c>
      <c r="G3250">
        <v>3762</v>
      </c>
      <c r="H3250" t="s">
        <v>12</v>
      </c>
      <c r="I3250" t="str">
        <f t="shared" si="151"/>
        <v>Medium Value</v>
      </c>
      <c r="J3250" t="str">
        <f t="shared" si="152"/>
        <v>Low Risk</v>
      </c>
      <c r="K3250" s="3" t="str">
        <f t="shared" si="150"/>
        <v>2-4 Years</v>
      </c>
    </row>
    <row r="3251" spans="1:11" x14ac:dyDescent="0.3">
      <c r="A3251" t="s">
        <v>3268</v>
      </c>
      <c r="B3251" t="s">
        <v>14</v>
      </c>
      <c r="C3251" t="s">
        <v>10</v>
      </c>
      <c r="D3251" t="s">
        <v>11</v>
      </c>
      <c r="E3251">
        <v>101.8</v>
      </c>
      <c r="F3251">
        <v>17</v>
      </c>
      <c r="G3251">
        <v>1730.6</v>
      </c>
      <c r="H3251" t="s">
        <v>12</v>
      </c>
      <c r="I3251" t="str">
        <f t="shared" si="151"/>
        <v>Low Value</v>
      </c>
      <c r="J3251" t="str">
        <f t="shared" si="152"/>
        <v>Medium Risk</v>
      </c>
      <c r="K3251" s="3" t="str">
        <f t="shared" si="150"/>
        <v>1-2 Years</v>
      </c>
    </row>
    <row r="3252" spans="1:11" x14ac:dyDescent="0.3">
      <c r="A3252" t="s">
        <v>3269</v>
      </c>
      <c r="B3252" t="s">
        <v>9</v>
      </c>
      <c r="C3252" t="s">
        <v>15</v>
      </c>
      <c r="D3252" t="s">
        <v>24</v>
      </c>
      <c r="E3252">
        <v>110.6</v>
      </c>
      <c r="F3252">
        <v>66</v>
      </c>
      <c r="G3252">
        <v>7299.5999999999904</v>
      </c>
      <c r="H3252" t="s">
        <v>12</v>
      </c>
      <c r="I3252" t="str">
        <f t="shared" si="151"/>
        <v>High Value</v>
      </c>
      <c r="J3252" t="str">
        <f t="shared" si="152"/>
        <v>Low Risk</v>
      </c>
      <c r="K3252" s="3" t="str">
        <f t="shared" si="150"/>
        <v>4+ Years</v>
      </c>
    </row>
    <row r="3253" spans="1:11" x14ac:dyDescent="0.3">
      <c r="A3253" t="s">
        <v>3270</v>
      </c>
      <c r="B3253" t="s">
        <v>14</v>
      </c>
      <c r="C3253" t="s">
        <v>15</v>
      </c>
      <c r="D3253" t="s">
        <v>20</v>
      </c>
      <c r="E3253">
        <v>84.9</v>
      </c>
      <c r="F3253">
        <v>61</v>
      </c>
      <c r="G3253">
        <v>5178.8999999999996</v>
      </c>
      <c r="H3253" t="s">
        <v>12</v>
      </c>
      <c r="I3253" t="str">
        <f t="shared" si="151"/>
        <v>High Value</v>
      </c>
      <c r="J3253" t="str">
        <f t="shared" si="152"/>
        <v>Low Risk</v>
      </c>
      <c r="K3253" s="3" t="str">
        <f t="shared" si="150"/>
        <v>4+ Years</v>
      </c>
    </row>
    <row r="3254" spans="1:11" x14ac:dyDescent="0.3">
      <c r="A3254" t="s">
        <v>3271</v>
      </c>
      <c r="B3254" t="s">
        <v>14</v>
      </c>
      <c r="C3254" t="s">
        <v>10</v>
      </c>
      <c r="D3254" t="s">
        <v>16</v>
      </c>
      <c r="E3254">
        <v>93.2</v>
      </c>
      <c r="F3254">
        <v>22</v>
      </c>
      <c r="G3254">
        <v>2050.4</v>
      </c>
      <c r="H3254" t="s">
        <v>12</v>
      </c>
      <c r="I3254" t="str">
        <f t="shared" si="151"/>
        <v>Medium Value</v>
      </c>
      <c r="J3254" t="str">
        <f t="shared" si="152"/>
        <v>Medium Risk</v>
      </c>
      <c r="K3254" s="3" t="str">
        <f t="shared" si="150"/>
        <v>1-2 Years</v>
      </c>
    </row>
    <row r="3255" spans="1:11" x14ac:dyDescent="0.3">
      <c r="A3255" t="s">
        <v>3272</v>
      </c>
      <c r="B3255" t="s">
        <v>14</v>
      </c>
      <c r="C3255" t="s">
        <v>10</v>
      </c>
      <c r="D3255" t="s">
        <v>11</v>
      </c>
      <c r="E3255">
        <v>24.4</v>
      </c>
      <c r="F3255">
        <v>1</v>
      </c>
      <c r="G3255">
        <v>24.4</v>
      </c>
      <c r="H3255" t="s">
        <v>12</v>
      </c>
      <c r="I3255" t="str">
        <f t="shared" si="151"/>
        <v>Low Value</v>
      </c>
      <c r="J3255" t="str">
        <f t="shared" si="152"/>
        <v>High Risk</v>
      </c>
      <c r="K3255" s="3" t="str">
        <f t="shared" si="150"/>
        <v>0-1 Year</v>
      </c>
    </row>
    <row r="3256" spans="1:11" x14ac:dyDescent="0.3">
      <c r="A3256" t="s">
        <v>3273</v>
      </c>
      <c r="B3256" t="s">
        <v>9</v>
      </c>
      <c r="C3256" t="s">
        <v>10</v>
      </c>
      <c r="D3256" t="s">
        <v>24</v>
      </c>
      <c r="E3256">
        <v>70.55</v>
      </c>
      <c r="F3256">
        <v>6</v>
      </c>
      <c r="G3256">
        <v>423.29999999999899</v>
      </c>
      <c r="H3256" t="s">
        <v>12</v>
      </c>
      <c r="I3256" t="str">
        <f t="shared" si="151"/>
        <v>Low Value</v>
      </c>
      <c r="J3256" t="str">
        <f t="shared" si="152"/>
        <v>High Risk</v>
      </c>
      <c r="K3256" s="3" t="str">
        <f t="shared" si="150"/>
        <v>0-1 Year</v>
      </c>
    </row>
    <row r="3257" spans="1:11" x14ac:dyDescent="0.3">
      <c r="A3257" t="s">
        <v>3274</v>
      </c>
      <c r="B3257" t="s">
        <v>14</v>
      </c>
      <c r="C3257" t="s">
        <v>10</v>
      </c>
      <c r="D3257" t="s">
        <v>11</v>
      </c>
      <c r="E3257">
        <v>78.45</v>
      </c>
      <c r="F3257">
        <v>31</v>
      </c>
      <c r="G3257">
        <v>2431.9499999999998</v>
      </c>
      <c r="H3257" t="s">
        <v>18</v>
      </c>
      <c r="I3257" t="str">
        <f t="shared" si="151"/>
        <v>Medium Value</v>
      </c>
      <c r="J3257" t="str">
        <f t="shared" si="152"/>
        <v>Low Risk</v>
      </c>
      <c r="K3257" s="3" t="str">
        <f t="shared" si="150"/>
        <v>2-4 Years</v>
      </c>
    </row>
    <row r="3258" spans="1:11" x14ac:dyDescent="0.3">
      <c r="A3258" t="s">
        <v>3275</v>
      </c>
      <c r="B3258" t="s">
        <v>9</v>
      </c>
      <c r="C3258" t="s">
        <v>30</v>
      </c>
      <c r="D3258" t="s">
        <v>24</v>
      </c>
      <c r="E3258">
        <v>85</v>
      </c>
      <c r="F3258">
        <v>68</v>
      </c>
      <c r="G3258">
        <v>5780</v>
      </c>
      <c r="H3258" t="s">
        <v>12</v>
      </c>
      <c r="I3258" t="str">
        <f t="shared" si="151"/>
        <v>High Value</v>
      </c>
      <c r="J3258" t="str">
        <f t="shared" si="152"/>
        <v>Low Risk</v>
      </c>
      <c r="K3258" s="3" t="str">
        <f t="shared" si="150"/>
        <v>4+ Years</v>
      </c>
    </row>
    <row r="3259" spans="1:11" x14ac:dyDescent="0.3">
      <c r="A3259" t="s">
        <v>3276</v>
      </c>
      <c r="B3259" t="s">
        <v>9</v>
      </c>
      <c r="C3259" t="s">
        <v>10</v>
      </c>
      <c r="D3259" t="s">
        <v>11</v>
      </c>
      <c r="E3259">
        <v>87.45</v>
      </c>
      <c r="F3259">
        <v>34</v>
      </c>
      <c r="G3259">
        <v>2973.3</v>
      </c>
      <c r="H3259" t="s">
        <v>18</v>
      </c>
      <c r="I3259" t="str">
        <f t="shared" si="151"/>
        <v>Medium Value</v>
      </c>
      <c r="J3259" t="str">
        <f t="shared" si="152"/>
        <v>Low Risk</v>
      </c>
      <c r="K3259" s="3" t="str">
        <f t="shared" si="150"/>
        <v>2-4 Years</v>
      </c>
    </row>
    <row r="3260" spans="1:11" x14ac:dyDescent="0.3">
      <c r="A3260" t="s">
        <v>3277</v>
      </c>
      <c r="B3260" t="s">
        <v>9</v>
      </c>
      <c r="C3260" t="s">
        <v>10</v>
      </c>
      <c r="D3260" t="s">
        <v>20</v>
      </c>
      <c r="E3260">
        <v>85.8</v>
      </c>
      <c r="F3260">
        <v>52</v>
      </c>
      <c r="G3260">
        <v>4461.5999999999904</v>
      </c>
      <c r="H3260" t="s">
        <v>12</v>
      </c>
      <c r="I3260" t="str">
        <f t="shared" si="151"/>
        <v>Medium Value</v>
      </c>
      <c r="J3260" t="str">
        <f t="shared" si="152"/>
        <v>Low Risk</v>
      </c>
      <c r="K3260" s="3" t="str">
        <f t="shared" si="150"/>
        <v>4+ Years</v>
      </c>
    </row>
    <row r="3261" spans="1:11" x14ac:dyDescent="0.3">
      <c r="A3261" t="s">
        <v>3278</v>
      </c>
      <c r="B3261" t="s">
        <v>9</v>
      </c>
      <c r="C3261" t="s">
        <v>10</v>
      </c>
      <c r="D3261" t="s">
        <v>11</v>
      </c>
      <c r="E3261">
        <v>91.1</v>
      </c>
      <c r="F3261">
        <v>10</v>
      </c>
      <c r="G3261">
        <v>911</v>
      </c>
      <c r="H3261" t="s">
        <v>12</v>
      </c>
      <c r="I3261" t="str">
        <f t="shared" si="151"/>
        <v>Low Value</v>
      </c>
      <c r="J3261" t="str">
        <f t="shared" si="152"/>
        <v>High Risk</v>
      </c>
      <c r="K3261" s="3" t="str">
        <f t="shared" si="150"/>
        <v>0-1 Year</v>
      </c>
    </row>
    <row r="3262" spans="1:11" x14ac:dyDescent="0.3">
      <c r="A3262" t="s">
        <v>3279</v>
      </c>
      <c r="B3262" t="s">
        <v>14</v>
      </c>
      <c r="C3262" t="s">
        <v>10</v>
      </c>
      <c r="D3262" t="s">
        <v>11</v>
      </c>
      <c r="E3262">
        <v>70.75</v>
      </c>
      <c r="F3262">
        <v>29</v>
      </c>
      <c r="G3262">
        <v>2051.75</v>
      </c>
      <c r="H3262" t="s">
        <v>18</v>
      </c>
      <c r="I3262" t="str">
        <f t="shared" si="151"/>
        <v>Medium Value</v>
      </c>
      <c r="J3262" t="str">
        <f t="shared" si="152"/>
        <v>Low Risk</v>
      </c>
      <c r="K3262" s="3" t="str">
        <f t="shared" si="150"/>
        <v>2-4 Years</v>
      </c>
    </row>
    <row r="3263" spans="1:11" x14ac:dyDescent="0.3">
      <c r="A3263" t="s">
        <v>3280</v>
      </c>
      <c r="B3263" t="s">
        <v>9</v>
      </c>
      <c r="C3263" t="s">
        <v>30</v>
      </c>
      <c r="D3263" t="s">
        <v>20</v>
      </c>
      <c r="E3263">
        <v>20.100000000000001</v>
      </c>
      <c r="F3263">
        <v>72</v>
      </c>
      <c r="G3263">
        <v>1447.2</v>
      </c>
      <c r="H3263" t="s">
        <v>12</v>
      </c>
      <c r="I3263" t="str">
        <f t="shared" si="151"/>
        <v>Low Value</v>
      </c>
      <c r="J3263" t="str">
        <f t="shared" si="152"/>
        <v>Low Risk</v>
      </c>
      <c r="K3263" s="3" t="str">
        <f t="shared" si="150"/>
        <v>4+ Years</v>
      </c>
    </row>
    <row r="3264" spans="1:11" x14ac:dyDescent="0.3">
      <c r="A3264" t="s">
        <v>3281</v>
      </c>
      <c r="B3264" t="s">
        <v>14</v>
      </c>
      <c r="C3264" t="s">
        <v>15</v>
      </c>
      <c r="D3264" t="s">
        <v>16</v>
      </c>
      <c r="E3264">
        <v>20.05</v>
      </c>
      <c r="F3264">
        <v>47</v>
      </c>
      <c r="G3264">
        <v>942.35</v>
      </c>
      <c r="H3264" t="s">
        <v>12</v>
      </c>
      <c r="I3264" t="str">
        <f t="shared" si="151"/>
        <v>Low Value</v>
      </c>
      <c r="J3264" t="str">
        <f t="shared" si="152"/>
        <v>Low Risk</v>
      </c>
      <c r="K3264" s="3" t="str">
        <f t="shared" si="150"/>
        <v>2-4 Years</v>
      </c>
    </row>
    <row r="3265" spans="1:11" x14ac:dyDescent="0.3">
      <c r="A3265" t="s">
        <v>3282</v>
      </c>
      <c r="B3265" t="s">
        <v>14</v>
      </c>
      <c r="C3265" t="s">
        <v>15</v>
      </c>
      <c r="D3265" t="s">
        <v>16</v>
      </c>
      <c r="E3265">
        <v>74.8</v>
      </c>
      <c r="F3265">
        <v>24</v>
      </c>
      <c r="G3265">
        <v>1795.19999999999</v>
      </c>
      <c r="H3265" t="s">
        <v>12</v>
      </c>
      <c r="I3265" t="str">
        <f t="shared" si="151"/>
        <v>Low Value</v>
      </c>
      <c r="J3265" t="str">
        <f t="shared" si="152"/>
        <v>Low Risk</v>
      </c>
      <c r="K3265" s="3" t="str">
        <f t="shared" si="150"/>
        <v>1-2 Years</v>
      </c>
    </row>
    <row r="3266" spans="1:11" x14ac:dyDescent="0.3">
      <c r="A3266" t="s">
        <v>3283</v>
      </c>
      <c r="B3266" t="s">
        <v>14</v>
      </c>
      <c r="C3266" t="s">
        <v>15</v>
      </c>
      <c r="D3266" t="s">
        <v>24</v>
      </c>
      <c r="E3266">
        <v>24.8</v>
      </c>
      <c r="F3266">
        <v>65</v>
      </c>
      <c r="G3266">
        <v>1612</v>
      </c>
      <c r="H3266" t="s">
        <v>12</v>
      </c>
      <c r="I3266" t="str">
        <f t="shared" si="151"/>
        <v>Low Value</v>
      </c>
      <c r="J3266" t="str">
        <f t="shared" si="152"/>
        <v>Low Risk</v>
      </c>
      <c r="K3266" s="3" t="str">
        <f t="shared" si="150"/>
        <v>4+ Years</v>
      </c>
    </row>
    <row r="3267" spans="1:11" x14ac:dyDescent="0.3">
      <c r="A3267" t="s">
        <v>3284</v>
      </c>
      <c r="B3267" t="s">
        <v>9</v>
      </c>
      <c r="C3267" t="s">
        <v>10</v>
      </c>
      <c r="D3267" t="s">
        <v>16</v>
      </c>
      <c r="E3267">
        <v>100.85</v>
      </c>
      <c r="F3267">
        <v>4</v>
      </c>
      <c r="G3267">
        <v>403.4</v>
      </c>
      <c r="H3267" t="s">
        <v>12</v>
      </c>
      <c r="I3267" t="str">
        <f t="shared" si="151"/>
        <v>Low Value</v>
      </c>
      <c r="J3267" t="str">
        <f t="shared" si="152"/>
        <v>High Risk</v>
      </c>
      <c r="K3267" s="3" t="str">
        <f t="shared" ref="K3267:K3330" si="153">IF(F3267&lt;=12,"0-1 Year",
IF(F3267&lt;=24,"1-2 Years",
IF(F3267&lt;=48,"2-4 Years","4+ Years")))</f>
        <v>0-1 Year</v>
      </c>
    </row>
    <row r="3268" spans="1:11" x14ac:dyDescent="0.3">
      <c r="A3268" t="s">
        <v>3285</v>
      </c>
      <c r="B3268" t="s">
        <v>14</v>
      </c>
      <c r="C3268" t="s">
        <v>10</v>
      </c>
      <c r="D3268" t="s">
        <v>11</v>
      </c>
      <c r="E3268">
        <v>101.35</v>
      </c>
      <c r="F3268">
        <v>12</v>
      </c>
      <c r="G3268">
        <v>1216.19999999999</v>
      </c>
      <c r="H3268" t="s">
        <v>18</v>
      </c>
      <c r="I3268" t="str">
        <f t="shared" ref="I3268:I3331" si="154">IF(G3268&gt;5000,"High Value",
IF(G3268&gt;2000,"Medium Value","Low Value"))</f>
        <v>Low Value</v>
      </c>
      <c r="J3268" t="str">
        <f t="shared" ref="J3268:J3331" si="155">IF(F3268&lt;12,"High Risk",
IF(F3268&lt;24,"Medium Risk","Low Risk"))</f>
        <v>Medium Risk</v>
      </c>
      <c r="K3268" s="3" t="str">
        <f t="shared" si="153"/>
        <v>0-1 Year</v>
      </c>
    </row>
    <row r="3269" spans="1:11" x14ac:dyDescent="0.3">
      <c r="A3269" t="s">
        <v>3286</v>
      </c>
      <c r="B3269" t="s">
        <v>14</v>
      </c>
      <c r="C3269" t="s">
        <v>10</v>
      </c>
      <c r="D3269" t="s">
        <v>11</v>
      </c>
      <c r="E3269">
        <v>81.7</v>
      </c>
      <c r="F3269">
        <v>1</v>
      </c>
      <c r="G3269">
        <v>81.7</v>
      </c>
      <c r="H3269" t="s">
        <v>18</v>
      </c>
      <c r="I3269" t="str">
        <f t="shared" si="154"/>
        <v>Low Value</v>
      </c>
      <c r="J3269" t="str">
        <f t="shared" si="155"/>
        <v>High Risk</v>
      </c>
      <c r="K3269" s="3" t="str">
        <f t="shared" si="153"/>
        <v>0-1 Year</v>
      </c>
    </row>
    <row r="3270" spans="1:11" x14ac:dyDescent="0.3">
      <c r="A3270" t="s">
        <v>3287</v>
      </c>
      <c r="B3270" t="s">
        <v>14</v>
      </c>
      <c r="C3270" t="s">
        <v>10</v>
      </c>
      <c r="D3270" t="s">
        <v>11</v>
      </c>
      <c r="E3270">
        <v>68.25</v>
      </c>
      <c r="F3270">
        <v>33</v>
      </c>
      <c r="G3270">
        <v>2252.25</v>
      </c>
      <c r="H3270" t="s">
        <v>18</v>
      </c>
      <c r="I3270" t="str">
        <f t="shared" si="154"/>
        <v>Medium Value</v>
      </c>
      <c r="J3270" t="str">
        <f t="shared" si="155"/>
        <v>Low Risk</v>
      </c>
      <c r="K3270" s="3" t="str">
        <f t="shared" si="153"/>
        <v>2-4 Years</v>
      </c>
    </row>
    <row r="3271" spans="1:11" x14ac:dyDescent="0.3">
      <c r="A3271" t="s">
        <v>3288</v>
      </c>
      <c r="B3271" t="s">
        <v>9</v>
      </c>
      <c r="C3271" t="s">
        <v>10</v>
      </c>
      <c r="D3271" t="s">
        <v>11</v>
      </c>
      <c r="E3271">
        <v>105.1</v>
      </c>
      <c r="F3271">
        <v>34</v>
      </c>
      <c r="G3271">
        <v>3573.3999999999901</v>
      </c>
      <c r="H3271" t="s">
        <v>12</v>
      </c>
      <c r="I3271" t="str">
        <f t="shared" si="154"/>
        <v>Medium Value</v>
      </c>
      <c r="J3271" t="str">
        <f t="shared" si="155"/>
        <v>Low Risk</v>
      </c>
      <c r="K3271" s="3" t="str">
        <f t="shared" si="153"/>
        <v>2-4 Years</v>
      </c>
    </row>
    <row r="3272" spans="1:11" x14ac:dyDescent="0.3">
      <c r="A3272" t="s">
        <v>3289</v>
      </c>
      <c r="B3272" t="s">
        <v>9</v>
      </c>
      <c r="C3272" t="s">
        <v>30</v>
      </c>
      <c r="D3272" t="s">
        <v>16</v>
      </c>
      <c r="E3272">
        <v>20.399999999999999</v>
      </c>
      <c r="F3272">
        <v>14</v>
      </c>
      <c r="G3272">
        <v>285.599999999999</v>
      </c>
      <c r="H3272" t="s">
        <v>12</v>
      </c>
      <c r="I3272" t="str">
        <f t="shared" si="154"/>
        <v>Low Value</v>
      </c>
      <c r="J3272" t="str">
        <f t="shared" si="155"/>
        <v>Medium Risk</v>
      </c>
      <c r="K3272" s="3" t="str">
        <f t="shared" si="153"/>
        <v>1-2 Years</v>
      </c>
    </row>
    <row r="3273" spans="1:11" x14ac:dyDescent="0.3">
      <c r="A3273" t="s">
        <v>3290</v>
      </c>
      <c r="B3273" t="s">
        <v>9</v>
      </c>
      <c r="C3273" t="s">
        <v>10</v>
      </c>
      <c r="D3273" t="s">
        <v>11</v>
      </c>
      <c r="E3273">
        <v>79.150000000000006</v>
      </c>
      <c r="F3273">
        <v>4</v>
      </c>
      <c r="G3273">
        <v>316.60000000000002</v>
      </c>
      <c r="H3273" t="s">
        <v>18</v>
      </c>
      <c r="I3273" t="str">
        <f t="shared" si="154"/>
        <v>Low Value</v>
      </c>
      <c r="J3273" t="str">
        <f t="shared" si="155"/>
        <v>High Risk</v>
      </c>
      <c r="K3273" s="3" t="str">
        <f t="shared" si="153"/>
        <v>0-1 Year</v>
      </c>
    </row>
    <row r="3274" spans="1:11" x14ac:dyDescent="0.3">
      <c r="A3274" t="s">
        <v>3291</v>
      </c>
      <c r="B3274" t="s">
        <v>14</v>
      </c>
      <c r="C3274" t="s">
        <v>15</v>
      </c>
      <c r="D3274" t="s">
        <v>16</v>
      </c>
      <c r="E3274">
        <v>20</v>
      </c>
      <c r="F3274">
        <v>13</v>
      </c>
      <c r="G3274">
        <v>260</v>
      </c>
      <c r="H3274" t="s">
        <v>12</v>
      </c>
      <c r="I3274" t="str">
        <f t="shared" si="154"/>
        <v>Low Value</v>
      </c>
      <c r="J3274" t="str">
        <f t="shared" si="155"/>
        <v>Medium Risk</v>
      </c>
      <c r="K3274" s="3" t="str">
        <f t="shared" si="153"/>
        <v>1-2 Years</v>
      </c>
    </row>
    <row r="3275" spans="1:11" x14ac:dyDescent="0.3">
      <c r="A3275" t="s">
        <v>3292</v>
      </c>
      <c r="B3275" t="s">
        <v>9</v>
      </c>
      <c r="C3275" t="s">
        <v>30</v>
      </c>
      <c r="D3275" t="s">
        <v>20</v>
      </c>
      <c r="E3275">
        <v>79.400000000000006</v>
      </c>
      <c r="F3275">
        <v>65</v>
      </c>
      <c r="G3275">
        <v>5161</v>
      </c>
      <c r="H3275" t="s">
        <v>12</v>
      </c>
      <c r="I3275" t="str">
        <f t="shared" si="154"/>
        <v>High Value</v>
      </c>
      <c r="J3275" t="str">
        <f t="shared" si="155"/>
        <v>Low Risk</v>
      </c>
      <c r="K3275" s="3" t="str">
        <f t="shared" si="153"/>
        <v>4+ Years</v>
      </c>
    </row>
    <row r="3276" spans="1:11" x14ac:dyDescent="0.3">
      <c r="A3276" t="s">
        <v>3293</v>
      </c>
      <c r="B3276" t="s">
        <v>14</v>
      </c>
      <c r="C3276" t="s">
        <v>15</v>
      </c>
      <c r="D3276" t="s">
        <v>24</v>
      </c>
      <c r="E3276">
        <v>57.2</v>
      </c>
      <c r="F3276">
        <v>23</v>
      </c>
      <c r="G3276">
        <v>1315.6</v>
      </c>
      <c r="H3276" t="s">
        <v>12</v>
      </c>
      <c r="I3276" t="str">
        <f t="shared" si="154"/>
        <v>Low Value</v>
      </c>
      <c r="J3276" t="str">
        <f t="shared" si="155"/>
        <v>Medium Risk</v>
      </c>
      <c r="K3276" s="3" t="str">
        <f t="shared" si="153"/>
        <v>1-2 Years</v>
      </c>
    </row>
    <row r="3277" spans="1:11" x14ac:dyDescent="0.3">
      <c r="A3277" t="s">
        <v>3294</v>
      </c>
      <c r="B3277" t="s">
        <v>14</v>
      </c>
      <c r="C3277" t="s">
        <v>30</v>
      </c>
      <c r="D3277" t="s">
        <v>11</v>
      </c>
      <c r="E3277">
        <v>58.6</v>
      </c>
      <c r="F3277">
        <v>55</v>
      </c>
      <c r="G3277">
        <v>3223</v>
      </c>
      <c r="H3277" t="s">
        <v>12</v>
      </c>
      <c r="I3277" t="str">
        <f t="shared" si="154"/>
        <v>Medium Value</v>
      </c>
      <c r="J3277" t="str">
        <f t="shared" si="155"/>
        <v>Low Risk</v>
      </c>
      <c r="K3277" s="3" t="str">
        <f t="shared" si="153"/>
        <v>4+ Years</v>
      </c>
    </row>
    <row r="3278" spans="1:11" x14ac:dyDescent="0.3">
      <c r="A3278" t="s">
        <v>3295</v>
      </c>
      <c r="B3278" t="s">
        <v>14</v>
      </c>
      <c r="C3278" t="s">
        <v>30</v>
      </c>
      <c r="D3278" t="s">
        <v>11</v>
      </c>
      <c r="E3278">
        <v>94.8</v>
      </c>
      <c r="F3278">
        <v>49</v>
      </c>
      <c r="G3278">
        <v>4645.2</v>
      </c>
      <c r="H3278" t="s">
        <v>12</v>
      </c>
      <c r="I3278" t="str">
        <f t="shared" si="154"/>
        <v>Medium Value</v>
      </c>
      <c r="J3278" t="str">
        <f t="shared" si="155"/>
        <v>Low Risk</v>
      </c>
      <c r="K3278" s="3" t="str">
        <f t="shared" si="153"/>
        <v>4+ Years</v>
      </c>
    </row>
    <row r="3279" spans="1:11" x14ac:dyDescent="0.3">
      <c r="A3279" t="s">
        <v>3296</v>
      </c>
      <c r="B3279" t="s">
        <v>14</v>
      </c>
      <c r="C3279" t="s">
        <v>15</v>
      </c>
      <c r="D3279" t="s">
        <v>20</v>
      </c>
      <c r="E3279">
        <v>102.5</v>
      </c>
      <c r="F3279">
        <v>60</v>
      </c>
      <c r="G3279">
        <v>6150</v>
      </c>
      <c r="H3279" t="s">
        <v>12</v>
      </c>
      <c r="I3279" t="str">
        <f t="shared" si="154"/>
        <v>High Value</v>
      </c>
      <c r="J3279" t="str">
        <f t="shared" si="155"/>
        <v>Low Risk</v>
      </c>
      <c r="K3279" s="3" t="str">
        <f t="shared" si="153"/>
        <v>4+ Years</v>
      </c>
    </row>
    <row r="3280" spans="1:11" x14ac:dyDescent="0.3">
      <c r="A3280" t="s">
        <v>3297</v>
      </c>
      <c r="B3280" t="s">
        <v>9</v>
      </c>
      <c r="C3280" t="s">
        <v>15</v>
      </c>
      <c r="D3280" t="s">
        <v>24</v>
      </c>
      <c r="E3280">
        <v>20.350000000000001</v>
      </c>
      <c r="F3280">
        <v>69</v>
      </c>
      <c r="G3280">
        <v>1404.15</v>
      </c>
      <c r="H3280" t="s">
        <v>12</v>
      </c>
      <c r="I3280" t="str">
        <f t="shared" si="154"/>
        <v>Low Value</v>
      </c>
      <c r="J3280" t="str">
        <f t="shared" si="155"/>
        <v>Low Risk</v>
      </c>
      <c r="K3280" s="3" t="str">
        <f t="shared" si="153"/>
        <v>4+ Years</v>
      </c>
    </row>
    <row r="3281" spans="1:11" x14ac:dyDescent="0.3">
      <c r="A3281" t="s">
        <v>3298</v>
      </c>
      <c r="B3281" t="s">
        <v>14</v>
      </c>
      <c r="C3281" t="s">
        <v>10</v>
      </c>
      <c r="D3281" t="s">
        <v>11</v>
      </c>
      <c r="E3281">
        <v>84.9</v>
      </c>
      <c r="F3281">
        <v>40</v>
      </c>
      <c r="G3281">
        <v>3396</v>
      </c>
      <c r="H3281" t="s">
        <v>12</v>
      </c>
      <c r="I3281" t="str">
        <f t="shared" si="154"/>
        <v>Medium Value</v>
      </c>
      <c r="J3281" t="str">
        <f t="shared" si="155"/>
        <v>Low Risk</v>
      </c>
      <c r="K3281" s="3" t="str">
        <f t="shared" si="153"/>
        <v>2-4 Years</v>
      </c>
    </row>
    <row r="3282" spans="1:11" x14ac:dyDescent="0.3">
      <c r="A3282" t="s">
        <v>3299</v>
      </c>
      <c r="B3282" t="s">
        <v>14</v>
      </c>
      <c r="C3282" t="s">
        <v>30</v>
      </c>
      <c r="D3282" t="s">
        <v>24</v>
      </c>
      <c r="E3282">
        <v>69.2</v>
      </c>
      <c r="F3282">
        <v>67</v>
      </c>
      <c r="G3282">
        <v>4636.3999999999996</v>
      </c>
      <c r="H3282" t="s">
        <v>12</v>
      </c>
      <c r="I3282" t="str">
        <f t="shared" si="154"/>
        <v>Medium Value</v>
      </c>
      <c r="J3282" t="str">
        <f t="shared" si="155"/>
        <v>Low Risk</v>
      </c>
      <c r="K3282" s="3" t="str">
        <f t="shared" si="153"/>
        <v>4+ Years</v>
      </c>
    </row>
    <row r="3283" spans="1:11" x14ac:dyDescent="0.3">
      <c r="A3283" t="s">
        <v>3300</v>
      </c>
      <c r="B3283" t="s">
        <v>14</v>
      </c>
      <c r="C3283" t="s">
        <v>10</v>
      </c>
      <c r="D3283" t="s">
        <v>11</v>
      </c>
      <c r="E3283">
        <v>95.45</v>
      </c>
      <c r="F3283">
        <v>35</v>
      </c>
      <c r="G3283">
        <v>3340.75</v>
      </c>
      <c r="H3283" t="s">
        <v>18</v>
      </c>
      <c r="I3283" t="str">
        <f t="shared" si="154"/>
        <v>Medium Value</v>
      </c>
      <c r="J3283" t="str">
        <f t="shared" si="155"/>
        <v>Low Risk</v>
      </c>
      <c r="K3283" s="3" t="str">
        <f t="shared" si="153"/>
        <v>2-4 Years</v>
      </c>
    </row>
    <row r="3284" spans="1:11" x14ac:dyDescent="0.3">
      <c r="A3284" t="s">
        <v>3301</v>
      </c>
      <c r="B3284" t="s">
        <v>14</v>
      </c>
      <c r="C3284" t="s">
        <v>15</v>
      </c>
      <c r="D3284" t="s">
        <v>11</v>
      </c>
      <c r="E3284">
        <v>100.95</v>
      </c>
      <c r="F3284">
        <v>19</v>
      </c>
      <c r="G3284">
        <v>1918.05</v>
      </c>
      <c r="H3284" t="s">
        <v>18</v>
      </c>
      <c r="I3284" t="str">
        <f t="shared" si="154"/>
        <v>Low Value</v>
      </c>
      <c r="J3284" t="str">
        <f t="shared" si="155"/>
        <v>Medium Risk</v>
      </c>
      <c r="K3284" s="3" t="str">
        <f t="shared" si="153"/>
        <v>1-2 Years</v>
      </c>
    </row>
    <row r="3285" spans="1:11" x14ac:dyDescent="0.3">
      <c r="A3285" t="s">
        <v>3302</v>
      </c>
      <c r="B3285" t="s">
        <v>9</v>
      </c>
      <c r="C3285" t="s">
        <v>30</v>
      </c>
      <c r="D3285" t="s">
        <v>16</v>
      </c>
      <c r="E3285">
        <v>20.85</v>
      </c>
      <c r="F3285">
        <v>13</v>
      </c>
      <c r="G3285">
        <v>271.05</v>
      </c>
      <c r="H3285" t="s">
        <v>12</v>
      </c>
      <c r="I3285" t="str">
        <f t="shared" si="154"/>
        <v>Low Value</v>
      </c>
      <c r="J3285" t="str">
        <f t="shared" si="155"/>
        <v>Medium Risk</v>
      </c>
      <c r="K3285" s="3" t="str">
        <f t="shared" si="153"/>
        <v>1-2 Years</v>
      </c>
    </row>
    <row r="3286" spans="1:11" x14ac:dyDescent="0.3">
      <c r="A3286" t="s">
        <v>3303</v>
      </c>
      <c r="B3286" t="s">
        <v>9</v>
      </c>
      <c r="C3286" t="s">
        <v>10</v>
      </c>
      <c r="D3286" t="s">
        <v>20</v>
      </c>
      <c r="E3286">
        <v>88.5</v>
      </c>
      <c r="F3286">
        <v>41</v>
      </c>
      <c r="G3286">
        <v>3628.5</v>
      </c>
      <c r="H3286" t="s">
        <v>12</v>
      </c>
      <c r="I3286" t="str">
        <f t="shared" si="154"/>
        <v>Medium Value</v>
      </c>
      <c r="J3286" t="str">
        <f t="shared" si="155"/>
        <v>Low Risk</v>
      </c>
      <c r="K3286" s="3" t="str">
        <f t="shared" si="153"/>
        <v>2-4 Years</v>
      </c>
    </row>
    <row r="3287" spans="1:11" x14ac:dyDescent="0.3">
      <c r="A3287" t="s">
        <v>3304</v>
      </c>
      <c r="B3287" t="s">
        <v>9</v>
      </c>
      <c r="C3287" t="s">
        <v>10</v>
      </c>
      <c r="D3287" t="s">
        <v>16</v>
      </c>
      <c r="E3287">
        <v>35</v>
      </c>
      <c r="F3287">
        <v>4</v>
      </c>
      <c r="G3287">
        <v>140</v>
      </c>
      <c r="H3287" t="s">
        <v>12</v>
      </c>
      <c r="I3287" t="str">
        <f t="shared" si="154"/>
        <v>Low Value</v>
      </c>
      <c r="J3287" t="str">
        <f t="shared" si="155"/>
        <v>High Risk</v>
      </c>
      <c r="K3287" s="3" t="str">
        <f t="shared" si="153"/>
        <v>0-1 Year</v>
      </c>
    </row>
    <row r="3288" spans="1:11" x14ac:dyDescent="0.3">
      <c r="A3288" t="s">
        <v>3305</v>
      </c>
      <c r="B3288" t="s">
        <v>9</v>
      </c>
      <c r="C3288" t="s">
        <v>10</v>
      </c>
      <c r="D3288" t="s">
        <v>11</v>
      </c>
      <c r="E3288">
        <v>55.15</v>
      </c>
      <c r="F3288">
        <v>24</v>
      </c>
      <c r="G3288">
        <v>1323.6</v>
      </c>
      <c r="H3288" t="s">
        <v>12</v>
      </c>
      <c r="I3288" t="str">
        <f t="shared" si="154"/>
        <v>Low Value</v>
      </c>
      <c r="J3288" t="str">
        <f t="shared" si="155"/>
        <v>Low Risk</v>
      </c>
      <c r="K3288" s="3" t="str">
        <f t="shared" si="153"/>
        <v>1-2 Years</v>
      </c>
    </row>
    <row r="3289" spans="1:11" x14ac:dyDescent="0.3">
      <c r="A3289" t="s">
        <v>3306</v>
      </c>
      <c r="B3289" t="s">
        <v>9</v>
      </c>
      <c r="C3289" t="s">
        <v>10</v>
      </c>
      <c r="D3289" t="s">
        <v>24</v>
      </c>
      <c r="E3289">
        <v>50.95</v>
      </c>
      <c r="F3289">
        <v>5</v>
      </c>
      <c r="G3289">
        <v>254.75</v>
      </c>
      <c r="H3289" t="s">
        <v>12</v>
      </c>
      <c r="I3289" t="str">
        <f t="shared" si="154"/>
        <v>Low Value</v>
      </c>
      <c r="J3289" t="str">
        <f t="shared" si="155"/>
        <v>High Risk</v>
      </c>
      <c r="K3289" s="3" t="str">
        <f t="shared" si="153"/>
        <v>0-1 Year</v>
      </c>
    </row>
    <row r="3290" spans="1:11" x14ac:dyDescent="0.3">
      <c r="A3290" t="s">
        <v>3307</v>
      </c>
      <c r="B3290" t="s">
        <v>9</v>
      </c>
      <c r="C3290" t="s">
        <v>10</v>
      </c>
      <c r="D3290" t="s">
        <v>11</v>
      </c>
      <c r="E3290">
        <v>64</v>
      </c>
      <c r="F3290">
        <v>5</v>
      </c>
      <c r="G3290">
        <v>320</v>
      </c>
      <c r="H3290" t="s">
        <v>12</v>
      </c>
      <c r="I3290" t="str">
        <f t="shared" si="154"/>
        <v>Low Value</v>
      </c>
      <c r="J3290" t="str">
        <f t="shared" si="155"/>
        <v>High Risk</v>
      </c>
      <c r="K3290" s="3" t="str">
        <f t="shared" si="153"/>
        <v>0-1 Year</v>
      </c>
    </row>
    <row r="3291" spans="1:11" x14ac:dyDescent="0.3">
      <c r="A3291" t="s">
        <v>3308</v>
      </c>
      <c r="B3291" t="s">
        <v>9</v>
      </c>
      <c r="C3291" t="s">
        <v>10</v>
      </c>
      <c r="D3291" t="s">
        <v>16</v>
      </c>
      <c r="E3291">
        <v>69.099999999999994</v>
      </c>
      <c r="F3291">
        <v>1</v>
      </c>
      <c r="G3291">
        <v>69.099999999999994</v>
      </c>
      <c r="H3291" t="s">
        <v>18</v>
      </c>
      <c r="I3291" t="str">
        <f t="shared" si="154"/>
        <v>Low Value</v>
      </c>
      <c r="J3291" t="str">
        <f t="shared" si="155"/>
        <v>High Risk</v>
      </c>
      <c r="K3291" s="3" t="str">
        <f t="shared" si="153"/>
        <v>0-1 Year</v>
      </c>
    </row>
    <row r="3292" spans="1:11" x14ac:dyDescent="0.3">
      <c r="A3292" t="s">
        <v>3309</v>
      </c>
      <c r="B3292" t="s">
        <v>9</v>
      </c>
      <c r="C3292" t="s">
        <v>30</v>
      </c>
      <c r="D3292" t="s">
        <v>20</v>
      </c>
      <c r="E3292">
        <v>80.2</v>
      </c>
      <c r="F3292">
        <v>72</v>
      </c>
      <c r="G3292">
        <v>5774.4</v>
      </c>
      <c r="H3292" t="s">
        <v>12</v>
      </c>
      <c r="I3292" t="str">
        <f t="shared" si="154"/>
        <v>High Value</v>
      </c>
      <c r="J3292" t="str">
        <f t="shared" si="155"/>
        <v>Low Risk</v>
      </c>
      <c r="K3292" s="3" t="str">
        <f t="shared" si="153"/>
        <v>4+ Years</v>
      </c>
    </row>
    <row r="3293" spans="1:11" x14ac:dyDescent="0.3">
      <c r="A3293" t="s">
        <v>3310</v>
      </c>
      <c r="B3293" t="s">
        <v>9</v>
      </c>
      <c r="C3293" t="s">
        <v>10</v>
      </c>
      <c r="D3293" t="s">
        <v>24</v>
      </c>
      <c r="E3293">
        <v>49.3</v>
      </c>
      <c r="F3293">
        <v>24</v>
      </c>
      <c r="G3293">
        <v>1183.19999999999</v>
      </c>
      <c r="H3293" t="s">
        <v>12</v>
      </c>
      <c r="I3293" t="str">
        <f t="shared" si="154"/>
        <v>Low Value</v>
      </c>
      <c r="J3293" t="str">
        <f t="shared" si="155"/>
        <v>Low Risk</v>
      </c>
      <c r="K3293" s="3" t="str">
        <f t="shared" si="153"/>
        <v>1-2 Years</v>
      </c>
    </row>
    <row r="3294" spans="1:11" x14ac:dyDescent="0.3">
      <c r="A3294" t="s">
        <v>3311</v>
      </c>
      <c r="B3294" t="s">
        <v>9</v>
      </c>
      <c r="C3294" t="s">
        <v>30</v>
      </c>
      <c r="D3294" t="s">
        <v>24</v>
      </c>
      <c r="E3294">
        <v>84.35</v>
      </c>
      <c r="F3294">
        <v>42</v>
      </c>
      <c r="G3294">
        <v>3542.7</v>
      </c>
      <c r="H3294" t="s">
        <v>12</v>
      </c>
      <c r="I3294" t="str">
        <f t="shared" si="154"/>
        <v>Medium Value</v>
      </c>
      <c r="J3294" t="str">
        <f t="shared" si="155"/>
        <v>Low Risk</v>
      </c>
      <c r="K3294" s="3" t="str">
        <f t="shared" si="153"/>
        <v>2-4 Years</v>
      </c>
    </row>
    <row r="3295" spans="1:11" x14ac:dyDescent="0.3">
      <c r="A3295" t="s">
        <v>3312</v>
      </c>
      <c r="B3295" t="s">
        <v>9</v>
      </c>
      <c r="C3295" t="s">
        <v>10</v>
      </c>
      <c r="D3295" t="s">
        <v>16</v>
      </c>
      <c r="E3295">
        <v>20.05</v>
      </c>
      <c r="F3295">
        <v>4</v>
      </c>
      <c r="G3295">
        <v>80.2</v>
      </c>
      <c r="H3295" t="s">
        <v>12</v>
      </c>
      <c r="I3295" t="str">
        <f t="shared" si="154"/>
        <v>Low Value</v>
      </c>
      <c r="J3295" t="str">
        <f t="shared" si="155"/>
        <v>High Risk</v>
      </c>
      <c r="K3295" s="3" t="str">
        <f t="shared" si="153"/>
        <v>0-1 Year</v>
      </c>
    </row>
    <row r="3296" spans="1:11" x14ac:dyDescent="0.3">
      <c r="A3296" t="s">
        <v>3313</v>
      </c>
      <c r="B3296" t="s">
        <v>14</v>
      </c>
      <c r="C3296" t="s">
        <v>15</v>
      </c>
      <c r="D3296" t="s">
        <v>24</v>
      </c>
      <c r="E3296">
        <v>117.2</v>
      </c>
      <c r="F3296">
        <v>68</v>
      </c>
      <c r="G3296">
        <v>7969.6</v>
      </c>
      <c r="H3296" t="s">
        <v>12</v>
      </c>
      <c r="I3296" t="str">
        <f t="shared" si="154"/>
        <v>High Value</v>
      </c>
      <c r="J3296" t="str">
        <f t="shared" si="155"/>
        <v>Low Risk</v>
      </c>
      <c r="K3296" s="3" t="str">
        <f t="shared" si="153"/>
        <v>4+ Years</v>
      </c>
    </row>
    <row r="3297" spans="1:11" x14ac:dyDescent="0.3">
      <c r="A3297" t="s">
        <v>3314</v>
      </c>
      <c r="B3297" t="s">
        <v>9</v>
      </c>
      <c r="C3297" t="s">
        <v>15</v>
      </c>
      <c r="D3297" t="s">
        <v>16</v>
      </c>
      <c r="E3297">
        <v>20.100000000000001</v>
      </c>
      <c r="F3297">
        <v>33</v>
      </c>
      <c r="G3297">
        <v>663.3</v>
      </c>
      <c r="H3297" t="s">
        <v>12</v>
      </c>
      <c r="I3297" t="str">
        <f t="shared" si="154"/>
        <v>Low Value</v>
      </c>
      <c r="J3297" t="str">
        <f t="shared" si="155"/>
        <v>Low Risk</v>
      </c>
      <c r="K3297" s="3" t="str">
        <f t="shared" si="153"/>
        <v>2-4 Years</v>
      </c>
    </row>
    <row r="3298" spans="1:11" x14ac:dyDescent="0.3">
      <c r="A3298" t="s">
        <v>3315</v>
      </c>
      <c r="B3298" t="s">
        <v>9</v>
      </c>
      <c r="C3298" t="s">
        <v>10</v>
      </c>
      <c r="D3298" t="s">
        <v>11</v>
      </c>
      <c r="E3298">
        <v>69.599999999999994</v>
      </c>
      <c r="F3298">
        <v>1</v>
      </c>
      <c r="G3298">
        <v>69.599999999999994</v>
      </c>
      <c r="H3298" t="s">
        <v>18</v>
      </c>
      <c r="I3298" t="str">
        <f t="shared" si="154"/>
        <v>Low Value</v>
      </c>
      <c r="J3298" t="str">
        <f t="shared" si="155"/>
        <v>High Risk</v>
      </c>
      <c r="K3298" s="3" t="str">
        <f t="shared" si="153"/>
        <v>0-1 Year</v>
      </c>
    </row>
    <row r="3299" spans="1:11" x14ac:dyDescent="0.3">
      <c r="A3299" t="s">
        <v>3316</v>
      </c>
      <c r="B3299" t="s">
        <v>14</v>
      </c>
      <c r="C3299" t="s">
        <v>15</v>
      </c>
      <c r="D3299" t="s">
        <v>11</v>
      </c>
      <c r="E3299">
        <v>103.45</v>
      </c>
      <c r="F3299">
        <v>31</v>
      </c>
      <c r="G3299">
        <v>3206.95</v>
      </c>
      <c r="H3299" t="s">
        <v>18</v>
      </c>
      <c r="I3299" t="str">
        <f t="shared" si="154"/>
        <v>Medium Value</v>
      </c>
      <c r="J3299" t="str">
        <f t="shared" si="155"/>
        <v>Low Risk</v>
      </c>
      <c r="K3299" s="3" t="str">
        <f t="shared" si="153"/>
        <v>2-4 Years</v>
      </c>
    </row>
    <row r="3300" spans="1:11" x14ac:dyDescent="0.3">
      <c r="A3300" t="s">
        <v>3317</v>
      </c>
      <c r="B3300" t="s">
        <v>9</v>
      </c>
      <c r="C3300" t="s">
        <v>10</v>
      </c>
      <c r="D3300" t="s">
        <v>20</v>
      </c>
      <c r="E3300">
        <v>77.95</v>
      </c>
      <c r="F3300">
        <v>4</v>
      </c>
      <c r="G3300">
        <v>311.8</v>
      </c>
      <c r="H3300" t="s">
        <v>18</v>
      </c>
      <c r="I3300" t="str">
        <f t="shared" si="154"/>
        <v>Low Value</v>
      </c>
      <c r="J3300" t="str">
        <f t="shared" si="155"/>
        <v>High Risk</v>
      </c>
      <c r="K3300" s="3" t="str">
        <f t="shared" si="153"/>
        <v>0-1 Year</v>
      </c>
    </row>
    <row r="3301" spans="1:11" x14ac:dyDescent="0.3">
      <c r="A3301" t="s">
        <v>3318</v>
      </c>
      <c r="B3301" t="s">
        <v>14</v>
      </c>
      <c r="C3301" t="s">
        <v>30</v>
      </c>
      <c r="D3301" t="s">
        <v>11</v>
      </c>
      <c r="E3301">
        <v>109.95</v>
      </c>
      <c r="F3301">
        <v>69</v>
      </c>
      <c r="G3301">
        <v>7586.55</v>
      </c>
      <c r="H3301" t="s">
        <v>12</v>
      </c>
      <c r="I3301" t="str">
        <f t="shared" si="154"/>
        <v>High Value</v>
      </c>
      <c r="J3301" t="str">
        <f t="shared" si="155"/>
        <v>Low Risk</v>
      </c>
      <c r="K3301" s="3" t="str">
        <f t="shared" si="153"/>
        <v>4+ Years</v>
      </c>
    </row>
    <row r="3302" spans="1:11" x14ac:dyDescent="0.3">
      <c r="A3302" t="s">
        <v>3319</v>
      </c>
      <c r="B3302" t="s">
        <v>14</v>
      </c>
      <c r="C3302" t="s">
        <v>10</v>
      </c>
      <c r="D3302" t="s">
        <v>11</v>
      </c>
      <c r="E3302">
        <v>94.75</v>
      </c>
      <c r="F3302">
        <v>38</v>
      </c>
      <c r="G3302">
        <v>3600.5</v>
      </c>
      <c r="H3302" t="s">
        <v>12</v>
      </c>
      <c r="I3302" t="str">
        <f t="shared" si="154"/>
        <v>Medium Value</v>
      </c>
      <c r="J3302" t="str">
        <f t="shared" si="155"/>
        <v>Low Risk</v>
      </c>
      <c r="K3302" s="3" t="str">
        <f t="shared" si="153"/>
        <v>2-4 Years</v>
      </c>
    </row>
    <row r="3303" spans="1:11" x14ac:dyDescent="0.3">
      <c r="A3303" t="s">
        <v>3320</v>
      </c>
      <c r="B3303" t="s">
        <v>9</v>
      </c>
      <c r="C3303" t="s">
        <v>10</v>
      </c>
      <c r="D3303" t="s">
        <v>11</v>
      </c>
      <c r="E3303">
        <v>80</v>
      </c>
      <c r="F3303">
        <v>3</v>
      </c>
      <c r="G3303">
        <v>240</v>
      </c>
      <c r="H3303" t="s">
        <v>12</v>
      </c>
      <c r="I3303" t="str">
        <f t="shared" si="154"/>
        <v>Low Value</v>
      </c>
      <c r="J3303" t="str">
        <f t="shared" si="155"/>
        <v>High Risk</v>
      </c>
      <c r="K3303" s="3" t="str">
        <f t="shared" si="153"/>
        <v>0-1 Year</v>
      </c>
    </row>
    <row r="3304" spans="1:11" x14ac:dyDescent="0.3">
      <c r="A3304" t="s">
        <v>3321</v>
      </c>
      <c r="B3304" t="s">
        <v>9</v>
      </c>
      <c r="C3304" t="s">
        <v>30</v>
      </c>
      <c r="D3304" t="s">
        <v>11</v>
      </c>
      <c r="E3304">
        <v>79.650000000000006</v>
      </c>
      <c r="F3304">
        <v>48</v>
      </c>
      <c r="G3304">
        <v>3823.2</v>
      </c>
      <c r="H3304" t="s">
        <v>12</v>
      </c>
      <c r="I3304" t="str">
        <f t="shared" si="154"/>
        <v>Medium Value</v>
      </c>
      <c r="J3304" t="str">
        <f t="shared" si="155"/>
        <v>Low Risk</v>
      </c>
      <c r="K3304" s="3" t="str">
        <f t="shared" si="153"/>
        <v>2-4 Years</v>
      </c>
    </row>
    <row r="3305" spans="1:11" x14ac:dyDescent="0.3">
      <c r="A3305" t="s">
        <v>3322</v>
      </c>
      <c r="B3305" t="s">
        <v>9</v>
      </c>
      <c r="C3305" t="s">
        <v>30</v>
      </c>
      <c r="D3305" t="s">
        <v>16</v>
      </c>
      <c r="E3305">
        <v>25.2</v>
      </c>
      <c r="F3305">
        <v>15</v>
      </c>
      <c r="G3305">
        <v>378</v>
      </c>
      <c r="H3305" t="s">
        <v>12</v>
      </c>
      <c r="I3305" t="str">
        <f t="shared" si="154"/>
        <v>Low Value</v>
      </c>
      <c r="J3305" t="str">
        <f t="shared" si="155"/>
        <v>Medium Risk</v>
      </c>
      <c r="K3305" s="3" t="str">
        <f t="shared" si="153"/>
        <v>1-2 Years</v>
      </c>
    </row>
    <row r="3306" spans="1:11" x14ac:dyDescent="0.3">
      <c r="A3306" t="s">
        <v>3323</v>
      </c>
      <c r="B3306" t="s">
        <v>9</v>
      </c>
      <c r="C3306" t="s">
        <v>15</v>
      </c>
      <c r="D3306" t="s">
        <v>24</v>
      </c>
      <c r="E3306">
        <v>19.899999999999999</v>
      </c>
      <c r="F3306">
        <v>25</v>
      </c>
      <c r="G3306">
        <v>497.49999999999898</v>
      </c>
      <c r="H3306" t="s">
        <v>12</v>
      </c>
      <c r="I3306" t="str">
        <f t="shared" si="154"/>
        <v>Low Value</v>
      </c>
      <c r="J3306" t="str">
        <f t="shared" si="155"/>
        <v>Low Risk</v>
      </c>
      <c r="K3306" s="3" t="str">
        <f t="shared" si="153"/>
        <v>2-4 Years</v>
      </c>
    </row>
    <row r="3307" spans="1:11" x14ac:dyDescent="0.3">
      <c r="A3307" t="s">
        <v>3324</v>
      </c>
      <c r="B3307" t="s">
        <v>9</v>
      </c>
      <c r="C3307" t="s">
        <v>10</v>
      </c>
      <c r="D3307" t="s">
        <v>11</v>
      </c>
      <c r="E3307">
        <v>78.45</v>
      </c>
      <c r="F3307">
        <v>1</v>
      </c>
      <c r="G3307">
        <v>78.45</v>
      </c>
      <c r="H3307" t="s">
        <v>18</v>
      </c>
      <c r="I3307" t="str">
        <f t="shared" si="154"/>
        <v>Low Value</v>
      </c>
      <c r="J3307" t="str">
        <f t="shared" si="155"/>
        <v>High Risk</v>
      </c>
      <c r="K3307" s="3" t="str">
        <f t="shared" si="153"/>
        <v>0-1 Year</v>
      </c>
    </row>
    <row r="3308" spans="1:11" x14ac:dyDescent="0.3">
      <c r="A3308" t="s">
        <v>3325</v>
      </c>
      <c r="B3308" t="s">
        <v>9</v>
      </c>
      <c r="C3308" t="s">
        <v>10</v>
      </c>
      <c r="D3308" t="s">
        <v>11</v>
      </c>
      <c r="E3308">
        <v>44.8</v>
      </c>
      <c r="F3308">
        <v>48</v>
      </c>
      <c r="G3308">
        <v>2150.3999999999901</v>
      </c>
      <c r="H3308" t="s">
        <v>12</v>
      </c>
      <c r="I3308" t="str">
        <f t="shared" si="154"/>
        <v>Medium Value</v>
      </c>
      <c r="J3308" t="str">
        <f t="shared" si="155"/>
        <v>Low Risk</v>
      </c>
      <c r="K3308" s="3" t="str">
        <f t="shared" si="153"/>
        <v>2-4 Years</v>
      </c>
    </row>
    <row r="3309" spans="1:11" x14ac:dyDescent="0.3">
      <c r="A3309" t="s">
        <v>3326</v>
      </c>
      <c r="B3309" t="s">
        <v>14</v>
      </c>
      <c r="C3309" t="s">
        <v>10</v>
      </c>
      <c r="D3309" t="s">
        <v>16</v>
      </c>
      <c r="E3309">
        <v>20.3</v>
      </c>
      <c r="F3309">
        <v>1</v>
      </c>
      <c r="G3309">
        <v>20.3</v>
      </c>
      <c r="H3309" t="s">
        <v>12</v>
      </c>
      <c r="I3309" t="str">
        <f t="shared" si="154"/>
        <v>Low Value</v>
      </c>
      <c r="J3309" t="str">
        <f t="shared" si="155"/>
        <v>High Risk</v>
      </c>
      <c r="K3309" s="3" t="str">
        <f t="shared" si="153"/>
        <v>0-1 Year</v>
      </c>
    </row>
    <row r="3310" spans="1:11" x14ac:dyDescent="0.3">
      <c r="A3310" t="s">
        <v>3327</v>
      </c>
      <c r="B3310" t="s">
        <v>14</v>
      </c>
      <c r="C3310" t="s">
        <v>10</v>
      </c>
      <c r="D3310" t="s">
        <v>11</v>
      </c>
      <c r="E3310">
        <v>19.2</v>
      </c>
      <c r="F3310">
        <v>1</v>
      </c>
      <c r="G3310">
        <v>19.2</v>
      </c>
      <c r="H3310" t="s">
        <v>12</v>
      </c>
      <c r="I3310" t="str">
        <f t="shared" si="154"/>
        <v>Low Value</v>
      </c>
      <c r="J3310" t="str">
        <f t="shared" si="155"/>
        <v>High Risk</v>
      </c>
      <c r="K3310" s="3" t="str">
        <f t="shared" si="153"/>
        <v>0-1 Year</v>
      </c>
    </row>
    <row r="3311" spans="1:11" x14ac:dyDescent="0.3">
      <c r="A3311" t="s">
        <v>3328</v>
      </c>
      <c r="B3311" t="s">
        <v>9</v>
      </c>
      <c r="C3311" t="s">
        <v>15</v>
      </c>
      <c r="D3311" t="s">
        <v>11</v>
      </c>
      <c r="E3311">
        <v>80.05</v>
      </c>
      <c r="F3311">
        <v>37</v>
      </c>
      <c r="G3311">
        <v>2961.85</v>
      </c>
      <c r="H3311" t="s">
        <v>12</v>
      </c>
      <c r="I3311" t="str">
        <f t="shared" si="154"/>
        <v>Medium Value</v>
      </c>
      <c r="J3311" t="str">
        <f t="shared" si="155"/>
        <v>Low Risk</v>
      </c>
      <c r="K3311" s="3" t="str">
        <f t="shared" si="153"/>
        <v>2-4 Years</v>
      </c>
    </row>
    <row r="3312" spans="1:11" x14ac:dyDescent="0.3">
      <c r="A3312" t="s">
        <v>3329</v>
      </c>
      <c r="B3312" t="s">
        <v>14</v>
      </c>
      <c r="C3312" t="s">
        <v>15</v>
      </c>
      <c r="D3312" t="s">
        <v>20</v>
      </c>
      <c r="E3312">
        <v>107.35</v>
      </c>
      <c r="F3312">
        <v>66</v>
      </c>
      <c r="G3312">
        <v>7085.0999999999904</v>
      </c>
      <c r="H3312" t="s">
        <v>12</v>
      </c>
      <c r="I3312" t="str">
        <f t="shared" si="154"/>
        <v>High Value</v>
      </c>
      <c r="J3312" t="str">
        <f t="shared" si="155"/>
        <v>Low Risk</v>
      </c>
      <c r="K3312" s="3" t="str">
        <f t="shared" si="153"/>
        <v>4+ Years</v>
      </c>
    </row>
    <row r="3313" spans="1:11" x14ac:dyDescent="0.3">
      <c r="A3313" t="s">
        <v>3330</v>
      </c>
      <c r="B3313" t="s">
        <v>9</v>
      </c>
      <c r="C3313" t="s">
        <v>15</v>
      </c>
      <c r="D3313" t="s">
        <v>20</v>
      </c>
      <c r="E3313">
        <v>47.85</v>
      </c>
      <c r="F3313">
        <v>26</v>
      </c>
      <c r="G3313">
        <v>1244.0999999999999</v>
      </c>
      <c r="H3313" t="s">
        <v>12</v>
      </c>
      <c r="I3313" t="str">
        <f t="shared" si="154"/>
        <v>Low Value</v>
      </c>
      <c r="J3313" t="str">
        <f t="shared" si="155"/>
        <v>Low Risk</v>
      </c>
      <c r="K3313" s="3" t="str">
        <f t="shared" si="153"/>
        <v>2-4 Years</v>
      </c>
    </row>
    <row r="3314" spans="1:11" x14ac:dyDescent="0.3">
      <c r="A3314" t="s">
        <v>3331</v>
      </c>
      <c r="B3314" t="s">
        <v>14</v>
      </c>
      <c r="C3314" t="s">
        <v>15</v>
      </c>
      <c r="D3314" t="s">
        <v>24</v>
      </c>
      <c r="E3314">
        <v>70.8</v>
      </c>
      <c r="F3314">
        <v>63</v>
      </c>
      <c r="G3314">
        <v>4460.3999999999996</v>
      </c>
      <c r="H3314" t="s">
        <v>12</v>
      </c>
      <c r="I3314" t="str">
        <f t="shared" si="154"/>
        <v>Medium Value</v>
      </c>
      <c r="J3314" t="str">
        <f t="shared" si="155"/>
        <v>Low Risk</v>
      </c>
      <c r="K3314" s="3" t="str">
        <f t="shared" si="153"/>
        <v>4+ Years</v>
      </c>
    </row>
    <row r="3315" spans="1:11" x14ac:dyDescent="0.3">
      <c r="A3315" t="s">
        <v>3332</v>
      </c>
      <c r="B3315" t="s">
        <v>14</v>
      </c>
      <c r="C3315" t="s">
        <v>10</v>
      </c>
      <c r="D3315" t="s">
        <v>16</v>
      </c>
      <c r="E3315">
        <v>29.5</v>
      </c>
      <c r="F3315">
        <v>10</v>
      </c>
      <c r="G3315">
        <v>295</v>
      </c>
      <c r="H3315" t="s">
        <v>18</v>
      </c>
      <c r="I3315" t="str">
        <f t="shared" si="154"/>
        <v>Low Value</v>
      </c>
      <c r="J3315" t="str">
        <f t="shared" si="155"/>
        <v>High Risk</v>
      </c>
      <c r="K3315" s="3" t="str">
        <f t="shared" si="153"/>
        <v>0-1 Year</v>
      </c>
    </row>
    <row r="3316" spans="1:11" x14ac:dyDescent="0.3">
      <c r="A3316" t="s">
        <v>3333</v>
      </c>
      <c r="B3316" t="s">
        <v>9</v>
      </c>
      <c r="C3316" t="s">
        <v>10</v>
      </c>
      <c r="D3316" t="s">
        <v>11</v>
      </c>
      <c r="E3316">
        <v>70.75</v>
      </c>
      <c r="F3316">
        <v>2</v>
      </c>
      <c r="G3316">
        <v>141.5</v>
      </c>
      <c r="H3316" t="s">
        <v>18</v>
      </c>
      <c r="I3316" t="str">
        <f t="shared" si="154"/>
        <v>Low Value</v>
      </c>
      <c r="J3316" t="str">
        <f t="shared" si="155"/>
        <v>High Risk</v>
      </c>
      <c r="K3316" s="3" t="str">
        <f t="shared" si="153"/>
        <v>0-1 Year</v>
      </c>
    </row>
    <row r="3317" spans="1:11" x14ac:dyDescent="0.3">
      <c r="A3317" t="s">
        <v>3334</v>
      </c>
      <c r="B3317" t="s">
        <v>14</v>
      </c>
      <c r="C3317" t="s">
        <v>10</v>
      </c>
      <c r="D3317" t="s">
        <v>24</v>
      </c>
      <c r="E3317">
        <v>59.1</v>
      </c>
      <c r="F3317">
        <v>18</v>
      </c>
      <c r="G3317">
        <v>1063.8</v>
      </c>
      <c r="H3317" t="s">
        <v>12</v>
      </c>
      <c r="I3317" t="str">
        <f t="shared" si="154"/>
        <v>Low Value</v>
      </c>
      <c r="J3317" t="str">
        <f t="shared" si="155"/>
        <v>Medium Risk</v>
      </c>
      <c r="K3317" s="3" t="str">
        <f t="shared" si="153"/>
        <v>1-2 Years</v>
      </c>
    </row>
    <row r="3318" spans="1:11" x14ac:dyDescent="0.3">
      <c r="A3318" t="s">
        <v>3335</v>
      </c>
      <c r="B3318" t="s">
        <v>9</v>
      </c>
      <c r="C3318" t="s">
        <v>30</v>
      </c>
      <c r="D3318" t="s">
        <v>16</v>
      </c>
      <c r="E3318">
        <v>25.55</v>
      </c>
      <c r="F3318">
        <v>64</v>
      </c>
      <c r="G3318">
        <v>1635.2</v>
      </c>
      <c r="H3318" t="s">
        <v>12</v>
      </c>
      <c r="I3318" t="str">
        <f t="shared" si="154"/>
        <v>Low Value</v>
      </c>
      <c r="J3318" t="str">
        <f t="shared" si="155"/>
        <v>Low Risk</v>
      </c>
      <c r="K3318" s="3" t="str">
        <f t="shared" si="153"/>
        <v>4+ Years</v>
      </c>
    </row>
    <row r="3319" spans="1:11" x14ac:dyDescent="0.3">
      <c r="A3319" t="s">
        <v>3336</v>
      </c>
      <c r="B3319" t="s">
        <v>9</v>
      </c>
      <c r="C3319" t="s">
        <v>10</v>
      </c>
      <c r="D3319" t="s">
        <v>11</v>
      </c>
      <c r="E3319">
        <v>84.45</v>
      </c>
      <c r="F3319">
        <v>9</v>
      </c>
      <c r="G3319">
        <v>760.05</v>
      </c>
      <c r="H3319" t="s">
        <v>18</v>
      </c>
      <c r="I3319" t="str">
        <f t="shared" si="154"/>
        <v>Low Value</v>
      </c>
      <c r="J3319" t="str">
        <f t="shared" si="155"/>
        <v>High Risk</v>
      </c>
      <c r="K3319" s="3" t="str">
        <f t="shared" si="153"/>
        <v>0-1 Year</v>
      </c>
    </row>
    <row r="3320" spans="1:11" x14ac:dyDescent="0.3">
      <c r="A3320" t="s">
        <v>3337</v>
      </c>
      <c r="B3320" t="s">
        <v>9</v>
      </c>
      <c r="C3320" t="s">
        <v>10</v>
      </c>
      <c r="D3320" t="s">
        <v>16</v>
      </c>
      <c r="E3320">
        <v>20.25</v>
      </c>
      <c r="F3320">
        <v>28</v>
      </c>
      <c r="G3320">
        <v>567</v>
      </c>
      <c r="H3320" t="s">
        <v>12</v>
      </c>
      <c r="I3320" t="str">
        <f t="shared" si="154"/>
        <v>Low Value</v>
      </c>
      <c r="J3320" t="str">
        <f t="shared" si="155"/>
        <v>Low Risk</v>
      </c>
      <c r="K3320" s="3" t="str">
        <f t="shared" si="153"/>
        <v>2-4 Years</v>
      </c>
    </row>
    <row r="3321" spans="1:11" x14ac:dyDescent="0.3">
      <c r="A3321" t="s">
        <v>3338</v>
      </c>
      <c r="B3321" t="s">
        <v>9</v>
      </c>
      <c r="C3321" t="s">
        <v>10</v>
      </c>
      <c r="D3321" t="s">
        <v>11</v>
      </c>
      <c r="E3321">
        <v>75.55</v>
      </c>
      <c r="F3321">
        <v>1</v>
      </c>
      <c r="G3321">
        <v>75.55</v>
      </c>
      <c r="H3321" t="s">
        <v>12</v>
      </c>
      <c r="I3321" t="str">
        <f t="shared" si="154"/>
        <v>Low Value</v>
      </c>
      <c r="J3321" t="str">
        <f t="shared" si="155"/>
        <v>High Risk</v>
      </c>
      <c r="K3321" s="3" t="str">
        <f t="shared" si="153"/>
        <v>0-1 Year</v>
      </c>
    </row>
    <row r="3322" spans="1:11" x14ac:dyDescent="0.3">
      <c r="A3322" t="s">
        <v>3339</v>
      </c>
      <c r="B3322" t="s">
        <v>14</v>
      </c>
      <c r="C3322" t="s">
        <v>10</v>
      </c>
      <c r="D3322" t="s">
        <v>11</v>
      </c>
      <c r="E3322">
        <v>85.65</v>
      </c>
      <c r="F3322">
        <v>4</v>
      </c>
      <c r="G3322">
        <v>342.6</v>
      </c>
      <c r="H3322" t="s">
        <v>18</v>
      </c>
      <c r="I3322" t="str">
        <f t="shared" si="154"/>
        <v>Low Value</v>
      </c>
      <c r="J3322" t="str">
        <f t="shared" si="155"/>
        <v>High Risk</v>
      </c>
      <c r="K3322" s="3" t="str">
        <f t="shared" si="153"/>
        <v>0-1 Year</v>
      </c>
    </row>
    <row r="3323" spans="1:11" x14ac:dyDescent="0.3">
      <c r="A3323" t="s">
        <v>3340</v>
      </c>
      <c r="B3323" t="s">
        <v>14</v>
      </c>
      <c r="C3323" t="s">
        <v>15</v>
      </c>
      <c r="D3323" t="s">
        <v>24</v>
      </c>
      <c r="E3323">
        <v>70.150000000000006</v>
      </c>
      <c r="F3323">
        <v>38</v>
      </c>
      <c r="G3323">
        <v>2665.7</v>
      </c>
      <c r="H3323" t="s">
        <v>18</v>
      </c>
      <c r="I3323" t="str">
        <f t="shared" si="154"/>
        <v>Medium Value</v>
      </c>
      <c r="J3323" t="str">
        <f t="shared" si="155"/>
        <v>Low Risk</v>
      </c>
      <c r="K3323" s="3" t="str">
        <f t="shared" si="153"/>
        <v>2-4 Years</v>
      </c>
    </row>
    <row r="3324" spans="1:11" x14ac:dyDescent="0.3">
      <c r="A3324" t="s">
        <v>3341</v>
      </c>
      <c r="B3324" t="s">
        <v>14</v>
      </c>
      <c r="C3324" t="s">
        <v>15</v>
      </c>
      <c r="D3324" t="s">
        <v>11</v>
      </c>
      <c r="E3324">
        <v>95.3</v>
      </c>
      <c r="F3324">
        <v>66</v>
      </c>
      <c r="G3324">
        <v>6289.8</v>
      </c>
      <c r="H3324" t="s">
        <v>12</v>
      </c>
      <c r="I3324" t="str">
        <f t="shared" si="154"/>
        <v>High Value</v>
      </c>
      <c r="J3324" t="str">
        <f t="shared" si="155"/>
        <v>Low Risk</v>
      </c>
      <c r="K3324" s="3" t="str">
        <f t="shared" si="153"/>
        <v>4+ Years</v>
      </c>
    </row>
    <row r="3325" spans="1:11" x14ac:dyDescent="0.3">
      <c r="A3325" t="s">
        <v>3342</v>
      </c>
      <c r="B3325" t="s">
        <v>9</v>
      </c>
      <c r="C3325" t="s">
        <v>10</v>
      </c>
      <c r="D3325" t="s">
        <v>11</v>
      </c>
      <c r="E3325">
        <v>70.25</v>
      </c>
      <c r="F3325">
        <v>1</v>
      </c>
      <c r="G3325">
        <v>70.25</v>
      </c>
      <c r="H3325" t="s">
        <v>12</v>
      </c>
      <c r="I3325" t="str">
        <f t="shared" si="154"/>
        <v>Low Value</v>
      </c>
      <c r="J3325" t="str">
        <f t="shared" si="155"/>
        <v>High Risk</v>
      </c>
      <c r="K3325" s="3" t="str">
        <f t="shared" si="153"/>
        <v>0-1 Year</v>
      </c>
    </row>
    <row r="3326" spans="1:11" x14ac:dyDescent="0.3">
      <c r="A3326" t="s">
        <v>3343</v>
      </c>
      <c r="B3326" t="s">
        <v>9</v>
      </c>
      <c r="C3326" t="s">
        <v>10</v>
      </c>
      <c r="D3326" t="s">
        <v>16</v>
      </c>
      <c r="E3326">
        <v>50.3</v>
      </c>
      <c r="F3326">
        <v>18</v>
      </c>
      <c r="G3326">
        <v>905.4</v>
      </c>
      <c r="H3326" t="s">
        <v>12</v>
      </c>
      <c r="I3326" t="str">
        <f t="shared" si="154"/>
        <v>Low Value</v>
      </c>
      <c r="J3326" t="str">
        <f t="shared" si="155"/>
        <v>Medium Risk</v>
      </c>
      <c r="K3326" s="3" t="str">
        <f t="shared" si="153"/>
        <v>1-2 Years</v>
      </c>
    </row>
    <row r="3327" spans="1:11" x14ac:dyDescent="0.3">
      <c r="A3327" t="s">
        <v>3344</v>
      </c>
      <c r="B3327" t="s">
        <v>14</v>
      </c>
      <c r="C3327" t="s">
        <v>10</v>
      </c>
      <c r="D3327" t="s">
        <v>11</v>
      </c>
      <c r="E3327">
        <v>97.8</v>
      </c>
      <c r="F3327">
        <v>51</v>
      </c>
      <c r="G3327">
        <v>4987.8</v>
      </c>
      <c r="H3327" t="s">
        <v>18</v>
      </c>
      <c r="I3327" t="str">
        <f t="shared" si="154"/>
        <v>Medium Value</v>
      </c>
      <c r="J3327" t="str">
        <f t="shared" si="155"/>
        <v>Low Risk</v>
      </c>
      <c r="K3327" s="3" t="str">
        <f t="shared" si="153"/>
        <v>4+ Years</v>
      </c>
    </row>
    <row r="3328" spans="1:11" x14ac:dyDescent="0.3">
      <c r="A3328" t="s">
        <v>3345</v>
      </c>
      <c r="B3328" t="s">
        <v>14</v>
      </c>
      <c r="C3328" t="s">
        <v>10</v>
      </c>
      <c r="D3328" t="s">
        <v>16</v>
      </c>
      <c r="E3328">
        <v>46.3</v>
      </c>
      <c r="F3328">
        <v>1</v>
      </c>
      <c r="G3328">
        <v>46.3</v>
      </c>
      <c r="H3328" t="s">
        <v>18</v>
      </c>
      <c r="I3328" t="str">
        <f t="shared" si="154"/>
        <v>Low Value</v>
      </c>
      <c r="J3328" t="str">
        <f t="shared" si="155"/>
        <v>High Risk</v>
      </c>
      <c r="K3328" s="3" t="str">
        <f t="shared" si="153"/>
        <v>0-1 Year</v>
      </c>
    </row>
    <row r="3329" spans="1:11" x14ac:dyDescent="0.3">
      <c r="A3329" t="s">
        <v>3346</v>
      </c>
      <c r="B3329" t="s">
        <v>14</v>
      </c>
      <c r="C3329" t="s">
        <v>30</v>
      </c>
      <c r="D3329" t="s">
        <v>20</v>
      </c>
      <c r="E3329">
        <v>19.350000000000001</v>
      </c>
      <c r="F3329">
        <v>12</v>
      </c>
      <c r="G3329">
        <v>232.2</v>
      </c>
      <c r="H3329" t="s">
        <v>12</v>
      </c>
      <c r="I3329" t="str">
        <f t="shared" si="154"/>
        <v>Low Value</v>
      </c>
      <c r="J3329" t="str">
        <f t="shared" si="155"/>
        <v>Medium Risk</v>
      </c>
      <c r="K3329" s="3" t="str">
        <f t="shared" si="153"/>
        <v>0-1 Year</v>
      </c>
    </row>
    <row r="3330" spans="1:11" x14ac:dyDescent="0.3">
      <c r="A3330" t="s">
        <v>3347</v>
      </c>
      <c r="B3330" t="s">
        <v>9</v>
      </c>
      <c r="C3330" t="s">
        <v>10</v>
      </c>
      <c r="D3330" t="s">
        <v>11</v>
      </c>
      <c r="E3330">
        <v>106.3</v>
      </c>
      <c r="F3330">
        <v>41</v>
      </c>
      <c r="G3330">
        <v>4358.3</v>
      </c>
      <c r="H3330" t="s">
        <v>18</v>
      </c>
      <c r="I3330" t="str">
        <f t="shared" si="154"/>
        <v>Medium Value</v>
      </c>
      <c r="J3330" t="str">
        <f t="shared" si="155"/>
        <v>Low Risk</v>
      </c>
      <c r="K3330" s="3" t="str">
        <f t="shared" si="153"/>
        <v>2-4 Years</v>
      </c>
    </row>
    <row r="3331" spans="1:11" x14ac:dyDescent="0.3">
      <c r="A3331" t="s">
        <v>3348</v>
      </c>
      <c r="B3331" t="s">
        <v>14</v>
      </c>
      <c r="C3331" t="s">
        <v>10</v>
      </c>
      <c r="D3331" t="s">
        <v>11</v>
      </c>
      <c r="E3331">
        <v>25</v>
      </c>
      <c r="F3331">
        <v>12</v>
      </c>
      <c r="G3331">
        <v>300</v>
      </c>
      <c r="H3331" t="s">
        <v>12</v>
      </c>
      <c r="I3331" t="str">
        <f t="shared" si="154"/>
        <v>Low Value</v>
      </c>
      <c r="J3331" t="str">
        <f t="shared" si="155"/>
        <v>Medium Risk</v>
      </c>
      <c r="K3331" s="3" t="str">
        <f t="shared" ref="K3331:K3394" si="156">IF(F3331&lt;=12,"0-1 Year",
IF(F3331&lt;=24,"1-2 Years",
IF(F3331&lt;=48,"2-4 Years","4+ Years")))</f>
        <v>0-1 Year</v>
      </c>
    </row>
    <row r="3332" spans="1:11" x14ac:dyDescent="0.3">
      <c r="A3332" t="s">
        <v>3349</v>
      </c>
      <c r="B3332" t="s">
        <v>9</v>
      </c>
      <c r="C3332" t="s">
        <v>30</v>
      </c>
      <c r="D3332" t="s">
        <v>16</v>
      </c>
      <c r="E3332">
        <v>20.3</v>
      </c>
      <c r="F3332">
        <v>55</v>
      </c>
      <c r="G3332">
        <v>1116.5</v>
      </c>
      <c r="H3332" t="s">
        <v>12</v>
      </c>
      <c r="I3332" t="str">
        <f t="shared" ref="I3332:I3395" si="157">IF(G3332&gt;5000,"High Value",
IF(G3332&gt;2000,"Medium Value","Low Value"))</f>
        <v>Low Value</v>
      </c>
      <c r="J3332" t="str">
        <f t="shared" ref="J3332:J3395" si="158">IF(F3332&lt;12,"High Risk",
IF(F3332&lt;24,"Medium Risk","Low Risk"))</f>
        <v>Low Risk</v>
      </c>
      <c r="K3332" s="3" t="str">
        <f t="shared" si="156"/>
        <v>4+ Years</v>
      </c>
    </row>
    <row r="3333" spans="1:11" x14ac:dyDescent="0.3">
      <c r="A3333" t="s">
        <v>3350</v>
      </c>
      <c r="B3333" t="s">
        <v>9</v>
      </c>
      <c r="C3333" t="s">
        <v>10</v>
      </c>
      <c r="D3333" t="s">
        <v>11</v>
      </c>
      <c r="E3333">
        <v>75.349999999999994</v>
      </c>
      <c r="F3333">
        <v>7</v>
      </c>
      <c r="G3333">
        <v>527.44999999999902</v>
      </c>
      <c r="H3333" t="s">
        <v>12</v>
      </c>
      <c r="I3333" t="str">
        <f t="shared" si="157"/>
        <v>Low Value</v>
      </c>
      <c r="J3333" t="str">
        <f t="shared" si="158"/>
        <v>High Risk</v>
      </c>
      <c r="K3333" s="3" t="str">
        <f t="shared" si="156"/>
        <v>0-1 Year</v>
      </c>
    </row>
    <row r="3334" spans="1:11" x14ac:dyDescent="0.3">
      <c r="A3334" t="s">
        <v>3351</v>
      </c>
      <c r="B3334" t="s">
        <v>9</v>
      </c>
      <c r="C3334" t="s">
        <v>10</v>
      </c>
      <c r="D3334" t="s">
        <v>11</v>
      </c>
      <c r="E3334">
        <v>89.4</v>
      </c>
      <c r="F3334">
        <v>12</v>
      </c>
      <c r="G3334">
        <v>1072.8</v>
      </c>
      <c r="H3334" t="s">
        <v>18</v>
      </c>
      <c r="I3334" t="str">
        <f t="shared" si="157"/>
        <v>Low Value</v>
      </c>
      <c r="J3334" t="str">
        <f t="shared" si="158"/>
        <v>Medium Risk</v>
      </c>
      <c r="K3334" s="3" t="str">
        <f t="shared" si="156"/>
        <v>0-1 Year</v>
      </c>
    </row>
    <row r="3335" spans="1:11" x14ac:dyDescent="0.3">
      <c r="A3335" t="s">
        <v>3352</v>
      </c>
      <c r="B3335" t="s">
        <v>9</v>
      </c>
      <c r="C3335" t="s">
        <v>30</v>
      </c>
      <c r="D3335" t="s">
        <v>24</v>
      </c>
      <c r="E3335">
        <v>88</v>
      </c>
      <c r="F3335">
        <v>68</v>
      </c>
      <c r="G3335">
        <v>5984</v>
      </c>
      <c r="H3335" t="s">
        <v>12</v>
      </c>
      <c r="I3335" t="str">
        <f t="shared" si="157"/>
        <v>High Value</v>
      </c>
      <c r="J3335" t="str">
        <f t="shared" si="158"/>
        <v>Low Risk</v>
      </c>
      <c r="K3335" s="3" t="str">
        <f t="shared" si="156"/>
        <v>4+ Years</v>
      </c>
    </row>
    <row r="3336" spans="1:11" x14ac:dyDescent="0.3">
      <c r="A3336" t="s">
        <v>3353</v>
      </c>
      <c r="B3336" t="s">
        <v>9</v>
      </c>
      <c r="C3336" t="s">
        <v>10</v>
      </c>
      <c r="D3336" t="s">
        <v>24</v>
      </c>
      <c r="E3336">
        <v>83.15</v>
      </c>
      <c r="F3336">
        <v>5</v>
      </c>
      <c r="G3336">
        <v>415.75</v>
      </c>
      <c r="H3336" t="s">
        <v>18</v>
      </c>
      <c r="I3336" t="str">
        <f t="shared" si="157"/>
        <v>Low Value</v>
      </c>
      <c r="J3336" t="str">
        <f t="shared" si="158"/>
        <v>High Risk</v>
      </c>
      <c r="K3336" s="3" t="str">
        <f t="shared" si="156"/>
        <v>0-1 Year</v>
      </c>
    </row>
    <row r="3337" spans="1:11" x14ac:dyDescent="0.3">
      <c r="A3337" t="s">
        <v>3354</v>
      </c>
      <c r="B3337" t="s">
        <v>9</v>
      </c>
      <c r="C3337" t="s">
        <v>10</v>
      </c>
      <c r="D3337" t="s">
        <v>16</v>
      </c>
      <c r="E3337">
        <v>43.8</v>
      </c>
      <c r="F3337">
        <v>49</v>
      </c>
      <c r="G3337">
        <v>2146.1999999999998</v>
      </c>
      <c r="H3337" t="s">
        <v>12</v>
      </c>
      <c r="I3337" t="str">
        <f t="shared" si="157"/>
        <v>Medium Value</v>
      </c>
      <c r="J3337" t="str">
        <f t="shared" si="158"/>
        <v>Low Risk</v>
      </c>
      <c r="K3337" s="3" t="str">
        <f t="shared" si="156"/>
        <v>4+ Years</v>
      </c>
    </row>
    <row r="3338" spans="1:11" x14ac:dyDescent="0.3">
      <c r="A3338" t="s">
        <v>3355</v>
      </c>
      <c r="B3338" t="s">
        <v>14</v>
      </c>
      <c r="C3338" t="s">
        <v>15</v>
      </c>
      <c r="D3338" t="s">
        <v>24</v>
      </c>
      <c r="E3338">
        <v>62.05</v>
      </c>
      <c r="F3338">
        <v>40</v>
      </c>
      <c r="G3338">
        <v>2482</v>
      </c>
      <c r="H3338" t="s">
        <v>12</v>
      </c>
      <c r="I3338" t="str">
        <f t="shared" si="157"/>
        <v>Medium Value</v>
      </c>
      <c r="J3338" t="str">
        <f t="shared" si="158"/>
        <v>Low Risk</v>
      </c>
      <c r="K3338" s="3" t="str">
        <f t="shared" si="156"/>
        <v>2-4 Years</v>
      </c>
    </row>
    <row r="3339" spans="1:11" x14ac:dyDescent="0.3">
      <c r="A3339" t="s">
        <v>3356</v>
      </c>
      <c r="B3339" t="s">
        <v>9</v>
      </c>
      <c r="C3339" t="s">
        <v>15</v>
      </c>
      <c r="D3339" t="s">
        <v>20</v>
      </c>
      <c r="E3339">
        <v>20.100000000000001</v>
      </c>
      <c r="F3339">
        <v>16</v>
      </c>
      <c r="G3339">
        <v>321.60000000000002</v>
      </c>
      <c r="H3339" t="s">
        <v>12</v>
      </c>
      <c r="I3339" t="str">
        <f t="shared" si="157"/>
        <v>Low Value</v>
      </c>
      <c r="J3339" t="str">
        <f t="shared" si="158"/>
        <v>Medium Risk</v>
      </c>
      <c r="K3339" s="3" t="str">
        <f t="shared" si="156"/>
        <v>1-2 Years</v>
      </c>
    </row>
    <row r="3340" spans="1:11" x14ac:dyDescent="0.3">
      <c r="A3340" t="s">
        <v>3357</v>
      </c>
      <c r="B3340" t="s">
        <v>14</v>
      </c>
      <c r="C3340" t="s">
        <v>10</v>
      </c>
      <c r="D3340" t="s">
        <v>16</v>
      </c>
      <c r="E3340">
        <v>74.150000000000006</v>
      </c>
      <c r="F3340">
        <v>10</v>
      </c>
      <c r="G3340">
        <v>741.5</v>
      </c>
      <c r="H3340" t="s">
        <v>18</v>
      </c>
      <c r="I3340" t="str">
        <f t="shared" si="157"/>
        <v>Low Value</v>
      </c>
      <c r="J3340" t="str">
        <f t="shared" si="158"/>
        <v>High Risk</v>
      </c>
      <c r="K3340" s="3" t="str">
        <f t="shared" si="156"/>
        <v>0-1 Year</v>
      </c>
    </row>
    <row r="3341" spans="1:11" x14ac:dyDescent="0.3">
      <c r="A3341" t="s">
        <v>3358</v>
      </c>
      <c r="B3341" t="s">
        <v>9</v>
      </c>
      <c r="C3341" t="s">
        <v>15</v>
      </c>
      <c r="D3341" t="s">
        <v>11</v>
      </c>
      <c r="E3341">
        <v>101.35</v>
      </c>
      <c r="F3341">
        <v>72</v>
      </c>
      <c r="G3341">
        <v>7297.2</v>
      </c>
      <c r="H3341" t="s">
        <v>12</v>
      </c>
      <c r="I3341" t="str">
        <f t="shared" si="157"/>
        <v>High Value</v>
      </c>
      <c r="J3341" t="str">
        <f t="shared" si="158"/>
        <v>Low Risk</v>
      </c>
      <c r="K3341" s="3" t="str">
        <f t="shared" si="156"/>
        <v>4+ Years</v>
      </c>
    </row>
    <row r="3342" spans="1:11" x14ac:dyDescent="0.3">
      <c r="A3342" t="s">
        <v>3359</v>
      </c>
      <c r="B3342" t="s">
        <v>9</v>
      </c>
      <c r="C3342" t="s">
        <v>10</v>
      </c>
      <c r="D3342" t="s">
        <v>11</v>
      </c>
      <c r="E3342">
        <v>84.05</v>
      </c>
      <c r="F3342">
        <v>2</v>
      </c>
      <c r="G3342">
        <v>168.1</v>
      </c>
      <c r="H3342" t="s">
        <v>12</v>
      </c>
      <c r="I3342" t="str">
        <f t="shared" si="157"/>
        <v>Low Value</v>
      </c>
      <c r="J3342" t="str">
        <f t="shared" si="158"/>
        <v>High Risk</v>
      </c>
      <c r="K3342" s="3" t="str">
        <f t="shared" si="156"/>
        <v>0-1 Year</v>
      </c>
    </row>
    <row r="3343" spans="1:11" x14ac:dyDescent="0.3">
      <c r="A3343" t="s">
        <v>3360</v>
      </c>
      <c r="B3343" t="s">
        <v>14</v>
      </c>
      <c r="C3343" t="s">
        <v>30</v>
      </c>
      <c r="D3343" t="s">
        <v>16</v>
      </c>
      <c r="E3343">
        <v>20.9</v>
      </c>
      <c r="F3343">
        <v>23</v>
      </c>
      <c r="G3343">
        <v>480.7</v>
      </c>
      <c r="H3343" t="s">
        <v>12</v>
      </c>
      <c r="I3343" t="str">
        <f t="shared" si="157"/>
        <v>Low Value</v>
      </c>
      <c r="J3343" t="str">
        <f t="shared" si="158"/>
        <v>Medium Risk</v>
      </c>
      <c r="K3343" s="3" t="str">
        <f t="shared" si="156"/>
        <v>1-2 Years</v>
      </c>
    </row>
    <row r="3344" spans="1:11" x14ac:dyDescent="0.3">
      <c r="A3344" t="s">
        <v>3361</v>
      </c>
      <c r="B3344" t="s">
        <v>9</v>
      </c>
      <c r="C3344" t="s">
        <v>15</v>
      </c>
      <c r="D3344" t="s">
        <v>11</v>
      </c>
      <c r="E3344">
        <v>105.9</v>
      </c>
      <c r="F3344">
        <v>71</v>
      </c>
      <c r="G3344">
        <v>7518.9</v>
      </c>
      <c r="H3344" t="s">
        <v>12</v>
      </c>
      <c r="I3344" t="str">
        <f t="shared" si="157"/>
        <v>High Value</v>
      </c>
      <c r="J3344" t="str">
        <f t="shared" si="158"/>
        <v>Low Risk</v>
      </c>
      <c r="K3344" s="3" t="str">
        <f t="shared" si="156"/>
        <v>4+ Years</v>
      </c>
    </row>
    <row r="3345" spans="1:11" x14ac:dyDescent="0.3">
      <c r="A3345" t="s">
        <v>3362</v>
      </c>
      <c r="B3345" t="s">
        <v>9</v>
      </c>
      <c r="C3345" t="s">
        <v>10</v>
      </c>
      <c r="D3345" t="s">
        <v>11</v>
      </c>
      <c r="E3345">
        <v>99.5</v>
      </c>
      <c r="F3345">
        <v>11</v>
      </c>
      <c r="G3345">
        <v>1094.5</v>
      </c>
      <c r="H3345" t="s">
        <v>18</v>
      </c>
      <c r="I3345" t="str">
        <f t="shared" si="157"/>
        <v>Low Value</v>
      </c>
      <c r="J3345" t="str">
        <f t="shared" si="158"/>
        <v>High Risk</v>
      </c>
      <c r="K3345" s="3" t="str">
        <f t="shared" si="156"/>
        <v>0-1 Year</v>
      </c>
    </row>
    <row r="3346" spans="1:11" x14ac:dyDescent="0.3">
      <c r="A3346" t="s">
        <v>3363</v>
      </c>
      <c r="B3346" t="s">
        <v>14</v>
      </c>
      <c r="C3346" t="s">
        <v>10</v>
      </c>
      <c r="D3346" t="s">
        <v>16</v>
      </c>
      <c r="E3346">
        <v>44.15</v>
      </c>
      <c r="F3346">
        <v>1</v>
      </c>
      <c r="G3346">
        <v>44.15</v>
      </c>
      <c r="H3346" t="s">
        <v>18</v>
      </c>
      <c r="I3346" t="str">
        <f t="shared" si="157"/>
        <v>Low Value</v>
      </c>
      <c r="J3346" t="str">
        <f t="shared" si="158"/>
        <v>High Risk</v>
      </c>
      <c r="K3346" s="3" t="str">
        <f t="shared" si="156"/>
        <v>0-1 Year</v>
      </c>
    </row>
    <row r="3347" spans="1:11" x14ac:dyDescent="0.3">
      <c r="A3347" t="s">
        <v>3364</v>
      </c>
      <c r="B3347" t="s">
        <v>9</v>
      </c>
      <c r="C3347" t="s">
        <v>10</v>
      </c>
      <c r="D3347" t="s">
        <v>16</v>
      </c>
      <c r="E3347">
        <v>53.9</v>
      </c>
      <c r="F3347">
        <v>16</v>
      </c>
      <c r="G3347">
        <v>862.4</v>
      </c>
      <c r="H3347" t="s">
        <v>18</v>
      </c>
      <c r="I3347" t="str">
        <f t="shared" si="157"/>
        <v>Low Value</v>
      </c>
      <c r="J3347" t="str">
        <f t="shared" si="158"/>
        <v>Medium Risk</v>
      </c>
      <c r="K3347" s="3" t="str">
        <f t="shared" si="156"/>
        <v>1-2 Years</v>
      </c>
    </row>
    <row r="3348" spans="1:11" x14ac:dyDescent="0.3">
      <c r="A3348" t="s">
        <v>3365</v>
      </c>
      <c r="B3348" t="s">
        <v>9</v>
      </c>
      <c r="C3348" t="s">
        <v>10</v>
      </c>
      <c r="D3348" t="s">
        <v>16</v>
      </c>
      <c r="E3348">
        <v>85.45</v>
      </c>
      <c r="F3348">
        <v>1</v>
      </c>
      <c r="G3348">
        <v>85.45</v>
      </c>
      <c r="H3348" t="s">
        <v>18</v>
      </c>
      <c r="I3348" t="str">
        <f t="shared" si="157"/>
        <v>Low Value</v>
      </c>
      <c r="J3348" t="str">
        <f t="shared" si="158"/>
        <v>High Risk</v>
      </c>
      <c r="K3348" s="3" t="str">
        <f t="shared" si="156"/>
        <v>0-1 Year</v>
      </c>
    </row>
    <row r="3349" spans="1:11" x14ac:dyDescent="0.3">
      <c r="A3349" t="s">
        <v>3366</v>
      </c>
      <c r="B3349" t="s">
        <v>14</v>
      </c>
      <c r="C3349" t="s">
        <v>10</v>
      </c>
      <c r="D3349" t="s">
        <v>24</v>
      </c>
      <c r="E3349">
        <v>85.05</v>
      </c>
      <c r="F3349">
        <v>12</v>
      </c>
      <c r="G3349">
        <v>1020.59999999999</v>
      </c>
      <c r="H3349" t="s">
        <v>12</v>
      </c>
      <c r="I3349" t="str">
        <f t="shared" si="157"/>
        <v>Low Value</v>
      </c>
      <c r="J3349" t="str">
        <f t="shared" si="158"/>
        <v>Medium Risk</v>
      </c>
      <c r="K3349" s="3" t="str">
        <f t="shared" si="156"/>
        <v>0-1 Year</v>
      </c>
    </row>
    <row r="3350" spans="1:11" x14ac:dyDescent="0.3">
      <c r="A3350" t="s">
        <v>3367</v>
      </c>
      <c r="B3350" t="s">
        <v>9</v>
      </c>
      <c r="C3350" t="s">
        <v>15</v>
      </c>
      <c r="D3350" t="s">
        <v>20</v>
      </c>
      <c r="E3350">
        <v>44.1</v>
      </c>
      <c r="F3350">
        <v>54</v>
      </c>
      <c r="G3350">
        <v>2381.4</v>
      </c>
      <c r="H3350" t="s">
        <v>12</v>
      </c>
      <c r="I3350" t="str">
        <f t="shared" si="157"/>
        <v>Medium Value</v>
      </c>
      <c r="J3350" t="str">
        <f t="shared" si="158"/>
        <v>Low Risk</v>
      </c>
      <c r="K3350" s="3" t="str">
        <f t="shared" si="156"/>
        <v>4+ Years</v>
      </c>
    </row>
    <row r="3351" spans="1:11" x14ac:dyDescent="0.3">
      <c r="A3351" t="s">
        <v>3368</v>
      </c>
      <c r="B3351" t="s">
        <v>9</v>
      </c>
      <c r="C3351" t="s">
        <v>30</v>
      </c>
      <c r="D3351" t="s">
        <v>24</v>
      </c>
      <c r="E3351">
        <v>90.2</v>
      </c>
      <c r="F3351">
        <v>68</v>
      </c>
      <c r="G3351">
        <v>6133.6</v>
      </c>
      <c r="H3351" t="s">
        <v>12</v>
      </c>
      <c r="I3351" t="str">
        <f t="shared" si="157"/>
        <v>High Value</v>
      </c>
      <c r="J3351" t="str">
        <f t="shared" si="158"/>
        <v>Low Risk</v>
      </c>
      <c r="K3351" s="3" t="str">
        <f t="shared" si="156"/>
        <v>4+ Years</v>
      </c>
    </row>
    <row r="3352" spans="1:11" x14ac:dyDescent="0.3">
      <c r="A3352" t="s">
        <v>3369</v>
      </c>
      <c r="B3352" t="s">
        <v>9</v>
      </c>
      <c r="C3352" t="s">
        <v>10</v>
      </c>
      <c r="D3352" t="s">
        <v>16</v>
      </c>
      <c r="E3352">
        <v>50.85</v>
      </c>
      <c r="F3352">
        <v>4</v>
      </c>
      <c r="G3352">
        <v>203.4</v>
      </c>
      <c r="H3352" t="s">
        <v>18</v>
      </c>
      <c r="I3352" t="str">
        <f t="shared" si="157"/>
        <v>Low Value</v>
      </c>
      <c r="J3352" t="str">
        <f t="shared" si="158"/>
        <v>High Risk</v>
      </c>
      <c r="K3352" s="3" t="str">
        <f t="shared" si="156"/>
        <v>0-1 Year</v>
      </c>
    </row>
    <row r="3353" spans="1:11" x14ac:dyDescent="0.3">
      <c r="A3353" t="s">
        <v>3370</v>
      </c>
      <c r="B3353" t="s">
        <v>9</v>
      </c>
      <c r="C3353" t="s">
        <v>10</v>
      </c>
      <c r="D3353" t="s">
        <v>11</v>
      </c>
      <c r="E3353">
        <v>59.2</v>
      </c>
      <c r="F3353">
        <v>1</v>
      </c>
      <c r="G3353">
        <v>59.2</v>
      </c>
      <c r="H3353" t="s">
        <v>18</v>
      </c>
      <c r="I3353" t="str">
        <f t="shared" si="157"/>
        <v>Low Value</v>
      </c>
      <c r="J3353" t="str">
        <f t="shared" si="158"/>
        <v>High Risk</v>
      </c>
      <c r="K3353" s="3" t="str">
        <f t="shared" si="156"/>
        <v>0-1 Year</v>
      </c>
    </row>
    <row r="3354" spans="1:11" x14ac:dyDescent="0.3">
      <c r="A3354" t="s">
        <v>3371</v>
      </c>
      <c r="B3354" t="s">
        <v>14</v>
      </c>
      <c r="C3354" t="s">
        <v>10</v>
      </c>
      <c r="D3354" t="s">
        <v>16</v>
      </c>
      <c r="E3354">
        <v>53.45</v>
      </c>
      <c r="F3354">
        <v>27</v>
      </c>
      <c r="G3354">
        <v>1443.15</v>
      </c>
      <c r="H3354" t="s">
        <v>12</v>
      </c>
      <c r="I3354" t="str">
        <f t="shared" si="157"/>
        <v>Low Value</v>
      </c>
      <c r="J3354" t="str">
        <f t="shared" si="158"/>
        <v>Low Risk</v>
      </c>
      <c r="K3354" s="3" t="str">
        <f t="shared" si="156"/>
        <v>2-4 Years</v>
      </c>
    </row>
    <row r="3355" spans="1:11" x14ac:dyDescent="0.3">
      <c r="A3355" t="s">
        <v>3372</v>
      </c>
      <c r="B3355" t="s">
        <v>14</v>
      </c>
      <c r="C3355" t="s">
        <v>10</v>
      </c>
      <c r="D3355" t="s">
        <v>16</v>
      </c>
      <c r="E3355">
        <v>19.95</v>
      </c>
      <c r="F3355">
        <v>21</v>
      </c>
      <c r="G3355">
        <v>418.95</v>
      </c>
      <c r="H3355" t="s">
        <v>12</v>
      </c>
      <c r="I3355" t="str">
        <f t="shared" si="157"/>
        <v>Low Value</v>
      </c>
      <c r="J3355" t="str">
        <f t="shared" si="158"/>
        <v>Medium Risk</v>
      </c>
      <c r="K3355" s="3" t="str">
        <f t="shared" si="156"/>
        <v>1-2 Years</v>
      </c>
    </row>
    <row r="3356" spans="1:11" x14ac:dyDescent="0.3">
      <c r="A3356" t="s">
        <v>3373</v>
      </c>
      <c r="B3356" t="s">
        <v>14</v>
      </c>
      <c r="C3356" t="s">
        <v>10</v>
      </c>
      <c r="D3356" t="s">
        <v>11</v>
      </c>
      <c r="E3356">
        <v>83.2</v>
      </c>
      <c r="F3356">
        <v>13</v>
      </c>
      <c r="G3356">
        <v>1081.5999999999999</v>
      </c>
      <c r="H3356" t="s">
        <v>18</v>
      </c>
      <c r="I3356" t="str">
        <f t="shared" si="157"/>
        <v>Low Value</v>
      </c>
      <c r="J3356" t="str">
        <f t="shared" si="158"/>
        <v>Medium Risk</v>
      </c>
      <c r="K3356" s="3" t="str">
        <f t="shared" si="156"/>
        <v>1-2 Years</v>
      </c>
    </row>
    <row r="3357" spans="1:11" x14ac:dyDescent="0.3">
      <c r="A3357" t="s">
        <v>3374</v>
      </c>
      <c r="B3357" t="s">
        <v>9</v>
      </c>
      <c r="C3357" t="s">
        <v>10</v>
      </c>
      <c r="D3357" t="s">
        <v>24</v>
      </c>
      <c r="E3357">
        <v>74.650000000000006</v>
      </c>
      <c r="F3357">
        <v>64</v>
      </c>
      <c r="G3357">
        <v>4777.6000000000004</v>
      </c>
      <c r="H3357" t="s">
        <v>12</v>
      </c>
      <c r="I3357" t="str">
        <f t="shared" si="157"/>
        <v>Medium Value</v>
      </c>
      <c r="J3357" t="str">
        <f t="shared" si="158"/>
        <v>Low Risk</v>
      </c>
      <c r="K3357" s="3" t="str">
        <f t="shared" si="156"/>
        <v>4+ Years</v>
      </c>
    </row>
    <row r="3358" spans="1:11" x14ac:dyDescent="0.3">
      <c r="A3358" t="s">
        <v>3375</v>
      </c>
      <c r="B3358" t="s">
        <v>9</v>
      </c>
      <c r="C3358" t="s">
        <v>10</v>
      </c>
      <c r="D3358" t="s">
        <v>11</v>
      </c>
      <c r="E3358">
        <v>54.9</v>
      </c>
      <c r="F3358">
        <v>1</v>
      </c>
      <c r="G3358">
        <v>54.9</v>
      </c>
      <c r="H3358" t="s">
        <v>18</v>
      </c>
      <c r="I3358" t="str">
        <f t="shared" si="157"/>
        <v>Low Value</v>
      </c>
      <c r="J3358" t="str">
        <f t="shared" si="158"/>
        <v>High Risk</v>
      </c>
      <c r="K3358" s="3" t="str">
        <f t="shared" si="156"/>
        <v>0-1 Year</v>
      </c>
    </row>
    <row r="3359" spans="1:11" x14ac:dyDescent="0.3">
      <c r="A3359" t="s">
        <v>3376</v>
      </c>
      <c r="B3359" t="s">
        <v>14</v>
      </c>
      <c r="C3359" t="s">
        <v>30</v>
      </c>
      <c r="D3359" t="s">
        <v>20</v>
      </c>
      <c r="E3359">
        <v>57.5</v>
      </c>
      <c r="F3359">
        <v>57</v>
      </c>
      <c r="G3359">
        <v>3277.5</v>
      </c>
      <c r="H3359" t="s">
        <v>12</v>
      </c>
      <c r="I3359" t="str">
        <f t="shared" si="157"/>
        <v>Medium Value</v>
      </c>
      <c r="J3359" t="str">
        <f t="shared" si="158"/>
        <v>Low Risk</v>
      </c>
      <c r="K3359" s="3" t="str">
        <f t="shared" si="156"/>
        <v>4+ Years</v>
      </c>
    </row>
    <row r="3360" spans="1:11" x14ac:dyDescent="0.3">
      <c r="A3360" t="s">
        <v>3377</v>
      </c>
      <c r="B3360" t="s">
        <v>9</v>
      </c>
      <c r="C3360" t="s">
        <v>10</v>
      </c>
      <c r="D3360" t="s">
        <v>11</v>
      </c>
      <c r="E3360">
        <v>103.9</v>
      </c>
      <c r="F3360">
        <v>21</v>
      </c>
      <c r="G3360">
        <v>2181.9</v>
      </c>
      <c r="H3360" t="s">
        <v>18</v>
      </c>
      <c r="I3360" t="str">
        <f t="shared" si="157"/>
        <v>Medium Value</v>
      </c>
      <c r="J3360" t="str">
        <f t="shared" si="158"/>
        <v>Medium Risk</v>
      </c>
      <c r="K3360" s="3" t="str">
        <f t="shared" si="156"/>
        <v>1-2 Years</v>
      </c>
    </row>
    <row r="3361" spans="1:11" x14ac:dyDescent="0.3">
      <c r="A3361" t="s">
        <v>3378</v>
      </c>
      <c r="B3361" t="s">
        <v>14</v>
      </c>
      <c r="C3361" t="s">
        <v>30</v>
      </c>
      <c r="D3361" t="s">
        <v>16</v>
      </c>
      <c r="E3361">
        <v>19.649999999999999</v>
      </c>
      <c r="F3361">
        <v>19</v>
      </c>
      <c r="G3361">
        <v>373.349999999999</v>
      </c>
      <c r="H3361" t="s">
        <v>12</v>
      </c>
      <c r="I3361" t="str">
        <f t="shared" si="157"/>
        <v>Low Value</v>
      </c>
      <c r="J3361" t="str">
        <f t="shared" si="158"/>
        <v>Medium Risk</v>
      </c>
      <c r="K3361" s="3" t="str">
        <f t="shared" si="156"/>
        <v>1-2 Years</v>
      </c>
    </row>
    <row r="3362" spans="1:11" x14ac:dyDescent="0.3">
      <c r="A3362" t="s">
        <v>3379</v>
      </c>
      <c r="B3362" t="s">
        <v>14</v>
      </c>
      <c r="C3362" t="s">
        <v>15</v>
      </c>
      <c r="D3362" t="s">
        <v>11</v>
      </c>
      <c r="E3362">
        <v>93.8</v>
      </c>
      <c r="F3362">
        <v>31</v>
      </c>
      <c r="G3362">
        <v>2907.7999999999902</v>
      </c>
      <c r="H3362" t="s">
        <v>12</v>
      </c>
      <c r="I3362" t="str">
        <f t="shared" si="157"/>
        <v>Medium Value</v>
      </c>
      <c r="J3362" t="str">
        <f t="shared" si="158"/>
        <v>Low Risk</v>
      </c>
      <c r="K3362" s="3" t="str">
        <f t="shared" si="156"/>
        <v>2-4 Years</v>
      </c>
    </row>
    <row r="3363" spans="1:11" x14ac:dyDescent="0.3">
      <c r="A3363" t="s">
        <v>3380</v>
      </c>
      <c r="B3363" t="s">
        <v>14</v>
      </c>
      <c r="C3363" t="s">
        <v>30</v>
      </c>
      <c r="D3363" t="s">
        <v>16</v>
      </c>
      <c r="E3363">
        <v>89.25</v>
      </c>
      <c r="F3363">
        <v>52</v>
      </c>
      <c r="G3363">
        <v>4641</v>
      </c>
      <c r="H3363" t="s">
        <v>12</v>
      </c>
      <c r="I3363" t="str">
        <f t="shared" si="157"/>
        <v>Medium Value</v>
      </c>
      <c r="J3363" t="str">
        <f t="shared" si="158"/>
        <v>Low Risk</v>
      </c>
      <c r="K3363" s="3" t="str">
        <f t="shared" si="156"/>
        <v>4+ Years</v>
      </c>
    </row>
    <row r="3364" spans="1:11" x14ac:dyDescent="0.3">
      <c r="A3364" t="s">
        <v>3381</v>
      </c>
      <c r="B3364" t="s">
        <v>9</v>
      </c>
      <c r="C3364" t="s">
        <v>15</v>
      </c>
      <c r="D3364" t="s">
        <v>11</v>
      </c>
      <c r="E3364">
        <v>94.15</v>
      </c>
      <c r="F3364">
        <v>46</v>
      </c>
      <c r="G3364">
        <v>4330.8999999999996</v>
      </c>
      <c r="H3364" t="s">
        <v>12</v>
      </c>
      <c r="I3364" t="str">
        <f t="shared" si="157"/>
        <v>Medium Value</v>
      </c>
      <c r="J3364" t="str">
        <f t="shared" si="158"/>
        <v>Low Risk</v>
      </c>
      <c r="K3364" s="3" t="str">
        <f t="shared" si="156"/>
        <v>2-4 Years</v>
      </c>
    </row>
    <row r="3365" spans="1:11" x14ac:dyDescent="0.3">
      <c r="A3365" t="s">
        <v>3382</v>
      </c>
      <c r="B3365" t="s">
        <v>9</v>
      </c>
      <c r="C3365" t="s">
        <v>10</v>
      </c>
      <c r="D3365" t="s">
        <v>11</v>
      </c>
      <c r="E3365">
        <v>55.6</v>
      </c>
      <c r="F3365">
        <v>11</v>
      </c>
      <c r="G3365">
        <v>611.6</v>
      </c>
      <c r="H3365" t="s">
        <v>12</v>
      </c>
      <c r="I3365" t="str">
        <f t="shared" si="157"/>
        <v>Low Value</v>
      </c>
      <c r="J3365" t="str">
        <f t="shared" si="158"/>
        <v>High Risk</v>
      </c>
      <c r="K3365" s="3" t="str">
        <f t="shared" si="156"/>
        <v>0-1 Year</v>
      </c>
    </row>
    <row r="3366" spans="1:11" x14ac:dyDescent="0.3">
      <c r="A3366" t="s">
        <v>3383</v>
      </c>
      <c r="B3366" t="s">
        <v>9</v>
      </c>
      <c r="C3366" t="s">
        <v>10</v>
      </c>
      <c r="D3366" t="s">
        <v>20</v>
      </c>
      <c r="E3366">
        <v>48.7</v>
      </c>
      <c r="F3366">
        <v>53</v>
      </c>
      <c r="G3366">
        <v>2581.1</v>
      </c>
      <c r="H3366" t="s">
        <v>12</v>
      </c>
      <c r="I3366" t="str">
        <f t="shared" si="157"/>
        <v>Medium Value</v>
      </c>
      <c r="J3366" t="str">
        <f t="shared" si="158"/>
        <v>Low Risk</v>
      </c>
      <c r="K3366" s="3" t="str">
        <f t="shared" si="156"/>
        <v>4+ Years</v>
      </c>
    </row>
    <row r="3367" spans="1:11" x14ac:dyDescent="0.3">
      <c r="A3367" t="s">
        <v>3384</v>
      </c>
      <c r="B3367" t="s">
        <v>9</v>
      </c>
      <c r="C3367" t="s">
        <v>10</v>
      </c>
      <c r="D3367" t="s">
        <v>16</v>
      </c>
      <c r="E3367">
        <v>19.25</v>
      </c>
      <c r="F3367">
        <v>11</v>
      </c>
      <c r="G3367">
        <v>211.75</v>
      </c>
      <c r="H3367" t="s">
        <v>18</v>
      </c>
      <c r="I3367" t="str">
        <f t="shared" si="157"/>
        <v>Low Value</v>
      </c>
      <c r="J3367" t="str">
        <f t="shared" si="158"/>
        <v>High Risk</v>
      </c>
      <c r="K3367" s="3" t="str">
        <f t="shared" si="156"/>
        <v>0-1 Year</v>
      </c>
    </row>
    <row r="3368" spans="1:11" x14ac:dyDescent="0.3">
      <c r="A3368" t="s">
        <v>3385</v>
      </c>
      <c r="B3368" t="s">
        <v>14</v>
      </c>
      <c r="C3368" t="s">
        <v>10</v>
      </c>
      <c r="D3368" t="s">
        <v>20</v>
      </c>
      <c r="E3368">
        <v>104.9</v>
      </c>
      <c r="F3368">
        <v>57</v>
      </c>
      <c r="G3368">
        <v>5979.3</v>
      </c>
      <c r="H3368" t="s">
        <v>12</v>
      </c>
      <c r="I3368" t="str">
        <f t="shared" si="157"/>
        <v>High Value</v>
      </c>
      <c r="J3368" t="str">
        <f t="shared" si="158"/>
        <v>Low Risk</v>
      </c>
      <c r="K3368" s="3" t="str">
        <f t="shared" si="156"/>
        <v>4+ Years</v>
      </c>
    </row>
    <row r="3369" spans="1:11" x14ac:dyDescent="0.3">
      <c r="A3369" t="s">
        <v>3386</v>
      </c>
      <c r="B3369" t="s">
        <v>9</v>
      </c>
      <c r="C3369" t="s">
        <v>10</v>
      </c>
      <c r="D3369" t="s">
        <v>16</v>
      </c>
      <c r="E3369">
        <v>75.45</v>
      </c>
      <c r="F3369">
        <v>2</v>
      </c>
      <c r="G3369">
        <v>150.9</v>
      </c>
      <c r="H3369" t="s">
        <v>18</v>
      </c>
      <c r="I3369" t="str">
        <f t="shared" si="157"/>
        <v>Low Value</v>
      </c>
      <c r="J3369" t="str">
        <f t="shared" si="158"/>
        <v>High Risk</v>
      </c>
      <c r="K3369" s="3" t="str">
        <f t="shared" si="156"/>
        <v>0-1 Year</v>
      </c>
    </row>
    <row r="3370" spans="1:11" x14ac:dyDescent="0.3">
      <c r="A3370" t="s">
        <v>3387</v>
      </c>
      <c r="B3370" t="s">
        <v>9</v>
      </c>
      <c r="C3370" t="s">
        <v>10</v>
      </c>
      <c r="D3370" t="s">
        <v>16</v>
      </c>
      <c r="E3370">
        <v>54.85</v>
      </c>
      <c r="F3370">
        <v>2</v>
      </c>
      <c r="G3370">
        <v>109.7</v>
      </c>
      <c r="H3370" t="s">
        <v>18</v>
      </c>
      <c r="I3370" t="str">
        <f t="shared" si="157"/>
        <v>Low Value</v>
      </c>
      <c r="J3370" t="str">
        <f t="shared" si="158"/>
        <v>High Risk</v>
      </c>
      <c r="K3370" s="3" t="str">
        <f t="shared" si="156"/>
        <v>0-1 Year</v>
      </c>
    </row>
    <row r="3371" spans="1:11" x14ac:dyDescent="0.3">
      <c r="A3371" t="s">
        <v>3388</v>
      </c>
      <c r="B3371" t="s">
        <v>9</v>
      </c>
      <c r="C3371" t="s">
        <v>30</v>
      </c>
      <c r="D3371" t="s">
        <v>20</v>
      </c>
      <c r="E3371">
        <v>19.899999999999999</v>
      </c>
      <c r="F3371">
        <v>71</v>
      </c>
      <c r="G3371">
        <v>1412.8999999999901</v>
      </c>
      <c r="H3371" t="s">
        <v>12</v>
      </c>
      <c r="I3371" t="str">
        <f t="shared" si="157"/>
        <v>Low Value</v>
      </c>
      <c r="J3371" t="str">
        <f t="shared" si="158"/>
        <v>Low Risk</v>
      </c>
      <c r="K3371" s="3" t="str">
        <f t="shared" si="156"/>
        <v>4+ Years</v>
      </c>
    </row>
    <row r="3372" spans="1:11" x14ac:dyDescent="0.3">
      <c r="A3372" t="s">
        <v>3389</v>
      </c>
      <c r="B3372" t="s">
        <v>9</v>
      </c>
      <c r="C3372" t="s">
        <v>10</v>
      </c>
      <c r="D3372" t="s">
        <v>16</v>
      </c>
      <c r="E3372">
        <v>19.399999999999999</v>
      </c>
      <c r="F3372">
        <v>1</v>
      </c>
      <c r="G3372">
        <v>19.399999999999999</v>
      </c>
      <c r="H3372" t="s">
        <v>12</v>
      </c>
      <c r="I3372" t="str">
        <f t="shared" si="157"/>
        <v>Low Value</v>
      </c>
      <c r="J3372" t="str">
        <f t="shared" si="158"/>
        <v>High Risk</v>
      </c>
      <c r="K3372" s="3" t="str">
        <f t="shared" si="156"/>
        <v>0-1 Year</v>
      </c>
    </row>
    <row r="3373" spans="1:11" x14ac:dyDescent="0.3">
      <c r="A3373" t="s">
        <v>3390</v>
      </c>
      <c r="B3373" t="s">
        <v>14</v>
      </c>
      <c r="C3373" t="s">
        <v>30</v>
      </c>
      <c r="D3373" t="s">
        <v>24</v>
      </c>
      <c r="E3373">
        <v>25.05</v>
      </c>
      <c r="F3373">
        <v>68</v>
      </c>
      <c r="G3373">
        <v>1703.4</v>
      </c>
      <c r="H3373" t="s">
        <v>12</v>
      </c>
      <c r="I3373" t="str">
        <f t="shared" si="157"/>
        <v>Low Value</v>
      </c>
      <c r="J3373" t="str">
        <f t="shared" si="158"/>
        <v>Low Risk</v>
      </c>
      <c r="K3373" s="3" t="str">
        <f t="shared" si="156"/>
        <v>4+ Years</v>
      </c>
    </row>
    <row r="3374" spans="1:11" x14ac:dyDescent="0.3">
      <c r="A3374" t="s">
        <v>3391</v>
      </c>
      <c r="B3374" t="s">
        <v>14</v>
      </c>
      <c r="C3374" t="s">
        <v>30</v>
      </c>
      <c r="D3374" t="s">
        <v>16</v>
      </c>
      <c r="E3374">
        <v>84.45</v>
      </c>
      <c r="F3374">
        <v>72</v>
      </c>
      <c r="G3374">
        <v>6080.4</v>
      </c>
      <c r="H3374" t="s">
        <v>12</v>
      </c>
      <c r="I3374" t="str">
        <f t="shared" si="157"/>
        <v>High Value</v>
      </c>
      <c r="J3374" t="str">
        <f t="shared" si="158"/>
        <v>Low Risk</v>
      </c>
      <c r="K3374" s="3" t="str">
        <f t="shared" si="156"/>
        <v>4+ Years</v>
      </c>
    </row>
    <row r="3375" spans="1:11" x14ac:dyDescent="0.3">
      <c r="A3375" t="s">
        <v>3392</v>
      </c>
      <c r="B3375" t="s">
        <v>9</v>
      </c>
      <c r="C3375" t="s">
        <v>10</v>
      </c>
      <c r="D3375" t="s">
        <v>16</v>
      </c>
      <c r="E3375">
        <v>19.3</v>
      </c>
      <c r="F3375">
        <v>2</v>
      </c>
      <c r="G3375">
        <v>38.6</v>
      </c>
      <c r="H3375" t="s">
        <v>12</v>
      </c>
      <c r="I3375" t="str">
        <f t="shared" si="157"/>
        <v>Low Value</v>
      </c>
      <c r="J3375" t="str">
        <f t="shared" si="158"/>
        <v>High Risk</v>
      </c>
      <c r="K3375" s="3" t="str">
        <f t="shared" si="156"/>
        <v>0-1 Year</v>
      </c>
    </row>
    <row r="3376" spans="1:11" x14ac:dyDescent="0.3">
      <c r="A3376" t="s">
        <v>3393</v>
      </c>
      <c r="B3376" t="s">
        <v>14</v>
      </c>
      <c r="C3376" t="s">
        <v>10</v>
      </c>
      <c r="D3376" t="s">
        <v>11</v>
      </c>
      <c r="E3376">
        <v>95.1</v>
      </c>
      <c r="F3376">
        <v>1</v>
      </c>
      <c r="G3376">
        <v>95.1</v>
      </c>
      <c r="H3376" t="s">
        <v>18</v>
      </c>
      <c r="I3376" t="str">
        <f t="shared" si="157"/>
        <v>Low Value</v>
      </c>
      <c r="J3376" t="str">
        <f t="shared" si="158"/>
        <v>High Risk</v>
      </c>
      <c r="K3376" s="3" t="str">
        <f t="shared" si="156"/>
        <v>0-1 Year</v>
      </c>
    </row>
    <row r="3377" spans="1:11" x14ac:dyDescent="0.3">
      <c r="A3377" t="s">
        <v>3394</v>
      </c>
      <c r="B3377" t="s">
        <v>9</v>
      </c>
      <c r="C3377" t="s">
        <v>15</v>
      </c>
      <c r="D3377" t="s">
        <v>20</v>
      </c>
      <c r="E3377">
        <v>79.849999999999994</v>
      </c>
      <c r="F3377">
        <v>41</v>
      </c>
      <c r="G3377">
        <v>3273.85</v>
      </c>
      <c r="H3377" t="s">
        <v>12</v>
      </c>
      <c r="I3377" t="str">
        <f t="shared" si="157"/>
        <v>Medium Value</v>
      </c>
      <c r="J3377" t="str">
        <f t="shared" si="158"/>
        <v>Low Risk</v>
      </c>
      <c r="K3377" s="3" t="str">
        <f t="shared" si="156"/>
        <v>2-4 Years</v>
      </c>
    </row>
    <row r="3378" spans="1:11" x14ac:dyDescent="0.3">
      <c r="A3378" t="s">
        <v>3395</v>
      </c>
      <c r="B3378" t="s">
        <v>14</v>
      </c>
      <c r="C3378" t="s">
        <v>30</v>
      </c>
      <c r="D3378" t="s">
        <v>24</v>
      </c>
      <c r="E3378">
        <v>25.55</v>
      </c>
      <c r="F3378">
        <v>72</v>
      </c>
      <c r="G3378">
        <v>1839.6</v>
      </c>
      <c r="H3378" t="s">
        <v>12</v>
      </c>
      <c r="I3378" t="str">
        <f t="shared" si="157"/>
        <v>Low Value</v>
      </c>
      <c r="J3378" t="str">
        <f t="shared" si="158"/>
        <v>Low Risk</v>
      </c>
      <c r="K3378" s="3" t="str">
        <f t="shared" si="156"/>
        <v>4+ Years</v>
      </c>
    </row>
    <row r="3379" spans="1:11" x14ac:dyDescent="0.3">
      <c r="A3379" t="s">
        <v>3396</v>
      </c>
      <c r="B3379" t="s">
        <v>14</v>
      </c>
      <c r="C3379" t="s">
        <v>10</v>
      </c>
      <c r="D3379" t="s">
        <v>11</v>
      </c>
      <c r="E3379">
        <v>75.5</v>
      </c>
      <c r="F3379">
        <v>6</v>
      </c>
      <c r="G3379">
        <v>453</v>
      </c>
      <c r="H3379" t="s">
        <v>18</v>
      </c>
      <c r="I3379" t="str">
        <f t="shared" si="157"/>
        <v>Low Value</v>
      </c>
      <c r="J3379" t="str">
        <f t="shared" si="158"/>
        <v>High Risk</v>
      </c>
      <c r="K3379" s="3" t="str">
        <f t="shared" si="156"/>
        <v>0-1 Year</v>
      </c>
    </row>
    <row r="3380" spans="1:11" x14ac:dyDescent="0.3">
      <c r="A3380" t="s">
        <v>3397</v>
      </c>
      <c r="B3380" t="s">
        <v>9</v>
      </c>
      <c r="C3380" t="s">
        <v>10</v>
      </c>
      <c r="D3380" t="s">
        <v>11</v>
      </c>
      <c r="E3380">
        <v>73.75</v>
      </c>
      <c r="F3380">
        <v>4</v>
      </c>
      <c r="G3380">
        <v>295</v>
      </c>
      <c r="H3380" t="s">
        <v>18</v>
      </c>
      <c r="I3380" t="str">
        <f t="shared" si="157"/>
        <v>Low Value</v>
      </c>
      <c r="J3380" t="str">
        <f t="shared" si="158"/>
        <v>High Risk</v>
      </c>
      <c r="K3380" s="3" t="str">
        <f t="shared" si="156"/>
        <v>0-1 Year</v>
      </c>
    </row>
    <row r="3381" spans="1:11" x14ac:dyDescent="0.3">
      <c r="A3381" t="s">
        <v>3398</v>
      </c>
      <c r="B3381" t="s">
        <v>14</v>
      </c>
      <c r="C3381" t="s">
        <v>10</v>
      </c>
      <c r="D3381" t="s">
        <v>11</v>
      </c>
      <c r="E3381">
        <v>96.05</v>
      </c>
      <c r="F3381">
        <v>12</v>
      </c>
      <c r="G3381">
        <v>1152.5999999999999</v>
      </c>
      <c r="H3381" t="s">
        <v>18</v>
      </c>
      <c r="I3381" t="str">
        <f t="shared" si="157"/>
        <v>Low Value</v>
      </c>
      <c r="J3381" t="str">
        <f t="shared" si="158"/>
        <v>Medium Risk</v>
      </c>
      <c r="K3381" s="3" t="str">
        <f t="shared" si="156"/>
        <v>0-1 Year</v>
      </c>
    </row>
    <row r="3382" spans="1:11" x14ac:dyDescent="0.3">
      <c r="A3382" t="s">
        <v>3399</v>
      </c>
      <c r="B3382" t="s">
        <v>9</v>
      </c>
      <c r="C3382" t="s">
        <v>15</v>
      </c>
      <c r="D3382" t="s">
        <v>11</v>
      </c>
      <c r="E3382">
        <v>68.400000000000006</v>
      </c>
      <c r="F3382">
        <v>58</v>
      </c>
      <c r="G3382">
        <v>3967.2</v>
      </c>
      <c r="H3382" t="s">
        <v>12</v>
      </c>
      <c r="I3382" t="str">
        <f t="shared" si="157"/>
        <v>Medium Value</v>
      </c>
      <c r="J3382" t="str">
        <f t="shared" si="158"/>
        <v>Low Risk</v>
      </c>
      <c r="K3382" s="3" t="str">
        <f t="shared" si="156"/>
        <v>4+ Years</v>
      </c>
    </row>
    <row r="3383" spans="1:11" x14ac:dyDescent="0.3">
      <c r="A3383" t="s">
        <v>3400</v>
      </c>
      <c r="B3383" t="s">
        <v>9</v>
      </c>
      <c r="C3383" t="s">
        <v>10</v>
      </c>
      <c r="D3383" t="s">
        <v>16</v>
      </c>
      <c r="E3383">
        <v>20.65</v>
      </c>
      <c r="F3383">
        <v>7</v>
      </c>
      <c r="G3383">
        <v>144.54999999999899</v>
      </c>
      <c r="H3383" t="s">
        <v>12</v>
      </c>
      <c r="I3383" t="str">
        <f t="shared" si="157"/>
        <v>Low Value</v>
      </c>
      <c r="J3383" t="str">
        <f t="shared" si="158"/>
        <v>High Risk</v>
      </c>
      <c r="K3383" s="3" t="str">
        <f t="shared" si="156"/>
        <v>0-1 Year</v>
      </c>
    </row>
    <row r="3384" spans="1:11" x14ac:dyDescent="0.3">
      <c r="A3384" t="s">
        <v>3401</v>
      </c>
      <c r="B3384" t="s">
        <v>9</v>
      </c>
      <c r="C3384" t="s">
        <v>10</v>
      </c>
      <c r="D3384" t="s">
        <v>16</v>
      </c>
      <c r="E3384">
        <v>55.15</v>
      </c>
      <c r="F3384">
        <v>65</v>
      </c>
      <c r="G3384">
        <v>3584.75</v>
      </c>
      <c r="H3384" t="s">
        <v>12</v>
      </c>
      <c r="I3384" t="str">
        <f t="shared" si="157"/>
        <v>Medium Value</v>
      </c>
      <c r="J3384" t="str">
        <f t="shared" si="158"/>
        <v>Low Risk</v>
      </c>
      <c r="K3384" s="3" t="str">
        <f t="shared" si="156"/>
        <v>4+ Years</v>
      </c>
    </row>
    <row r="3385" spans="1:11" x14ac:dyDescent="0.3">
      <c r="A3385" t="s">
        <v>3402</v>
      </c>
      <c r="B3385" t="s">
        <v>14</v>
      </c>
      <c r="C3385" t="s">
        <v>10</v>
      </c>
      <c r="D3385" t="s">
        <v>16</v>
      </c>
      <c r="E3385">
        <v>70.599999999999994</v>
      </c>
      <c r="F3385">
        <v>1</v>
      </c>
      <c r="G3385">
        <v>70.599999999999994</v>
      </c>
      <c r="H3385" t="s">
        <v>12</v>
      </c>
      <c r="I3385" t="str">
        <f t="shared" si="157"/>
        <v>Low Value</v>
      </c>
      <c r="J3385" t="str">
        <f t="shared" si="158"/>
        <v>High Risk</v>
      </c>
      <c r="K3385" s="3" t="str">
        <f t="shared" si="156"/>
        <v>0-1 Year</v>
      </c>
    </row>
    <row r="3386" spans="1:11" x14ac:dyDescent="0.3">
      <c r="A3386" t="s">
        <v>3403</v>
      </c>
      <c r="B3386" t="s">
        <v>14</v>
      </c>
      <c r="C3386" t="s">
        <v>15</v>
      </c>
      <c r="D3386" t="s">
        <v>24</v>
      </c>
      <c r="E3386">
        <v>19.95</v>
      </c>
      <c r="F3386">
        <v>56</v>
      </c>
      <c r="G3386">
        <v>1117.2</v>
      </c>
      <c r="H3386" t="s">
        <v>12</v>
      </c>
      <c r="I3386" t="str">
        <f t="shared" si="157"/>
        <v>Low Value</v>
      </c>
      <c r="J3386" t="str">
        <f t="shared" si="158"/>
        <v>Low Risk</v>
      </c>
      <c r="K3386" s="3" t="str">
        <f t="shared" si="156"/>
        <v>4+ Years</v>
      </c>
    </row>
    <row r="3387" spans="1:11" x14ac:dyDescent="0.3">
      <c r="A3387" t="s">
        <v>3404</v>
      </c>
      <c r="B3387" t="s">
        <v>14</v>
      </c>
      <c r="C3387" t="s">
        <v>10</v>
      </c>
      <c r="D3387" t="s">
        <v>16</v>
      </c>
      <c r="E3387">
        <v>19</v>
      </c>
      <c r="F3387">
        <v>4</v>
      </c>
      <c r="G3387">
        <v>76</v>
      </c>
      <c r="H3387" t="s">
        <v>12</v>
      </c>
      <c r="I3387" t="str">
        <f t="shared" si="157"/>
        <v>Low Value</v>
      </c>
      <c r="J3387" t="str">
        <f t="shared" si="158"/>
        <v>High Risk</v>
      </c>
      <c r="K3387" s="3" t="str">
        <f t="shared" si="156"/>
        <v>0-1 Year</v>
      </c>
    </row>
    <row r="3388" spans="1:11" x14ac:dyDescent="0.3">
      <c r="A3388" t="s">
        <v>3405</v>
      </c>
      <c r="B3388" t="s">
        <v>9</v>
      </c>
      <c r="C3388" t="s">
        <v>15</v>
      </c>
      <c r="D3388" t="s">
        <v>16</v>
      </c>
      <c r="E3388">
        <v>44.1</v>
      </c>
      <c r="F3388">
        <v>58</v>
      </c>
      <c r="G3388">
        <v>2557.8000000000002</v>
      </c>
      <c r="H3388" t="s">
        <v>12</v>
      </c>
      <c r="I3388" t="str">
        <f t="shared" si="157"/>
        <v>Medium Value</v>
      </c>
      <c r="J3388" t="str">
        <f t="shared" si="158"/>
        <v>Low Risk</v>
      </c>
      <c r="K3388" s="3" t="str">
        <f t="shared" si="156"/>
        <v>4+ Years</v>
      </c>
    </row>
    <row r="3389" spans="1:11" x14ac:dyDescent="0.3">
      <c r="A3389" t="s">
        <v>3406</v>
      </c>
      <c r="B3389" t="s">
        <v>14</v>
      </c>
      <c r="C3389" t="s">
        <v>30</v>
      </c>
      <c r="D3389" t="s">
        <v>20</v>
      </c>
      <c r="E3389">
        <v>107.6</v>
      </c>
      <c r="F3389">
        <v>62</v>
      </c>
      <c r="G3389">
        <v>6671.2</v>
      </c>
      <c r="H3389" t="s">
        <v>12</v>
      </c>
      <c r="I3389" t="str">
        <f t="shared" si="157"/>
        <v>High Value</v>
      </c>
      <c r="J3389" t="str">
        <f t="shared" si="158"/>
        <v>Low Risk</v>
      </c>
      <c r="K3389" s="3" t="str">
        <f t="shared" si="156"/>
        <v>4+ Years</v>
      </c>
    </row>
    <row r="3390" spans="1:11" x14ac:dyDescent="0.3">
      <c r="A3390" t="s">
        <v>3407</v>
      </c>
      <c r="B3390" t="s">
        <v>14</v>
      </c>
      <c r="C3390" t="s">
        <v>15</v>
      </c>
      <c r="D3390" t="s">
        <v>11</v>
      </c>
      <c r="E3390">
        <v>61.55</v>
      </c>
      <c r="F3390">
        <v>26</v>
      </c>
      <c r="G3390">
        <v>1600.3</v>
      </c>
      <c r="H3390" t="s">
        <v>12</v>
      </c>
      <c r="I3390" t="str">
        <f t="shared" si="157"/>
        <v>Low Value</v>
      </c>
      <c r="J3390" t="str">
        <f t="shared" si="158"/>
        <v>Low Risk</v>
      </c>
      <c r="K3390" s="3" t="str">
        <f t="shared" si="156"/>
        <v>2-4 Years</v>
      </c>
    </row>
    <row r="3391" spans="1:11" x14ac:dyDescent="0.3">
      <c r="A3391" t="s">
        <v>3408</v>
      </c>
      <c r="B3391" t="s">
        <v>14</v>
      </c>
      <c r="C3391" t="s">
        <v>10</v>
      </c>
      <c r="D3391" t="s">
        <v>20</v>
      </c>
      <c r="E3391">
        <v>90.7</v>
      </c>
      <c r="F3391">
        <v>62</v>
      </c>
      <c r="G3391">
        <v>5623.4</v>
      </c>
      <c r="H3391" t="s">
        <v>12</v>
      </c>
      <c r="I3391" t="str">
        <f t="shared" si="157"/>
        <v>High Value</v>
      </c>
      <c r="J3391" t="str">
        <f t="shared" si="158"/>
        <v>Low Risk</v>
      </c>
      <c r="K3391" s="3" t="str">
        <f t="shared" si="156"/>
        <v>4+ Years</v>
      </c>
    </row>
    <row r="3392" spans="1:11" x14ac:dyDescent="0.3">
      <c r="A3392" t="s">
        <v>3409</v>
      </c>
      <c r="B3392" t="s">
        <v>9</v>
      </c>
      <c r="C3392" t="s">
        <v>15</v>
      </c>
      <c r="D3392" t="s">
        <v>24</v>
      </c>
      <c r="E3392">
        <v>99.25</v>
      </c>
      <c r="F3392">
        <v>58</v>
      </c>
      <c r="G3392">
        <v>5756.5</v>
      </c>
      <c r="H3392" t="s">
        <v>12</v>
      </c>
      <c r="I3392" t="str">
        <f t="shared" si="157"/>
        <v>High Value</v>
      </c>
      <c r="J3392" t="str">
        <f t="shared" si="158"/>
        <v>Low Risk</v>
      </c>
      <c r="K3392" s="3" t="str">
        <f t="shared" si="156"/>
        <v>4+ Years</v>
      </c>
    </row>
    <row r="3393" spans="1:11" x14ac:dyDescent="0.3">
      <c r="A3393" t="s">
        <v>3410</v>
      </c>
      <c r="B3393" t="s">
        <v>9</v>
      </c>
      <c r="C3393" t="s">
        <v>30</v>
      </c>
      <c r="D3393" t="s">
        <v>11</v>
      </c>
      <c r="E3393">
        <v>91.7</v>
      </c>
      <c r="F3393">
        <v>68</v>
      </c>
      <c r="G3393">
        <v>6235.6</v>
      </c>
      <c r="H3393" t="s">
        <v>12</v>
      </c>
      <c r="I3393" t="str">
        <f t="shared" si="157"/>
        <v>High Value</v>
      </c>
      <c r="J3393" t="str">
        <f t="shared" si="158"/>
        <v>Low Risk</v>
      </c>
      <c r="K3393" s="3" t="str">
        <f t="shared" si="156"/>
        <v>4+ Years</v>
      </c>
    </row>
    <row r="3394" spans="1:11" x14ac:dyDescent="0.3">
      <c r="A3394" t="s">
        <v>3411</v>
      </c>
      <c r="B3394" t="s">
        <v>9</v>
      </c>
      <c r="C3394" t="s">
        <v>15</v>
      </c>
      <c r="D3394" t="s">
        <v>24</v>
      </c>
      <c r="E3394">
        <v>100.7</v>
      </c>
      <c r="F3394">
        <v>61</v>
      </c>
      <c r="G3394">
        <v>6142.7</v>
      </c>
      <c r="H3394" t="s">
        <v>12</v>
      </c>
      <c r="I3394" t="str">
        <f t="shared" si="157"/>
        <v>High Value</v>
      </c>
      <c r="J3394" t="str">
        <f t="shared" si="158"/>
        <v>Low Risk</v>
      </c>
      <c r="K3394" s="3" t="str">
        <f t="shared" si="156"/>
        <v>4+ Years</v>
      </c>
    </row>
    <row r="3395" spans="1:11" x14ac:dyDescent="0.3">
      <c r="A3395" t="s">
        <v>3412</v>
      </c>
      <c r="B3395" t="s">
        <v>9</v>
      </c>
      <c r="C3395" t="s">
        <v>30</v>
      </c>
      <c r="D3395" t="s">
        <v>24</v>
      </c>
      <c r="E3395">
        <v>78.45</v>
      </c>
      <c r="F3395">
        <v>42</v>
      </c>
      <c r="G3395">
        <v>3294.9</v>
      </c>
      <c r="H3395" t="s">
        <v>12</v>
      </c>
      <c r="I3395" t="str">
        <f t="shared" si="157"/>
        <v>Medium Value</v>
      </c>
      <c r="J3395" t="str">
        <f t="shared" si="158"/>
        <v>Low Risk</v>
      </c>
      <c r="K3395" s="3" t="str">
        <f t="shared" ref="K3395:K3458" si="159">IF(F3395&lt;=12,"0-1 Year",
IF(F3395&lt;=24,"1-2 Years",
IF(F3395&lt;=48,"2-4 Years","4+ Years")))</f>
        <v>2-4 Years</v>
      </c>
    </row>
    <row r="3396" spans="1:11" x14ac:dyDescent="0.3">
      <c r="A3396" t="s">
        <v>3413</v>
      </c>
      <c r="B3396" t="s">
        <v>14</v>
      </c>
      <c r="C3396" t="s">
        <v>10</v>
      </c>
      <c r="D3396" t="s">
        <v>20</v>
      </c>
      <c r="E3396">
        <v>84.3</v>
      </c>
      <c r="F3396">
        <v>18</v>
      </c>
      <c r="G3396">
        <v>1517.3999999999901</v>
      </c>
      <c r="H3396" t="s">
        <v>12</v>
      </c>
      <c r="I3396" t="str">
        <f t="shared" ref="I3396:I3459" si="160">IF(G3396&gt;5000,"High Value",
IF(G3396&gt;2000,"Medium Value","Low Value"))</f>
        <v>Low Value</v>
      </c>
      <c r="J3396" t="str">
        <f t="shared" ref="J3396:J3459" si="161">IF(F3396&lt;12,"High Risk",
IF(F3396&lt;24,"Medium Risk","Low Risk"))</f>
        <v>Medium Risk</v>
      </c>
      <c r="K3396" s="3" t="str">
        <f t="shared" si="159"/>
        <v>1-2 Years</v>
      </c>
    </row>
    <row r="3397" spans="1:11" x14ac:dyDescent="0.3">
      <c r="A3397" t="s">
        <v>3414</v>
      </c>
      <c r="B3397" t="s">
        <v>9</v>
      </c>
      <c r="C3397" t="s">
        <v>30</v>
      </c>
      <c r="D3397" t="s">
        <v>20</v>
      </c>
      <c r="E3397">
        <v>19.55</v>
      </c>
      <c r="F3397">
        <v>56</v>
      </c>
      <c r="G3397">
        <v>1094.8</v>
      </c>
      <c r="H3397" t="s">
        <v>12</v>
      </c>
      <c r="I3397" t="str">
        <f t="shared" si="160"/>
        <v>Low Value</v>
      </c>
      <c r="J3397" t="str">
        <f t="shared" si="161"/>
        <v>Low Risk</v>
      </c>
      <c r="K3397" s="3" t="str">
        <f t="shared" si="159"/>
        <v>4+ Years</v>
      </c>
    </row>
    <row r="3398" spans="1:11" x14ac:dyDescent="0.3">
      <c r="A3398" t="s">
        <v>3415</v>
      </c>
      <c r="B3398" t="s">
        <v>9</v>
      </c>
      <c r="C3398" t="s">
        <v>10</v>
      </c>
      <c r="D3398" t="s">
        <v>11</v>
      </c>
      <c r="E3398">
        <v>88.95</v>
      </c>
      <c r="F3398">
        <v>4</v>
      </c>
      <c r="G3398">
        <v>355.8</v>
      </c>
      <c r="H3398" t="s">
        <v>18</v>
      </c>
      <c r="I3398" t="str">
        <f t="shared" si="160"/>
        <v>Low Value</v>
      </c>
      <c r="J3398" t="str">
        <f t="shared" si="161"/>
        <v>High Risk</v>
      </c>
      <c r="K3398" s="3" t="str">
        <f t="shared" si="159"/>
        <v>0-1 Year</v>
      </c>
    </row>
    <row r="3399" spans="1:11" x14ac:dyDescent="0.3">
      <c r="A3399" t="s">
        <v>3416</v>
      </c>
      <c r="B3399" t="s">
        <v>9</v>
      </c>
      <c r="C3399" t="s">
        <v>10</v>
      </c>
      <c r="D3399" t="s">
        <v>24</v>
      </c>
      <c r="E3399">
        <v>20.45</v>
      </c>
      <c r="F3399">
        <v>4</v>
      </c>
      <c r="G3399">
        <v>81.8</v>
      </c>
      <c r="H3399" t="s">
        <v>12</v>
      </c>
      <c r="I3399" t="str">
        <f t="shared" si="160"/>
        <v>Low Value</v>
      </c>
      <c r="J3399" t="str">
        <f t="shared" si="161"/>
        <v>High Risk</v>
      </c>
      <c r="K3399" s="3" t="str">
        <f t="shared" si="159"/>
        <v>0-1 Year</v>
      </c>
    </row>
    <row r="3400" spans="1:11" x14ac:dyDescent="0.3">
      <c r="A3400" t="s">
        <v>3417</v>
      </c>
      <c r="B3400" t="s">
        <v>9</v>
      </c>
      <c r="C3400" t="s">
        <v>15</v>
      </c>
      <c r="D3400" t="s">
        <v>24</v>
      </c>
      <c r="E3400">
        <v>55.6</v>
      </c>
      <c r="F3400">
        <v>35</v>
      </c>
      <c r="G3400">
        <v>1946</v>
      </c>
      <c r="H3400" t="s">
        <v>12</v>
      </c>
      <c r="I3400" t="str">
        <f t="shared" si="160"/>
        <v>Low Value</v>
      </c>
      <c r="J3400" t="str">
        <f t="shared" si="161"/>
        <v>Low Risk</v>
      </c>
      <c r="K3400" s="3" t="str">
        <f t="shared" si="159"/>
        <v>2-4 Years</v>
      </c>
    </row>
    <row r="3401" spans="1:11" x14ac:dyDescent="0.3">
      <c r="A3401" t="s">
        <v>3418</v>
      </c>
      <c r="B3401" t="s">
        <v>9</v>
      </c>
      <c r="C3401" t="s">
        <v>10</v>
      </c>
      <c r="D3401" t="s">
        <v>20</v>
      </c>
      <c r="E3401">
        <v>86.8</v>
      </c>
      <c r="F3401">
        <v>64</v>
      </c>
      <c r="G3401">
        <v>5555.2</v>
      </c>
      <c r="H3401" t="s">
        <v>12</v>
      </c>
      <c r="I3401" t="str">
        <f t="shared" si="160"/>
        <v>High Value</v>
      </c>
      <c r="J3401" t="str">
        <f t="shared" si="161"/>
        <v>Low Risk</v>
      </c>
      <c r="K3401" s="3" t="str">
        <f t="shared" si="159"/>
        <v>4+ Years</v>
      </c>
    </row>
    <row r="3402" spans="1:11" x14ac:dyDescent="0.3">
      <c r="A3402" t="s">
        <v>3419</v>
      </c>
      <c r="B3402" t="s">
        <v>9</v>
      </c>
      <c r="C3402" t="s">
        <v>15</v>
      </c>
      <c r="D3402" t="s">
        <v>16</v>
      </c>
      <c r="E3402">
        <v>20.95</v>
      </c>
      <c r="F3402">
        <v>31</v>
      </c>
      <c r="G3402">
        <v>649.44999999999902</v>
      </c>
      <c r="H3402" t="s">
        <v>12</v>
      </c>
      <c r="I3402" t="str">
        <f t="shared" si="160"/>
        <v>Low Value</v>
      </c>
      <c r="J3402" t="str">
        <f t="shared" si="161"/>
        <v>Low Risk</v>
      </c>
      <c r="K3402" s="3" t="str">
        <f t="shared" si="159"/>
        <v>2-4 Years</v>
      </c>
    </row>
    <row r="3403" spans="1:11" x14ac:dyDescent="0.3">
      <c r="A3403" t="s">
        <v>3420</v>
      </c>
      <c r="B3403" t="s">
        <v>9</v>
      </c>
      <c r="C3403" t="s">
        <v>30</v>
      </c>
      <c r="D3403" t="s">
        <v>20</v>
      </c>
      <c r="E3403">
        <v>20.05</v>
      </c>
      <c r="F3403">
        <v>67</v>
      </c>
      <c r="G3403">
        <v>1343.35</v>
      </c>
      <c r="H3403" t="s">
        <v>12</v>
      </c>
      <c r="I3403" t="str">
        <f t="shared" si="160"/>
        <v>Low Value</v>
      </c>
      <c r="J3403" t="str">
        <f t="shared" si="161"/>
        <v>Low Risk</v>
      </c>
      <c r="K3403" s="3" t="str">
        <f t="shared" si="159"/>
        <v>4+ Years</v>
      </c>
    </row>
    <row r="3404" spans="1:11" x14ac:dyDescent="0.3">
      <c r="A3404" t="s">
        <v>3421</v>
      </c>
      <c r="B3404" t="s">
        <v>9</v>
      </c>
      <c r="C3404" t="s">
        <v>10</v>
      </c>
      <c r="D3404" t="s">
        <v>24</v>
      </c>
      <c r="E3404">
        <v>50.7</v>
      </c>
      <c r="F3404">
        <v>4</v>
      </c>
      <c r="G3404">
        <v>202.8</v>
      </c>
      <c r="H3404" t="s">
        <v>18</v>
      </c>
      <c r="I3404" t="str">
        <f t="shared" si="160"/>
        <v>Low Value</v>
      </c>
      <c r="J3404" t="str">
        <f t="shared" si="161"/>
        <v>High Risk</v>
      </c>
      <c r="K3404" s="3" t="str">
        <f t="shared" si="159"/>
        <v>0-1 Year</v>
      </c>
    </row>
    <row r="3405" spans="1:11" x14ac:dyDescent="0.3">
      <c r="A3405" t="s">
        <v>3422</v>
      </c>
      <c r="B3405" t="s">
        <v>9</v>
      </c>
      <c r="C3405" t="s">
        <v>30</v>
      </c>
      <c r="D3405" t="s">
        <v>11</v>
      </c>
      <c r="E3405">
        <v>113.65</v>
      </c>
      <c r="F3405">
        <v>70</v>
      </c>
      <c r="G3405">
        <v>7955.5</v>
      </c>
      <c r="H3405" t="s">
        <v>12</v>
      </c>
      <c r="I3405" t="str">
        <f t="shared" si="160"/>
        <v>High Value</v>
      </c>
      <c r="J3405" t="str">
        <f t="shared" si="161"/>
        <v>Low Risk</v>
      </c>
      <c r="K3405" s="3" t="str">
        <f t="shared" si="159"/>
        <v>4+ Years</v>
      </c>
    </row>
    <row r="3406" spans="1:11" x14ac:dyDescent="0.3">
      <c r="A3406" t="s">
        <v>3423</v>
      </c>
      <c r="B3406" t="s">
        <v>14</v>
      </c>
      <c r="C3406" t="s">
        <v>10</v>
      </c>
      <c r="D3406" t="s">
        <v>24</v>
      </c>
      <c r="E3406">
        <v>53.4</v>
      </c>
      <c r="F3406">
        <v>3</v>
      </c>
      <c r="G3406">
        <v>160.19999999999999</v>
      </c>
      <c r="H3406" t="s">
        <v>18</v>
      </c>
      <c r="I3406" t="str">
        <f t="shared" si="160"/>
        <v>Low Value</v>
      </c>
      <c r="J3406" t="str">
        <f t="shared" si="161"/>
        <v>High Risk</v>
      </c>
      <c r="K3406" s="3" t="str">
        <f t="shared" si="159"/>
        <v>0-1 Year</v>
      </c>
    </row>
    <row r="3407" spans="1:11" x14ac:dyDescent="0.3">
      <c r="A3407" t="s">
        <v>3424</v>
      </c>
      <c r="B3407" t="s">
        <v>14</v>
      </c>
      <c r="C3407" t="s">
        <v>10</v>
      </c>
      <c r="D3407" t="s">
        <v>11</v>
      </c>
      <c r="E3407">
        <v>101.9</v>
      </c>
      <c r="F3407">
        <v>53</v>
      </c>
      <c r="G3407">
        <v>5400.7</v>
      </c>
      <c r="H3407" t="s">
        <v>18</v>
      </c>
      <c r="I3407" t="str">
        <f t="shared" si="160"/>
        <v>High Value</v>
      </c>
      <c r="J3407" t="str">
        <f t="shared" si="161"/>
        <v>Low Risk</v>
      </c>
      <c r="K3407" s="3" t="str">
        <f t="shared" si="159"/>
        <v>4+ Years</v>
      </c>
    </row>
    <row r="3408" spans="1:11" x14ac:dyDescent="0.3">
      <c r="A3408" t="s">
        <v>3425</v>
      </c>
      <c r="B3408" t="s">
        <v>14</v>
      </c>
      <c r="C3408" t="s">
        <v>30</v>
      </c>
      <c r="D3408" t="s">
        <v>16</v>
      </c>
      <c r="E3408">
        <v>59.5</v>
      </c>
      <c r="F3408">
        <v>2</v>
      </c>
      <c r="G3408">
        <v>119</v>
      </c>
      <c r="H3408" t="s">
        <v>12</v>
      </c>
      <c r="I3408" t="str">
        <f t="shared" si="160"/>
        <v>Low Value</v>
      </c>
      <c r="J3408" t="str">
        <f t="shared" si="161"/>
        <v>High Risk</v>
      </c>
      <c r="K3408" s="3" t="str">
        <f t="shared" si="159"/>
        <v>0-1 Year</v>
      </c>
    </row>
    <row r="3409" spans="1:11" x14ac:dyDescent="0.3">
      <c r="A3409" t="s">
        <v>3426</v>
      </c>
      <c r="B3409" t="s">
        <v>9</v>
      </c>
      <c r="C3409" t="s">
        <v>10</v>
      </c>
      <c r="D3409" t="s">
        <v>24</v>
      </c>
      <c r="E3409">
        <v>87.8</v>
      </c>
      <c r="F3409">
        <v>29</v>
      </c>
      <c r="G3409">
        <v>2546.1999999999998</v>
      </c>
      <c r="H3409" t="s">
        <v>12</v>
      </c>
      <c r="I3409" t="str">
        <f t="shared" si="160"/>
        <v>Medium Value</v>
      </c>
      <c r="J3409" t="str">
        <f t="shared" si="161"/>
        <v>Low Risk</v>
      </c>
      <c r="K3409" s="3" t="str">
        <f t="shared" si="159"/>
        <v>2-4 Years</v>
      </c>
    </row>
    <row r="3410" spans="1:11" x14ac:dyDescent="0.3">
      <c r="A3410" t="s">
        <v>3427</v>
      </c>
      <c r="B3410" t="s">
        <v>9</v>
      </c>
      <c r="C3410" t="s">
        <v>30</v>
      </c>
      <c r="D3410" t="s">
        <v>16</v>
      </c>
      <c r="E3410">
        <v>41.9</v>
      </c>
      <c r="F3410">
        <v>47</v>
      </c>
      <c r="G3410">
        <v>1969.3</v>
      </c>
      <c r="H3410" t="s">
        <v>12</v>
      </c>
      <c r="I3410" t="str">
        <f t="shared" si="160"/>
        <v>Low Value</v>
      </c>
      <c r="J3410" t="str">
        <f t="shared" si="161"/>
        <v>Low Risk</v>
      </c>
      <c r="K3410" s="3" t="str">
        <f t="shared" si="159"/>
        <v>2-4 Years</v>
      </c>
    </row>
    <row r="3411" spans="1:11" x14ac:dyDescent="0.3">
      <c r="A3411" t="s">
        <v>3428</v>
      </c>
      <c r="B3411" t="s">
        <v>9</v>
      </c>
      <c r="C3411" t="s">
        <v>15</v>
      </c>
      <c r="D3411" t="s">
        <v>11</v>
      </c>
      <c r="E3411">
        <v>83</v>
      </c>
      <c r="F3411">
        <v>68</v>
      </c>
      <c r="G3411">
        <v>5644</v>
      </c>
      <c r="H3411" t="s">
        <v>18</v>
      </c>
      <c r="I3411" t="str">
        <f t="shared" si="160"/>
        <v>High Value</v>
      </c>
      <c r="J3411" t="str">
        <f t="shared" si="161"/>
        <v>Low Risk</v>
      </c>
      <c r="K3411" s="3" t="str">
        <f t="shared" si="159"/>
        <v>4+ Years</v>
      </c>
    </row>
    <row r="3412" spans="1:11" x14ac:dyDescent="0.3">
      <c r="A3412" t="s">
        <v>3429</v>
      </c>
      <c r="B3412" t="s">
        <v>14</v>
      </c>
      <c r="C3412" t="s">
        <v>10</v>
      </c>
      <c r="D3412" t="s">
        <v>16</v>
      </c>
      <c r="E3412">
        <v>69.849999999999994</v>
      </c>
      <c r="F3412">
        <v>12</v>
      </c>
      <c r="G3412">
        <v>838.19999999999902</v>
      </c>
      <c r="H3412" t="s">
        <v>12</v>
      </c>
      <c r="I3412" t="str">
        <f t="shared" si="160"/>
        <v>Low Value</v>
      </c>
      <c r="J3412" t="str">
        <f t="shared" si="161"/>
        <v>Medium Risk</v>
      </c>
      <c r="K3412" s="3" t="str">
        <f t="shared" si="159"/>
        <v>0-1 Year</v>
      </c>
    </row>
    <row r="3413" spans="1:11" x14ac:dyDescent="0.3">
      <c r="A3413" t="s">
        <v>3430</v>
      </c>
      <c r="B3413" t="s">
        <v>9</v>
      </c>
      <c r="C3413" t="s">
        <v>10</v>
      </c>
      <c r="D3413" t="s">
        <v>20</v>
      </c>
      <c r="E3413">
        <v>56.3</v>
      </c>
      <c r="F3413">
        <v>8</v>
      </c>
      <c r="G3413">
        <v>450.4</v>
      </c>
      <c r="H3413" t="s">
        <v>12</v>
      </c>
      <c r="I3413" t="str">
        <f t="shared" si="160"/>
        <v>Low Value</v>
      </c>
      <c r="J3413" t="str">
        <f t="shared" si="161"/>
        <v>High Risk</v>
      </c>
      <c r="K3413" s="3" t="str">
        <f t="shared" si="159"/>
        <v>0-1 Year</v>
      </c>
    </row>
    <row r="3414" spans="1:11" x14ac:dyDescent="0.3">
      <c r="A3414" t="s">
        <v>3431</v>
      </c>
      <c r="B3414" t="s">
        <v>14</v>
      </c>
      <c r="C3414" t="s">
        <v>10</v>
      </c>
      <c r="D3414" t="s">
        <v>11</v>
      </c>
      <c r="E3414">
        <v>109.55</v>
      </c>
      <c r="F3414">
        <v>54</v>
      </c>
      <c r="G3414">
        <v>5915.7</v>
      </c>
      <c r="H3414" t="s">
        <v>12</v>
      </c>
      <c r="I3414" t="str">
        <f t="shared" si="160"/>
        <v>High Value</v>
      </c>
      <c r="J3414" t="str">
        <f t="shared" si="161"/>
        <v>Low Risk</v>
      </c>
      <c r="K3414" s="3" t="str">
        <f t="shared" si="159"/>
        <v>4+ Years</v>
      </c>
    </row>
    <row r="3415" spans="1:11" x14ac:dyDescent="0.3">
      <c r="A3415" t="s">
        <v>3432</v>
      </c>
      <c r="B3415" t="s">
        <v>14</v>
      </c>
      <c r="C3415" t="s">
        <v>30</v>
      </c>
      <c r="D3415" t="s">
        <v>16</v>
      </c>
      <c r="E3415">
        <v>92.15</v>
      </c>
      <c r="F3415">
        <v>69</v>
      </c>
      <c r="G3415">
        <v>6358.35</v>
      </c>
      <c r="H3415" t="s">
        <v>12</v>
      </c>
      <c r="I3415" t="str">
        <f t="shared" si="160"/>
        <v>High Value</v>
      </c>
      <c r="J3415" t="str">
        <f t="shared" si="161"/>
        <v>Low Risk</v>
      </c>
      <c r="K3415" s="3" t="str">
        <f t="shared" si="159"/>
        <v>4+ Years</v>
      </c>
    </row>
    <row r="3416" spans="1:11" x14ac:dyDescent="0.3">
      <c r="A3416" t="s">
        <v>3433</v>
      </c>
      <c r="B3416" t="s">
        <v>9</v>
      </c>
      <c r="C3416" t="s">
        <v>10</v>
      </c>
      <c r="D3416" t="s">
        <v>20</v>
      </c>
      <c r="E3416">
        <v>69.5</v>
      </c>
      <c r="F3416">
        <v>26</v>
      </c>
      <c r="G3416">
        <v>1807</v>
      </c>
      <c r="H3416" t="s">
        <v>12</v>
      </c>
      <c r="I3416" t="str">
        <f t="shared" si="160"/>
        <v>Low Value</v>
      </c>
      <c r="J3416" t="str">
        <f t="shared" si="161"/>
        <v>Low Risk</v>
      </c>
      <c r="K3416" s="3" t="str">
        <f t="shared" si="159"/>
        <v>2-4 Years</v>
      </c>
    </row>
    <row r="3417" spans="1:11" x14ac:dyDescent="0.3">
      <c r="A3417" t="s">
        <v>3434</v>
      </c>
      <c r="B3417" t="s">
        <v>9</v>
      </c>
      <c r="C3417" t="s">
        <v>30</v>
      </c>
      <c r="D3417" t="s">
        <v>20</v>
      </c>
      <c r="E3417">
        <v>97</v>
      </c>
      <c r="F3417">
        <v>72</v>
      </c>
      <c r="G3417">
        <v>6984</v>
      </c>
      <c r="H3417" t="s">
        <v>12</v>
      </c>
      <c r="I3417" t="str">
        <f t="shared" si="160"/>
        <v>High Value</v>
      </c>
      <c r="J3417" t="str">
        <f t="shared" si="161"/>
        <v>Low Risk</v>
      </c>
      <c r="K3417" s="3" t="str">
        <f t="shared" si="159"/>
        <v>4+ Years</v>
      </c>
    </row>
    <row r="3418" spans="1:11" x14ac:dyDescent="0.3">
      <c r="A3418" t="s">
        <v>3435</v>
      </c>
      <c r="B3418" t="s">
        <v>9</v>
      </c>
      <c r="C3418" t="s">
        <v>30</v>
      </c>
      <c r="D3418" t="s">
        <v>20</v>
      </c>
      <c r="E3418">
        <v>58.35</v>
      </c>
      <c r="F3418">
        <v>70</v>
      </c>
      <c r="G3418">
        <v>4084.5</v>
      </c>
      <c r="H3418" t="s">
        <v>12</v>
      </c>
      <c r="I3418" t="str">
        <f t="shared" si="160"/>
        <v>Medium Value</v>
      </c>
      <c r="J3418" t="str">
        <f t="shared" si="161"/>
        <v>Low Risk</v>
      </c>
      <c r="K3418" s="3" t="str">
        <f t="shared" si="159"/>
        <v>4+ Years</v>
      </c>
    </row>
    <row r="3419" spans="1:11" x14ac:dyDescent="0.3">
      <c r="A3419" t="s">
        <v>3436</v>
      </c>
      <c r="B3419" t="s">
        <v>14</v>
      </c>
      <c r="C3419" t="s">
        <v>10</v>
      </c>
      <c r="D3419" t="s">
        <v>16</v>
      </c>
      <c r="E3419">
        <v>50.6</v>
      </c>
      <c r="F3419">
        <v>1</v>
      </c>
      <c r="G3419">
        <v>50.6</v>
      </c>
      <c r="H3419" t="s">
        <v>18</v>
      </c>
      <c r="I3419" t="str">
        <f t="shared" si="160"/>
        <v>Low Value</v>
      </c>
      <c r="J3419" t="str">
        <f t="shared" si="161"/>
        <v>High Risk</v>
      </c>
      <c r="K3419" s="3" t="str">
        <f t="shared" si="159"/>
        <v>0-1 Year</v>
      </c>
    </row>
    <row r="3420" spans="1:11" x14ac:dyDescent="0.3">
      <c r="A3420" t="s">
        <v>3437</v>
      </c>
      <c r="B3420" t="s">
        <v>14</v>
      </c>
      <c r="C3420" t="s">
        <v>10</v>
      </c>
      <c r="D3420" t="s">
        <v>11</v>
      </c>
      <c r="E3420">
        <v>89.5</v>
      </c>
      <c r="F3420">
        <v>10</v>
      </c>
      <c r="G3420">
        <v>895</v>
      </c>
      <c r="H3420" t="s">
        <v>18</v>
      </c>
      <c r="I3420" t="str">
        <f t="shared" si="160"/>
        <v>Low Value</v>
      </c>
      <c r="J3420" t="str">
        <f t="shared" si="161"/>
        <v>High Risk</v>
      </c>
      <c r="K3420" s="3" t="str">
        <f t="shared" si="159"/>
        <v>0-1 Year</v>
      </c>
    </row>
    <row r="3421" spans="1:11" x14ac:dyDescent="0.3">
      <c r="A3421" t="s">
        <v>3438</v>
      </c>
      <c r="B3421" t="s">
        <v>9</v>
      </c>
      <c r="C3421" t="s">
        <v>15</v>
      </c>
      <c r="D3421" t="s">
        <v>20</v>
      </c>
      <c r="E3421">
        <v>70.400000000000006</v>
      </c>
      <c r="F3421">
        <v>28</v>
      </c>
      <c r="G3421">
        <v>1971.2</v>
      </c>
      <c r="H3421" t="s">
        <v>12</v>
      </c>
      <c r="I3421" t="str">
        <f t="shared" si="160"/>
        <v>Low Value</v>
      </c>
      <c r="J3421" t="str">
        <f t="shared" si="161"/>
        <v>Low Risk</v>
      </c>
      <c r="K3421" s="3" t="str">
        <f t="shared" si="159"/>
        <v>2-4 Years</v>
      </c>
    </row>
    <row r="3422" spans="1:11" x14ac:dyDescent="0.3">
      <c r="A3422" t="s">
        <v>3439</v>
      </c>
      <c r="B3422" t="s">
        <v>14</v>
      </c>
      <c r="C3422" t="s">
        <v>10</v>
      </c>
      <c r="D3422" t="s">
        <v>11</v>
      </c>
      <c r="E3422">
        <v>69.8</v>
      </c>
      <c r="F3422">
        <v>1</v>
      </c>
      <c r="G3422">
        <v>69.8</v>
      </c>
      <c r="H3422" t="s">
        <v>18</v>
      </c>
      <c r="I3422" t="str">
        <f t="shared" si="160"/>
        <v>Low Value</v>
      </c>
      <c r="J3422" t="str">
        <f t="shared" si="161"/>
        <v>High Risk</v>
      </c>
      <c r="K3422" s="3" t="str">
        <f t="shared" si="159"/>
        <v>0-1 Year</v>
      </c>
    </row>
    <row r="3423" spans="1:11" x14ac:dyDescent="0.3">
      <c r="A3423" t="s">
        <v>3440</v>
      </c>
      <c r="B3423" t="s">
        <v>9</v>
      </c>
      <c r="C3423" t="s">
        <v>10</v>
      </c>
      <c r="D3423" t="s">
        <v>11</v>
      </c>
      <c r="E3423">
        <v>94.3</v>
      </c>
      <c r="F3423">
        <v>21</v>
      </c>
      <c r="G3423">
        <v>1980.3</v>
      </c>
      <c r="H3423" t="s">
        <v>12</v>
      </c>
      <c r="I3423" t="str">
        <f t="shared" si="160"/>
        <v>Low Value</v>
      </c>
      <c r="J3423" t="str">
        <f t="shared" si="161"/>
        <v>Medium Risk</v>
      </c>
      <c r="K3423" s="3" t="str">
        <f t="shared" si="159"/>
        <v>1-2 Years</v>
      </c>
    </row>
    <row r="3424" spans="1:11" x14ac:dyDescent="0.3">
      <c r="A3424" t="s">
        <v>3441</v>
      </c>
      <c r="B3424" t="s">
        <v>14</v>
      </c>
      <c r="C3424" t="s">
        <v>10</v>
      </c>
      <c r="D3424" t="s">
        <v>20</v>
      </c>
      <c r="E3424">
        <v>93.8</v>
      </c>
      <c r="F3424">
        <v>51</v>
      </c>
      <c r="G3424">
        <v>4783.8</v>
      </c>
      <c r="H3424" t="s">
        <v>18</v>
      </c>
      <c r="I3424" t="str">
        <f t="shared" si="160"/>
        <v>Medium Value</v>
      </c>
      <c r="J3424" t="str">
        <f t="shared" si="161"/>
        <v>Low Risk</v>
      </c>
      <c r="K3424" s="3" t="str">
        <f t="shared" si="159"/>
        <v>4+ Years</v>
      </c>
    </row>
    <row r="3425" spans="1:11" x14ac:dyDescent="0.3">
      <c r="A3425" t="s">
        <v>3442</v>
      </c>
      <c r="B3425" t="s">
        <v>9</v>
      </c>
      <c r="C3425" t="s">
        <v>15</v>
      </c>
      <c r="D3425" t="s">
        <v>20</v>
      </c>
      <c r="E3425">
        <v>19.55</v>
      </c>
      <c r="F3425">
        <v>53</v>
      </c>
      <c r="G3425">
        <v>1036.1500000000001</v>
      </c>
      <c r="H3425" t="s">
        <v>12</v>
      </c>
      <c r="I3425" t="str">
        <f t="shared" si="160"/>
        <v>Low Value</v>
      </c>
      <c r="J3425" t="str">
        <f t="shared" si="161"/>
        <v>Low Risk</v>
      </c>
      <c r="K3425" s="3" t="str">
        <f t="shared" si="159"/>
        <v>4+ Years</v>
      </c>
    </row>
    <row r="3426" spans="1:11" x14ac:dyDescent="0.3">
      <c r="A3426" t="s">
        <v>3443</v>
      </c>
      <c r="B3426" t="s">
        <v>14</v>
      </c>
      <c r="C3426" t="s">
        <v>15</v>
      </c>
      <c r="D3426" t="s">
        <v>11</v>
      </c>
      <c r="E3426">
        <v>95.95</v>
      </c>
      <c r="F3426">
        <v>53</v>
      </c>
      <c r="G3426">
        <v>5085.3500000000004</v>
      </c>
      <c r="H3426" t="s">
        <v>12</v>
      </c>
      <c r="I3426" t="str">
        <f t="shared" si="160"/>
        <v>High Value</v>
      </c>
      <c r="J3426" t="str">
        <f t="shared" si="161"/>
        <v>Low Risk</v>
      </c>
      <c r="K3426" s="3" t="str">
        <f t="shared" si="159"/>
        <v>4+ Years</v>
      </c>
    </row>
    <row r="3427" spans="1:11" x14ac:dyDescent="0.3">
      <c r="A3427" t="s">
        <v>3444</v>
      </c>
      <c r="B3427" t="s">
        <v>14</v>
      </c>
      <c r="C3427" t="s">
        <v>10</v>
      </c>
      <c r="D3427" t="s">
        <v>11</v>
      </c>
      <c r="E3427">
        <v>101.05</v>
      </c>
      <c r="F3427">
        <v>24</v>
      </c>
      <c r="G3427">
        <v>2425.1999999999998</v>
      </c>
      <c r="H3427" t="s">
        <v>18</v>
      </c>
      <c r="I3427" t="str">
        <f t="shared" si="160"/>
        <v>Medium Value</v>
      </c>
      <c r="J3427" t="str">
        <f t="shared" si="161"/>
        <v>Low Risk</v>
      </c>
      <c r="K3427" s="3" t="str">
        <f t="shared" si="159"/>
        <v>1-2 Years</v>
      </c>
    </row>
    <row r="3428" spans="1:11" x14ac:dyDescent="0.3">
      <c r="A3428" t="s">
        <v>3445</v>
      </c>
      <c r="B3428" t="s">
        <v>9</v>
      </c>
      <c r="C3428" t="s">
        <v>30</v>
      </c>
      <c r="D3428" t="s">
        <v>24</v>
      </c>
      <c r="E3428">
        <v>94.8</v>
      </c>
      <c r="F3428">
        <v>70</v>
      </c>
      <c r="G3428">
        <v>6636</v>
      </c>
      <c r="H3428" t="s">
        <v>12</v>
      </c>
      <c r="I3428" t="str">
        <f t="shared" si="160"/>
        <v>High Value</v>
      </c>
      <c r="J3428" t="str">
        <f t="shared" si="161"/>
        <v>Low Risk</v>
      </c>
      <c r="K3428" s="3" t="str">
        <f t="shared" si="159"/>
        <v>4+ Years</v>
      </c>
    </row>
    <row r="3429" spans="1:11" x14ac:dyDescent="0.3">
      <c r="A3429" t="s">
        <v>3446</v>
      </c>
      <c r="B3429" t="s">
        <v>14</v>
      </c>
      <c r="C3429" t="s">
        <v>15</v>
      </c>
      <c r="D3429" t="s">
        <v>11</v>
      </c>
      <c r="E3429">
        <v>107.75</v>
      </c>
      <c r="F3429">
        <v>61</v>
      </c>
      <c r="G3429">
        <v>6572.75</v>
      </c>
      <c r="H3429" t="s">
        <v>12</v>
      </c>
      <c r="I3429" t="str">
        <f t="shared" si="160"/>
        <v>High Value</v>
      </c>
      <c r="J3429" t="str">
        <f t="shared" si="161"/>
        <v>Low Risk</v>
      </c>
      <c r="K3429" s="3" t="str">
        <f t="shared" si="159"/>
        <v>4+ Years</v>
      </c>
    </row>
    <row r="3430" spans="1:11" x14ac:dyDescent="0.3">
      <c r="A3430" t="s">
        <v>3447</v>
      </c>
      <c r="B3430" t="s">
        <v>9</v>
      </c>
      <c r="C3430" t="s">
        <v>15</v>
      </c>
      <c r="D3430" t="s">
        <v>16</v>
      </c>
      <c r="E3430">
        <v>54.6</v>
      </c>
      <c r="F3430">
        <v>11</v>
      </c>
      <c r="G3430">
        <v>600.6</v>
      </c>
      <c r="H3430" t="s">
        <v>12</v>
      </c>
      <c r="I3430" t="str">
        <f t="shared" si="160"/>
        <v>Low Value</v>
      </c>
      <c r="J3430" t="str">
        <f t="shared" si="161"/>
        <v>High Risk</v>
      </c>
      <c r="K3430" s="3" t="str">
        <f t="shared" si="159"/>
        <v>0-1 Year</v>
      </c>
    </row>
    <row r="3431" spans="1:11" x14ac:dyDescent="0.3">
      <c r="A3431" t="s">
        <v>3448</v>
      </c>
      <c r="B3431" t="s">
        <v>14</v>
      </c>
      <c r="C3431" t="s">
        <v>10</v>
      </c>
      <c r="D3431" t="s">
        <v>24</v>
      </c>
      <c r="E3431">
        <v>71.3</v>
      </c>
      <c r="F3431">
        <v>2</v>
      </c>
      <c r="G3431">
        <v>142.6</v>
      </c>
      <c r="H3431" t="s">
        <v>12</v>
      </c>
      <c r="I3431" t="str">
        <f t="shared" si="160"/>
        <v>Low Value</v>
      </c>
      <c r="J3431" t="str">
        <f t="shared" si="161"/>
        <v>High Risk</v>
      </c>
      <c r="K3431" s="3" t="str">
        <f t="shared" si="159"/>
        <v>0-1 Year</v>
      </c>
    </row>
    <row r="3432" spans="1:11" x14ac:dyDescent="0.3">
      <c r="A3432" t="s">
        <v>3449</v>
      </c>
      <c r="B3432" t="s">
        <v>14</v>
      </c>
      <c r="C3432" t="s">
        <v>15</v>
      </c>
      <c r="D3432" t="s">
        <v>20</v>
      </c>
      <c r="E3432">
        <v>19.5</v>
      </c>
      <c r="F3432">
        <v>25</v>
      </c>
      <c r="G3432">
        <v>487.5</v>
      </c>
      <c r="H3432" t="s">
        <v>12</v>
      </c>
      <c r="I3432" t="str">
        <f t="shared" si="160"/>
        <v>Low Value</v>
      </c>
      <c r="J3432" t="str">
        <f t="shared" si="161"/>
        <v>Low Risk</v>
      </c>
      <c r="K3432" s="3" t="str">
        <f t="shared" si="159"/>
        <v>2-4 Years</v>
      </c>
    </row>
    <row r="3433" spans="1:11" x14ac:dyDescent="0.3">
      <c r="A3433" t="s">
        <v>3450</v>
      </c>
      <c r="B3433" t="s">
        <v>9</v>
      </c>
      <c r="C3433" t="s">
        <v>15</v>
      </c>
      <c r="D3433" t="s">
        <v>24</v>
      </c>
      <c r="E3433">
        <v>56.3</v>
      </c>
      <c r="F3433">
        <v>41</v>
      </c>
      <c r="G3433">
        <v>2308.2999999999902</v>
      </c>
      <c r="H3433" t="s">
        <v>12</v>
      </c>
      <c r="I3433" t="str">
        <f t="shared" si="160"/>
        <v>Medium Value</v>
      </c>
      <c r="J3433" t="str">
        <f t="shared" si="161"/>
        <v>Low Risk</v>
      </c>
      <c r="K3433" s="3" t="str">
        <f t="shared" si="159"/>
        <v>2-4 Years</v>
      </c>
    </row>
    <row r="3434" spans="1:11" x14ac:dyDescent="0.3">
      <c r="A3434" t="s">
        <v>3451</v>
      </c>
      <c r="B3434" t="s">
        <v>14</v>
      </c>
      <c r="C3434" t="s">
        <v>10</v>
      </c>
      <c r="D3434" t="s">
        <v>11</v>
      </c>
      <c r="E3434">
        <v>94.7</v>
      </c>
      <c r="F3434">
        <v>18</v>
      </c>
      <c r="G3434">
        <v>1704.6</v>
      </c>
      <c r="H3434" t="s">
        <v>18</v>
      </c>
      <c r="I3434" t="str">
        <f t="shared" si="160"/>
        <v>Low Value</v>
      </c>
      <c r="J3434" t="str">
        <f t="shared" si="161"/>
        <v>Medium Risk</v>
      </c>
      <c r="K3434" s="3" t="str">
        <f t="shared" si="159"/>
        <v>1-2 Years</v>
      </c>
    </row>
    <row r="3435" spans="1:11" x14ac:dyDescent="0.3">
      <c r="A3435" t="s">
        <v>3452</v>
      </c>
      <c r="B3435" t="s">
        <v>14</v>
      </c>
      <c r="C3435" t="s">
        <v>30</v>
      </c>
      <c r="D3435" t="s">
        <v>20</v>
      </c>
      <c r="E3435">
        <v>104.15</v>
      </c>
      <c r="F3435">
        <v>72</v>
      </c>
      <c r="G3435">
        <v>7498.8</v>
      </c>
      <c r="H3435" t="s">
        <v>18</v>
      </c>
      <c r="I3435" t="str">
        <f t="shared" si="160"/>
        <v>High Value</v>
      </c>
      <c r="J3435" t="str">
        <f t="shared" si="161"/>
        <v>Low Risk</v>
      </c>
      <c r="K3435" s="3" t="str">
        <f t="shared" si="159"/>
        <v>4+ Years</v>
      </c>
    </row>
    <row r="3436" spans="1:11" x14ac:dyDescent="0.3">
      <c r="A3436" t="s">
        <v>3453</v>
      </c>
      <c r="B3436" t="s">
        <v>9</v>
      </c>
      <c r="C3436" t="s">
        <v>30</v>
      </c>
      <c r="D3436" t="s">
        <v>24</v>
      </c>
      <c r="E3436">
        <v>90.55</v>
      </c>
      <c r="F3436">
        <v>71</v>
      </c>
      <c r="G3436">
        <v>6429.05</v>
      </c>
      <c r="H3436" t="s">
        <v>12</v>
      </c>
      <c r="I3436" t="str">
        <f t="shared" si="160"/>
        <v>High Value</v>
      </c>
      <c r="J3436" t="str">
        <f t="shared" si="161"/>
        <v>Low Risk</v>
      </c>
      <c r="K3436" s="3" t="str">
        <f t="shared" si="159"/>
        <v>4+ Years</v>
      </c>
    </row>
    <row r="3437" spans="1:11" x14ac:dyDescent="0.3">
      <c r="A3437" t="s">
        <v>3454</v>
      </c>
      <c r="B3437" t="s">
        <v>9</v>
      </c>
      <c r="C3437" t="s">
        <v>15</v>
      </c>
      <c r="D3437" t="s">
        <v>16</v>
      </c>
      <c r="E3437">
        <v>60.8</v>
      </c>
      <c r="F3437">
        <v>34</v>
      </c>
      <c r="G3437">
        <v>2067.1999999999998</v>
      </c>
      <c r="H3437" t="s">
        <v>12</v>
      </c>
      <c r="I3437" t="str">
        <f t="shared" si="160"/>
        <v>Medium Value</v>
      </c>
      <c r="J3437" t="str">
        <f t="shared" si="161"/>
        <v>Low Risk</v>
      </c>
      <c r="K3437" s="3" t="str">
        <f t="shared" si="159"/>
        <v>2-4 Years</v>
      </c>
    </row>
    <row r="3438" spans="1:11" x14ac:dyDescent="0.3">
      <c r="A3438" t="s">
        <v>3455</v>
      </c>
      <c r="B3438" t="s">
        <v>14</v>
      </c>
      <c r="C3438" t="s">
        <v>10</v>
      </c>
      <c r="D3438" t="s">
        <v>24</v>
      </c>
      <c r="E3438">
        <v>98.8</v>
      </c>
      <c r="F3438">
        <v>29</v>
      </c>
      <c r="G3438">
        <v>2865.2</v>
      </c>
      <c r="H3438" t="s">
        <v>12</v>
      </c>
      <c r="I3438" t="str">
        <f t="shared" si="160"/>
        <v>Medium Value</v>
      </c>
      <c r="J3438" t="str">
        <f t="shared" si="161"/>
        <v>Low Risk</v>
      </c>
      <c r="K3438" s="3" t="str">
        <f t="shared" si="159"/>
        <v>2-4 Years</v>
      </c>
    </row>
    <row r="3439" spans="1:11" x14ac:dyDescent="0.3">
      <c r="A3439" t="s">
        <v>3456</v>
      </c>
      <c r="B3439" t="s">
        <v>14</v>
      </c>
      <c r="C3439" t="s">
        <v>15</v>
      </c>
      <c r="D3439" t="s">
        <v>24</v>
      </c>
      <c r="E3439">
        <v>98.15</v>
      </c>
      <c r="F3439">
        <v>40</v>
      </c>
      <c r="G3439">
        <v>3926</v>
      </c>
      <c r="H3439" t="s">
        <v>12</v>
      </c>
      <c r="I3439" t="str">
        <f t="shared" si="160"/>
        <v>Medium Value</v>
      </c>
      <c r="J3439" t="str">
        <f t="shared" si="161"/>
        <v>Low Risk</v>
      </c>
      <c r="K3439" s="3" t="str">
        <f t="shared" si="159"/>
        <v>2-4 Years</v>
      </c>
    </row>
    <row r="3440" spans="1:11" x14ac:dyDescent="0.3">
      <c r="A3440" t="s">
        <v>3457</v>
      </c>
      <c r="B3440" t="s">
        <v>14</v>
      </c>
      <c r="C3440" t="s">
        <v>15</v>
      </c>
      <c r="D3440" t="s">
        <v>16</v>
      </c>
      <c r="E3440">
        <v>35.35</v>
      </c>
      <c r="F3440">
        <v>36</v>
      </c>
      <c r="G3440">
        <v>1272.5999999999999</v>
      </c>
      <c r="H3440" t="s">
        <v>12</v>
      </c>
      <c r="I3440" t="str">
        <f t="shared" si="160"/>
        <v>Low Value</v>
      </c>
      <c r="J3440" t="str">
        <f t="shared" si="161"/>
        <v>Low Risk</v>
      </c>
      <c r="K3440" s="3" t="str">
        <f t="shared" si="159"/>
        <v>2-4 Years</v>
      </c>
    </row>
    <row r="3441" spans="1:11" x14ac:dyDescent="0.3">
      <c r="A3441" t="s">
        <v>3458</v>
      </c>
      <c r="B3441" t="s">
        <v>9</v>
      </c>
      <c r="C3441" t="s">
        <v>15</v>
      </c>
      <c r="D3441" t="s">
        <v>11</v>
      </c>
      <c r="E3441">
        <v>103.15</v>
      </c>
      <c r="F3441">
        <v>46</v>
      </c>
      <c r="G3441">
        <v>4744.8999999999996</v>
      </c>
      <c r="H3441" t="s">
        <v>12</v>
      </c>
      <c r="I3441" t="str">
        <f t="shared" si="160"/>
        <v>Medium Value</v>
      </c>
      <c r="J3441" t="str">
        <f t="shared" si="161"/>
        <v>Low Risk</v>
      </c>
      <c r="K3441" s="3" t="str">
        <f t="shared" si="159"/>
        <v>2-4 Years</v>
      </c>
    </row>
    <row r="3442" spans="1:11" x14ac:dyDescent="0.3">
      <c r="A3442" t="s">
        <v>3459</v>
      </c>
      <c r="B3442" t="s">
        <v>9</v>
      </c>
      <c r="C3442" t="s">
        <v>15</v>
      </c>
      <c r="D3442" t="s">
        <v>11</v>
      </c>
      <c r="E3442">
        <v>107.75</v>
      </c>
      <c r="F3442">
        <v>58</v>
      </c>
      <c r="G3442">
        <v>6249.5</v>
      </c>
      <c r="H3442" t="s">
        <v>12</v>
      </c>
      <c r="I3442" t="str">
        <f t="shared" si="160"/>
        <v>High Value</v>
      </c>
      <c r="J3442" t="str">
        <f t="shared" si="161"/>
        <v>Low Risk</v>
      </c>
      <c r="K3442" s="3" t="str">
        <f t="shared" si="159"/>
        <v>4+ Years</v>
      </c>
    </row>
    <row r="3443" spans="1:11" x14ac:dyDescent="0.3">
      <c r="A3443" t="s">
        <v>3460</v>
      </c>
      <c r="B3443" t="s">
        <v>14</v>
      </c>
      <c r="C3443" t="s">
        <v>15</v>
      </c>
      <c r="D3443" t="s">
        <v>24</v>
      </c>
      <c r="E3443">
        <v>81.400000000000006</v>
      </c>
      <c r="F3443">
        <v>39</v>
      </c>
      <c r="G3443">
        <v>3174.6</v>
      </c>
      <c r="H3443" t="s">
        <v>12</v>
      </c>
      <c r="I3443" t="str">
        <f t="shared" si="160"/>
        <v>Medium Value</v>
      </c>
      <c r="J3443" t="str">
        <f t="shared" si="161"/>
        <v>Low Risk</v>
      </c>
      <c r="K3443" s="3" t="str">
        <f t="shared" si="159"/>
        <v>2-4 Years</v>
      </c>
    </row>
    <row r="3444" spans="1:11" x14ac:dyDescent="0.3">
      <c r="A3444" t="s">
        <v>3461</v>
      </c>
      <c r="B3444" t="s">
        <v>14</v>
      </c>
      <c r="C3444" t="s">
        <v>10</v>
      </c>
      <c r="D3444" t="s">
        <v>24</v>
      </c>
      <c r="E3444">
        <v>61.45</v>
      </c>
      <c r="F3444">
        <v>4</v>
      </c>
      <c r="G3444">
        <v>245.8</v>
      </c>
      <c r="H3444" t="s">
        <v>18</v>
      </c>
      <c r="I3444" t="str">
        <f t="shared" si="160"/>
        <v>Low Value</v>
      </c>
      <c r="J3444" t="str">
        <f t="shared" si="161"/>
        <v>High Risk</v>
      </c>
      <c r="K3444" s="3" t="str">
        <f t="shared" si="159"/>
        <v>0-1 Year</v>
      </c>
    </row>
    <row r="3445" spans="1:11" x14ac:dyDescent="0.3">
      <c r="A3445" t="s">
        <v>3462</v>
      </c>
      <c r="B3445" t="s">
        <v>9</v>
      </c>
      <c r="C3445" t="s">
        <v>15</v>
      </c>
      <c r="D3445" t="s">
        <v>24</v>
      </c>
      <c r="E3445">
        <v>95.7</v>
      </c>
      <c r="F3445">
        <v>52</v>
      </c>
      <c r="G3445">
        <v>4976.3999999999996</v>
      </c>
      <c r="H3445" t="s">
        <v>12</v>
      </c>
      <c r="I3445" t="str">
        <f t="shared" si="160"/>
        <v>Medium Value</v>
      </c>
      <c r="J3445" t="str">
        <f t="shared" si="161"/>
        <v>Low Risk</v>
      </c>
      <c r="K3445" s="3" t="str">
        <f t="shared" si="159"/>
        <v>4+ Years</v>
      </c>
    </row>
    <row r="3446" spans="1:11" x14ac:dyDescent="0.3">
      <c r="A3446" t="s">
        <v>3463</v>
      </c>
      <c r="B3446" t="s">
        <v>14</v>
      </c>
      <c r="C3446" t="s">
        <v>15</v>
      </c>
      <c r="D3446" t="s">
        <v>11</v>
      </c>
      <c r="E3446">
        <v>104.8</v>
      </c>
      <c r="F3446">
        <v>70</v>
      </c>
      <c r="G3446">
        <v>7336</v>
      </c>
      <c r="H3446" t="s">
        <v>12</v>
      </c>
      <c r="I3446" t="str">
        <f t="shared" si="160"/>
        <v>High Value</v>
      </c>
      <c r="J3446" t="str">
        <f t="shared" si="161"/>
        <v>Low Risk</v>
      </c>
      <c r="K3446" s="3" t="str">
        <f t="shared" si="159"/>
        <v>4+ Years</v>
      </c>
    </row>
    <row r="3447" spans="1:11" x14ac:dyDescent="0.3">
      <c r="A3447" t="s">
        <v>3464</v>
      </c>
      <c r="B3447" t="s">
        <v>14</v>
      </c>
      <c r="C3447" t="s">
        <v>15</v>
      </c>
      <c r="D3447" t="s">
        <v>20</v>
      </c>
      <c r="E3447">
        <v>70.95</v>
      </c>
      <c r="F3447">
        <v>65</v>
      </c>
      <c r="G3447">
        <v>4611.75</v>
      </c>
      <c r="H3447" t="s">
        <v>12</v>
      </c>
      <c r="I3447" t="str">
        <f t="shared" si="160"/>
        <v>Medium Value</v>
      </c>
      <c r="J3447" t="str">
        <f t="shared" si="161"/>
        <v>Low Risk</v>
      </c>
      <c r="K3447" s="3" t="str">
        <f t="shared" si="159"/>
        <v>4+ Years</v>
      </c>
    </row>
    <row r="3448" spans="1:11" x14ac:dyDescent="0.3">
      <c r="A3448" t="s">
        <v>3465</v>
      </c>
      <c r="B3448" t="s">
        <v>14</v>
      </c>
      <c r="C3448" t="s">
        <v>10</v>
      </c>
      <c r="D3448" t="s">
        <v>16</v>
      </c>
      <c r="E3448">
        <v>44.95</v>
      </c>
      <c r="F3448">
        <v>1</v>
      </c>
      <c r="G3448">
        <v>44.95</v>
      </c>
      <c r="H3448" t="s">
        <v>12</v>
      </c>
      <c r="I3448" t="str">
        <f t="shared" si="160"/>
        <v>Low Value</v>
      </c>
      <c r="J3448" t="str">
        <f t="shared" si="161"/>
        <v>High Risk</v>
      </c>
      <c r="K3448" s="3" t="str">
        <f t="shared" si="159"/>
        <v>0-1 Year</v>
      </c>
    </row>
    <row r="3449" spans="1:11" x14ac:dyDescent="0.3">
      <c r="A3449" t="s">
        <v>3466</v>
      </c>
      <c r="B3449" t="s">
        <v>9</v>
      </c>
      <c r="C3449" t="s">
        <v>15</v>
      </c>
      <c r="D3449" t="s">
        <v>11</v>
      </c>
      <c r="E3449">
        <v>97.65</v>
      </c>
      <c r="F3449">
        <v>70</v>
      </c>
      <c r="G3449">
        <v>6835.5</v>
      </c>
      <c r="H3449" t="s">
        <v>12</v>
      </c>
      <c r="I3449" t="str">
        <f t="shared" si="160"/>
        <v>High Value</v>
      </c>
      <c r="J3449" t="str">
        <f t="shared" si="161"/>
        <v>Low Risk</v>
      </c>
      <c r="K3449" s="3" t="str">
        <f t="shared" si="159"/>
        <v>4+ Years</v>
      </c>
    </row>
    <row r="3450" spans="1:11" x14ac:dyDescent="0.3">
      <c r="A3450" t="s">
        <v>3467</v>
      </c>
      <c r="B3450" t="s">
        <v>9</v>
      </c>
      <c r="C3450" t="s">
        <v>10</v>
      </c>
      <c r="D3450" t="s">
        <v>16</v>
      </c>
      <c r="E3450">
        <v>35.65</v>
      </c>
      <c r="F3450">
        <v>29</v>
      </c>
      <c r="G3450">
        <v>1033.8499999999999</v>
      </c>
      <c r="H3450" t="s">
        <v>12</v>
      </c>
      <c r="I3450" t="str">
        <f t="shared" si="160"/>
        <v>Low Value</v>
      </c>
      <c r="J3450" t="str">
        <f t="shared" si="161"/>
        <v>Low Risk</v>
      </c>
      <c r="K3450" s="3" t="str">
        <f t="shared" si="159"/>
        <v>2-4 Years</v>
      </c>
    </row>
    <row r="3451" spans="1:11" x14ac:dyDescent="0.3">
      <c r="A3451" t="s">
        <v>3468</v>
      </c>
      <c r="B3451" t="s">
        <v>14</v>
      </c>
      <c r="C3451" t="s">
        <v>10</v>
      </c>
      <c r="D3451" t="s">
        <v>11</v>
      </c>
      <c r="E3451">
        <v>90.55</v>
      </c>
      <c r="F3451">
        <v>1</v>
      </c>
      <c r="G3451">
        <v>90.55</v>
      </c>
      <c r="H3451" t="s">
        <v>18</v>
      </c>
      <c r="I3451" t="str">
        <f t="shared" si="160"/>
        <v>Low Value</v>
      </c>
      <c r="J3451" t="str">
        <f t="shared" si="161"/>
        <v>High Risk</v>
      </c>
      <c r="K3451" s="3" t="str">
        <f t="shared" si="159"/>
        <v>0-1 Year</v>
      </c>
    </row>
    <row r="3452" spans="1:11" x14ac:dyDescent="0.3">
      <c r="A3452" t="s">
        <v>3469</v>
      </c>
      <c r="B3452" t="s">
        <v>9</v>
      </c>
      <c r="C3452" t="s">
        <v>30</v>
      </c>
      <c r="D3452" t="s">
        <v>16</v>
      </c>
      <c r="E3452">
        <v>85.25</v>
      </c>
      <c r="F3452">
        <v>67</v>
      </c>
      <c r="G3452">
        <v>5711.75</v>
      </c>
      <c r="H3452" t="s">
        <v>12</v>
      </c>
      <c r="I3452" t="str">
        <f t="shared" si="160"/>
        <v>High Value</v>
      </c>
      <c r="J3452" t="str">
        <f t="shared" si="161"/>
        <v>Low Risk</v>
      </c>
      <c r="K3452" s="3" t="str">
        <f t="shared" si="159"/>
        <v>4+ Years</v>
      </c>
    </row>
    <row r="3453" spans="1:11" x14ac:dyDescent="0.3">
      <c r="A3453" t="s">
        <v>3470</v>
      </c>
      <c r="B3453" t="s">
        <v>9</v>
      </c>
      <c r="C3453" t="s">
        <v>10</v>
      </c>
      <c r="D3453" t="s">
        <v>16</v>
      </c>
      <c r="E3453">
        <v>19.5</v>
      </c>
      <c r="F3453">
        <v>1</v>
      </c>
      <c r="G3453">
        <v>19.5</v>
      </c>
      <c r="H3453" t="s">
        <v>12</v>
      </c>
      <c r="I3453" t="str">
        <f t="shared" si="160"/>
        <v>Low Value</v>
      </c>
      <c r="J3453" t="str">
        <f t="shared" si="161"/>
        <v>High Risk</v>
      </c>
      <c r="K3453" s="3" t="str">
        <f t="shared" si="159"/>
        <v>0-1 Year</v>
      </c>
    </row>
    <row r="3454" spans="1:11" x14ac:dyDescent="0.3">
      <c r="A3454" t="s">
        <v>3471</v>
      </c>
      <c r="B3454" t="s">
        <v>9</v>
      </c>
      <c r="C3454" t="s">
        <v>10</v>
      </c>
      <c r="D3454" t="s">
        <v>20</v>
      </c>
      <c r="E3454">
        <v>88.8</v>
      </c>
      <c r="F3454">
        <v>26</v>
      </c>
      <c r="G3454">
        <v>2308.7999999999902</v>
      </c>
      <c r="H3454" t="s">
        <v>18</v>
      </c>
      <c r="I3454" t="str">
        <f t="shared" si="160"/>
        <v>Medium Value</v>
      </c>
      <c r="J3454" t="str">
        <f t="shared" si="161"/>
        <v>Low Risk</v>
      </c>
      <c r="K3454" s="3" t="str">
        <f t="shared" si="159"/>
        <v>2-4 Years</v>
      </c>
    </row>
    <row r="3455" spans="1:11" x14ac:dyDescent="0.3">
      <c r="A3455" t="s">
        <v>3472</v>
      </c>
      <c r="B3455" t="s">
        <v>9</v>
      </c>
      <c r="C3455" t="s">
        <v>30</v>
      </c>
      <c r="D3455" t="s">
        <v>16</v>
      </c>
      <c r="E3455">
        <v>25.1</v>
      </c>
      <c r="F3455">
        <v>30</v>
      </c>
      <c r="G3455">
        <v>753</v>
      </c>
      <c r="H3455" t="s">
        <v>12</v>
      </c>
      <c r="I3455" t="str">
        <f t="shared" si="160"/>
        <v>Low Value</v>
      </c>
      <c r="J3455" t="str">
        <f t="shared" si="161"/>
        <v>Low Risk</v>
      </c>
      <c r="K3455" s="3" t="str">
        <f t="shared" si="159"/>
        <v>2-4 Years</v>
      </c>
    </row>
    <row r="3456" spans="1:11" x14ac:dyDescent="0.3">
      <c r="A3456" t="s">
        <v>3473</v>
      </c>
      <c r="B3456" t="s">
        <v>9</v>
      </c>
      <c r="C3456" t="s">
        <v>10</v>
      </c>
      <c r="D3456" t="s">
        <v>24</v>
      </c>
      <c r="E3456">
        <v>100.05</v>
      </c>
      <c r="F3456">
        <v>48</v>
      </c>
      <c r="G3456">
        <v>4802.3999999999996</v>
      </c>
      <c r="H3456" t="s">
        <v>12</v>
      </c>
      <c r="I3456" t="str">
        <f t="shared" si="160"/>
        <v>Medium Value</v>
      </c>
      <c r="J3456" t="str">
        <f t="shared" si="161"/>
        <v>Low Risk</v>
      </c>
      <c r="K3456" s="3" t="str">
        <f t="shared" si="159"/>
        <v>2-4 Years</v>
      </c>
    </row>
    <row r="3457" spans="1:11" x14ac:dyDescent="0.3">
      <c r="A3457" t="s">
        <v>3474</v>
      </c>
      <c r="B3457" t="s">
        <v>9</v>
      </c>
      <c r="C3457" t="s">
        <v>10</v>
      </c>
      <c r="D3457" t="s">
        <v>11</v>
      </c>
      <c r="E3457">
        <v>55.7</v>
      </c>
      <c r="F3457">
        <v>55</v>
      </c>
      <c r="G3457">
        <v>3063.5</v>
      </c>
      <c r="H3457" t="s">
        <v>12</v>
      </c>
      <c r="I3457" t="str">
        <f t="shared" si="160"/>
        <v>Medium Value</v>
      </c>
      <c r="J3457" t="str">
        <f t="shared" si="161"/>
        <v>Low Risk</v>
      </c>
      <c r="K3457" s="3" t="str">
        <f t="shared" si="159"/>
        <v>4+ Years</v>
      </c>
    </row>
    <row r="3458" spans="1:11" x14ac:dyDescent="0.3">
      <c r="A3458" t="s">
        <v>3475</v>
      </c>
      <c r="B3458" t="s">
        <v>14</v>
      </c>
      <c r="C3458" t="s">
        <v>10</v>
      </c>
      <c r="D3458" t="s">
        <v>16</v>
      </c>
      <c r="E3458">
        <v>85.2</v>
      </c>
      <c r="F3458">
        <v>7</v>
      </c>
      <c r="G3458">
        <v>596.4</v>
      </c>
      <c r="H3458" t="s">
        <v>18</v>
      </c>
      <c r="I3458" t="str">
        <f t="shared" si="160"/>
        <v>Low Value</v>
      </c>
      <c r="J3458" t="str">
        <f t="shared" si="161"/>
        <v>High Risk</v>
      </c>
      <c r="K3458" s="3" t="str">
        <f t="shared" si="159"/>
        <v>0-1 Year</v>
      </c>
    </row>
    <row r="3459" spans="1:11" x14ac:dyDescent="0.3">
      <c r="A3459" t="s">
        <v>3476</v>
      </c>
      <c r="B3459" t="s">
        <v>14</v>
      </c>
      <c r="C3459" t="s">
        <v>10</v>
      </c>
      <c r="D3459" t="s">
        <v>11</v>
      </c>
      <c r="E3459">
        <v>91.15</v>
      </c>
      <c r="F3459">
        <v>37</v>
      </c>
      <c r="G3459">
        <v>3372.55</v>
      </c>
      <c r="H3459" t="s">
        <v>12</v>
      </c>
      <c r="I3459" t="str">
        <f t="shared" si="160"/>
        <v>Medium Value</v>
      </c>
      <c r="J3459" t="str">
        <f t="shared" si="161"/>
        <v>Low Risk</v>
      </c>
      <c r="K3459" s="3" t="str">
        <f t="shared" ref="K3459:K3522" si="162">IF(F3459&lt;=12,"0-1 Year",
IF(F3459&lt;=24,"1-2 Years",
IF(F3459&lt;=48,"2-4 Years","4+ Years")))</f>
        <v>2-4 Years</v>
      </c>
    </row>
    <row r="3460" spans="1:11" x14ac:dyDescent="0.3">
      <c r="A3460" t="s">
        <v>3477</v>
      </c>
      <c r="B3460" t="s">
        <v>9</v>
      </c>
      <c r="C3460" t="s">
        <v>10</v>
      </c>
      <c r="D3460" t="s">
        <v>20</v>
      </c>
      <c r="E3460">
        <v>83.85</v>
      </c>
      <c r="F3460">
        <v>31</v>
      </c>
      <c r="G3460">
        <v>2599.35</v>
      </c>
      <c r="H3460" t="s">
        <v>12</v>
      </c>
      <c r="I3460" t="str">
        <f t="shared" ref="I3460:I3523" si="163">IF(G3460&gt;5000,"High Value",
IF(G3460&gt;2000,"Medium Value","Low Value"))</f>
        <v>Medium Value</v>
      </c>
      <c r="J3460" t="str">
        <f t="shared" ref="J3460:J3523" si="164">IF(F3460&lt;12,"High Risk",
IF(F3460&lt;24,"Medium Risk","Low Risk"))</f>
        <v>Low Risk</v>
      </c>
      <c r="K3460" s="3" t="str">
        <f t="shared" si="162"/>
        <v>2-4 Years</v>
      </c>
    </row>
    <row r="3461" spans="1:11" x14ac:dyDescent="0.3">
      <c r="A3461" t="s">
        <v>3478</v>
      </c>
      <c r="B3461" t="s">
        <v>14</v>
      </c>
      <c r="C3461" t="s">
        <v>10</v>
      </c>
      <c r="D3461" t="s">
        <v>11</v>
      </c>
      <c r="E3461">
        <v>45.9</v>
      </c>
      <c r="F3461">
        <v>4</v>
      </c>
      <c r="G3461">
        <v>183.6</v>
      </c>
      <c r="H3461" t="s">
        <v>12</v>
      </c>
      <c r="I3461" t="str">
        <f t="shared" si="163"/>
        <v>Low Value</v>
      </c>
      <c r="J3461" t="str">
        <f t="shared" si="164"/>
        <v>High Risk</v>
      </c>
      <c r="K3461" s="3" t="str">
        <f t="shared" si="162"/>
        <v>0-1 Year</v>
      </c>
    </row>
    <row r="3462" spans="1:11" x14ac:dyDescent="0.3">
      <c r="A3462" t="s">
        <v>3479</v>
      </c>
      <c r="B3462" t="s">
        <v>14</v>
      </c>
      <c r="C3462" t="s">
        <v>30</v>
      </c>
      <c r="D3462" t="s">
        <v>24</v>
      </c>
      <c r="E3462">
        <v>25.1</v>
      </c>
      <c r="F3462">
        <v>72</v>
      </c>
      <c r="G3462">
        <v>1807.2</v>
      </c>
      <c r="H3462" t="s">
        <v>12</v>
      </c>
      <c r="I3462" t="str">
        <f t="shared" si="163"/>
        <v>Low Value</v>
      </c>
      <c r="J3462" t="str">
        <f t="shared" si="164"/>
        <v>Low Risk</v>
      </c>
      <c r="K3462" s="3" t="str">
        <f t="shared" si="162"/>
        <v>4+ Years</v>
      </c>
    </row>
    <row r="3463" spans="1:11" x14ac:dyDescent="0.3">
      <c r="A3463" t="s">
        <v>3480</v>
      </c>
      <c r="B3463" t="s">
        <v>14</v>
      </c>
      <c r="C3463" t="s">
        <v>10</v>
      </c>
      <c r="D3463" t="s">
        <v>11</v>
      </c>
      <c r="E3463">
        <v>91.4</v>
      </c>
      <c r="F3463">
        <v>5</v>
      </c>
      <c r="G3463">
        <v>457</v>
      </c>
      <c r="H3463" t="s">
        <v>18</v>
      </c>
      <c r="I3463" t="str">
        <f t="shared" si="163"/>
        <v>Low Value</v>
      </c>
      <c r="J3463" t="str">
        <f t="shared" si="164"/>
        <v>High Risk</v>
      </c>
      <c r="K3463" s="3" t="str">
        <f t="shared" si="162"/>
        <v>0-1 Year</v>
      </c>
    </row>
    <row r="3464" spans="1:11" x14ac:dyDescent="0.3">
      <c r="A3464" t="s">
        <v>3481</v>
      </c>
      <c r="B3464" t="s">
        <v>14</v>
      </c>
      <c r="C3464" t="s">
        <v>10</v>
      </c>
      <c r="D3464" t="s">
        <v>16</v>
      </c>
      <c r="E3464">
        <v>19.7</v>
      </c>
      <c r="F3464">
        <v>1</v>
      </c>
      <c r="G3464">
        <v>19.7</v>
      </c>
      <c r="H3464" t="s">
        <v>12</v>
      </c>
      <c r="I3464" t="str">
        <f t="shared" si="163"/>
        <v>Low Value</v>
      </c>
      <c r="J3464" t="str">
        <f t="shared" si="164"/>
        <v>High Risk</v>
      </c>
      <c r="K3464" s="3" t="str">
        <f t="shared" si="162"/>
        <v>0-1 Year</v>
      </c>
    </row>
    <row r="3465" spans="1:11" x14ac:dyDescent="0.3">
      <c r="A3465" t="s">
        <v>3482</v>
      </c>
      <c r="B3465" t="s">
        <v>9</v>
      </c>
      <c r="C3465" t="s">
        <v>10</v>
      </c>
      <c r="D3465" t="s">
        <v>11</v>
      </c>
      <c r="E3465">
        <v>91.5</v>
      </c>
      <c r="F3465">
        <v>15</v>
      </c>
      <c r="G3465">
        <v>1372.5</v>
      </c>
      <c r="H3465" t="s">
        <v>12</v>
      </c>
      <c r="I3465" t="str">
        <f t="shared" si="163"/>
        <v>Low Value</v>
      </c>
      <c r="J3465" t="str">
        <f t="shared" si="164"/>
        <v>Medium Risk</v>
      </c>
      <c r="K3465" s="3" t="str">
        <f t="shared" si="162"/>
        <v>1-2 Years</v>
      </c>
    </row>
    <row r="3466" spans="1:11" x14ac:dyDescent="0.3">
      <c r="A3466" t="s">
        <v>3483</v>
      </c>
      <c r="B3466" t="s">
        <v>14</v>
      </c>
      <c r="C3466" t="s">
        <v>10</v>
      </c>
      <c r="D3466" t="s">
        <v>24</v>
      </c>
      <c r="E3466">
        <v>51.3</v>
      </c>
      <c r="F3466">
        <v>8</v>
      </c>
      <c r="G3466">
        <v>410.4</v>
      </c>
      <c r="H3466" t="s">
        <v>12</v>
      </c>
      <c r="I3466" t="str">
        <f t="shared" si="163"/>
        <v>Low Value</v>
      </c>
      <c r="J3466" t="str">
        <f t="shared" si="164"/>
        <v>High Risk</v>
      </c>
      <c r="K3466" s="3" t="str">
        <f t="shared" si="162"/>
        <v>0-1 Year</v>
      </c>
    </row>
    <row r="3467" spans="1:11" x14ac:dyDescent="0.3">
      <c r="A3467" t="s">
        <v>3484</v>
      </c>
      <c r="B3467" t="s">
        <v>9</v>
      </c>
      <c r="C3467" t="s">
        <v>15</v>
      </c>
      <c r="D3467" t="s">
        <v>16</v>
      </c>
      <c r="E3467">
        <v>21.1</v>
      </c>
      <c r="F3467">
        <v>35</v>
      </c>
      <c r="G3467">
        <v>738.5</v>
      </c>
      <c r="H3467" t="s">
        <v>12</v>
      </c>
      <c r="I3467" t="str">
        <f t="shared" si="163"/>
        <v>Low Value</v>
      </c>
      <c r="J3467" t="str">
        <f t="shared" si="164"/>
        <v>Low Risk</v>
      </c>
      <c r="K3467" s="3" t="str">
        <f t="shared" si="162"/>
        <v>2-4 Years</v>
      </c>
    </row>
    <row r="3468" spans="1:11" x14ac:dyDescent="0.3">
      <c r="A3468" t="s">
        <v>3485</v>
      </c>
      <c r="B3468" t="s">
        <v>9</v>
      </c>
      <c r="C3468" t="s">
        <v>10</v>
      </c>
      <c r="D3468" t="s">
        <v>11</v>
      </c>
      <c r="E3468">
        <v>104.75</v>
      </c>
      <c r="F3468">
        <v>56</v>
      </c>
      <c r="G3468">
        <v>5866</v>
      </c>
      <c r="H3468" t="s">
        <v>12</v>
      </c>
      <c r="I3468" t="str">
        <f t="shared" si="163"/>
        <v>High Value</v>
      </c>
      <c r="J3468" t="str">
        <f t="shared" si="164"/>
        <v>Low Risk</v>
      </c>
      <c r="K3468" s="3" t="str">
        <f t="shared" si="162"/>
        <v>4+ Years</v>
      </c>
    </row>
    <row r="3469" spans="1:11" x14ac:dyDescent="0.3">
      <c r="A3469" t="s">
        <v>3486</v>
      </c>
      <c r="B3469" t="s">
        <v>14</v>
      </c>
      <c r="C3469" t="s">
        <v>10</v>
      </c>
      <c r="D3469" t="s">
        <v>20</v>
      </c>
      <c r="E3469">
        <v>106.15</v>
      </c>
      <c r="F3469">
        <v>42</v>
      </c>
      <c r="G3469">
        <v>4458.3</v>
      </c>
      <c r="H3469" t="s">
        <v>18</v>
      </c>
      <c r="I3469" t="str">
        <f t="shared" si="163"/>
        <v>Medium Value</v>
      </c>
      <c r="J3469" t="str">
        <f t="shared" si="164"/>
        <v>Low Risk</v>
      </c>
      <c r="K3469" s="3" t="str">
        <f t="shared" si="162"/>
        <v>2-4 Years</v>
      </c>
    </row>
    <row r="3470" spans="1:11" x14ac:dyDescent="0.3">
      <c r="A3470" t="s">
        <v>3487</v>
      </c>
      <c r="B3470" t="s">
        <v>14</v>
      </c>
      <c r="C3470" t="s">
        <v>10</v>
      </c>
      <c r="D3470" t="s">
        <v>11</v>
      </c>
      <c r="E3470">
        <v>85.75</v>
      </c>
      <c r="F3470">
        <v>65</v>
      </c>
      <c r="G3470">
        <v>5573.75</v>
      </c>
      <c r="H3470" t="s">
        <v>12</v>
      </c>
      <c r="I3470" t="str">
        <f t="shared" si="163"/>
        <v>High Value</v>
      </c>
      <c r="J3470" t="str">
        <f t="shared" si="164"/>
        <v>Low Risk</v>
      </c>
      <c r="K3470" s="3" t="str">
        <f t="shared" si="162"/>
        <v>4+ Years</v>
      </c>
    </row>
    <row r="3471" spans="1:11" x14ac:dyDescent="0.3">
      <c r="A3471" t="s">
        <v>3488</v>
      </c>
      <c r="B3471" t="s">
        <v>9</v>
      </c>
      <c r="C3471" t="s">
        <v>15</v>
      </c>
      <c r="D3471" t="s">
        <v>16</v>
      </c>
      <c r="E3471">
        <v>20.3</v>
      </c>
      <c r="F3471">
        <v>2</v>
      </c>
      <c r="G3471">
        <v>40.6</v>
      </c>
      <c r="H3471" t="s">
        <v>12</v>
      </c>
      <c r="I3471" t="str">
        <f t="shared" si="163"/>
        <v>Low Value</v>
      </c>
      <c r="J3471" t="str">
        <f t="shared" si="164"/>
        <v>High Risk</v>
      </c>
      <c r="K3471" s="3" t="str">
        <f t="shared" si="162"/>
        <v>0-1 Year</v>
      </c>
    </row>
    <row r="3472" spans="1:11" x14ac:dyDescent="0.3">
      <c r="A3472" t="s">
        <v>3489</v>
      </c>
      <c r="B3472" t="s">
        <v>14</v>
      </c>
      <c r="C3472" t="s">
        <v>15</v>
      </c>
      <c r="D3472" t="s">
        <v>11</v>
      </c>
      <c r="E3472">
        <v>100.75</v>
      </c>
      <c r="F3472">
        <v>65</v>
      </c>
      <c r="G3472">
        <v>6548.75</v>
      </c>
      <c r="H3472" t="s">
        <v>12</v>
      </c>
      <c r="I3472" t="str">
        <f t="shared" si="163"/>
        <v>High Value</v>
      </c>
      <c r="J3472" t="str">
        <f t="shared" si="164"/>
        <v>Low Risk</v>
      </c>
      <c r="K3472" s="3" t="str">
        <f t="shared" si="162"/>
        <v>4+ Years</v>
      </c>
    </row>
    <row r="3473" spans="1:11" x14ac:dyDescent="0.3">
      <c r="A3473" t="s">
        <v>3490</v>
      </c>
      <c r="B3473" t="s">
        <v>9</v>
      </c>
      <c r="C3473" t="s">
        <v>10</v>
      </c>
      <c r="D3473" t="s">
        <v>11</v>
      </c>
      <c r="E3473">
        <v>74.150000000000006</v>
      </c>
      <c r="F3473">
        <v>18</v>
      </c>
      <c r="G3473">
        <v>1334.7</v>
      </c>
      <c r="H3473" t="s">
        <v>12</v>
      </c>
      <c r="I3473" t="str">
        <f t="shared" si="163"/>
        <v>Low Value</v>
      </c>
      <c r="J3473" t="str">
        <f t="shared" si="164"/>
        <v>Medium Risk</v>
      </c>
      <c r="K3473" s="3" t="str">
        <f t="shared" si="162"/>
        <v>1-2 Years</v>
      </c>
    </row>
    <row r="3474" spans="1:11" x14ac:dyDescent="0.3">
      <c r="A3474" t="s">
        <v>3491</v>
      </c>
      <c r="B3474" t="s">
        <v>9</v>
      </c>
      <c r="C3474" t="s">
        <v>15</v>
      </c>
      <c r="D3474" t="s">
        <v>11</v>
      </c>
      <c r="E3474">
        <v>78.55</v>
      </c>
      <c r="F3474">
        <v>23</v>
      </c>
      <c r="G3474">
        <v>1806.6499999999901</v>
      </c>
      <c r="H3474" t="s">
        <v>12</v>
      </c>
      <c r="I3474" t="str">
        <f t="shared" si="163"/>
        <v>Low Value</v>
      </c>
      <c r="J3474" t="str">
        <f t="shared" si="164"/>
        <v>Medium Risk</v>
      </c>
      <c r="K3474" s="3" t="str">
        <f t="shared" si="162"/>
        <v>1-2 Years</v>
      </c>
    </row>
    <row r="3475" spans="1:11" x14ac:dyDescent="0.3">
      <c r="A3475" t="s">
        <v>3492</v>
      </c>
      <c r="B3475" t="s">
        <v>9</v>
      </c>
      <c r="C3475" t="s">
        <v>10</v>
      </c>
      <c r="D3475" t="s">
        <v>16</v>
      </c>
      <c r="E3475">
        <v>45.3</v>
      </c>
      <c r="F3475">
        <v>4</v>
      </c>
      <c r="G3475">
        <v>181.2</v>
      </c>
      <c r="H3475" t="s">
        <v>18</v>
      </c>
      <c r="I3475" t="str">
        <f t="shared" si="163"/>
        <v>Low Value</v>
      </c>
      <c r="J3475" t="str">
        <f t="shared" si="164"/>
        <v>High Risk</v>
      </c>
      <c r="K3475" s="3" t="str">
        <f t="shared" si="162"/>
        <v>0-1 Year</v>
      </c>
    </row>
    <row r="3476" spans="1:11" x14ac:dyDescent="0.3">
      <c r="A3476" t="s">
        <v>3493</v>
      </c>
      <c r="B3476" t="s">
        <v>14</v>
      </c>
      <c r="C3476" t="s">
        <v>30</v>
      </c>
      <c r="D3476" t="s">
        <v>24</v>
      </c>
      <c r="E3476">
        <v>19.850000000000001</v>
      </c>
      <c r="F3476">
        <v>70</v>
      </c>
      <c r="G3476">
        <v>1389.5</v>
      </c>
      <c r="H3476" t="s">
        <v>12</v>
      </c>
      <c r="I3476" t="str">
        <f t="shared" si="163"/>
        <v>Low Value</v>
      </c>
      <c r="J3476" t="str">
        <f t="shared" si="164"/>
        <v>Low Risk</v>
      </c>
      <c r="K3476" s="3" t="str">
        <f t="shared" si="162"/>
        <v>4+ Years</v>
      </c>
    </row>
    <row r="3477" spans="1:11" x14ac:dyDescent="0.3">
      <c r="A3477" t="s">
        <v>3494</v>
      </c>
      <c r="B3477" t="s">
        <v>9</v>
      </c>
      <c r="C3477" t="s">
        <v>10</v>
      </c>
      <c r="D3477" t="s">
        <v>11</v>
      </c>
      <c r="E3477">
        <v>50.7</v>
      </c>
      <c r="F3477">
        <v>4</v>
      </c>
      <c r="G3477">
        <v>202.8</v>
      </c>
      <c r="H3477" t="s">
        <v>12</v>
      </c>
      <c r="I3477" t="str">
        <f t="shared" si="163"/>
        <v>Low Value</v>
      </c>
      <c r="J3477" t="str">
        <f t="shared" si="164"/>
        <v>High Risk</v>
      </c>
      <c r="K3477" s="3" t="str">
        <f t="shared" si="162"/>
        <v>0-1 Year</v>
      </c>
    </row>
    <row r="3478" spans="1:11" x14ac:dyDescent="0.3">
      <c r="A3478" t="s">
        <v>3495</v>
      </c>
      <c r="B3478" t="s">
        <v>14</v>
      </c>
      <c r="C3478" t="s">
        <v>10</v>
      </c>
      <c r="D3478" t="s">
        <v>20</v>
      </c>
      <c r="E3478">
        <v>45</v>
      </c>
      <c r="F3478">
        <v>19</v>
      </c>
      <c r="G3478">
        <v>855</v>
      </c>
      <c r="H3478" t="s">
        <v>12</v>
      </c>
      <c r="I3478" t="str">
        <f t="shared" si="163"/>
        <v>Low Value</v>
      </c>
      <c r="J3478" t="str">
        <f t="shared" si="164"/>
        <v>Medium Risk</v>
      </c>
      <c r="K3478" s="3" t="str">
        <f t="shared" si="162"/>
        <v>1-2 Years</v>
      </c>
    </row>
    <row r="3479" spans="1:11" x14ac:dyDescent="0.3">
      <c r="A3479" t="s">
        <v>3496</v>
      </c>
      <c r="B3479" t="s">
        <v>9</v>
      </c>
      <c r="C3479" t="s">
        <v>10</v>
      </c>
      <c r="D3479" t="s">
        <v>11</v>
      </c>
      <c r="E3479">
        <v>77.8</v>
      </c>
      <c r="F3479">
        <v>18</v>
      </c>
      <c r="G3479">
        <v>1400.3999999999901</v>
      </c>
      <c r="H3479" t="s">
        <v>12</v>
      </c>
      <c r="I3479" t="str">
        <f t="shared" si="163"/>
        <v>Low Value</v>
      </c>
      <c r="J3479" t="str">
        <f t="shared" si="164"/>
        <v>Medium Risk</v>
      </c>
      <c r="K3479" s="3" t="str">
        <f t="shared" si="162"/>
        <v>1-2 Years</v>
      </c>
    </row>
    <row r="3480" spans="1:11" x14ac:dyDescent="0.3">
      <c r="A3480" t="s">
        <v>3497</v>
      </c>
      <c r="B3480" t="s">
        <v>9</v>
      </c>
      <c r="C3480" t="s">
        <v>10</v>
      </c>
      <c r="D3480" t="s">
        <v>11</v>
      </c>
      <c r="E3480">
        <v>83.45</v>
      </c>
      <c r="F3480">
        <v>38</v>
      </c>
      <c r="G3480">
        <v>3171.1</v>
      </c>
      <c r="H3480" t="s">
        <v>12</v>
      </c>
      <c r="I3480" t="str">
        <f t="shared" si="163"/>
        <v>Medium Value</v>
      </c>
      <c r="J3480" t="str">
        <f t="shared" si="164"/>
        <v>Low Risk</v>
      </c>
      <c r="K3480" s="3" t="str">
        <f t="shared" si="162"/>
        <v>2-4 Years</v>
      </c>
    </row>
    <row r="3481" spans="1:11" x14ac:dyDescent="0.3">
      <c r="A3481" t="s">
        <v>3498</v>
      </c>
      <c r="B3481" t="s">
        <v>14</v>
      </c>
      <c r="C3481" t="s">
        <v>10</v>
      </c>
      <c r="D3481" t="s">
        <v>24</v>
      </c>
      <c r="E3481">
        <v>73.25</v>
      </c>
      <c r="F3481">
        <v>2</v>
      </c>
      <c r="G3481">
        <v>146.5</v>
      </c>
      <c r="H3481" t="s">
        <v>18</v>
      </c>
      <c r="I3481" t="str">
        <f t="shared" si="163"/>
        <v>Low Value</v>
      </c>
      <c r="J3481" t="str">
        <f t="shared" si="164"/>
        <v>High Risk</v>
      </c>
      <c r="K3481" s="3" t="str">
        <f t="shared" si="162"/>
        <v>0-1 Year</v>
      </c>
    </row>
    <row r="3482" spans="1:11" x14ac:dyDescent="0.3">
      <c r="A3482" t="s">
        <v>3499</v>
      </c>
      <c r="B3482" t="s">
        <v>14</v>
      </c>
      <c r="C3482" t="s">
        <v>15</v>
      </c>
      <c r="D3482" t="s">
        <v>20</v>
      </c>
      <c r="E3482">
        <v>94.8</v>
      </c>
      <c r="F3482">
        <v>47</v>
      </c>
      <c r="G3482">
        <v>4455.5999999999904</v>
      </c>
      <c r="H3482" t="s">
        <v>12</v>
      </c>
      <c r="I3482" t="str">
        <f t="shared" si="163"/>
        <v>Medium Value</v>
      </c>
      <c r="J3482" t="str">
        <f t="shared" si="164"/>
        <v>Low Risk</v>
      </c>
      <c r="K3482" s="3" t="str">
        <f t="shared" si="162"/>
        <v>2-4 Years</v>
      </c>
    </row>
    <row r="3483" spans="1:11" x14ac:dyDescent="0.3">
      <c r="A3483" t="s">
        <v>3500</v>
      </c>
      <c r="B3483" t="s">
        <v>9</v>
      </c>
      <c r="C3483" t="s">
        <v>30</v>
      </c>
      <c r="D3483" t="s">
        <v>20</v>
      </c>
      <c r="E3483">
        <v>20.100000000000001</v>
      </c>
      <c r="F3483">
        <v>52</v>
      </c>
      <c r="G3483">
        <v>1045.2</v>
      </c>
      <c r="H3483" t="s">
        <v>12</v>
      </c>
      <c r="I3483" t="str">
        <f t="shared" si="163"/>
        <v>Low Value</v>
      </c>
      <c r="J3483" t="str">
        <f t="shared" si="164"/>
        <v>Low Risk</v>
      </c>
      <c r="K3483" s="3" t="str">
        <f t="shared" si="162"/>
        <v>4+ Years</v>
      </c>
    </row>
    <row r="3484" spans="1:11" x14ac:dyDescent="0.3">
      <c r="A3484" t="s">
        <v>3501</v>
      </c>
      <c r="B3484" t="s">
        <v>14</v>
      </c>
      <c r="C3484" t="s">
        <v>10</v>
      </c>
      <c r="D3484" t="s">
        <v>16</v>
      </c>
      <c r="E3484">
        <v>59.9</v>
      </c>
      <c r="F3484">
        <v>9</v>
      </c>
      <c r="G3484">
        <v>539.1</v>
      </c>
      <c r="H3484" t="s">
        <v>12</v>
      </c>
      <c r="I3484" t="str">
        <f t="shared" si="163"/>
        <v>Low Value</v>
      </c>
      <c r="J3484" t="str">
        <f t="shared" si="164"/>
        <v>High Risk</v>
      </c>
      <c r="K3484" s="3" t="str">
        <f t="shared" si="162"/>
        <v>0-1 Year</v>
      </c>
    </row>
    <row r="3485" spans="1:11" x14ac:dyDescent="0.3">
      <c r="A3485" t="s">
        <v>3502</v>
      </c>
      <c r="B3485" t="s">
        <v>9</v>
      </c>
      <c r="C3485" t="s">
        <v>15</v>
      </c>
      <c r="D3485" t="s">
        <v>24</v>
      </c>
      <c r="E3485">
        <v>90.1</v>
      </c>
      <c r="F3485">
        <v>26</v>
      </c>
      <c r="G3485">
        <v>2342.6</v>
      </c>
      <c r="H3485" t="s">
        <v>12</v>
      </c>
      <c r="I3485" t="str">
        <f t="shared" si="163"/>
        <v>Medium Value</v>
      </c>
      <c r="J3485" t="str">
        <f t="shared" si="164"/>
        <v>Low Risk</v>
      </c>
      <c r="K3485" s="3" t="str">
        <f t="shared" si="162"/>
        <v>2-4 Years</v>
      </c>
    </row>
    <row r="3486" spans="1:11" x14ac:dyDescent="0.3">
      <c r="A3486" t="s">
        <v>3503</v>
      </c>
      <c r="B3486" t="s">
        <v>14</v>
      </c>
      <c r="C3486" t="s">
        <v>10</v>
      </c>
      <c r="D3486" t="s">
        <v>11</v>
      </c>
      <c r="E3486">
        <v>51.05</v>
      </c>
      <c r="F3486">
        <v>8</v>
      </c>
      <c r="G3486">
        <v>408.4</v>
      </c>
      <c r="H3486" t="s">
        <v>18</v>
      </c>
      <c r="I3486" t="str">
        <f t="shared" si="163"/>
        <v>Low Value</v>
      </c>
      <c r="J3486" t="str">
        <f t="shared" si="164"/>
        <v>High Risk</v>
      </c>
      <c r="K3486" s="3" t="str">
        <f t="shared" si="162"/>
        <v>0-1 Year</v>
      </c>
    </row>
    <row r="3487" spans="1:11" x14ac:dyDescent="0.3">
      <c r="A3487" t="s">
        <v>3504</v>
      </c>
      <c r="B3487" t="s">
        <v>14</v>
      </c>
      <c r="C3487" t="s">
        <v>15</v>
      </c>
      <c r="D3487" t="s">
        <v>11</v>
      </c>
      <c r="E3487">
        <v>70.95</v>
      </c>
      <c r="F3487">
        <v>44</v>
      </c>
      <c r="G3487">
        <v>3121.8</v>
      </c>
      <c r="H3487" t="s">
        <v>12</v>
      </c>
      <c r="I3487" t="str">
        <f t="shared" si="163"/>
        <v>Medium Value</v>
      </c>
      <c r="J3487" t="str">
        <f t="shared" si="164"/>
        <v>Low Risk</v>
      </c>
      <c r="K3487" s="3" t="str">
        <f t="shared" si="162"/>
        <v>2-4 Years</v>
      </c>
    </row>
    <row r="3488" spans="1:11" x14ac:dyDescent="0.3">
      <c r="A3488" t="s">
        <v>3505</v>
      </c>
      <c r="B3488" t="s">
        <v>9</v>
      </c>
      <c r="C3488" t="s">
        <v>10</v>
      </c>
      <c r="D3488" t="s">
        <v>16</v>
      </c>
      <c r="E3488">
        <v>29.2</v>
      </c>
      <c r="F3488">
        <v>3</v>
      </c>
      <c r="G3488">
        <v>87.6</v>
      </c>
      <c r="H3488" t="s">
        <v>12</v>
      </c>
      <c r="I3488" t="str">
        <f t="shared" si="163"/>
        <v>Low Value</v>
      </c>
      <c r="J3488" t="str">
        <f t="shared" si="164"/>
        <v>High Risk</v>
      </c>
      <c r="K3488" s="3" t="str">
        <f t="shared" si="162"/>
        <v>0-1 Year</v>
      </c>
    </row>
    <row r="3489" spans="1:11" x14ac:dyDescent="0.3">
      <c r="A3489" t="s">
        <v>3506</v>
      </c>
      <c r="B3489" t="s">
        <v>14</v>
      </c>
      <c r="C3489" t="s">
        <v>10</v>
      </c>
      <c r="D3489" t="s">
        <v>20</v>
      </c>
      <c r="E3489">
        <v>46.6</v>
      </c>
      <c r="F3489">
        <v>2</v>
      </c>
      <c r="G3489">
        <v>93.2</v>
      </c>
      <c r="H3489" t="s">
        <v>12</v>
      </c>
      <c r="I3489" t="str">
        <f t="shared" si="163"/>
        <v>Low Value</v>
      </c>
      <c r="J3489" t="str">
        <f t="shared" si="164"/>
        <v>High Risk</v>
      </c>
      <c r="K3489" s="3" t="str">
        <f t="shared" si="162"/>
        <v>0-1 Year</v>
      </c>
    </row>
    <row r="3490" spans="1:11" x14ac:dyDescent="0.3">
      <c r="A3490" t="s">
        <v>3507</v>
      </c>
      <c r="B3490" t="s">
        <v>9</v>
      </c>
      <c r="C3490" t="s">
        <v>10</v>
      </c>
      <c r="D3490" t="s">
        <v>20</v>
      </c>
      <c r="E3490">
        <v>85.35</v>
      </c>
      <c r="F3490">
        <v>9</v>
      </c>
      <c r="G3490">
        <v>768.15</v>
      </c>
      <c r="H3490" t="s">
        <v>18</v>
      </c>
      <c r="I3490" t="str">
        <f t="shared" si="163"/>
        <v>Low Value</v>
      </c>
      <c r="J3490" t="str">
        <f t="shared" si="164"/>
        <v>High Risk</v>
      </c>
      <c r="K3490" s="3" t="str">
        <f t="shared" si="162"/>
        <v>0-1 Year</v>
      </c>
    </row>
    <row r="3491" spans="1:11" x14ac:dyDescent="0.3">
      <c r="A3491" t="s">
        <v>3508</v>
      </c>
      <c r="B3491" t="s">
        <v>14</v>
      </c>
      <c r="C3491" t="s">
        <v>10</v>
      </c>
      <c r="D3491" t="s">
        <v>11</v>
      </c>
      <c r="E3491">
        <v>75.349999999999994</v>
      </c>
      <c r="F3491">
        <v>1</v>
      </c>
      <c r="G3491">
        <v>75.349999999999994</v>
      </c>
      <c r="H3491" t="s">
        <v>18</v>
      </c>
      <c r="I3491" t="str">
        <f t="shared" si="163"/>
        <v>Low Value</v>
      </c>
      <c r="J3491" t="str">
        <f t="shared" si="164"/>
        <v>High Risk</v>
      </c>
      <c r="K3491" s="3" t="str">
        <f t="shared" si="162"/>
        <v>0-1 Year</v>
      </c>
    </row>
    <row r="3492" spans="1:11" x14ac:dyDescent="0.3">
      <c r="A3492" t="s">
        <v>3509</v>
      </c>
      <c r="B3492" t="s">
        <v>14</v>
      </c>
      <c r="C3492" t="s">
        <v>10</v>
      </c>
      <c r="D3492" t="s">
        <v>20</v>
      </c>
      <c r="E3492">
        <v>74.3</v>
      </c>
      <c r="F3492">
        <v>25</v>
      </c>
      <c r="G3492">
        <v>1857.5</v>
      </c>
      <c r="H3492" t="s">
        <v>12</v>
      </c>
      <c r="I3492" t="str">
        <f t="shared" si="163"/>
        <v>Low Value</v>
      </c>
      <c r="J3492" t="str">
        <f t="shared" si="164"/>
        <v>Low Risk</v>
      </c>
      <c r="K3492" s="3" t="str">
        <f t="shared" si="162"/>
        <v>2-4 Years</v>
      </c>
    </row>
    <row r="3493" spans="1:11" x14ac:dyDescent="0.3">
      <c r="A3493" t="s">
        <v>3510</v>
      </c>
      <c r="B3493" t="s">
        <v>9</v>
      </c>
      <c r="C3493" t="s">
        <v>10</v>
      </c>
      <c r="D3493" t="s">
        <v>11</v>
      </c>
      <c r="E3493">
        <v>69.3</v>
      </c>
      <c r="F3493">
        <v>2</v>
      </c>
      <c r="G3493">
        <v>138.6</v>
      </c>
      <c r="H3493" t="s">
        <v>12</v>
      </c>
      <c r="I3493" t="str">
        <f t="shared" si="163"/>
        <v>Low Value</v>
      </c>
      <c r="J3493" t="str">
        <f t="shared" si="164"/>
        <v>High Risk</v>
      </c>
      <c r="K3493" s="3" t="str">
        <f t="shared" si="162"/>
        <v>0-1 Year</v>
      </c>
    </row>
    <row r="3494" spans="1:11" x14ac:dyDescent="0.3">
      <c r="A3494" t="s">
        <v>3511</v>
      </c>
      <c r="B3494" t="s">
        <v>14</v>
      </c>
      <c r="C3494" t="s">
        <v>10</v>
      </c>
      <c r="D3494" t="s">
        <v>11</v>
      </c>
      <c r="E3494">
        <v>75.2</v>
      </c>
      <c r="F3494">
        <v>43</v>
      </c>
      <c r="G3494">
        <v>3233.6</v>
      </c>
      <c r="H3494" t="s">
        <v>18</v>
      </c>
      <c r="I3494" t="str">
        <f t="shared" si="163"/>
        <v>Medium Value</v>
      </c>
      <c r="J3494" t="str">
        <f t="shared" si="164"/>
        <v>Low Risk</v>
      </c>
      <c r="K3494" s="3" t="str">
        <f t="shared" si="162"/>
        <v>2-4 Years</v>
      </c>
    </row>
    <row r="3495" spans="1:11" x14ac:dyDescent="0.3">
      <c r="A3495" t="s">
        <v>3512</v>
      </c>
      <c r="B3495" t="s">
        <v>9</v>
      </c>
      <c r="C3495" t="s">
        <v>10</v>
      </c>
      <c r="D3495" t="s">
        <v>16</v>
      </c>
      <c r="E3495">
        <v>20.9</v>
      </c>
      <c r="F3495">
        <v>1</v>
      </c>
      <c r="G3495">
        <v>20.9</v>
      </c>
      <c r="H3495" t="s">
        <v>18</v>
      </c>
      <c r="I3495" t="str">
        <f t="shared" si="163"/>
        <v>Low Value</v>
      </c>
      <c r="J3495" t="str">
        <f t="shared" si="164"/>
        <v>High Risk</v>
      </c>
      <c r="K3495" s="3" t="str">
        <f t="shared" si="162"/>
        <v>0-1 Year</v>
      </c>
    </row>
    <row r="3496" spans="1:11" x14ac:dyDescent="0.3">
      <c r="A3496" t="s">
        <v>3513</v>
      </c>
      <c r="B3496" t="s">
        <v>9</v>
      </c>
      <c r="C3496" t="s">
        <v>15</v>
      </c>
      <c r="D3496" t="s">
        <v>11</v>
      </c>
      <c r="E3496">
        <v>94.3</v>
      </c>
      <c r="F3496">
        <v>58</v>
      </c>
      <c r="G3496">
        <v>5469.4</v>
      </c>
      <c r="H3496" t="s">
        <v>12</v>
      </c>
      <c r="I3496" t="str">
        <f t="shared" si="163"/>
        <v>High Value</v>
      </c>
      <c r="J3496" t="str">
        <f t="shared" si="164"/>
        <v>Low Risk</v>
      </c>
      <c r="K3496" s="3" t="str">
        <f t="shared" si="162"/>
        <v>4+ Years</v>
      </c>
    </row>
    <row r="3497" spans="1:11" x14ac:dyDescent="0.3">
      <c r="A3497" t="s">
        <v>3514</v>
      </c>
      <c r="B3497" t="s">
        <v>9</v>
      </c>
      <c r="C3497" t="s">
        <v>30</v>
      </c>
      <c r="D3497" t="s">
        <v>16</v>
      </c>
      <c r="E3497">
        <v>76.45</v>
      </c>
      <c r="F3497">
        <v>59</v>
      </c>
      <c r="G3497">
        <v>4510.55</v>
      </c>
      <c r="H3497" t="s">
        <v>12</v>
      </c>
      <c r="I3497" t="str">
        <f t="shared" si="163"/>
        <v>Medium Value</v>
      </c>
      <c r="J3497" t="str">
        <f t="shared" si="164"/>
        <v>Low Risk</v>
      </c>
      <c r="K3497" s="3" t="str">
        <f t="shared" si="162"/>
        <v>4+ Years</v>
      </c>
    </row>
    <row r="3498" spans="1:11" x14ac:dyDescent="0.3">
      <c r="A3498" t="s">
        <v>3515</v>
      </c>
      <c r="B3498" t="s">
        <v>14</v>
      </c>
      <c r="C3498" t="s">
        <v>15</v>
      </c>
      <c r="D3498" t="s">
        <v>11</v>
      </c>
      <c r="E3498">
        <v>54</v>
      </c>
      <c r="F3498">
        <v>44</v>
      </c>
      <c r="G3498">
        <v>2376</v>
      </c>
      <c r="H3498" t="s">
        <v>12</v>
      </c>
      <c r="I3498" t="str">
        <f t="shared" si="163"/>
        <v>Medium Value</v>
      </c>
      <c r="J3498" t="str">
        <f t="shared" si="164"/>
        <v>Low Risk</v>
      </c>
      <c r="K3498" s="3" t="str">
        <f t="shared" si="162"/>
        <v>2-4 Years</v>
      </c>
    </row>
    <row r="3499" spans="1:11" x14ac:dyDescent="0.3">
      <c r="A3499" t="s">
        <v>3516</v>
      </c>
      <c r="B3499" t="s">
        <v>14</v>
      </c>
      <c r="C3499" t="s">
        <v>15</v>
      </c>
      <c r="D3499" t="s">
        <v>11</v>
      </c>
      <c r="E3499">
        <v>104.25</v>
      </c>
      <c r="F3499">
        <v>66</v>
      </c>
      <c r="G3499">
        <v>6880.5</v>
      </c>
      <c r="H3499" t="s">
        <v>12</v>
      </c>
      <c r="I3499" t="str">
        <f t="shared" si="163"/>
        <v>High Value</v>
      </c>
      <c r="J3499" t="str">
        <f t="shared" si="164"/>
        <v>Low Risk</v>
      </c>
      <c r="K3499" s="3" t="str">
        <f t="shared" si="162"/>
        <v>4+ Years</v>
      </c>
    </row>
    <row r="3500" spans="1:11" x14ac:dyDescent="0.3">
      <c r="A3500" t="s">
        <v>3517</v>
      </c>
      <c r="B3500" t="s">
        <v>14</v>
      </c>
      <c r="C3500" t="s">
        <v>30</v>
      </c>
      <c r="D3500" t="s">
        <v>20</v>
      </c>
      <c r="E3500">
        <v>19.95</v>
      </c>
      <c r="F3500">
        <v>68</v>
      </c>
      <c r="G3500">
        <v>1356.6</v>
      </c>
      <c r="H3500" t="s">
        <v>12</v>
      </c>
      <c r="I3500" t="str">
        <f t="shared" si="163"/>
        <v>Low Value</v>
      </c>
      <c r="J3500" t="str">
        <f t="shared" si="164"/>
        <v>Low Risk</v>
      </c>
      <c r="K3500" s="3" t="str">
        <f t="shared" si="162"/>
        <v>4+ Years</v>
      </c>
    </row>
    <row r="3501" spans="1:11" x14ac:dyDescent="0.3">
      <c r="A3501" t="s">
        <v>3518</v>
      </c>
      <c r="B3501" t="s">
        <v>14</v>
      </c>
      <c r="C3501" t="s">
        <v>10</v>
      </c>
      <c r="D3501" t="s">
        <v>11</v>
      </c>
      <c r="E3501">
        <v>24.95</v>
      </c>
      <c r="F3501">
        <v>9</v>
      </c>
      <c r="G3501">
        <v>224.54999999999899</v>
      </c>
      <c r="H3501" t="s">
        <v>12</v>
      </c>
      <c r="I3501" t="str">
        <f t="shared" si="163"/>
        <v>Low Value</v>
      </c>
      <c r="J3501" t="str">
        <f t="shared" si="164"/>
        <v>High Risk</v>
      </c>
      <c r="K3501" s="3" t="str">
        <f t="shared" si="162"/>
        <v>0-1 Year</v>
      </c>
    </row>
    <row r="3502" spans="1:11" x14ac:dyDescent="0.3">
      <c r="A3502" t="s">
        <v>3519</v>
      </c>
      <c r="B3502" t="s">
        <v>14</v>
      </c>
      <c r="C3502" t="s">
        <v>10</v>
      </c>
      <c r="D3502" t="s">
        <v>11</v>
      </c>
      <c r="E3502">
        <v>84.75</v>
      </c>
      <c r="F3502">
        <v>19</v>
      </c>
      <c r="G3502">
        <v>1610.25</v>
      </c>
      <c r="H3502" t="s">
        <v>12</v>
      </c>
      <c r="I3502" t="str">
        <f t="shared" si="163"/>
        <v>Low Value</v>
      </c>
      <c r="J3502" t="str">
        <f t="shared" si="164"/>
        <v>Medium Risk</v>
      </c>
      <c r="K3502" s="3" t="str">
        <f t="shared" si="162"/>
        <v>1-2 Years</v>
      </c>
    </row>
    <row r="3503" spans="1:11" x14ac:dyDescent="0.3">
      <c r="A3503" t="s">
        <v>3520</v>
      </c>
      <c r="B3503" t="s">
        <v>14</v>
      </c>
      <c r="C3503" t="s">
        <v>10</v>
      </c>
      <c r="D3503" t="s">
        <v>16</v>
      </c>
      <c r="E3503">
        <v>19.75</v>
      </c>
      <c r="F3503">
        <v>4</v>
      </c>
      <c r="G3503">
        <v>79</v>
      </c>
      <c r="H3503" t="s">
        <v>12</v>
      </c>
      <c r="I3503" t="str">
        <f t="shared" si="163"/>
        <v>Low Value</v>
      </c>
      <c r="J3503" t="str">
        <f t="shared" si="164"/>
        <v>High Risk</v>
      </c>
      <c r="K3503" s="3" t="str">
        <f t="shared" si="162"/>
        <v>0-1 Year</v>
      </c>
    </row>
    <row r="3504" spans="1:11" x14ac:dyDescent="0.3">
      <c r="A3504" t="s">
        <v>3521</v>
      </c>
      <c r="B3504" t="s">
        <v>9</v>
      </c>
      <c r="C3504" t="s">
        <v>30</v>
      </c>
      <c r="D3504" t="s">
        <v>20</v>
      </c>
      <c r="E3504">
        <v>113.65</v>
      </c>
      <c r="F3504">
        <v>70</v>
      </c>
      <c r="G3504">
        <v>7955.5</v>
      </c>
      <c r="H3504" t="s">
        <v>12</v>
      </c>
      <c r="I3504" t="str">
        <f t="shared" si="163"/>
        <v>High Value</v>
      </c>
      <c r="J3504" t="str">
        <f t="shared" si="164"/>
        <v>Low Risk</v>
      </c>
      <c r="K3504" s="3" t="str">
        <f t="shared" si="162"/>
        <v>4+ Years</v>
      </c>
    </row>
    <row r="3505" spans="1:11" x14ac:dyDescent="0.3">
      <c r="A3505" t="s">
        <v>3522</v>
      </c>
      <c r="B3505" t="s">
        <v>14</v>
      </c>
      <c r="C3505" t="s">
        <v>10</v>
      </c>
      <c r="D3505" t="s">
        <v>16</v>
      </c>
      <c r="E3505">
        <v>44.9</v>
      </c>
      <c r="F3505">
        <v>1</v>
      </c>
      <c r="G3505">
        <v>44.9</v>
      </c>
      <c r="H3505" t="s">
        <v>12</v>
      </c>
      <c r="I3505" t="str">
        <f t="shared" si="163"/>
        <v>Low Value</v>
      </c>
      <c r="J3505" t="str">
        <f t="shared" si="164"/>
        <v>High Risk</v>
      </c>
      <c r="K3505" s="3" t="str">
        <f t="shared" si="162"/>
        <v>0-1 Year</v>
      </c>
    </row>
    <row r="3506" spans="1:11" x14ac:dyDescent="0.3">
      <c r="A3506" t="s">
        <v>3523</v>
      </c>
      <c r="B3506" t="s">
        <v>9</v>
      </c>
      <c r="C3506" t="s">
        <v>10</v>
      </c>
      <c r="D3506" t="s">
        <v>11</v>
      </c>
      <c r="E3506">
        <v>75.25</v>
      </c>
      <c r="F3506">
        <v>8</v>
      </c>
      <c r="G3506">
        <v>602</v>
      </c>
      <c r="H3506" t="s">
        <v>12</v>
      </c>
      <c r="I3506" t="str">
        <f t="shared" si="163"/>
        <v>Low Value</v>
      </c>
      <c r="J3506" t="str">
        <f t="shared" si="164"/>
        <v>High Risk</v>
      </c>
      <c r="K3506" s="3" t="str">
        <f t="shared" si="162"/>
        <v>0-1 Year</v>
      </c>
    </row>
    <row r="3507" spans="1:11" x14ac:dyDescent="0.3">
      <c r="A3507" t="s">
        <v>3524</v>
      </c>
      <c r="B3507" t="s">
        <v>14</v>
      </c>
      <c r="C3507" t="s">
        <v>30</v>
      </c>
      <c r="D3507" t="s">
        <v>16</v>
      </c>
      <c r="E3507">
        <v>24.6</v>
      </c>
      <c r="F3507">
        <v>53</v>
      </c>
      <c r="G3507">
        <v>1303.8</v>
      </c>
      <c r="H3507" t="s">
        <v>12</v>
      </c>
      <c r="I3507" t="str">
        <f t="shared" si="163"/>
        <v>Low Value</v>
      </c>
      <c r="J3507" t="str">
        <f t="shared" si="164"/>
        <v>Low Risk</v>
      </c>
      <c r="K3507" s="3" t="str">
        <f t="shared" si="162"/>
        <v>4+ Years</v>
      </c>
    </row>
    <row r="3508" spans="1:11" x14ac:dyDescent="0.3">
      <c r="A3508" t="s">
        <v>3525</v>
      </c>
      <c r="B3508" t="s">
        <v>14</v>
      </c>
      <c r="C3508" t="s">
        <v>15</v>
      </c>
      <c r="D3508" t="s">
        <v>20</v>
      </c>
      <c r="E3508">
        <v>25</v>
      </c>
      <c r="F3508">
        <v>51</v>
      </c>
      <c r="G3508">
        <v>1275</v>
      </c>
      <c r="H3508" t="s">
        <v>12</v>
      </c>
      <c r="I3508" t="str">
        <f t="shared" si="163"/>
        <v>Low Value</v>
      </c>
      <c r="J3508" t="str">
        <f t="shared" si="164"/>
        <v>Low Risk</v>
      </c>
      <c r="K3508" s="3" t="str">
        <f t="shared" si="162"/>
        <v>4+ Years</v>
      </c>
    </row>
    <row r="3509" spans="1:11" x14ac:dyDescent="0.3">
      <c r="A3509" t="s">
        <v>3526</v>
      </c>
      <c r="B3509" t="s">
        <v>14</v>
      </c>
      <c r="C3509" t="s">
        <v>10</v>
      </c>
      <c r="D3509" t="s">
        <v>20</v>
      </c>
      <c r="E3509">
        <v>20.95</v>
      </c>
      <c r="F3509">
        <v>11</v>
      </c>
      <c r="G3509">
        <v>230.45</v>
      </c>
      <c r="H3509" t="s">
        <v>12</v>
      </c>
      <c r="I3509" t="str">
        <f t="shared" si="163"/>
        <v>Low Value</v>
      </c>
      <c r="J3509" t="str">
        <f t="shared" si="164"/>
        <v>High Risk</v>
      </c>
      <c r="K3509" s="3" t="str">
        <f t="shared" si="162"/>
        <v>0-1 Year</v>
      </c>
    </row>
    <row r="3510" spans="1:11" x14ac:dyDescent="0.3">
      <c r="A3510" t="s">
        <v>3527</v>
      </c>
      <c r="B3510" t="s">
        <v>14</v>
      </c>
      <c r="C3510" t="s">
        <v>30</v>
      </c>
      <c r="D3510" t="s">
        <v>11</v>
      </c>
      <c r="E3510">
        <v>110.6</v>
      </c>
      <c r="F3510">
        <v>60</v>
      </c>
      <c r="G3510">
        <v>6636</v>
      </c>
      <c r="H3510" t="s">
        <v>12</v>
      </c>
      <c r="I3510" t="str">
        <f t="shared" si="163"/>
        <v>High Value</v>
      </c>
      <c r="J3510" t="str">
        <f t="shared" si="164"/>
        <v>Low Risk</v>
      </c>
      <c r="K3510" s="3" t="str">
        <f t="shared" si="162"/>
        <v>4+ Years</v>
      </c>
    </row>
    <row r="3511" spans="1:11" x14ac:dyDescent="0.3">
      <c r="A3511" t="s">
        <v>3528</v>
      </c>
      <c r="B3511" t="s">
        <v>14</v>
      </c>
      <c r="C3511" t="s">
        <v>10</v>
      </c>
      <c r="D3511" t="s">
        <v>24</v>
      </c>
      <c r="E3511">
        <v>55.5</v>
      </c>
      <c r="F3511">
        <v>17</v>
      </c>
      <c r="G3511">
        <v>943.5</v>
      </c>
      <c r="H3511" t="s">
        <v>12</v>
      </c>
      <c r="I3511" t="str">
        <f t="shared" si="163"/>
        <v>Low Value</v>
      </c>
      <c r="J3511" t="str">
        <f t="shared" si="164"/>
        <v>Medium Risk</v>
      </c>
      <c r="K3511" s="3" t="str">
        <f t="shared" si="162"/>
        <v>1-2 Years</v>
      </c>
    </row>
    <row r="3512" spans="1:11" x14ac:dyDescent="0.3">
      <c r="A3512" t="s">
        <v>3529</v>
      </c>
      <c r="B3512" t="s">
        <v>14</v>
      </c>
      <c r="C3512" t="s">
        <v>10</v>
      </c>
      <c r="D3512" t="s">
        <v>11</v>
      </c>
      <c r="E3512">
        <v>43.3</v>
      </c>
      <c r="F3512">
        <v>3</v>
      </c>
      <c r="G3512">
        <v>129.89999999999901</v>
      </c>
      <c r="H3512" t="s">
        <v>18</v>
      </c>
      <c r="I3512" t="str">
        <f t="shared" si="163"/>
        <v>Low Value</v>
      </c>
      <c r="J3512" t="str">
        <f t="shared" si="164"/>
        <v>High Risk</v>
      </c>
      <c r="K3512" s="3" t="str">
        <f t="shared" si="162"/>
        <v>0-1 Year</v>
      </c>
    </row>
    <row r="3513" spans="1:11" x14ac:dyDescent="0.3">
      <c r="A3513" t="s">
        <v>3530</v>
      </c>
      <c r="B3513" t="s">
        <v>14</v>
      </c>
      <c r="C3513" t="s">
        <v>15</v>
      </c>
      <c r="D3513" t="s">
        <v>20</v>
      </c>
      <c r="E3513">
        <v>109.5</v>
      </c>
      <c r="F3513">
        <v>70</v>
      </c>
      <c r="G3513">
        <v>7665</v>
      </c>
      <c r="H3513" t="s">
        <v>18</v>
      </c>
      <c r="I3513" t="str">
        <f t="shared" si="163"/>
        <v>High Value</v>
      </c>
      <c r="J3513" t="str">
        <f t="shared" si="164"/>
        <v>Low Risk</v>
      </c>
      <c r="K3513" s="3" t="str">
        <f t="shared" si="162"/>
        <v>4+ Years</v>
      </c>
    </row>
    <row r="3514" spans="1:11" x14ac:dyDescent="0.3">
      <c r="A3514" t="s">
        <v>3531</v>
      </c>
      <c r="B3514" t="s">
        <v>14</v>
      </c>
      <c r="C3514" t="s">
        <v>10</v>
      </c>
      <c r="D3514" t="s">
        <v>16</v>
      </c>
      <c r="E3514">
        <v>19.45</v>
      </c>
      <c r="F3514">
        <v>1</v>
      </c>
      <c r="G3514">
        <v>19.45</v>
      </c>
      <c r="H3514" t="s">
        <v>12</v>
      </c>
      <c r="I3514" t="str">
        <f t="shared" si="163"/>
        <v>Low Value</v>
      </c>
      <c r="J3514" t="str">
        <f t="shared" si="164"/>
        <v>High Risk</v>
      </c>
      <c r="K3514" s="3" t="str">
        <f t="shared" si="162"/>
        <v>0-1 Year</v>
      </c>
    </row>
    <row r="3515" spans="1:11" x14ac:dyDescent="0.3">
      <c r="A3515" t="s">
        <v>3532</v>
      </c>
      <c r="B3515" t="s">
        <v>14</v>
      </c>
      <c r="C3515" t="s">
        <v>10</v>
      </c>
      <c r="D3515" t="s">
        <v>11</v>
      </c>
      <c r="E3515">
        <v>84.85</v>
      </c>
      <c r="F3515">
        <v>43</v>
      </c>
      <c r="G3515">
        <v>3648.5499999999902</v>
      </c>
      <c r="H3515" t="s">
        <v>12</v>
      </c>
      <c r="I3515" t="str">
        <f t="shared" si="163"/>
        <v>Medium Value</v>
      </c>
      <c r="J3515" t="str">
        <f t="shared" si="164"/>
        <v>Low Risk</v>
      </c>
      <c r="K3515" s="3" t="str">
        <f t="shared" si="162"/>
        <v>2-4 Years</v>
      </c>
    </row>
    <row r="3516" spans="1:11" x14ac:dyDescent="0.3">
      <c r="A3516" t="s">
        <v>3533</v>
      </c>
      <c r="B3516" t="s">
        <v>9</v>
      </c>
      <c r="C3516" t="s">
        <v>10</v>
      </c>
      <c r="D3516" t="s">
        <v>16</v>
      </c>
      <c r="E3516">
        <v>19.600000000000001</v>
      </c>
      <c r="F3516">
        <v>16</v>
      </c>
      <c r="G3516">
        <v>313.60000000000002</v>
      </c>
      <c r="H3516" t="s">
        <v>12</v>
      </c>
      <c r="I3516" t="str">
        <f t="shared" si="163"/>
        <v>Low Value</v>
      </c>
      <c r="J3516" t="str">
        <f t="shared" si="164"/>
        <v>Medium Risk</v>
      </c>
      <c r="K3516" s="3" t="str">
        <f t="shared" si="162"/>
        <v>1-2 Years</v>
      </c>
    </row>
    <row r="3517" spans="1:11" x14ac:dyDescent="0.3">
      <c r="A3517" t="s">
        <v>3534</v>
      </c>
      <c r="B3517" t="s">
        <v>9</v>
      </c>
      <c r="C3517" t="s">
        <v>15</v>
      </c>
      <c r="D3517" t="s">
        <v>11</v>
      </c>
      <c r="E3517">
        <v>53.45</v>
      </c>
      <c r="F3517">
        <v>57</v>
      </c>
      <c r="G3517">
        <v>3046.65</v>
      </c>
      <c r="H3517" t="s">
        <v>12</v>
      </c>
      <c r="I3517" t="str">
        <f t="shared" si="163"/>
        <v>Medium Value</v>
      </c>
      <c r="J3517" t="str">
        <f t="shared" si="164"/>
        <v>Low Risk</v>
      </c>
      <c r="K3517" s="3" t="str">
        <f t="shared" si="162"/>
        <v>4+ Years</v>
      </c>
    </row>
    <row r="3518" spans="1:11" x14ac:dyDescent="0.3">
      <c r="A3518" t="s">
        <v>3535</v>
      </c>
      <c r="B3518" t="s">
        <v>14</v>
      </c>
      <c r="C3518" t="s">
        <v>15</v>
      </c>
      <c r="D3518" t="s">
        <v>24</v>
      </c>
      <c r="E3518">
        <v>19.8</v>
      </c>
      <c r="F3518">
        <v>37</v>
      </c>
      <c r="G3518">
        <v>732.6</v>
      </c>
      <c r="H3518" t="s">
        <v>12</v>
      </c>
      <c r="I3518" t="str">
        <f t="shared" si="163"/>
        <v>Low Value</v>
      </c>
      <c r="J3518" t="str">
        <f t="shared" si="164"/>
        <v>Low Risk</v>
      </c>
      <c r="K3518" s="3" t="str">
        <f t="shared" si="162"/>
        <v>2-4 Years</v>
      </c>
    </row>
    <row r="3519" spans="1:11" x14ac:dyDescent="0.3">
      <c r="A3519" t="s">
        <v>3536</v>
      </c>
      <c r="B3519" t="s">
        <v>9</v>
      </c>
      <c r="C3519" t="s">
        <v>30</v>
      </c>
      <c r="D3519" t="s">
        <v>24</v>
      </c>
      <c r="E3519">
        <v>112.1</v>
      </c>
      <c r="F3519">
        <v>72</v>
      </c>
      <c r="G3519">
        <v>8071.2</v>
      </c>
      <c r="H3519" t="s">
        <v>12</v>
      </c>
      <c r="I3519" t="str">
        <f t="shared" si="163"/>
        <v>High Value</v>
      </c>
      <c r="J3519" t="str">
        <f t="shared" si="164"/>
        <v>Low Risk</v>
      </c>
      <c r="K3519" s="3" t="str">
        <f t="shared" si="162"/>
        <v>4+ Years</v>
      </c>
    </row>
    <row r="3520" spans="1:11" x14ac:dyDescent="0.3">
      <c r="A3520" t="s">
        <v>3537</v>
      </c>
      <c r="B3520" t="s">
        <v>9</v>
      </c>
      <c r="C3520" t="s">
        <v>10</v>
      </c>
      <c r="D3520" t="s">
        <v>24</v>
      </c>
      <c r="E3520">
        <v>84.8</v>
      </c>
      <c r="F3520">
        <v>11</v>
      </c>
      <c r="G3520">
        <v>932.8</v>
      </c>
      <c r="H3520" t="s">
        <v>18</v>
      </c>
      <c r="I3520" t="str">
        <f t="shared" si="163"/>
        <v>Low Value</v>
      </c>
      <c r="J3520" t="str">
        <f t="shared" si="164"/>
        <v>High Risk</v>
      </c>
      <c r="K3520" s="3" t="str">
        <f t="shared" si="162"/>
        <v>0-1 Year</v>
      </c>
    </row>
    <row r="3521" spans="1:11" x14ac:dyDescent="0.3">
      <c r="A3521" t="s">
        <v>3538</v>
      </c>
      <c r="B3521" t="s">
        <v>9</v>
      </c>
      <c r="C3521" t="s">
        <v>10</v>
      </c>
      <c r="D3521" t="s">
        <v>11</v>
      </c>
      <c r="E3521">
        <v>95.05</v>
      </c>
      <c r="F3521">
        <v>50</v>
      </c>
      <c r="G3521">
        <v>4752.5</v>
      </c>
      <c r="H3521" t="s">
        <v>18</v>
      </c>
      <c r="I3521" t="str">
        <f t="shared" si="163"/>
        <v>Medium Value</v>
      </c>
      <c r="J3521" t="str">
        <f t="shared" si="164"/>
        <v>Low Risk</v>
      </c>
      <c r="K3521" s="3" t="str">
        <f t="shared" si="162"/>
        <v>4+ Years</v>
      </c>
    </row>
    <row r="3522" spans="1:11" x14ac:dyDescent="0.3">
      <c r="A3522" t="s">
        <v>3539</v>
      </c>
      <c r="B3522" t="s">
        <v>14</v>
      </c>
      <c r="C3522" t="s">
        <v>10</v>
      </c>
      <c r="D3522" t="s">
        <v>11</v>
      </c>
      <c r="E3522">
        <v>50.35</v>
      </c>
      <c r="F3522">
        <v>5</v>
      </c>
      <c r="G3522">
        <v>251.75</v>
      </c>
      <c r="H3522" t="s">
        <v>18</v>
      </c>
      <c r="I3522" t="str">
        <f t="shared" si="163"/>
        <v>Low Value</v>
      </c>
      <c r="J3522" t="str">
        <f t="shared" si="164"/>
        <v>High Risk</v>
      </c>
      <c r="K3522" s="3" t="str">
        <f t="shared" si="162"/>
        <v>0-1 Year</v>
      </c>
    </row>
    <row r="3523" spans="1:11" x14ac:dyDescent="0.3">
      <c r="A3523" t="s">
        <v>3540</v>
      </c>
      <c r="B3523" t="s">
        <v>14</v>
      </c>
      <c r="C3523" t="s">
        <v>10</v>
      </c>
      <c r="D3523" t="s">
        <v>20</v>
      </c>
      <c r="E3523">
        <v>74.599999999999994</v>
      </c>
      <c r="F3523">
        <v>1</v>
      </c>
      <c r="G3523">
        <v>74.599999999999994</v>
      </c>
      <c r="H3523" t="s">
        <v>18</v>
      </c>
      <c r="I3523" t="str">
        <f t="shared" si="163"/>
        <v>Low Value</v>
      </c>
      <c r="J3523" t="str">
        <f t="shared" si="164"/>
        <v>High Risk</v>
      </c>
      <c r="K3523" s="3" t="str">
        <f t="shared" ref="K3523:K3586" si="165">IF(F3523&lt;=12,"0-1 Year",
IF(F3523&lt;=24,"1-2 Years",
IF(F3523&lt;=48,"2-4 Years","4+ Years")))</f>
        <v>0-1 Year</v>
      </c>
    </row>
    <row r="3524" spans="1:11" x14ac:dyDescent="0.3">
      <c r="A3524" t="s">
        <v>3541</v>
      </c>
      <c r="B3524" t="s">
        <v>14</v>
      </c>
      <c r="C3524" t="s">
        <v>10</v>
      </c>
      <c r="D3524" t="s">
        <v>16</v>
      </c>
      <c r="E3524">
        <v>19.7</v>
      </c>
      <c r="F3524">
        <v>16</v>
      </c>
      <c r="G3524">
        <v>315.2</v>
      </c>
      <c r="H3524" t="s">
        <v>18</v>
      </c>
      <c r="I3524" t="str">
        <f t="shared" ref="I3524:I3587" si="166">IF(G3524&gt;5000,"High Value",
IF(G3524&gt;2000,"Medium Value","Low Value"))</f>
        <v>Low Value</v>
      </c>
      <c r="J3524" t="str">
        <f t="shared" ref="J3524:J3587" si="167">IF(F3524&lt;12,"High Risk",
IF(F3524&lt;24,"Medium Risk","Low Risk"))</f>
        <v>Medium Risk</v>
      </c>
      <c r="K3524" s="3" t="str">
        <f t="shared" si="165"/>
        <v>1-2 Years</v>
      </c>
    </row>
    <row r="3525" spans="1:11" x14ac:dyDescent="0.3">
      <c r="A3525" t="s">
        <v>3542</v>
      </c>
      <c r="B3525" t="s">
        <v>14</v>
      </c>
      <c r="C3525" t="s">
        <v>10</v>
      </c>
      <c r="D3525" t="s">
        <v>11</v>
      </c>
      <c r="E3525">
        <v>74.2</v>
      </c>
      <c r="F3525">
        <v>2</v>
      </c>
      <c r="G3525">
        <v>148.4</v>
      </c>
      <c r="H3525" t="s">
        <v>12</v>
      </c>
      <c r="I3525" t="str">
        <f t="shared" si="166"/>
        <v>Low Value</v>
      </c>
      <c r="J3525" t="str">
        <f t="shared" si="167"/>
        <v>High Risk</v>
      </c>
      <c r="K3525" s="3" t="str">
        <f t="shared" si="165"/>
        <v>0-1 Year</v>
      </c>
    </row>
    <row r="3526" spans="1:11" x14ac:dyDescent="0.3">
      <c r="A3526" t="s">
        <v>3543</v>
      </c>
      <c r="B3526" t="s">
        <v>9</v>
      </c>
      <c r="C3526" t="s">
        <v>10</v>
      </c>
      <c r="D3526" t="s">
        <v>16</v>
      </c>
      <c r="E3526">
        <v>69</v>
      </c>
      <c r="F3526">
        <v>17</v>
      </c>
      <c r="G3526">
        <v>1173</v>
      </c>
      <c r="H3526" t="s">
        <v>12</v>
      </c>
      <c r="I3526" t="str">
        <f t="shared" si="166"/>
        <v>Low Value</v>
      </c>
      <c r="J3526" t="str">
        <f t="shared" si="167"/>
        <v>Medium Risk</v>
      </c>
      <c r="K3526" s="3" t="str">
        <f t="shared" si="165"/>
        <v>1-2 Years</v>
      </c>
    </row>
    <row r="3527" spans="1:11" x14ac:dyDescent="0.3">
      <c r="A3527" t="s">
        <v>3544</v>
      </c>
      <c r="B3527" t="s">
        <v>9</v>
      </c>
      <c r="C3527" t="s">
        <v>15</v>
      </c>
      <c r="D3527" t="s">
        <v>24</v>
      </c>
      <c r="E3527">
        <v>19.350000000000001</v>
      </c>
      <c r="F3527">
        <v>16</v>
      </c>
      <c r="G3527">
        <v>309.60000000000002</v>
      </c>
      <c r="H3527" t="s">
        <v>12</v>
      </c>
      <c r="I3527" t="str">
        <f t="shared" si="166"/>
        <v>Low Value</v>
      </c>
      <c r="J3527" t="str">
        <f t="shared" si="167"/>
        <v>Medium Risk</v>
      </c>
      <c r="K3527" s="3" t="str">
        <f t="shared" si="165"/>
        <v>1-2 Years</v>
      </c>
    </row>
    <row r="3528" spans="1:11" x14ac:dyDescent="0.3">
      <c r="A3528" t="s">
        <v>3545</v>
      </c>
      <c r="B3528" t="s">
        <v>9</v>
      </c>
      <c r="C3528" t="s">
        <v>10</v>
      </c>
      <c r="D3528" t="s">
        <v>11</v>
      </c>
      <c r="E3528">
        <v>59.45</v>
      </c>
      <c r="F3528">
        <v>15</v>
      </c>
      <c r="G3528">
        <v>891.75</v>
      </c>
      <c r="H3528" t="s">
        <v>18</v>
      </c>
      <c r="I3528" t="str">
        <f t="shared" si="166"/>
        <v>Low Value</v>
      </c>
      <c r="J3528" t="str">
        <f t="shared" si="167"/>
        <v>Medium Risk</v>
      </c>
      <c r="K3528" s="3" t="str">
        <f t="shared" si="165"/>
        <v>1-2 Years</v>
      </c>
    </row>
    <row r="3529" spans="1:11" x14ac:dyDescent="0.3">
      <c r="A3529" t="s">
        <v>3546</v>
      </c>
      <c r="B3529" t="s">
        <v>9</v>
      </c>
      <c r="C3529" t="s">
        <v>15</v>
      </c>
      <c r="D3529" t="s">
        <v>16</v>
      </c>
      <c r="E3529">
        <v>19.8</v>
      </c>
      <c r="F3529">
        <v>10</v>
      </c>
      <c r="G3529">
        <v>198</v>
      </c>
      <c r="H3529" t="s">
        <v>12</v>
      </c>
      <c r="I3529" t="str">
        <f t="shared" si="166"/>
        <v>Low Value</v>
      </c>
      <c r="J3529" t="str">
        <f t="shared" si="167"/>
        <v>High Risk</v>
      </c>
      <c r="K3529" s="3" t="str">
        <f t="shared" si="165"/>
        <v>0-1 Year</v>
      </c>
    </row>
    <row r="3530" spans="1:11" x14ac:dyDescent="0.3">
      <c r="A3530" t="s">
        <v>3547</v>
      </c>
      <c r="B3530" t="s">
        <v>9</v>
      </c>
      <c r="C3530" t="s">
        <v>15</v>
      </c>
      <c r="D3530" t="s">
        <v>20</v>
      </c>
      <c r="E3530">
        <v>105.2</v>
      </c>
      <c r="F3530">
        <v>46</v>
      </c>
      <c r="G3530">
        <v>4839.2</v>
      </c>
      <c r="H3530" t="s">
        <v>18</v>
      </c>
      <c r="I3530" t="str">
        <f t="shared" si="166"/>
        <v>Medium Value</v>
      </c>
      <c r="J3530" t="str">
        <f t="shared" si="167"/>
        <v>Low Risk</v>
      </c>
      <c r="K3530" s="3" t="str">
        <f t="shared" si="165"/>
        <v>2-4 Years</v>
      </c>
    </row>
    <row r="3531" spans="1:11" x14ac:dyDescent="0.3">
      <c r="A3531" t="s">
        <v>3548</v>
      </c>
      <c r="B3531" t="s">
        <v>14</v>
      </c>
      <c r="C3531" t="s">
        <v>30</v>
      </c>
      <c r="D3531" t="s">
        <v>24</v>
      </c>
      <c r="E3531">
        <v>109.2</v>
      </c>
      <c r="F3531">
        <v>64</v>
      </c>
      <c r="G3531">
        <v>6988.8</v>
      </c>
      <c r="H3531" t="s">
        <v>12</v>
      </c>
      <c r="I3531" t="str">
        <f t="shared" si="166"/>
        <v>High Value</v>
      </c>
      <c r="J3531" t="str">
        <f t="shared" si="167"/>
        <v>Low Risk</v>
      </c>
      <c r="K3531" s="3" t="str">
        <f t="shared" si="165"/>
        <v>4+ Years</v>
      </c>
    </row>
    <row r="3532" spans="1:11" x14ac:dyDescent="0.3">
      <c r="A3532" t="s">
        <v>3549</v>
      </c>
      <c r="B3532" t="s">
        <v>9</v>
      </c>
      <c r="C3532" t="s">
        <v>10</v>
      </c>
      <c r="D3532" t="s">
        <v>16</v>
      </c>
      <c r="E3532">
        <v>79.150000000000006</v>
      </c>
      <c r="F3532">
        <v>1</v>
      </c>
      <c r="G3532">
        <v>79.150000000000006</v>
      </c>
      <c r="H3532" t="s">
        <v>12</v>
      </c>
      <c r="I3532" t="str">
        <f t="shared" si="166"/>
        <v>Low Value</v>
      </c>
      <c r="J3532" t="str">
        <f t="shared" si="167"/>
        <v>High Risk</v>
      </c>
      <c r="K3532" s="3" t="str">
        <f t="shared" si="165"/>
        <v>0-1 Year</v>
      </c>
    </row>
    <row r="3533" spans="1:11" x14ac:dyDescent="0.3">
      <c r="A3533" t="s">
        <v>3550</v>
      </c>
      <c r="B3533" t="s">
        <v>14</v>
      </c>
      <c r="C3533" t="s">
        <v>15</v>
      </c>
      <c r="D3533" t="s">
        <v>16</v>
      </c>
      <c r="E3533">
        <v>53.65</v>
      </c>
      <c r="F3533">
        <v>25</v>
      </c>
      <c r="G3533">
        <v>1341.25</v>
      </c>
      <c r="H3533" t="s">
        <v>12</v>
      </c>
      <c r="I3533" t="str">
        <f t="shared" si="166"/>
        <v>Low Value</v>
      </c>
      <c r="J3533" t="str">
        <f t="shared" si="167"/>
        <v>Low Risk</v>
      </c>
      <c r="K3533" s="3" t="str">
        <f t="shared" si="165"/>
        <v>2-4 Years</v>
      </c>
    </row>
    <row r="3534" spans="1:11" x14ac:dyDescent="0.3">
      <c r="A3534" t="s">
        <v>3551</v>
      </c>
      <c r="B3534" t="s">
        <v>14</v>
      </c>
      <c r="C3534" t="s">
        <v>30</v>
      </c>
      <c r="D3534" t="s">
        <v>24</v>
      </c>
      <c r="E3534">
        <v>100.2</v>
      </c>
      <c r="F3534">
        <v>71</v>
      </c>
      <c r="G3534">
        <v>7114.2</v>
      </c>
      <c r="H3534" t="s">
        <v>12</v>
      </c>
      <c r="I3534" t="str">
        <f t="shared" si="166"/>
        <v>High Value</v>
      </c>
      <c r="J3534" t="str">
        <f t="shared" si="167"/>
        <v>Low Risk</v>
      </c>
      <c r="K3534" s="3" t="str">
        <f t="shared" si="165"/>
        <v>4+ Years</v>
      </c>
    </row>
    <row r="3535" spans="1:11" x14ac:dyDescent="0.3">
      <c r="A3535" t="s">
        <v>3552</v>
      </c>
      <c r="B3535" t="s">
        <v>14</v>
      </c>
      <c r="C3535" t="s">
        <v>10</v>
      </c>
      <c r="D3535" t="s">
        <v>16</v>
      </c>
      <c r="E3535">
        <v>45.15</v>
      </c>
      <c r="F3535">
        <v>8</v>
      </c>
      <c r="G3535">
        <v>361.2</v>
      </c>
      <c r="H3535" t="s">
        <v>18</v>
      </c>
      <c r="I3535" t="str">
        <f t="shared" si="166"/>
        <v>Low Value</v>
      </c>
      <c r="J3535" t="str">
        <f t="shared" si="167"/>
        <v>High Risk</v>
      </c>
      <c r="K3535" s="3" t="str">
        <f t="shared" si="165"/>
        <v>0-1 Year</v>
      </c>
    </row>
    <row r="3536" spans="1:11" x14ac:dyDescent="0.3">
      <c r="A3536" t="s">
        <v>3553</v>
      </c>
      <c r="B3536" t="s">
        <v>9</v>
      </c>
      <c r="C3536" t="s">
        <v>30</v>
      </c>
      <c r="D3536" t="s">
        <v>20</v>
      </c>
      <c r="E3536">
        <v>108.65</v>
      </c>
      <c r="F3536">
        <v>72</v>
      </c>
      <c r="G3536">
        <v>7822.8</v>
      </c>
      <c r="H3536" t="s">
        <v>12</v>
      </c>
      <c r="I3536" t="str">
        <f t="shared" si="166"/>
        <v>High Value</v>
      </c>
      <c r="J3536" t="str">
        <f t="shared" si="167"/>
        <v>Low Risk</v>
      </c>
      <c r="K3536" s="3" t="str">
        <f t="shared" si="165"/>
        <v>4+ Years</v>
      </c>
    </row>
    <row r="3537" spans="1:11" x14ac:dyDescent="0.3">
      <c r="A3537" t="s">
        <v>3554</v>
      </c>
      <c r="B3537" t="s">
        <v>9</v>
      </c>
      <c r="C3537" t="s">
        <v>10</v>
      </c>
      <c r="D3537" t="s">
        <v>20</v>
      </c>
      <c r="E3537">
        <v>40.65</v>
      </c>
      <c r="F3537">
        <v>49</v>
      </c>
      <c r="G3537">
        <v>1991.85</v>
      </c>
      <c r="H3537" t="s">
        <v>12</v>
      </c>
      <c r="I3537" t="str">
        <f t="shared" si="166"/>
        <v>Low Value</v>
      </c>
      <c r="J3537" t="str">
        <f t="shared" si="167"/>
        <v>Low Risk</v>
      </c>
      <c r="K3537" s="3" t="str">
        <f t="shared" si="165"/>
        <v>4+ Years</v>
      </c>
    </row>
    <row r="3538" spans="1:11" x14ac:dyDescent="0.3">
      <c r="A3538" t="s">
        <v>3555</v>
      </c>
      <c r="B3538" t="s">
        <v>14</v>
      </c>
      <c r="C3538" t="s">
        <v>15</v>
      </c>
      <c r="D3538" t="s">
        <v>24</v>
      </c>
      <c r="E3538">
        <v>55.35</v>
      </c>
      <c r="F3538">
        <v>29</v>
      </c>
      <c r="G3538">
        <v>1605.15</v>
      </c>
      <c r="H3538" t="s">
        <v>12</v>
      </c>
      <c r="I3538" t="str">
        <f t="shared" si="166"/>
        <v>Low Value</v>
      </c>
      <c r="J3538" t="str">
        <f t="shared" si="167"/>
        <v>Low Risk</v>
      </c>
      <c r="K3538" s="3" t="str">
        <f t="shared" si="165"/>
        <v>2-4 Years</v>
      </c>
    </row>
    <row r="3539" spans="1:11" x14ac:dyDescent="0.3">
      <c r="A3539" t="s">
        <v>3556</v>
      </c>
      <c r="B3539" t="s">
        <v>14</v>
      </c>
      <c r="C3539" t="s">
        <v>30</v>
      </c>
      <c r="D3539" t="s">
        <v>20</v>
      </c>
      <c r="E3539">
        <v>105.6</v>
      </c>
      <c r="F3539">
        <v>72</v>
      </c>
      <c r="G3539">
        <v>7603.2</v>
      </c>
      <c r="H3539" t="s">
        <v>12</v>
      </c>
      <c r="I3539" t="str">
        <f t="shared" si="166"/>
        <v>High Value</v>
      </c>
      <c r="J3539" t="str">
        <f t="shared" si="167"/>
        <v>Low Risk</v>
      </c>
      <c r="K3539" s="3" t="str">
        <f t="shared" si="165"/>
        <v>4+ Years</v>
      </c>
    </row>
    <row r="3540" spans="1:11" x14ac:dyDescent="0.3">
      <c r="A3540" t="s">
        <v>3557</v>
      </c>
      <c r="B3540" t="s">
        <v>14</v>
      </c>
      <c r="C3540" t="s">
        <v>10</v>
      </c>
      <c r="D3540" t="s">
        <v>11</v>
      </c>
      <c r="E3540">
        <v>93.8</v>
      </c>
      <c r="F3540">
        <v>31</v>
      </c>
      <c r="G3540">
        <v>2907.7999999999902</v>
      </c>
      <c r="H3540" t="s">
        <v>18</v>
      </c>
      <c r="I3540" t="str">
        <f t="shared" si="166"/>
        <v>Medium Value</v>
      </c>
      <c r="J3540" t="str">
        <f t="shared" si="167"/>
        <v>Low Risk</v>
      </c>
      <c r="K3540" s="3" t="str">
        <f t="shared" si="165"/>
        <v>2-4 Years</v>
      </c>
    </row>
    <row r="3541" spans="1:11" x14ac:dyDescent="0.3">
      <c r="A3541" t="s">
        <v>3558</v>
      </c>
      <c r="B3541" t="s">
        <v>9</v>
      </c>
      <c r="C3541" t="s">
        <v>10</v>
      </c>
      <c r="D3541" t="s">
        <v>11</v>
      </c>
      <c r="E3541">
        <v>95.7</v>
      </c>
      <c r="F3541">
        <v>50</v>
      </c>
      <c r="G3541">
        <v>4785</v>
      </c>
      <c r="H3541" t="s">
        <v>12</v>
      </c>
      <c r="I3541" t="str">
        <f t="shared" si="166"/>
        <v>Medium Value</v>
      </c>
      <c r="J3541" t="str">
        <f t="shared" si="167"/>
        <v>Low Risk</v>
      </c>
      <c r="K3541" s="3" t="str">
        <f t="shared" si="165"/>
        <v>4+ Years</v>
      </c>
    </row>
    <row r="3542" spans="1:11" x14ac:dyDescent="0.3">
      <c r="A3542" t="s">
        <v>3559</v>
      </c>
      <c r="B3542" t="s">
        <v>14</v>
      </c>
      <c r="C3542" t="s">
        <v>30</v>
      </c>
      <c r="D3542" t="s">
        <v>11</v>
      </c>
      <c r="E3542">
        <v>83.2</v>
      </c>
      <c r="F3542">
        <v>71</v>
      </c>
      <c r="G3542">
        <v>5907.2</v>
      </c>
      <c r="H3542" t="s">
        <v>12</v>
      </c>
      <c r="I3542" t="str">
        <f t="shared" si="166"/>
        <v>High Value</v>
      </c>
      <c r="J3542" t="str">
        <f t="shared" si="167"/>
        <v>Low Risk</v>
      </c>
      <c r="K3542" s="3" t="str">
        <f t="shared" si="165"/>
        <v>4+ Years</v>
      </c>
    </row>
    <row r="3543" spans="1:11" x14ac:dyDescent="0.3">
      <c r="A3543" t="s">
        <v>3560</v>
      </c>
      <c r="B3543" t="s">
        <v>14</v>
      </c>
      <c r="C3543" t="s">
        <v>30</v>
      </c>
      <c r="D3543" t="s">
        <v>24</v>
      </c>
      <c r="E3543">
        <v>90.05</v>
      </c>
      <c r="F3543">
        <v>70</v>
      </c>
      <c r="G3543">
        <v>6303.5</v>
      </c>
      <c r="H3543" t="s">
        <v>12</v>
      </c>
      <c r="I3543" t="str">
        <f t="shared" si="166"/>
        <v>High Value</v>
      </c>
      <c r="J3543" t="str">
        <f t="shared" si="167"/>
        <v>Low Risk</v>
      </c>
      <c r="K3543" s="3" t="str">
        <f t="shared" si="165"/>
        <v>4+ Years</v>
      </c>
    </row>
    <row r="3544" spans="1:11" x14ac:dyDescent="0.3">
      <c r="A3544" t="s">
        <v>3561</v>
      </c>
      <c r="B3544" t="s">
        <v>14</v>
      </c>
      <c r="C3544" t="s">
        <v>15</v>
      </c>
      <c r="D3544" t="s">
        <v>24</v>
      </c>
      <c r="E3544">
        <v>97.65</v>
      </c>
      <c r="F3544">
        <v>71</v>
      </c>
      <c r="G3544">
        <v>6933.15</v>
      </c>
      <c r="H3544" t="s">
        <v>12</v>
      </c>
      <c r="I3544" t="str">
        <f t="shared" si="166"/>
        <v>High Value</v>
      </c>
      <c r="J3544" t="str">
        <f t="shared" si="167"/>
        <v>Low Risk</v>
      </c>
      <c r="K3544" s="3" t="str">
        <f t="shared" si="165"/>
        <v>4+ Years</v>
      </c>
    </row>
    <row r="3545" spans="1:11" x14ac:dyDescent="0.3">
      <c r="A3545" t="s">
        <v>3562</v>
      </c>
      <c r="B3545" t="s">
        <v>14</v>
      </c>
      <c r="C3545" t="s">
        <v>30</v>
      </c>
      <c r="D3545" t="s">
        <v>20</v>
      </c>
      <c r="E3545">
        <v>68.05</v>
      </c>
      <c r="F3545">
        <v>61</v>
      </c>
      <c r="G3545">
        <v>4151.05</v>
      </c>
      <c r="H3545" t="s">
        <v>12</v>
      </c>
      <c r="I3545" t="str">
        <f t="shared" si="166"/>
        <v>Medium Value</v>
      </c>
      <c r="J3545" t="str">
        <f t="shared" si="167"/>
        <v>Low Risk</v>
      </c>
      <c r="K3545" s="3" t="str">
        <f t="shared" si="165"/>
        <v>4+ Years</v>
      </c>
    </row>
    <row r="3546" spans="1:11" x14ac:dyDescent="0.3">
      <c r="A3546" t="s">
        <v>3563</v>
      </c>
      <c r="B3546" t="s">
        <v>14</v>
      </c>
      <c r="C3546" t="s">
        <v>10</v>
      </c>
      <c r="D3546" t="s">
        <v>11</v>
      </c>
      <c r="E3546">
        <v>96.2</v>
      </c>
      <c r="F3546">
        <v>32</v>
      </c>
      <c r="G3546">
        <v>3078.4</v>
      </c>
      <c r="H3546" t="s">
        <v>18</v>
      </c>
      <c r="I3546" t="str">
        <f t="shared" si="166"/>
        <v>Medium Value</v>
      </c>
      <c r="J3546" t="str">
        <f t="shared" si="167"/>
        <v>Low Risk</v>
      </c>
      <c r="K3546" s="3" t="str">
        <f t="shared" si="165"/>
        <v>2-4 Years</v>
      </c>
    </row>
    <row r="3547" spans="1:11" x14ac:dyDescent="0.3">
      <c r="A3547" t="s">
        <v>3564</v>
      </c>
      <c r="B3547" t="s">
        <v>9</v>
      </c>
      <c r="C3547" t="s">
        <v>10</v>
      </c>
      <c r="D3547" t="s">
        <v>11</v>
      </c>
      <c r="E3547">
        <v>79.599999999999994</v>
      </c>
      <c r="F3547">
        <v>1</v>
      </c>
      <c r="G3547">
        <v>79.599999999999994</v>
      </c>
      <c r="H3547" t="s">
        <v>18</v>
      </c>
      <c r="I3547" t="str">
        <f t="shared" si="166"/>
        <v>Low Value</v>
      </c>
      <c r="J3547" t="str">
        <f t="shared" si="167"/>
        <v>High Risk</v>
      </c>
      <c r="K3547" s="3" t="str">
        <f t="shared" si="165"/>
        <v>0-1 Year</v>
      </c>
    </row>
    <row r="3548" spans="1:11" x14ac:dyDescent="0.3">
      <c r="A3548" t="s">
        <v>3565</v>
      </c>
      <c r="B3548" t="s">
        <v>14</v>
      </c>
      <c r="C3548" t="s">
        <v>30</v>
      </c>
      <c r="D3548" t="s">
        <v>20</v>
      </c>
      <c r="E3548">
        <v>102.1</v>
      </c>
      <c r="F3548">
        <v>68</v>
      </c>
      <c r="G3548">
        <v>6942.7999999999902</v>
      </c>
      <c r="H3548" t="s">
        <v>12</v>
      </c>
      <c r="I3548" t="str">
        <f t="shared" si="166"/>
        <v>High Value</v>
      </c>
      <c r="J3548" t="str">
        <f t="shared" si="167"/>
        <v>Low Risk</v>
      </c>
      <c r="K3548" s="3" t="str">
        <f t="shared" si="165"/>
        <v>4+ Years</v>
      </c>
    </row>
    <row r="3549" spans="1:11" x14ac:dyDescent="0.3">
      <c r="A3549" t="s">
        <v>3566</v>
      </c>
      <c r="B3549" t="s">
        <v>14</v>
      </c>
      <c r="C3549" t="s">
        <v>30</v>
      </c>
      <c r="D3549" t="s">
        <v>20</v>
      </c>
      <c r="E3549">
        <v>23.4</v>
      </c>
      <c r="F3549">
        <v>62</v>
      </c>
      <c r="G3549">
        <v>1450.8</v>
      </c>
      <c r="H3549" t="s">
        <v>12</v>
      </c>
      <c r="I3549" t="str">
        <f t="shared" si="166"/>
        <v>Low Value</v>
      </c>
      <c r="J3549" t="str">
        <f t="shared" si="167"/>
        <v>Low Risk</v>
      </c>
      <c r="K3549" s="3" t="str">
        <f t="shared" si="165"/>
        <v>4+ Years</v>
      </c>
    </row>
    <row r="3550" spans="1:11" x14ac:dyDescent="0.3">
      <c r="A3550" t="s">
        <v>3567</v>
      </c>
      <c r="B3550" t="s">
        <v>9</v>
      </c>
      <c r="C3550" t="s">
        <v>10</v>
      </c>
      <c r="D3550" t="s">
        <v>11</v>
      </c>
      <c r="E3550">
        <v>71.05</v>
      </c>
      <c r="F3550">
        <v>7</v>
      </c>
      <c r="G3550">
        <v>497.349999999999</v>
      </c>
      <c r="H3550" t="s">
        <v>12</v>
      </c>
      <c r="I3550" t="str">
        <f t="shared" si="166"/>
        <v>Low Value</v>
      </c>
      <c r="J3550" t="str">
        <f t="shared" si="167"/>
        <v>High Risk</v>
      </c>
      <c r="K3550" s="3" t="str">
        <f t="shared" si="165"/>
        <v>0-1 Year</v>
      </c>
    </row>
    <row r="3551" spans="1:11" x14ac:dyDescent="0.3">
      <c r="A3551" t="s">
        <v>3568</v>
      </c>
      <c r="B3551" t="s">
        <v>14</v>
      </c>
      <c r="C3551" t="s">
        <v>10</v>
      </c>
      <c r="D3551" t="s">
        <v>11</v>
      </c>
      <c r="E3551">
        <v>85.25</v>
      </c>
      <c r="F3551">
        <v>20</v>
      </c>
      <c r="G3551">
        <v>1705</v>
      </c>
      <c r="H3551" t="s">
        <v>18</v>
      </c>
      <c r="I3551" t="str">
        <f t="shared" si="166"/>
        <v>Low Value</v>
      </c>
      <c r="J3551" t="str">
        <f t="shared" si="167"/>
        <v>Medium Risk</v>
      </c>
      <c r="K3551" s="3" t="str">
        <f t="shared" si="165"/>
        <v>1-2 Years</v>
      </c>
    </row>
    <row r="3552" spans="1:11" x14ac:dyDescent="0.3">
      <c r="A3552" t="s">
        <v>3569</v>
      </c>
      <c r="B3552" t="s">
        <v>14</v>
      </c>
      <c r="C3552" t="s">
        <v>15</v>
      </c>
      <c r="D3552" t="s">
        <v>16</v>
      </c>
      <c r="E3552">
        <v>19.45</v>
      </c>
      <c r="F3552">
        <v>6</v>
      </c>
      <c r="G3552">
        <v>116.69999999999899</v>
      </c>
      <c r="H3552" t="s">
        <v>12</v>
      </c>
      <c r="I3552" t="str">
        <f t="shared" si="166"/>
        <v>Low Value</v>
      </c>
      <c r="J3552" t="str">
        <f t="shared" si="167"/>
        <v>High Risk</v>
      </c>
      <c r="K3552" s="3" t="str">
        <f t="shared" si="165"/>
        <v>0-1 Year</v>
      </c>
    </row>
    <row r="3553" spans="1:11" x14ac:dyDescent="0.3">
      <c r="A3553" t="s">
        <v>3570</v>
      </c>
      <c r="B3553" t="s">
        <v>9</v>
      </c>
      <c r="C3553" t="s">
        <v>10</v>
      </c>
      <c r="D3553" t="s">
        <v>20</v>
      </c>
      <c r="E3553">
        <v>59.45</v>
      </c>
      <c r="F3553">
        <v>33</v>
      </c>
      <c r="G3553">
        <v>1961.85</v>
      </c>
      <c r="H3553" t="s">
        <v>12</v>
      </c>
      <c r="I3553" t="str">
        <f t="shared" si="166"/>
        <v>Low Value</v>
      </c>
      <c r="J3553" t="str">
        <f t="shared" si="167"/>
        <v>Low Risk</v>
      </c>
      <c r="K3553" s="3" t="str">
        <f t="shared" si="165"/>
        <v>2-4 Years</v>
      </c>
    </row>
    <row r="3554" spans="1:11" x14ac:dyDescent="0.3">
      <c r="A3554" t="s">
        <v>3571</v>
      </c>
      <c r="B3554" t="s">
        <v>14</v>
      </c>
      <c r="C3554" t="s">
        <v>15</v>
      </c>
      <c r="D3554" t="s">
        <v>20</v>
      </c>
      <c r="E3554">
        <v>92.2</v>
      </c>
      <c r="F3554">
        <v>28</v>
      </c>
      <c r="G3554">
        <v>2581.6</v>
      </c>
      <c r="H3554" t="s">
        <v>12</v>
      </c>
      <c r="I3554" t="str">
        <f t="shared" si="166"/>
        <v>Medium Value</v>
      </c>
      <c r="J3554" t="str">
        <f t="shared" si="167"/>
        <v>Low Risk</v>
      </c>
      <c r="K3554" s="3" t="str">
        <f t="shared" si="165"/>
        <v>2-4 Years</v>
      </c>
    </row>
    <row r="3555" spans="1:11" x14ac:dyDescent="0.3">
      <c r="A3555" t="s">
        <v>3572</v>
      </c>
      <c r="B3555" t="s">
        <v>14</v>
      </c>
      <c r="C3555" t="s">
        <v>30</v>
      </c>
      <c r="D3555" t="s">
        <v>24</v>
      </c>
      <c r="E3555">
        <v>19.850000000000001</v>
      </c>
      <c r="F3555">
        <v>27</v>
      </c>
      <c r="G3555">
        <v>535.95000000000005</v>
      </c>
      <c r="H3555" t="s">
        <v>12</v>
      </c>
      <c r="I3555" t="str">
        <f t="shared" si="166"/>
        <v>Low Value</v>
      </c>
      <c r="J3555" t="str">
        <f t="shared" si="167"/>
        <v>Low Risk</v>
      </c>
      <c r="K3555" s="3" t="str">
        <f t="shared" si="165"/>
        <v>2-4 Years</v>
      </c>
    </row>
    <row r="3556" spans="1:11" x14ac:dyDescent="0.3">
      <c r="A3556" t="s">
        <v>3573</v>
      </c>
      <c r="B3556" t="s">
        <v>14</v>
      </c>
      <c r="C3556" t="s">
        <v>10</v>
      </c>
      <c r="D3556" t="s">
        <v>16</v>
      </c>
      <c r="E3556">
        <v>43.9</v>
      </c>
      <c r="F3556">
        <v>7</v>
      </c>
      <c r="G3556">
        <v>307.3</v>
      </c>
      <c r="H3556" t="s">
        <v>12</v>
      </c>
      <c r="I3556" t="str">
        <f t="shared" si="166"/>
        <v>Low Value</v>
      </c>
      <c r="J3556" t="str">
        <f t="shared" si="167"/>
        <v>High Risk</v>
      </c>
      <c r="K3556" s="3" t="str">
        <f t="shared" si="165"/>
        <v>0-1 Year</v>
      </c>
    </row>
    <row r="3557" spans="1:11" x14ac:dyDescent="0.3">
      <c r="A3557" t="s">
        <v>3574</v>
      </c>
      <c r="B3557" t="s">
        <v>14</v>
      </c>
      <c r="C3557" t="s">
        <v>10</v>
      </c>
      <c r="D3557" t="s">
        <v>11</v>
      </c>
      <c r="E3557">
        <v>80.5</v>
      </c>
      <c r="F3557">
        <v>26</v>
      </c>
      <c r="G3557">
        <v>2093</v>
      </c>
      <c r="H3557" t="s">
        <v>18</v>
      </c>
      <c r="I3557" t="str">
        <f t="shared" si="166"/>
        <v>Medium Value</v>
      </c>
      <c r="J3557" t="str">
        <f t="shared" si="167"/>
        <v>Low Risk</v>
      </c>
      <c r="K3557" s="3" t="str">
        <f t="shared" si="165"/>
        <v>2-4 Years</v>
      </c>
    </row>
    <row r="3558" spans="1:11" x14ac:dyDescent="0.3">
      <c r="A3558" t="s">
        <v>3575</v>
      </c>
      <c r="B3558" t="s">
        <v>14</v>
      </c>
      <c r="C3558" t="s">
        <v>10</v>
      </c>
      <c r="D3558" t="s">
        <v>11</v>
      </c>
      <c r="E3558">
        <v>89.8</v>
      </c>
      <c r="F3558">
        <v>5</v>
      </c>
      <c r="G3558">
        <v>449</v>
      </c>
      <c r="H3558" t="s">
        <v>18</v>
      </c>
      <c r="I3558" t="str">
        <f t="shared" si="166"/>
        <v>Low Value</v>
      </c>
      <c r="J3558" t="str">
        <f t="shared" si="167"/>
        <v>High Risk</v>
      </c>
      <c r="K3558" s="3" t="str">
        <f t="shared" si="165"/>
        <v>0-1 Year</v>
      </c>
    </row>
    <row r="3559" spans="1:11" x14ac:dyDescent="0.3">
      <c r="A3559" t="s">
        <v>3576</v>
      </c>
      <c r="B3559" t="s">
        <v>14</v>
      </c>
      <c r="C3559" t="s">
        <v>10</v>
      </c>
      <c r="D3559" t="s">
        <v>24</v>
      </c>
      <c r="E3559">
        <v>90.5</v>
      </c>
      <c r="F3559">
        <v>30</v>
      </c>
      <c r="G3559">
        <v>2715</v>
      </c>
      <c r="H3559" t="s">
        <v>12</v>
      </c>
      <c r="I3559" t="str">
        <f t="shared" si="166"/>
        <v>Medium Value</v>
      </c>
      <c r="J3559" t="str">
        <f t="shared" si="167"/>
        <v>Low Risk</v>
      </c>
      <c r="K3559" s="3" t="str">
        <f t="shared" si="165"/>
        <v>2-4 Years</v>
      </c>
    </row>
    <row r="3560" spans="1:11" x14ac:dyDescent="0.3">
      <c r="A3560" t="s">
        <v>3577</v>
      </c>
      <c r="B3560" t="s">
        <v>14</v>
      </c>
      <c r="C3560" t="s">
        <v>15</v>
      </c>
      <c r="D3560" t="s">
        <v>24</v>
      </c>
      <c r="E3560">
        <v>90.45</v>
      </c>
      <c r="F3560">
        <v>63</v>
      </c>
      <c r="G3560">
        <v>5698.35</v>
      </c>
      <c r="H3560" t="s">
        <v>12</v>
      </c>
      <c r="I3560" t="str">
        <f t="shared" si="166"/>
        <v>High Value</v>
      </c>
      <c r="J3560" t="str">
        <f t="shared" si="167"/>
        <v>Low Risk</v>
      </c>
      <c r="K3560" s="3" t="str">
        <f t="shared" si="165"/>
        <v>4+ Years</v>
      </c>
    </row>
    <row r="3561" spans="1:11" x14ac:dyDescent="0.3">
      <c r="A3561" t="s">
        <v>3578</v>
      </c>
      <c r="B3561" t="s">
        <v>14</v>
      </c>
      <c r="C3561" t="s">
        <v>10</v>
      </c>
      <c r="D3561" t="s">
        <v>11</v>
      </c>
      <c r="E3561">
        <v>50.75</v>
      </c>
      <c r="F3561">
        <v>1</v>
      </c>
      <c r="G3561">
        <v>50.75</v>
      </c>
      <c r="H3561" t="s">
        <v>18</v>
      </c>
      <c r="I3561" t="str">
        <f t="shared" si="166"/>
        <v>Low Value</v>
      </c>
      <c r="J3561" t="str">
        <f t="shared" si="167"/>
        <v>High Risk</v>
      </c>
      <c r="K3561" s="3" t="str">
        <f t="shared" si="165"/>
        <v>0-1 Year</v>
      </c>
    </row>
    <row r="3562" spans="1:11" x14ac:dyDescent="0.3">
      <c r="A3562" t="s">
        <v>3579</v>
      </c>
      <c r="B3562" t="s">
        <v>9</v>
      </c>
      <c r="C3562" t="s">
        <v>15</v>
      </c>
      <c r="D3562" t="s">
        <v>11</v>
      </c>
      <c r="E3562">
        <v>84.6</v>
      </c>
      <c r="F3562">
        <v>53</v>
      </c>
      <c r="G3562">
        <v>4483.7999999999902</v>
      </c>
      <c r="H3562" t="s">
        <v>12</v>
      </c>
      <c r="I3562" t="str">
        <f t="shared" si="166"/>
        <v>Medium Value</v>
      </c>
      <c r="J3562" t="str">
        <f t="shared" si="167"/>
        <v>Low Risk</v>
      </c>
      <c r="K3562" s="3" t="str">
        <f t="shared" si="165"/>
        <v>4+ Years</v>
      </c>
    </row>
    <row r="3563" spans="1:11" x14ac:dyDescent="0.3">
      <c r="A3563" t="s">
        <v>3580</v>
      </c>
      <c r="B3563" t="s">
        <v>9</v>
      </c>
      <c r="C3563" t="s">
        <v>10</v>
      </c>
      <c r="D3563" t="s">
        <v>24</v>
      </c>
      <c r="E3563">
        <v>89.65</v>
      </c>
      <c r="F3563">
        <v>14</v>
      </c>
      <c r="G3563">
        <v>1255.0999999999999</v>
      </c>
      <c r="H3563" t="s">
        <v>18</v>
      </c>
      <c r="I3563" t="str">
        <f t="shared" si="166"/>
        <v>Low Value</v>
      </c>
      <c r="J3563" t="str">
        <f t="shared" si="167"/>
        <v>Medium Risk</v>
      </c>
      <c r="K3563" s="3" t="str">
        <f t="shared" si="165"/>
        <v>1-2 Years</v>
      </c>
    </row>
    <row r="3564" spans="1:11" x14ac:dyDescent="0.3">
      <c r="A3564" t="s">
        <v>3581</v>
      </c>
      <c r="B3564" t="s">
        <v>9</v>
      </c>
      <c r="C3564" t="s">
        <v>10</v>
      </c>
      <c r="D3564" t="s">
        <v>20</v>
      </c>
      <c r="E3564">
        <v>99.15</v>
      </c>
      <c r="F3564">
        <v>21</v>
      </c>
      <c r="G3564">
        <v>2082.15</v>
      </c>
      <c r="H3564" t="s">
        <v>12</v>
      </c>
      <c r="I3564" t="str">
        <f t="shared" si="166"/>
        <v>Medium Value</v>
      </c>
      <c r="J3564" t="str">
        <f t="shared" si="167"/>
        <v>Medium Risk</v>
      </c>
      <c r="K3564" s="3" t="str">
        <f t="shared" si="165"/>
        <v>1-2 Years</v>
      </c>
    </row>
    <row r="3565" spans="1:11" x14ac:dyDescent="0.3">
      <c r="A3565" t="s">
        <v>3582</v>
      </c>
      <c r="B3565" t="s">
        <v>14</v>
      </c>
      <c r="C3565" t="s">
        <v>15</v>
      </c>
      <c r="D3565" t="s">
        <v>16</v>
      </c>
      <c r="E3565">
        <v>19.95</v>
      </c>
      <c r="F3565">
        <v>17</v>
      </c>
      <c r="G3565">
        <v>339.15</v>
      </c>
      <c r="H3565" t="s">
        <v>12</v>
      </c>
      <c r="I3565" t="str">
        <f t="shared" si="166"/>
        <v>Low Value</v>
      </c>
      <c r="J3565" t="str">
        <f t="shared" si="167"/>
        <v>Medium Risk</v>
      </c>
      <c r="K3565" s="3" t="str">
        <f t="shared" si="165"/>
        <v>1-2 Years</v>
      </c>
    </row>
    <row r="3566" spans="1:11" x14ac:dyDescent="0.3">
      <c r="A3566" t="s">
        <v>3583</v>
      </c>
      <c r="B3566" t="s">
        <v>14</v>
      </c>
      <c r="C3566" t="s">
        <v>30</v>
      </c>
      <c r="D3566" t="s">
        <v>16</v>
      </c>
      <c r="E3566">
        <v>20.5</v>
      </c>
      <c r="F3566">
        <v>16</v>
      </c>
      <c r="G3566">
        <v>328</v>
      </c>
      <c r="H3566" t="s">
        <v>12</v>
      </c>
      <c r="I3566" t="str">
        <f t="shared" si="166"/>
        <v>Low Value</v>
      </c>
      <c r="J3566" t="str">
        <f t="shared" si="167"/>
        <v>Medium Risk</v>
      </c>
      <c r="K3566" s="3" t="str">
        <f t="shared" si="165"/>
        <v>1-2 Years</v>
      </c>
    </row>
    <row r="3567" spans="1:11" x14ac:dyDescent="0.3">
      <c r="A3567" t="s">
        <v>3584</v>
      </c>
      <c r="B3567" t="s">
        <v>9</v>
      </c>
      <c r="C3567" t="s">
        <v>10</v>
      </c>
      <c r="D3567" t="s">
        <v>11</v>
      </c>
      <c r="E3567">
        <v>62.1</v>
      </c>
      <c r="F3567">
        <v>35</v>
      </c>
      <c r="G3567">
        <v>2173.5</v>
      </c>
      <c r="H3567" t="s">
        <v>12</v>
      </c>
      <c r="I3567" t="str">
        <f t="shared" si="166"/>
        <v>Medium Value</v>
      </c>
      <c r="J3567" t="str">
        <f t="shared" si="167"/>
        <v>Low Risk</v>
      </c>
      <c r="K3567" s="3" t="str">
        <f t="shared" si="165"/>
        <v>2-4 Years</v>
      </c>
    </row>
    <row r="3568" spans="1:11" x14ac:dyDescent="0.3">
      <c r="A3568" t="s">
        <v>3585</v>
      </c>
      <c r="B3568" t="s">
        <v>9</v>
      </c>
      <c r="C3568" t="s">
        <v>10</v>
      </c>
      <c r="D3568" t="s">
        <v>11</v>
      </c>
      <c r="E3568">
        <v>79.5</v>
      </c>
      <c r="F3568">
        <v>32</v>
      </c>
      <c r="G3568">
        <v>2544</v>
      </c>
      <c r="H3568" t="s">
        <v>12</v>
      </c>
      <c r="I3568" t="str">
        <f t="shared" si="166"/>
        <v>Medium Value</v>
      </c>
      <c r="J3568" t="str">
        <f t="shared" si="167"/>
        <v>Low Risk</v>
      </c>
      <c r="K3568" s="3" t="str">
        <f t="shared" si="165"/>
        <v>2-4 Years</v>
      </c>
    </row>
    <row r="3569" spans="1:11" x14ac:dyDescent="0.3">
      <c r="A3569" t="s">
        <v>3586</v>
      </c>
      <c r="B3569" t="s">
        <v>9</v>
      </c>
      <c r="C3569" t="s">
        <v>10</v>
      </c>
      <c r="D3569" t="s">
        <v>20</v>
      </c>
      <c r="E3569">
        <v>19.55</v>
      </c>
      <c r="F3569">
        <v>28</v>
      </c>
      <c r="G3569">
        <v>547.4</v>
      </c>
      <c r="H3569" t="s">
        <v>12</v>
      </c>
      <c r="I3569" t="str">
        <f t="shared" si="166"/>
        <v>Low Value</v>
      </c>
      <c r="J3569" t="str">
        <f t="shared" si="167"/>
        <v>Low Risk</v>
      </c>
      <c r="K3569" s="3" t="str">
        <f t="shared" si="165"/>
        <v>2-4 Years</v>
      </c>
    </row>
    <row r="3570" spans="1:11" x14ac:dyDescent="0.3">
      <c r="A3570" t="s">
        <v>3587</v>
      </c>
      <c r="B3570" t="s">
        <v>9</v>
      </c>
      <c r="C3570" t="s">
        <v>10</v>
      </c>
      <c r="D3570" t="s">
        <v>16</v>
      </c>
      <c r="E3570">
        <v>20.350000000000001</v>
      </c>
      <c r="F3570">
        <v>1</v>
      </c>
      <c r="G3570">
        <v>20.350000000000001</v>
      </c>
      <c r="H3570" t="s">
        <v>12</v>
      </c>
      <c r="I3570" t="str">
        <f t="shared" si="166"/>
        <v>Low Value</v>
      </c>
      <c r="J3570" t="str">
        <f t="shared" si="167"/>
        <v>High Risk</v>
      </c>
      <c r="K3570" s="3" t="str">
        <f t="shared" si="165"/>
        <v>0-1 Year</v>
      </c>
    </row>
    <row r="3571" spans="1:11" x14ac:dyDescent="0.3">
      <c r="A3571" t="s">
        <v>3588</v>
      </c>
      <c r="B3571" t="s">
        <v>14</v>
      </c>
      <c r="C3571" t="s">
        <v>10</v>
      </c>
      <c r="D3571" t="s">
        <v>11</v>
      </c>
      <c r="E3571">
        <v>51.7</v>
      </c>
      <c r="F3571">
        <v>59</v>
      </c>
      <c r="G3571">
        <v>3050.3</v>
      </c>
      <c r="H3571" t="s">
        <v>12</v>
      </c>
      <c r="I3571" t="str">
        <f t="shared" si="166"/>
        <v>Medium Value</v>
      </c>
      <c r="J3571" t="str">
        <f t="shared" si="167"/>
        <v>Low Risk</v>
      </c>
      <c r="K3571" s="3" t="str">
        <f t="shared" si="165"/>
        <v>4+ Years</v>
      </c>
    </row>
    <row r="3572" spans="1:11" x14ac:dyDescent="0.3">
      <c r="A3572" t="s">
        <v>3589</v>
      </c>
      <c r="B3572" t="s">
        <v>9</v>
      </c>
      <c r="C3572" t="s">
        <v>15</v>
      </c>
      <c r="D3572" t="s">
        <v>20</v>
      </c>
      <c r="E3572">
        <v>23.3</v>
      </c>
      <c r="F3572">
        <v>72</v>
      </c>
      <c r="G3572">
        <v>1677.6</v>
      </c>
      <c r="H3572" t="s">
        <v>12</v>
      </c>
      <c r="I3572" t="str">
        <f t="shared" si="166"/>
        <v>Low Value</v>
      </c>
      <c r="J3572" t="str">
        <f t="shared" si="167"/>
        <v>Low Risk</v>
      </c>
      <c r="K3572" s="3" t="str">
        <f t="shared" si="165"/>
        <v>4+ Years</v>
      </c>
    </row>
    <row r="3573" spans="1:11" x14ac:dyDescent="0.3">
      <c r="A3573" t="s">
        <v>3590</v>
      </c>
      <c r="B3573" t="s">
        <v>14</v>
      </c>
      <c r="C3573" t="s">
        <v>15</v>
      </c>
      <c r="D3573" t="s">
        <v>16</v>
      </c>
      <c r="E3573">
        <v>65.400000000000006</v>
      </c>
      <c r="F3573">
        <v>36</v>
      </c>
      <c r="G3573">
        <v>2354.4</v>
      </c>
      <c r="H3573" t="s">
        <v>18</v>
      </c>
      <c r="I3573" t="str">
        <f t="shared" si="166"/>
        <v>Medium Value</v>
      </c>
      <c r="J3573" t="str">
        <f t="shared" si="167"/>
        <v>Low Risk</v>
      </c>
      <c r="K3573" s="3" t="str">
        <f t="shared" si="165"/>
        <v>2-4 Years</v>
      </c>
    </row>
    <row r="3574" spans="1:11" x14ac:dyDescent="0.3">
      <c r="A3574" t="s">
        <v>3591</v>
      </c>
      <c r="B3574" t="s">
        <v>9</v>
      </c>
      <c r="C3574" t="s">
        <v>10</v>
      </c>
      <c r="D3574" t="s">
        <v>16</v>
      </c>
      <c r="E3574">
        <v>65.099999999999994</v>
      </c>
      <c r="F3574">
        <v>40</v>
      </c>
      <c r="G3574">
        <v>2604</v>
      </c>
      <c r="H3574" t="s">
        <v>12</v>
      </c>
      <c r="I3574" t="str">
        <f t="shared" si="166"/>
        <v>Medium Value</v>
      </c>
      <c r="J3574" t="str">
        <f t="shared" si="167"/>
        <v>Low Risk</v>
      </c>
      <c r="K3574" s="3" t="str">
        <f t="shared" si="165"/>
        <v>2-4 Years</v>
      </c>
    </row>
    <row r="3575" spans="1:11" x14ac:dyDescent="0.3">
      <c r="A3575" t="s">
        <v>3592</v>
      </c>
      <c r="B3575" t="s">
        <v>14</v>
      </c>
      <c r="C3575" t="s">
        <v>10</v>
      </c>
      <c r="D3575" t="s">
        <v>11</v>
      </c>
      <c r="E3575">
        <v>81.2</v>
      </c>
      <c r="F3575">
        <v>40</v>
      </c>
      <c r="G3575">
        <v>3248</v>
      </c>
      <c r="H3575" t="s">
        <v>12</v>
      </c>
      <c r="I3575" t="str">
        <f t="shared" si="166"/>
        <v>Medium Value</v>
      </c>
      <c r="J3575" t="str">
        <f t="shared" si="167"/>
        <v>Low Risk</v>
      </c>
      <c r="K3575" s="3" t="str">
        <f t="shared" si="165"/>
        <v>2-4 Years</v>
      </c>
    </row>
    <row r="3576" spans="1:11" x14ac:dyDescent="0.3">
      <c r="A3576" t="s">
        <v>3593</v>
      </c>
      <c r="B3576" t="s">
        <v>9</v>
      </c>
      <c r="C3576" t="s">
        <v>10</v>
      </c>
      <c r="D3576" t="s">
        <v>16</v>
      </c>
      <c r="E3576">
        <v>72.900000000000006</v>
      </c>
      <c r="F3576">
        <v>9</v>
      </c>
      <c r="G3576">
        <v>656.1</v>
      </c>
      <c r="H3576" t="s">
        <v>18</v>
      </c>
      <c r="I3576" t="str">
        <f t="shared" si="166"/>
        <v>Low Value</v>
      </c>
      <c r="J3576" t="str">
        <f t="shared" si="167"/>
        <v>High Risk</v>
      </c>
      <c r="K3576" s="3" t="str">
        <f t="shared" si="165"/>
        <v>0-1 Year</v>
      </c>
    </row>
    <row r="3577" spans="1:11" x14ac:dyDescent="0.3">
      <c r="A3577" t="s">
        <v>3594</v>
      </c>
      <c r="B3577" t="s">
        <v>14</v>
      </c>
      <c r="C3577" t="s">
        <v>30</v>
      </c>
      <c r="D3577" t="s">
        <v>24</v>
      </c>
      <c r="E3577">
        <v>74.5</v>
      </c>
      <c r="F3577">
        <v>63</v>
      </c>
      <c r="G3577">
        <v>4693.5</v>
      </c>
      <c r="H3577" t="s">
        <v>12</v>
      </c>
      <c r="I3577" t="str">
        <f t="shared" si="166"/>
        <v>Medium Value</v>
      </c>
      <c r="J3577" t="str">
        <f t="shared" si="167"/>
        <v>Low Risk</v>
      </c>
      <c r="K3577" s="3" t="str">
        <f t="shared" si="165"/>
        <v>4+ Years</v>
      </c>
    </row>
    <row r="3578" spans="1:11" x14ac:dyDescent="0.3">
      <c r="A3578" t="s">
        <v>3595</v>
      </c>
      <c r="B3578" t="s">
        <v>9</v>
      </c>
      <c r="C3578" t="s">
        <v>10</v>
      </c>
      <c r="D3578" t="s">
        <v>11</v>
      </c>
      <c r="E3578">
        <v>80.5</v>
      </c>
      <c r="F3578">
        <v>3</v>
      </c>
      <c r="G3578">
        <v>241.5</v>
      </c>
      <c r="H3578" t="s">
        <v>12</v>
      </c>
      <c r="I3578" t="str">
        <f t="shared" si="166"/>
        <v>Low Value</v>
      </c>
      <c r="J3578" t="str">
        <f t="shared" si="167"/>
        <v>High Risk</v>
      </c>
      <c r="K3578" s="3" t="str">
        <f t="shared" si="165"/>
        <v>0-1 Year</v>
      </c>
    </row>
    <row r="3579" spans="1:11" x14ac:dyDescent="0.3">
      <c r="A3579" t="s">
        <v>3596</v>
      </c>
      <c r="B3579" t="s">
        <v>14</v>
      </c>
      <c r="C3579" t="s">
        <v>15</v>
      </c>
      <c r="D3579" t="s">
        <v>16</v>
      </c>
      <c r="E3579">
        <v>60.3</v>
      </c>
      <c r="F3579">
        <v>40</v>
      </c>
      <c r="G3579">
        <v>2412</v>
      </c>
      <c r="H3579" t="s">
        <v>12</v>
      </c>
      <c r="I3579" t="str">
        <f t="shared" si="166"/>
        <v>Medium Value</v>
      </c>
      <c r="J3579" t="str">
        <f t="shared" si="167"/>
        <v>Low Risk</v>
      </c>
      <c r="K3579" s="3" t="str">
        <f t="shared" si="165"/>
        <v>2-4 Years</v>
      </c>
    </row>
    <row r="3580" spans="1:11" x14ac:dyDescent="0.3">
      <c r="A3580" t="s">
        <v>3597</v>
      </c>
      <c r="B3580" t="s">
        <v>14</v>
      </c>
      <c r="C3580" t="s">
        <v>10</v>
      </c>
      <c r="D3580" t="s">
        <v>16</v>
      </c>
      <c r="E3580">
        <v>75</v>
      </c>
      <c r="F3580">
        <v>8</v>
      </c>
      <c r="G3580">
        <v>600</v>
      </c>
      <c r="H3580" t="s">
        <v>12</v>
      </c>
      <c r="I3580" t="str">
        <f t="shared" si="166"/>
        <v>Low Value</v>
      </c>
      <c r="J3580" t="str">
        <f t="shared" si="167"/>
        <v>High Risk</v>
      </c>
      <c r="K3580" s="3" t="str">
        <f t="shared" si="165"/>
        <v>0-1 Year</v>
      </c>
    </row>
    <row r="3581" spans="1:11" x14ac:dyDescent="0.3">
      <c r="A3581" t="s">
        <v>3598</v>
      </c>
      <c r="B3581" t="s">
        <v>14</v>
      </c>
      <c r="C3581" t="s">
        <v>15</v>
      </c>
      <c r="D3581" t="s">
        <v>16</v>
      </c>
      <c r="E3581">
        <v>90.15</v>
      </c>
      <c r="F3581">
        <v>34</v>
      </c>
      <c r="G3581">
        <v>3065.1</v>
      </c>
      <c r="H3581" t="s">
        <v>12</v>
      </c>
      <c r="I3581" t="str">
        <f t="shared" si="166"/>
        <v>Medium Value</v>
      </c>
      <c r="J3581" t="str">
        <f t="shared" si="167"/>
        <v>Low Risk</v>
      </c>
      <c r="K3581" s="3" t="str">
        <f t="shared" si="165"/>
        <v>2-4 Years</v>
      </c>
    </row>
    <row r="3582" spans="1:11" x14ac:dyDescent="0.3">
      <c r="A3582" t="s">
        <v>3599</v>
      </c>
      <c r="B3582" t="s">
        <v>14</v>
      </c>
      <c r="C3582" t="s">
        <v>10</v>
      </c>
      <c r="D3582" t="s">
        <v>16</v>
      </c>
      <c r="E3582">
        <v>40</v>
      </c>
      <c r="F3582">
        <v>5</v>
      </c>
      <c r="G3582">
        <v>200</v>
      </c>
      <c r="H3582" t="s">
        <v>18</v>
      </c>
      <c r="I3582" t="str">
        <f t="shared" si="166"/>
        <v>Low Value</v>
      </c>
      <c r="J3582" t="str">
        <f t="shared" si="167"/>
        <v>High Risk</v>
      </c>
      <c r="K3582" s="3" t="str">
        <f t="shared" si="165"/>
        <v>0-1 Year</v>
      </c>
    </row>
    <row r="3583" spans="1:11" x14ac:dyDescent="0.3">
      <c r="A3583" t="s">
        <v>3600</v>
      </c>
      <c r="B3583" t="s">
        <v>14</v>
      </c>
      <c r="C3583" t="s">
        <v>10</v>
      </c>
      <c r="D3583" t="s">
        <v>24</v>
      </c>
      <c r="E3583">
        <v>99.45</v>
      </c>
      <c r="F3583">
        <v>9</v>
      </c>
      <c r="G3583">
        <v>895.05</v>
      </c>
      <c r="H3583" t="s">
        <v>18</v>
      </c>
      <c r="I3583" t="str">
        <f t="shared" si="166"/>
        <v>Low Value</v>
      </c>
      <c r="J3583" t="str">
        <f t="shared" si="167"/>
        <v>High Risk</v>
      </c>
      <c r="K3583" s="3" t="str">
        <f t="shared" si="165"/>
        <v>0-1 Year</v>
      </c>
    </row>
    <row r="3584" spans="1:11" x14ac:dyDescent="0.3">
      <c r="A3584" t="s">
        <v>3601</v>
      </c>
      <c r="B3584" t="s">
        <v>14</v>
      </c>
      <c r="C3584" t="s">
        <v>10</v>
      </c>
      <c r="D3584" t="s">
        <v>24</v>
      </c>
      <c r="E3584">
        <v>69.05</v>
      </c>
      <c r="F3584">
        <v>9</v>
      </c>
      <c r="G3584">
        <v>621.44999999999902</v>
      </c>
      <c r="H3584" t="s">
        <v>12</v>
      </c>
      <c r="I3584" t="str">
        <f t="shared" si="166"/>
        <v>Low Value</v>
      </c>
      <c r="J3584" t="str">
        <f t="shared" si="167"/>
        <v>High Risk</v>
      </c>
      <c r="K3584" s="3" t="str">
        <f t="shared" si="165"/>
        <v>0-1 Year</v>
      </c>
    </row>
    <row r="3585" spans="1:11" x14ac:dyDescent="0.3">
      <c r="A3585" t="s">
        <v>3602</v>
      </c>
      <c r="B3585" t="s">
        <v>14</v>
      </c>
      <c r="C3585" t="s">
        <v>10</v>
      </c>
      <c r="D3585" t="s">
        <v>20</v>
      </c>
      <c r="E3585">
        <v>59.7</v>
      </c>
      <c r="F3585">
        <v>31</v>
      </c>
      <c r="G3585">
        <v>1850.7</v>
      </c>
      <c r="H3585" t="s">
        <v>12</v>
      </c>
      <c r="I3585" t="str">
        <f t="shared" si="166"/>
        <v>Low Value</v>
      </c>
      <c r="J3585" t="str">
        <f t="shared" si="167"/>
        <v>Low Risk</v>
      </c>
      <c r="K3585" s="3" t="str">
        <f t="shared" si="165"/>
        <v>2-4 Years</v>
      </c>
    </row>
    <row r="3586" spans="1:11" x14ac:dyDescent="0.3">
      <c r="A3586" t="s">
        <v>3603</v>
      </c>
      <c r="B3586" t="s">
        <v>9</v>
      </c>
      <c r="C3586" t="s">
        <v>15</v>
      </c>
      <c r="D3586" t="s">
        <v>20</v>
      </c>
      <c r="E3586">
        <v>19.850000000000001</v>
      </c>
      <c r="F3586">
        <v>50</v>
      </c>
      <c r="G3586">
        <v>992.5</v>
      </c>
      <c r="H3586" t="s">
        <v>12</v>
      </c>
      <c r="I3586" t="str">
        <f t="shared" si="166"/>
        <v>Low Value</v>
      </c>
      <c r="J3586" t="str">
        <f t="shared" si="167"/>
        <v>Low Risk</v>
      </c>
      <c r="K3586" s="3" t="str">
        <f t="shared" si="165"/>
        <v>4+ Years</v>
      </c>
    </row>
    <row r="3587" spans="1:11" x14ac:dyDescent="0.3">
      <c r="A3587" t="s">
        <v>3604</v>
      </c>
      <c r="B3587" t="s">
        <v>9</v>
      </c>
      <c r="C3587" t="s">
        <v>10</v>
      </c>
      <c r="D3587" t="s">
        <v>11</v>
      </c>
      <c r="E3587">
        <v>86.25</v>
      </c>
      <c r="F3587">
        <v>2</v>
      </c>
      <c r="G3587">
        <v>172.5</v>
      </c>
      <c r="H3587" t="s">
        <v>18</v>
      </c>
      <c r="I3587" t="str">
        <f t="shared" si="166"/>
        <v>Low Value</v>
      </c>
      <c r="J3587" t="str">
        <f t="shared" si="167"/>
        <v>High Risk</v>
      </c>
      <c r="K3587" s="3" t="str">
        <f t="shared" ref="K3587:K3650" si="168">IF(F3587&lt;=12,"0-1 Year",
IF(F3587&lt;=24,"1-2 Years",
IF(F3587&lt;=48,"2-4 Years","4+ Years")))</f>
        <v>0-1 Year</v>
      </c>
    </row>
    <row r="3588" spans="1:11" x14ac:dyDescent="0.3">
      <c r="A3588" t="s">
        <v>3605</v>
      </c>
      <c r="B3588" t="s">
        <v>9</v>
      </c>
      <c r="C3588" t="s">
        <v>10</v>
      </c>
      <c r="D3588" t="s">
        <v>11</v>
      </c>
      <c r="E3588">
        <v>45.65</v>
      </c>
      <c r="F3588">
        <v>1</v>
      </c>
      <c r="G3588">
        <v>45.65</v>
      </c>
      <c r="H3588" t="s">
        <v>18</v>
      </c>
      <c r="I3588" t="str">
        <f t="shared" ref="I3588:I3651" si="169">IF(G3588&gt;5000,"High Value",
IF(G3588&gt;2000,"Medium Value","Low Value"))</f>
        <v>Low Value</v>
      </c>
      <c r="J3588" t="str">
        <f t="shared" ref="J3588:J3651" si="170">IF(F3588&lt;12,"High Risk",
IF(F3588&lt;24,"Medium Risk","Low Risk"))</f>
        <v>High Risk</v>
      </c>
      <c r="K3588" s="3" t="str">
        <f t="shared" si="168"/>
        <v>0-1 Year</v>
      </c>
    </row>
    <row r="3589" spans="1:11" x14ac:dyDescent="0.3">
      <c r="A3589" t="s">
        <v>3606</v>
      </c>
      <c r="B3589" t="s">
        <v>14</v>
      </c>
      <c r="C3589" t="s">
        <v>10</v>
      </c>
      <c r="D3589" t="s">
        <v>16</v>
      </c>
      <c r="E3589">
        <v>70.099999999999994</v>
      </c>
      <c r="F3589">
        <v>8</v>
      </c>
      <c r="G3589">
        <v>560.79999999999995</v>
      </c>
      <c r="H3589" t="s">
        <v>18</v>
      </c>
      <c r="I3589" t="str">
        <f t="shared" si="169"/>
        <v>Low Value</v>
      </c>
      <c r="J3589" t="str">
        <f t="shared" si="170"/>
        <v>High Risk</v>
      </c>
      <c r="K3589" s="3" t="str">
        <f t="shared" si="168"/>
        <v>0-1 Year</v>
      </c>
    </row>
    <row r="3590" spans="1:11" x14ac:dyDescent="0.3">
      <c r="A3590" t="s">
        <v>3607</v>
      </c>
      <c r="B3590" t="s">
        <v>9</v>
      </c>
      <c r="C3590" t="s">
        <v>10</v>
      </c>
      <c r="D3590" t="s">
        <v>11</v>
      </c>
      <c r="E3590">
        <v>40.75</v>
      </c>
      <c r="F3590">
        <v>9</v>
      </c>
      <c r="G3590">
        <v>366.75</v>
      </c>
      <c r="H3590" t="s">
        <v>12</v>
      </c>
      <c r="I3590" t="str">
        <f t="shared" si="169"/>
        <v>Low Value</v>
      </c>
      <c r="J3590" t="str">
        <f t="shared" si="170"/>
        <v>High Risk</v>
      </c>
      <c r="K3590" s="3" t="str">
        <f t="shared" si="168"/>
        <v>0-1 Year</v>
      </c>
    </row>
    <row r="3591" spans="1:11" x14ac:dyDescent="0.3">
      <c r="A3591" t="s">
        <v>3608</v>
      </c>
      <c r="B3591" t="s">
        <v>9</v>
      </c>
      <c r="C3591" t="s">
        <v>10</v>
      </c>
      <c r="D3591" t="s">
        <v>20</v>
      </c>
      <c r="E3591">
        <v>70.2</v>
      </c>
      <c r="F3591">
        <v>2</v>
      </c>
      <c r="G3591">
        <v>140.4</v>
      </c>
      <c r="H3591" t="s">
        <v>18</v>
      </c>
      <c r="I3591" t="str">
        <f t="shared" si="169"/>
        <v>Low Value</v>
      </c>
      <c r="J3591" t="str">
        <f t="shared" si="170"/>
        <v>High Risk</v>
      </c>
      <c r="K3591" s="3" t="str">
        <f t="shared" si="168"/>
        <v>0-1 Year</v>
      </c>
    </row>
    <row r="3592" spans="1:11" x14ac:dyDescent="0.3">
      <c r="A3592" t="s">
        <v>3609</v>
      </c>
      <c r="B3592" t="s">
        <v>9</v>
      </c>
      <c r="C3592" t="s">
        <v>10</v>
      </c>
      <c r="D3592" t="s">
        <v>11</v>
      </c>
      <c r="E3592">
        <v>55.35</v>
      </c>
      <c r="F3592">
        <v>3</v>
      </c>
      <c r="G3592">
        <v>166.05</v>
      </c>
      <c r="H3592" t="s">
        <v>18</v>
      </c>
      <c r="I3592" t="str">
        <f t="shared" si="169"/>
        <v>Low Value</v>
      </c>
      <c r="J3592" t="str">
        <f t="shared" si="170"/>
        <v>High Risk</v>
      </c>
      <c r="K3592" s="3" t="str">
        <f t="shared" si="168"/>
        <v>0-1 Year</v>
      </c>
    </row>
    <row r="3593" spans="1:11" x14ac:dyDescent="0.3">
      <c r="A3593" t="s">
        <v>3610</v>
      </c>
      <c r="B3593" t="s">
        <v>14</v>
      </c>
      <c r="C3593" t="s">
        <v>10</v>
      </c>
      <c r="D3593" t="s">
        <v>24</v>
      </c>
      <c r="E3593">
        <v>95.7</v>
      </c>
      <c r="F3593">
        <v>25</v>
      </c>
      <c r="G3593">
        <v>2392.5</v>
      </c>
      <c r="H3593" t="s">
        <v>12</v>
      </c>
      <c r="I3593" t="str">
        <f t="shared" si="169"/>
        <v>Medium Value</v>
      </c>
      <c r="J3593" t="str">
        <f t="shared" si="170"/>
        <v>Low Risk</v>
      </c>
      <c r="K3593" s="3" t="str">
        <f t="shared" si="168"/>
        <v>2-4 Years</v>
      </c>
    </row>
    <row r="3594" spans="1:11" x14ac:dyDescent="0.3">
      <c r="A3594" t="s">
        <v>3611</v>
      </c>
      <c r="B3594" t="s">
        <v>14</v>
      </c>
      <c r="C3594" t="s">
        <v>10</v>
      </c>
      <c r="D3594" t="s">
        <v>11</v>
      </c>
      <c r="E3594">
        <v>46.3</v>
      </c>
      <c r="F3594">
        <v>1</v>
      </c>
      <c r="G3594">
        <v>46.3</v>
      </c>
      <c r="H3594" t="s">
        <v>12</v>
      </c>
      <c r="I3594" t="str">
        <f t="shared" si="169"/>
        <v>Low Value</v>
      </c>
      <c r="J3594" t="str">
        <f t="shared" si="170"/>
        <v>High Risk</v>
      </c>
      <c r="K3594" s="3" t="str">
        <f t="shared" si="168"/>
        <v>0-1 Year</v>
      </c>
    </row>
    <row r="3595" spans="1:11" x14ac:dyDescent="0.3">
      <c r="A3595" t="s">
        <v>3612</v>
      </c>
      <c r="B3595" t="s">
        <v>9</v>
      </c>
      <c r="C3595" t="s">
        <v>10</v>
      </c>
      <c r="D3595" t="s">
        <v>16</v>
      </c>
      <c r="E3595">
        <v>81.3</v>
      </c>
      <c r="F3595">
        <v>45</v>
      </c>
      <c r="G3595">
        <v>3658.5</v>
      </c>
      <c r="H3595" t="s">
        <v>12</v>
      </c>
      <c r="I3595" t="str">
        <f t="shared" si="169"/>
        <v>Medium Value</v>
      </c>
      <c r="J3595" t="str">
        <f t="shared" si="170"/>
        <v>Low Risk</v>
      </c>
      <c r="K3595" s="3" t="str">
        <f t="shared" si="168"/>
        <v>2-4 Years</v>
      </c>
    </row>
    <row r="3596" spans="1:11" x14ac:dyDescent="0.3">
      <c r="A3596" t="s">
        <v>3613</v>
      </c>
      <c r="B3596" t="s">
        <v>14</v>
      </c>
      <c r="C3596" t="s">
        <v>10</v>
      </c>
      <c r="D3596" t="s">
        <v>11</v>
      </c>
      <c r="E3596">
        <v>84.2</v>
      </c>
      <c r="F3596">
        <v>51</v>
      </c>
      <c r="G3596">
        <v>4294.2</v>
      </c>
      <c r="H3596" t="s">
        <v>18</v>
      </c>
      <c r="I3596" t="str">
        <f t="shared" si="169"/>
        <v>Medium Value</v>
      </c>
      <c r="J3596" t="str">
        <f t="shared" si="170"/>
        <v>Low Risk</v>
      </c>
      <c r="K3596" s="3" t="str">
        <f t="shared" si="168"/>
        <v>4+ Years</v>
      </c>
    </row>
    <row r="3597" spans="1:11" x14ac:dyDescent="0.3">
      <c r="A3597" t="s">
        <v>3614</v>
      </c>
      <c r="B3597" t="s">
        <v>9</v>
      </c>
      <c r="C3597" t="s">
        <v>10</v>
      </c>
      <c r="D3597" t="s">
        <v>24</v>
      </c>
      <c r="E3597">
        <v>20</v>
      </c>
      <c r="F3597">
        <v>55</v>
      </c>
      <c r="G3597">
        <v>1100</v>
      </c>
      <c r="H3597" t="s">
        <v>12</v>
      </c>
      <c r="I3597" t="str">
        <f t="shared" si="169"/>
        <v>Low Value</v>
      </c>
      <c r="J3597" t="str">
        <f t="shared" si="170"/>
        <v>Low Risk</v>
      </c>
      <c r="K3597" s="3" t="str">
        <f t="shared" si="168"/>
        <v>4+ Years</v>
      </c>
    </row>
    <row r="3598" spans="1:11" x14ac:dyDescent="0.3">
      <c r="A3598" t="s">
        <v>3615</v>
      </c>
      <c r="B3598" t="s">
        <v>9</v>
      </c>
      <c r="C3598" t="s">
        <v>10</v>
      </c>
      <c r="D3598" t="s">
        <v>20</v>
      </c>
      <c r="E3598">
        <v>66.150000000000006</v>
      </c>
      <c r="F3598">
        <v>38</v>
      </c>
      <c r="G3598">
        <v>2513.6999999999998</v>
      </c>
      <c r="H3598" t="s">
        <v>12</v>
      </c>
      <c r="I3598" t="str">
        <f t="shared" si="169"/>
        <v>Medium Value</v>
      </c>
      <c r="J3598" t="str">
        <f t="shared" si="170"/>
        <v>Low Risk</v>
      </c>
      <c r="K3598" s="3" t="str">
        <f t="shared" si="168"/>
        <v>2-4 Years</v>
      </c>
    </row>
    <row r="3599" spans="1:11" x14ac:dyDescent="0.3">
      <c r="A3599" t="s">
        <v>3616</v>
      </c>
      <c r="B3599" t="s">
        <v>14</v>
      </c>
      <c r="C3599" t="s">
        <v>10</v>
      </c>
      <c r="D3599" t="s">
        <v>16</v>
      </c>
      <c r="E3599">
        <v>45.85</v>
      </c>
      <c r="F3599">
        <v>2</v>
      </c>
      <c r="G3599">
        <v>91.7</v>
      </c>
      <c r="H3599" t="s">
        <v>18</v>
      </c>
      <c r="I3599" t="str">
        <f t="shared" si="169"/>
        <v>Low Value</v>
      </c>
      <c r="J3599" t="str">
        <f t="shared" si="170"/>
        <v>High Risk</v>
      </c>
      <c r="K3599" s="3" t="str">
        <f t="shared" si="168"/>
        <v>0-1 Year</v>
      </c>
    </row>
    <row r="3600" spans="1:11" x14ac:dyDescent="0.3">
      <c r="A3600" t="s">
        <v>3617</v>
      </c>
      <c r="B3600" t="s">
        <v>14</v>
      </c>
      <c r="C3600" t="s">
        <v>10</v>
      </c>
      <c r="D3600" t="s">
        <v>11</v>
      </c>
      <c r="E3600">
        <v>19.600000000000001</v>
      </c>
      <c r="F3600">
        <v>38</v>
      </c>
      <c r="G3600">
        <v>744.8</v>
      </c>
      <c r="H3600" t="s">
        <v>12</v>
      </c>
      <c r="I3600" t="str">
        <f t="shared" si="169"/>
        <v>Low Value</v>
      </c>
      <c r="J3600" t="str">
        <f t="shared" si="170"/>
        <v>Low Risk</v>
      </c>
      <c r="K3600" s="3" t="str">
        <f t="shared" si="168"/>
        <v>2-4 Years</v>
      </c>
    </row>
    <row r="3601" spans="1:11" x14ac:dyDescent="0.3">
      <c r="A3601" t="s">
        <v>3618</v>
      </c>
      <c r="B3601" t="s">
        <v>14</v>
      </c>
      <c r="C3601" t="s">
        <v>10</v>
      </c>
      <c r="D3601" t="s">
        <v>11</v>
      </c>
      <c r="E3601">
        <v>49.8</v>
      </c>
      <c r="F3601">
        <v>34</v>
      </c>
      <c r="G3601">
        <v>1693.19999999999</v>
      </c>
      <c r="H3601" t="s">
        <v>12</v>
      </c>
      <c r="I3601" t="str">
        <f t="shared" si="169"/>
        <v>Low Value</v>
      </c>
      <c r="J3601" t="str">
        <f t="shared" si="170"/>
        <v>Low Risk</v>
      </c>
      <c r="K3601" s="3" t="str">
        <f t="shared" si="168"/>
        <v>2-4 Years</v>
      </c>
    </row>
    <row r="3602" spans="1:11" x14ac:dyDescent="0.3">
      <c r="A3602" t="s">
        <v>3619</v>
      </c>
      <c r="B3602" t="s">
        <v>9</v>
      </c>
      <c r="C3602" t="s">
        <v>15</v>
      </c>
      <c r="D3602" t="s">
        <v>11</v>
      </c>
      <c r="E3602">
        <v>101.75</v>
      </c>
      <c r="F3602">
        <v>70</v>
      </c>
      <c r="G3602">
        <v>7122.5</v>
      </c>
      <c r="H3602" t="s">
        <v>12</v>
      </c>
      <c r="I3602" t="str">
        <f t="shared" si="169"/>
        <v>High Value</v>
      </c>
      <c r="J3602" t="str">
        <f t="shared" si="170"/>
        <v>Low Risk</v>
      </c>
      <c r="K3602" s="3" t="str">
        <f t="shared" si="168"/>
        <v>4+ Years</v>
      </c>
    </row>
    <row r="3603" spans="1:11" x14ac:dyDescent="0.3">
      <c r="A3603" t="s">
        <v>3620</v>
      </c>
      <c r="B3603" t="s">
        <v>9</v>
      </c>
      <c r="C3603" t="s">
        <v>15</v>
      </c>
      <c r="D3603" t="s">
        <v>16</v>
      </c>
      <c r="E3603">
        <v>55.15</v>
      </c>
      <c r="F3603">
        <v>13</v>
      </c>
      <c r="G3603">
        <v>716.94999999999902</v>
      </c>
      <c r="H3603" t="s">
        <v>12</v>
      </c>
      <c r="I3603" t="str">
        <f t="shared" si="169"/>
        <v>Low Value</v>
      </c>
      <c r="J3603" t="str">
        <f t="shared" si="170"/>
        <v>Medium Risk</v>
      </c>
      <c r="K3603" s="3" t="str">
        <f t="shared" si="168"/>
        <v>1-2 Years</v>
      </c>
    </row>
    <row r="3604" spans="1:11" x14ac:dyDescent="0.3">
      <c r="A3604" t="s">
        <v>3621</v>
      </c>
      <c r="B3604" t="s">
        <v>14</v>
      </c>
      <c r="C3604" t="s">
        <v>10</v>
      </c>
      <c r="D3604" t="s">
        <v>11</v>
      </c>
      <c r="E3604">
        <v>75.25</v>
      </c>
      <c r="F3604">
        <v>39</v>
      </c>
      <c r="G3604">
        <v>2934.75</v>
      </c>
      <c r="H3604" t="s">
        <v>18</v>
      </c>
      <c r="I3604" t="str">
        <f t="shared" si="169"/>
        <v>Medium Value</v>
      </c>
      <c r="J3604" t="str">
        <f t="shared" si="170"/>
        <v>Low Risk</v>
      </c>
      <c r="K3604" s="3" t="str">
        <f t="shared" si="168"/>
        <v>2-4 Years</v>
      </c>
    </row>
    <row r="3605" spans="1:11" x14ac:dyDescent="0.3">
      <c r="A3605" t="s">
        <v>3622</v>
      </c>
      <c r="B3605" t="s">
        <v>9</v>
      </c>
      <c r="C3605" t="s">
        <v>15</v>
      </c>
      <c r="D3605" t="s">
        <v>11</v>
      </c>
      <c r="E3605">
        <v>103.95</v>
      </c>
      <c r="F3605">
        <v>61</v>
      </c>
      <c r="G3605">
        <v>6340.95</v>
      </c>
      <c r="H3605" t="s">
        <v>12</v>
      </c>
      <c r="I3605" t="str">
        <f t="shared" si="169"/>
        <v>High Value</v>
      </c>
      <c r="J3605" t="str">
        <f t="shared" si="170"/>
        <v>Low Risk</v>
      </c>
      <c r="K3605" s="3" t="str">
        <f t="shared" si="168"/>
        <v>4+ Years</v>
      </c>
    </row>
    <row r="3606" spans="1:11" x14ac:dyDescent="0.3">
      <c r="A3606" t="s">
        <v>3623</v>
      </c>
      <c r="B3606" t="s">
        <v>9</v>
      </c>
      <c r="C3606" t="s">
        <v>10</v>
      </c>
      <c r="D3606" t="s">
        <v>20</v>
      </c>
      <c r="E3606">
        <v>100.15</v>
      </c>
      <c r="F3606">
        <v>12</v>
      </c>
      <c r="G3606">
        <v>1201.8</v>
      </c>
      <c r="H3606" t="s">
        <v>18</v>
      </c>
      <c r="I3606" t="str">
        <f t="shared" si="169"/>
        <v>Low Value</v>
      </c>
      <c r="J3606" t="str">
        <f t="shared" si="170"/>
        <v>Medium Risk</v>
      </c>
      <c r="K3606" s="3" t="str">
        <f t="shared" si="168"/>
        <v>0-1 Year</v>
      </c>
    </row>
    <row r="3607" spans="1:11" x14ac:dyDescent="0.3">
      <c r="A3607" t="s">
        <v>3624</v>
      </c>
      <c r="B3607" t="s">
        <v>14</v>
      </c>
      <c r="C3607" t="s">
        <v>30</v>
      </c>
      <c r="D3607" t="s">
        <v>24</v>
      </c>
      <c r="E3607">
        <v>99.65</v>
      </c>
      <c r="F3607">
        <v>41</v>
      </c>
      <c r="G3607">
        <v>4085.65</v>
      </c>
      <c r="H3607" t="s">
        <v>12</v>
      </c>
      <c r="I3607" t="str">
        <f t="shared" si="169"/>
        <v>Medium Value</v>
      </c>
      <c r="J3607" t="str">
        <f t="shared" si="170"/>
        <v>Low Risk</v>
      </c>
      <c r="K3607" s="3" t="str">
        <f t="shared" si="168"/>
        <v>2-4 Years</v>
      </c>
    </row>
    <row r="3608" spans="1:11" x14ac:dyDescent="0.3">
      <c r="A3608" t="s">
        <v>3625</v>
      </c>
      <c r="B3608" t="s">
        <v>14</v>
      </c>
      <c r="C3608" t="s">
        <v>10</v>
      </c>
      <c r="D3608" t="s">
        <v>11</v>
      </c>
      <c r="E3608">
        <v>73.7</v>
      </c>
      <c r="F3608">
        <v>21</v>
      </c>
      <c r="G3608">
        <v>1547.7</v>
      </c>
      <c r="H3608" t="s">
        <v>12</v>
      </c>
      <c r="I3608" t="str">
        <f t="shared" si="169"/>
        <v>Low Value</v>
      </c>
      <c r="J3608" t="str">
        <f t="shared" si="170"/>
        <v>Medium Risk</v>
      </c>
      <c r="K3608" s="3" t="str">
        <f t="shared" si="168"/>
        <v>1-2 Years</v>
      </c>
    </row>
    <row r="3609" spans="1:11" x14ac:dyDescent="0.3">
      <c r="A3609" t="s">
        <v>3626</v>
      </c>
      <c r="B3609" t="s">
        <v>14</v>
      </c>
      <c r="C3609" t="s">
        <v>15</v>
      </c>
      <c r="D3609" t="s">
        <v>20</v>
      </c>
      <c r="E3609">
        <v>50.05</v>
      </c>
      <c r="F3609">
        <v>55</v>
      </c>
      <c r="G3609">
        <v>2752.75</v>
      </c>
      <c r="H3609" t="s">
        <v>12</v>
      </c>
      <c r="I3609" t="str">
        <f t="shared" si="169"/>
        <v>Medium Value</v>
      </c>
      <c r="J3609" t="str">
        <f t="shared" si="170"/>
        <v>Low Risk</v>
      </c>
      <c r="K3609" s="3" t="str">
        <f t="shared" si="168"/>
        <v>4+ Years</v>
      </c>
    </row>
    <row r="3610" spans="1:11" x14ac:dyDescent="0.3">
      <c r="A3610" t="s">
        <v>3627</v>
      </c>
      <c r="B3610" t="s">
        <v>14</v>
      </c>
      <c r="C3610" t="s">
        <v>30</v>
      </c>
      <c r="D3610" t="s">
        <v>20</v>
      </c>
      <c r="E3610">
        <v>60.25</v>
      </c>
      <c r="F3610">
        <v>69</v>
      </c>
      <c r="G3610">
        <v>4157.25</v>
      </c>
      <c r="H3610" t="s">
        <v>12</v>
      </c>
      <c r="I3610" t="str">
        <f t="shared" si="169"/>
        <v>Medium Value</v>
      </c>
      <c r="J3610" t="str">
        <f t="shared" si="170"/>
        <v>Low Risk</v>
      </c>
      <c r="K3610" s="3" t="str">
        <f t="shared" si="168"/>
        <v>4+ Years</v>
      </c>
    </row>
    <row r="3611" spans="1:11" x14ac:dyDescent="0.3">
      <c r="A3611" t="s">
        <v>3628</v>
      </c>
      <c r="B3611" t="s">
        <v>14</v>
      </c>
      <c r="C3611" t="s">
        <v>10</v>
      </c>
      <c r="D3611" t="s">
        <v>11</v>
      </c>
      <c r="E3611">
        <v>105.75</v>
      </c>
      <c r="F3611">
        <v>26</v>
      </c>
      <c r="G3611">
        <v>2749.5</v>
      </c>
      <c r="H3611" t="s">
        <v>18</v>
      </c>
      <c r="I3611" t="str">
        <f t="shared" si="169"/>
        <v>Medium Value</v>
      </c>
      <c r="J3611" t="str">
        <f t="shared" si="170"/>
        <v>Low Risk</v>
      </c>
      <c r="K3611" s="3" t="str">
        <f t="shared" si="168"/>
        <v>2-4 Years</v>
      </c>
    </row>
    <row r="3612" spans="1:11" x14ac:dyDescent="0.3">
      <c r="A3612" t="s">
        <v>3629</v>
      </c>
      <c r="B3612" t="s">
        <v>9</v>
      </c>
      <c r="C3612" t="s">
        <v>15</v>
      </c>
      <c r="D3612" t="s">
        <v>24</v>
      </c>
      <c r="E3612">
        <v>87.3</v>
      </c>
      <c r="F3612">
        <v>69</v>
      </c>
      <c r="G3612">
        <v>6023.7</v>
      </c>
      <c r="H3612" t="s">
        <v>12</v>
      </c>
      <c r="I3612" t="str">
        <f t="shared" si="169"/>
        <v>High Value</v>
      </c>
      <c r="J3612" t="str">
        <f t="shared" si="170"/>
        <v>Low Risk</v>
      </c>
      <c r="K3612" s="3" t="str">
        <f t="shared" si="168"/>
        <v>4+ Years</v>
      </c>
    </row>
    <row r="3613" spans="1:11" x14ac:dyDescent="0.3">
      <c r="A3613" t="s">
        <v>3630</v>
      </c>
      <c r="B3613" t="s">
        <v>9</v>
      </c>
      <c r="C3613" t="s">
        <v>10</v>
      </c>
      <c r="D3613" t="s">
        <v>11</v>
      </c>
      <c r="E3613">
        <v>48.35</v>
      </c>
      <c r="F3613">
        <v>18</v>
      </c>
      <c r="G3613">
        <v>870.3</v>
      </c>
      <c r="H3613" t="s">
        <v>18</v>
      </c>
      <c r="I3613" t="str">
        <f t="shared" si="169"/>
        <v>Low Value</v>
      </c>
      <c r="J3613" t="str">
        <f t="shared" si="170"/>
        <v>Medium Risk</v>
      </c>
      <c r="K3613" s="3" t="str">
        <f t="shared" si="168"/>
        <v>1-2 Years</v>
      </c>
    </row>
    <row r="3614" spans="1:11" x14ac:dyDescent="0.3">
      <c r="A3614" t="s">
        <v>3631</v>
      </c>
      <c r="B3614" t="s">
        <v>14</v>
      </c>
      <c r="C3614" t="s">
        <v>10</v>
      </c>
      <c r="D3614" t="s">
        <v>11</v>
      </c>
      <c r="E3614">
        <v>54.25</v>
      </c>
      <c r="F3614">
        <v>47</v>
      </c>
      <c r="G3614">
        <v>2549.75</v>
      </c>
      <c r="H3614" t="s">
        <v>12</v>
      </c>
      <c r="I3614" t="str">
        <f t="shared" si="169"/>
        <v>Medium Value</v>
      </c>
      <c r="J3614" t="str">
        <f t="shared" si="170"/>
        <v>Low Risk</v>
      </c>
      <c r="K3614" s="3" t="str">
        <f t="shared" si="168"/>
        <v>2-4 Years</v>
      </c>
    </row>
    <row r="3615" spans="1:11" x14ac:dyDescent="0.3">
      <c r="A3615" t="s">
        <v>3632</v>
      </c>
      <c r="B3615" t="s">
        <v>9</v>
      </c>
      <c r="C3615" t="s">
        <v>30</v>
      </c>
      <c r="D3615" t="s">
        <v>20</v>
      </c>
      <c r="E3615">
        <v>85.3</v>
      </c>
      <c r="F3615">
        <v>72</v>
      </c>
      <c r="G3615">
        <v>6141.5999999999904</v>
      </c>
      <c r="H3615" t="s">
        <v>12</v>
      </c>
      <c r="I3615" t="str">
        <f t="shared" si="169"/>
        <v>High Value</v>
      </c>
      <c r="J3615" t="str">
        <f t="shared" si="170"/>
        <v>Low Risk</v>
      </c>
      <c r="K3615" s="3" t="str">
        <f t="shared" si="168"/>
        <v>4+ Years</v>
      </c>
    </row>
    <row r="3616" spans="1:11" x14ac:dyDescent="0.3">
      <c r="A3616" t="s">
        <v>3633</v>
      </c>
      <c r="B3616" t="s">
        <v>14</v>
      </c>
      <c r="C3616" t="s">
        <v>10</v>
      </c>
      <c r="D3616" t="s">
        <v>11</v>
      </c>
      <c r="E3616">
        <v>50</v>
      </c>
      <c r="F3616">
        <v>33</v>
      </c>
      <c r="G3616">
        <v>1650</v>
      </c>
      <c r="H3616" t="s">
        <v>12</v>
      </c>
      <c r="I3616" t="str">
        <f t="shared" si="169"/>
        <v>Low Value</v>
      </c>
      <c r="J3616" t="str">
        <f t="shared" si="170"/>
        <v>Low Risk</v>
      </c>
      <c r="K3616" s="3" t="str">
        <f t="shared" si="168"/>
        <v>2-4 Years</v>
      </c>
    </row>
    <row r="3617" spans="1:11" x14ac:dyDescent="0.3">
      <c r="A3617" t="s">
        <v>3634</v>
      </c>
      <c r="B3617" t="s">
        <v>9</v>
      </c>
      <c r="C3617" t="s">
        <v>10</v>
      </c>
      <c r="D3617" t="s">
        <v>16</v>
      </c>
      <c r="E3617">
        <v>24.4</v>
      </c>
      <c r="F3617">
        <v>2</v>
      </c>
      <c r="G3617">
        <v>48.8</v>
      </c>
      <c r="H3617" t="s">
        <v>18</v>
      </c>
      <c r="I3617" t="str">
        <f t="shared" si="169"/>
        <v>Low Value</v>
      </c>
      <c r="J3617" t="str">
        <f t="shared" si="170"/>
        <v>High Risk</v>
      </c>
      <c r="K3617" s="3" t="str">
        <f t="shared" si="168"/>
        <v>0-1 Year</v>
      </c>
    </row>
    <row r="3618" spans="1:11" x14ac:dyDescent="0.3">
      <c r="A3618" t="s">
        <v>3635</v>
      </c>
      <c r="B3618" t="s">
        <v>9</v>
      </c>
      <c r="C3618" t="s">
        <v>30</v>
      </c>
      <c r="D3618" t="s">
        <v>24</v>
      </c>
      <c r="E3618">
        <v>90.95</v>
      </c>
      <c r="F3618">
        <v>72</v>
      </c>
      <c r="G3618">
        <v>6548.4</v>
      </c>
      <c r="H3618" t="s">
        <v>12</v>
      </c>
      <c r="I3618" t="str">
        <f t="shared" si="169"/>
        <v>High Value</v>
      </c>
      <c r="J3618" t="str">
        <f t="shared" si="170"/>
        <v>Low Risk</v>
      </c>
      <c r="K3618" s="3" t="str">
        <f t="shared" si="168"/>
        <v>4+ Years</v>
      </c>
    </row>
    <row r="3619" spans="1:11" x14ac:dyDescent="0.3">
      <c r="A3619" t="s">
        <v>3636</v>
      </c>
      <c r="B3619" t="s">
        <v>14</v>
      </c>
      <c r="C3619" t="s">
        <v>10</v>
      </c>
      <c r="D3619" t="s">
        <v>20</v>
      </c>
      <c r="E3619">
        <v>72.25</v>
      </c>
      <c r="F3619">
        <v>37</v>
      </c>
      <c r="G3619">
        <v>2673.25</v>
      </c>
      <c r="H3619" t="s">
        <v>12</v>
      </c>
      <c r="I3619" t="str">
        <f t="shared" si="169"/>
        <v>Medium Value</v>
      </c>
      <c r="J3619" t="str">
        <f t="shared" si="170"/>
        <v>Low Risk</v>
      </c>
      <c r="K3619" s="3" t="str">
        <f t="shared" si="168"/>
        <v>2-4 Years</v>
      </c>
    </row>
    <row r="3620" spans="1:11" x14ac:dyDescent="0.3">
      <c r="A3620" t="s">
        <v>3637</v>
      </c>
      <c r="B3620" t="s">
        <v>9</v>
      </c>
      <c r="C3620" t="s">
        <v>10</v>
      </c>
      <c r="D3620" t="s">
        <v>24</v>
      </c>
      <c r="E3620">
        <v>96.1</v>
      </c>
      <c r="F3620">
        <v>62</v>
      </c>
      <c r="G3620">
        <v>5958.2</v>
      </c>
      <c r="H3620" t="s">
        <v>12</v>
      </c>
      <c r="I3620" t="str">
        <f t="shared" si="169"/>
        <v>High Value</v>
      </c>
      <c r="J3620" t="str">
        <f t="shared" si="170"/>
        <v>Low Risk</v>
      </c>
      <c r="K3620" s="3" t="str">
        <f t="shared" si="168"/>
        <v>4+ Years</v>
      </c>
    </row>
    <row r="3621" spans="1:11" x14ac:dyDescent="0.3">
      <c r="A3621" t="s">
        <v>3638</v>
      </c>
      <c r="B3621" t="s">
        <v>9</v>
      </c>
      <c r="C3621" t="s">
        <v>30</v>
      </c>
      <c r="D3621" t="s">
        <v>24</v>
      </c>
      <c r="E3621">
        <v>19.850000000000001</v>
      </c>
      <c r="F3621">
        <v>71</v>
      </c>
      <c r="G3621">
        <v>1409.35</v>
      </c>
      <c r="H3621" t="s">
        <v>12</v>
      </c>
      <c r="I3621" t="str">
        <f t="shared" si="169"/>
        <v>Low Value</v>
      </c>
      <c r="J3621" t="str">
        <f t="shared" si="170"/>
        <v>Low Risk</v>
      </c>
      <c r="K3621" s="3" t="str">
        <f t="shared" si="168"/>
        <v>4+ Years</v>
      </c>
    </row>
    <row r="3622" spans="1:11" x14ac:dyDescent="0.3">
      <c r="A3622" t="s">
        <v>3639</v>
      </c>
      <c r="B3622" t="s">
        <v>14</v>
      </c>
      <c r="C3622" t="s">
        <v>10</v>
      </c>
      <c r="D3622" t="s">
        <v>20</v>
      </c>
      <c r="E3622">
        <v>55.3</v>
      </c>
      <c r="F3622">
        <v>23</v>
      </c>
      <c r="G3622">
        <v>1271.8999999999901</v>
      </c>
      <c r="H3622" t="s">
        <v>12</v>
      </c>
      <c r="I3622" t="str">
        <f t="shared" si="169"/>
        <v>Low Value</v>
      </c>
      <c r="J3622" t="str">
        <f t="shared" si="170"/>
        <v>Medium Risk</v>
      </c>
      <c r="K3622" s="3" t="str">
        <f t="shared" si="168"/>
        <v>1-2 Years</v>
      </c>
    </row>
    <row r="3623" spans="1:11" x14ac:dyDescent="0.3">
      <c r="A3623" t="s">
        <v>3640</v>
      </c>
      <c r="B3623" t="s">
        <v>9</v>
      </c>
      <c r="C3623" t="s">
        <v>15</v>
      </c>
      <c r="D3623" t="s">
        <v>16</v>
      </c>
      <c r="E3623">
        <v>20.100000000000001</v>
      </c>
      <c r="F3623">
        <v>16</v>
      </c>
      <c r="G3623">
        <v>321.60000000000002</v>
      </c>
      <c r="H3623" t="s">
        <v>12</v>
      </c>
      <c r="I3623" t="str">
        <f t="shared" si="169"/>
        <v>Low Value</v>
      </c>
      <c r="J3623" t="str">
        <f t="shared" si="170"/>
        <v>Medium Risk</v>
      </c>
      <c r="K3623" s="3" t="str">
        <f t="shared" si="168"/>
        <v>1-2 Years</v>
      </c>
    </row>
    <row r="3624" spans="1:11" x14ac:dyDescent="0.3">
      <c r="A3624" t="s">
        <v>3641</v>
      </c>
      <c r="B3624" t="s">
        <v>14</v>
      </c>
      <c r="C3624" t="s">
        <v>10</v>
      </c>
      <c r="D3624" t="s">
        <v>16</v>
      </c>
      <c r="E3624">
        <v>69.5</v>
      </c>
      <c r="F3624">
        <v>9</v>
      </c>
      <c r="G3624">
        <v>625.5</v>
      </c>
      <c r="H3624" t="s">
        <v>12</v>
      </c>
      <c r="I3624" t="str">
        <f t="shared" si="169"/>
        <v>Low Value</v>
      </c>
      <c r="J3624" t="str">
        <f t="shared" si="170"/>
        <v>High Risk</v>
      </c>
      <c r="K3624" s="3" t="str">
        <f t="shared" si="168"/>
        <v>0-1 Year</v>
      </c>
    </row>
    <row r="3625" spans="1:11" x14ac:dyDescent="0.3">
      <c r="A3625" t="s">
        <v>3642</v>
      </c>
      <c r="B3625" t="s">
        <v>14</v>
      </c>
      <c r="C3625" t="s">
        <v>30</v>
      </c>
      <c r="D3625" t="s">
        <v>16</v>
      </c>
      <c r="E3625">
        <v>25.15</v>
      </c>
      <c r="F3625">
        <v>17</v>
      </c>
      <c r="G3625">
        <v>427.54999999999899</v>
      </c>
      <c r="H3625" t="s">
        <v>12</v>
      </c>
      <c r="I3625" t="str">
        <f t="shared" si="169"/>
        <v>Low Value</v>
      </c>
      <c r="J3625" t="str">
        <f t="shared" si="170"/>
        <v>Medium Risk</v>
      </c>
      <c r="K3625" s="3" t="str">
        <f t="shared" si="168"/>
        <v>1-2 Years</v>
      </c>
    </row>
    <row r="3626" spans="1:11" x14ac:dyDescent="0.3">
      <c r="A3626" t="s">
        <v>3643</v>
      </c>
      <c r="B3626" t="s">
        <v>9</v>
      </c>
      <c r="C3626" t="s">
        <v>10</v>
      </c>
      <c r="D3626" t="s">
        <v>20</v>
      </c>
      <c r="E3626">
        <v>20.95</v>
      </c>
      <c r="F3626">
        <v>4</v>
      </c>
      <c r="G3626">
        <v>83.8</v>
      </c>
      <c r="H3626" t="s">
        <v>18</v>
      </c>
      <c r="I3626" t="str">
        <f t="shared" si="169"/>
        <v>Low Value</v>
      </c>
      <c r="J3626" t="str">
        <f t="shared" si="170"/>
        <v>High Risk</v>
      </c>
      <c r="K3626" s="3" t="str">
        <f t="shared" si="168"/>
        <v>0-1 Year</v>
      </c>
    </row>
    <row r="3627" spans="1:11" x14ac:dyDescent="0.3">
      <c r="A3627" t="s">
        <v>3644</v>
      </c>
      <c r="B3627" t="s">
        <v>9</v>
      </c>
      <c r="C3627" t="s">
        <v>10</v>
      </c>
      <c r="D3627" t="s">
        <v>11</v>
      </c>
      <c r="E3627">
        <v>49.55</v>
      </c>
      <c r="F3627">
        <v>1</v>
      </c>
      <c r="G3627">
        <v>49.55</v>
      </c>
      <c r="H3627" t="s">
        <v>18</v>
      </c>
      <c r="I3627" t="str">
        <f t="shared" si="169"/>
        <v>Low Value</v>
      </c>
      <c r="J3627" t="str">
        <f t="shared" si="170"/>
        <v>High Risk</v>
      </c>
      <c r="K3627" s="3" t="str">
        <f t="shared" si="168"/>
        <v>0-1 Year</v>
      </c>
    </row>
    <row r="3628" spans="1:11" x14ac:dyDescent="0.3">
      <c r="A3628" t="s">
        <v>3645</v>
      </c>
      <c r="B3628" t="s">
        <v>9</v>
      </c>
      <c r="C3628" t="s">
        <v>10</v>
      </c>
      <c r="D3628" t="s">
        <v>16</v>
      </c>
      <c r="E3628">
        <v>79.650000000000006</v>
      </c>
      <c r="F3628">
        <v>24</v>
      </c>
      <c r="G3628">
        <v>1911.6</v>
      </c>
      <c r="H3628" t="s">
        <v>12</v>
      </c>
      <c r="I3628" t="str">
        <f t="shared" si="169"/>
        <v>Low Value</v>
      </c>
      <c r="J3628" t="str">
        <f t="shared" si="170"/>
        <v>Low Risk</v>
      </c>
      <c r="K3628" s="3" t="str">
        <f t="shared" si="168"/>
        <v>1-2 Years</v>
      </c>
    </row>
    <row r="3629" spans="1:11" x14ac:dyDescent="0.3">
      <c r="A3629" t="s">
        <v>3646</v>
      </c>
      <c r="B3629" t="s">
        <v>9</v>
      </c>
      <c r="C3629" t="s">
        <v>10</v>
      </c>
      <c r="D3629" t="s">
        <v>11</v>
      </c>
      <c r="E3629">
        <v>71.25</v>
      </c>
      <c r="F3629">
        <v>1</v>
      </c>
      <c r="G3629">
        <v>71.25</v>
      </c>
      <c r="H3629" t="s">
        <v>12</v>
      </c>
      <c r="I3629" t="str">
        <f t="shared" si="169"/>
        <v>Low Value</v>
      </c>
      <c r="J3629" t="str">
        <f t="shared" si="170"/>
        <v>High Risk</v>
      </c>
      <c r="K3629" s="3" t="str">
        <f t="shared" si="168"/>
        <v>0-1 Year</v>
      </c>
    </row>
    <row r="3630" spans="1:11" x14ac:dyDescent="0.3">
      <c r="A3630" t="s">
        <v>3647</v>
      </c>
      <c r="B3630" t="s">
        <v>14</v>
      </c>
      <c r="C3630" t="s">
        <v>30</v>
      </c>
      <c r="D3630" t="s">
        <v>20</v>
      </c>
      <c r="E3630">
        <v>113.8</v>
      </c>
      <c r="F3630">
        <v>72</v>
      </c>
      <c r="G3630">
        <v>8193.6</v>
      </c>
      <c r="H3630" t="s">
        <v>12</v>
      </c>
      <c r="I3630" t="str">
        <f t="shared" si="169"/>
        <v>High Value</v>
      </c>
      <c r="J3630" t="str">
        <f t="shared" si="170"/>
        <v>Low Risk</v>
      </c>
      <c r="K3630" s="3" t="str">
        <f t="shared" si="168"/>
        <v>4+ Years</v>
      </c>
    </row>
    <row r="3631" spans="1:11" x14ac:dyDescent="0.3">
      <c r="A3631" t="s">
        <v>3648</v>
      </c>
      <c r="B3631" t="s">
        <v>9</v>
      </c>
      <c r="C3631" t="s">
        <v>30</v>
      </c>
      <c r="D3631" t="s">
        <v>11</v>
      </c>
      <c r="E3631">
        <v>24.55</v>
      </c>
      <c r="F3631">
        <v>72</v>
      </c>
      <c r="G3631">
        <v>1767.6</v>
      </c>
      <c r="H3631" t="s">
        <v>12</v>
      </c>
      <c r="I3631" t="str">
        <f t="shared" si="169"/>
        <v>Low Value</v>
      </c>
      <c r="J3631" t="str">
        <f t="shared" si="170"/>
        <v>Low Risk</v>
      </c>
      <c r="K3631" s="3" t="str">
        <f t="shared" si="168"/>
        <v>4+ Years</v>
      </c>
    </row>
    <row r="3632" spans="1:11" x14ac:dyDescent="0.3">
      <c r="A3632" t="s">
        <v>3649</v>
      </c>
      <c r="B3632" t="s">
        <v>9</v>
      </c>
      <c r="C3632" t="s">
        <v>10</v>
      </c>
      <c r="D3632" t="s">
        <v>24</v>
      </c>
      <c r="E3632">
        <v>19.7</v>
      </c>
      <c r="F3632">
        <v>11</v>
      </c>
      <c r="G3632">
        <v>216.7</v>
      </c>
      <c r="H3632" t="s">
        <v>12</v>
      </c>
      <c r="I3632" t="str">
        <f t="shared" si="169"/>
        <v>Low Value</v>
      </c>
      <c r="J3632" t="str">
        <f t="shared" si="170"/>
        <v>High Risk</v>
      </c>
      <c r="K3632" s="3" t="str">
        <f t="shared" si="168"/>
        <v>0-1 Year</v>
      </c>
    </row>
    <row r="3633" spans="1:11" x14ac:dyDescent="0.3">
      <c r="A3633" t="s">
        <v>3650</v>
      </c>
      <c r="B3633" t="s">
        <v>14</v>
      </c>
      <c r="C3633" t="s">
        <v>10</v>
      </c>
      <c r="D3633" t="s">
        <v>16</v>
      </c>
      <c r="E3633">
        <v>20.25</v>
      </c>
      <c r="F3633">
        <v>9</v>
      </c>
      <c r="G3633">
        <v>182.25</v>
      </c>
      <c r="H3633" t="s">
        <v>18</v>
      </c>
      <c r="I3633" t="str">
        <f t="shared" si="169"/>
        <v>Low Value</v>
      </c>
      <c r="J3633" t="str">
        <f t="shared" si="170"/>
        <v>High Risk</v>
      </c>
      <c r="K3633" s="3" t="str">
        <f t="shared" si="168"/>
        <v>0-1 Year</v>
      </c>
    </row>
    <row r="3634" spans="1:11" x14ac:dyDescent="0.3">
      <c r="A3634" t="s">
        <v>3651</v>
      </c>
      <c r="B3634" t="s">
        <v>9</v>
      </c>
      <c r="C3634" t="s">
        <v>10</v>
      </c>
      <c r="D3634" t="s">
        <v>24</v>
      </c>
      <c r="E3634">
        <v>50.15</v>
      </c>
      <c r="F3634">
        <v>2</v>
      </c>
      <c r="G3634">
        <v>100.3</v>
      </c>
      <c r="H3634" t="s">
        <v>18</v>
      </c>
      <c r="I3634" t="str">
        <f t="shared" si="169"/>
        <v>Low Value</v>
      </c>
      <c r="J3634" t="str">
        <f t="shared" si="170"/>
        <v>High Risk</v>
      </c>
      <c r="K3634" s="3" t="str">
        <f t="shared" si="168"/>
        <v>0-1 Year</v>
      </c>
    </row>
    <row r="3635" spans="1:11" x14ac:dyDescent="0.3">
      <c r="A3635" t="s">
        <v>3652</v>
      </c>
      <c r="B3635" t="s">
        <v>9</v>
      </c>
      <c r="C3635" t="s">
        <v>15</v>
      </c>
      <c r="D3635" t="s">
        <v>24</v>
      </c>
      <c r="E3635">
        <v>100.5</v>
      </c>
      <c r="F3635">
        <v>60</v>
      </c>
      <c r="G3635">
        <v>6030</v>
      </c>
      <c r="H3635" t="s">
        <v>12</v>
      </c>
      <c r="I3635" t="str">
        <f t="shared" si="169"/>
        <v>High Value</v>
      </c>
      <c r="J3635" t="str">
        <f t="shared" si="170"/>
        <v>Low Risk</v>
      </c>
      <c r="K3635" s="3" t="str">
        <f t="shared" si="168"/>
        <v>4+ Years</v>
      </c>
    </row>
    <row r="3636" spans="1:11" x14ac:dyDescent="0.3">
      <c r="A3636" t="s">
        <v>3653</v>
      </c>
      <c r="B3636" t="s">
        <v>14</v>
      </c>
      <c r="C3636" t="s">
        <v>10</v>
      </c>
      <c r="D3636" t="s">
        <v>11</v>
      </c>
      <c r="E3636">
        <v>95.9</v>
      </c>
      <c r="F3636">
        <v>29</v>
      </c>
      <c r="G3636">
        <v>2781.1</v>
      </c>
      <c r="H3636" t="s">
        <v>18</v>
      </c>
      <c r="I3636" t="str">
        <f t="shared" si="169"/>
        <v>Medium Value</v>
      </c>
      <c r="J3636" t="str">
        <f t="shared" si="170"/>
        <v>Low Risk</v>
      </c>
      <c r="K3636" s="3" t="str">
        <f t="shared" si="168"/>
        <v>2-4 Years</v>
      </c>
    </row>
    <row r="3637" spans="1:11" x14ac:dyDescent="0.3">
      <c r="A3637" t="s">
        <v>3654</v>
      </c>
      <c r="B3637" t="s">
        <v>9</v>
      </c>
      <c r="C3637" t="s">
        <v>30</v>
      </c>
      <c r="D3637" t="s">
        <v>20</v>
      </c>
      <c r="E3637">
        <v>74.45</v>
      </c>
      <c r="F3637">
        <v>49</v>
      </c>
      <c r="G3637">
        <v>3648.05</v>
      </c>
      <c r="H3637" t="s">
        <v>12</v>
      </c>
      <c r="I3637" t="str">
        <f t="shared" si="169"/>
        <v>Medium Value</v>
      </c>
      <c r="J3637" t="str">
        <f t="shared" si="170"/>
        <v>Low Risk</v>
      </c>
      <c r="K3637" s="3" t="str">
        <f t="shared" si="168"/>
        <v>4+ Years</v>
      </c>
    </row>
    <row r="3638" spans="1:11" x14ac:dyDescent="0.3">
      <c r="A3638" t="s">
        <v>3655</v>
      </c>
      <c r="B3638" t="s">
        <v>9</v>
      </c>
      <c r="C3638" t="s">
        <v>10</v>
      </c>
      <c r="D3638" t="s">
        <v>11</v>
      </c>
      <c r="E3638">
        <v>104.1</v>
      </c>
      <c r="F3638">
        <v>30</v>
      </c>
      <c r="G3638">
        <v>3123</v>
      </c>
      <c r="H3638" t="s">
        <v>12</v>
      </c>
      <c r="I3638" t="str">
        <f t="shared" si="169"/>
        <v>Medium Value</v>
      </c>
      <c r="J3638" t="str">
        <f t="shared" si="170"/>
        <v>Low Risk</v>
      </c>
      <c r="K3638" s="3" t="str">
        <f t="shared" si="168"/>
        <v>2-4 Years</v>
      </c>
    </row>
    <row r="3639" spans="1:11" x14ac:dyDescent="0.3">
      <c r="A3639" t="s">
        <v>3656</v>
      </c>
      <c r="B3639" t="s">
        <v>9</v>
      </c>
      <c r="C3639" t="s">
        <v>15</v>
      </c>
      <c r="D3639" t="s">
        <v>24</v>
      </c>
      <c r="E3639">
        <v>19.05</v>
      </c>
      <c r="F3639">
        <v>53</v>
      </c>
      <c r="G3639">
        <v>1009.65</v>
      </c>
      <c r="H3639" t="s">
        <v>12</v>
      </c>
      <c r="I3639" t="str">
        <f t="shared" si="169"/>
        <v>Low Value</v>
      </c>
      <c r="J3639" t="str">
        <f t="shared" si="170"/>
        <v>Low Risk</v>
      </c>
      <c r="K3639" s="3" t="str">
        <f t="shared" si="168"/>
        <v>4+ Years</v>
      </c>
    </row>
    <row r="3640" spans="1:11" x14ac:dyDescent="0.3">
      <c r="A3640" t="s">
        <v>3657</v>
      </c>
      <c r="B3640" t="s">
        <v>14</v>
      </c>
      <c r="C3640" t="s">
        <v>30</v>
      </c>
      <c r="D3640" t="s">
        <v>16</v>
      </c>
      <c r="E3640">
        <v>25</v>
      </c>
      <c r="F3640">
        <v>39</v>
      </c>
      <c r="G3640">
        <v>975</v>
      </c>
      <c r="H3640" t="s">
        <v>12</v>
      </c>
      <c r="I3640" t="str">
        <f t="shared" si="169"/>
        <v>Low Value</v>
      </c>
      <c r="J3640" t="str">
        <f t="shared" si="170"/>
        <v>Low Risk</v>
      </c>
      <c r="K3640" s="3" t="str">
        <f t="shared" si="168"/>
        <v>2-4 Years</v>
      </c>
    </row>
    <row r="3641" spans="1:11" x14ac:dyDescent="0.3">
      <c r="A3641" t="s">
        <v>3658</v>
      </c>
      <c r="B3641" t="s">
        <v>9</v>
      </c>
      <c r="C3641" t="s">
        <v>10</v>
      </c>
      <c r="D3641" t="s">
        <v>16</v>
      </c>
      <c r="E3641">
        <v>19.05</v>
      </c>
      <c r="F3641">
        <v>9</v>
      </c>
      <c r="G3641">
        <v>171.45</v>
      </c>
      <c r="H3641" t="s">
        <v>12</v>
      </c>
      <c r="I3641" t="str">
        <f t="shared" si="169"/>
        <v>Low Value</v>
      </c>
      <c r="J3641" t="str">
        <f t="shared" si="170"/>
        <v>High Risk</v>
      </c>
      <c r="K3641" s="3" t="str">
        <f t="shared" si="168"/>
        <v>0-1 Year</v>
      </c>
    </row>
    <row r="3642" spans="1:11" x14ac:dyDescent="0.3">
      <c r="A3642" t="s">
        <v>3659</v>
      </c>
      <c r="B3642" t="s">
        <v>14</v>
      </c>
      <c r="C3642" t="s">
        <v>15</v>
      </c>
      <c r="D3642" t="s">
        <v>11</v>
      </c>
      <c r="E3642">
        <v>81.900000000000006</v>
      </c>
      <c r="F3642">
        <v>39</v>
      </c>
      <c r="G3642">
        <v>3194.1</v>
      </c>
      <c r="H3642" t="s">
        <v>12</v>
      </c>
      <c r="I3642" t="str">
        <f t="shared" si="169"/>
        <v>Medium Value</v>
      </c>
      <c r="J3642" t="str">
        <f t="shared" si="170"/>
        <v>Low Risk</v>
      </c>
      <c r="K3642" s="3" t="str">
        <f t="shared" si="168"/>
        <v>2-4 Years</v>
      </c>
    </row>
    <row r="3643" spans="1:11" x14ac:dyDescent="0.3">
      <c r="A3643" t="s">
        <v>3660</v>
      </c>
      <c r="B3643" t="s">
        <v>14</v>
      </c>
      <c r="C3643" t="s">
        <v>10</v>
      </c>
      <c r="D3643" t="s">
        <v>11</v>
      </c>
      <c r="E3643">
        <v>69.7</v>
      </c>
      <c r="F3643">
        <v>8</v>
      </c>
      <c r="G3643">
        <v>557.6</v>
      </c>
      <c r="H3643" t="s">
        <v>12</v>
      </c>
      <c r="I3643" t="str">
        <f t="shared" si="169"/>
        <v>Low Value</v>
      </c>
      <c r="J3643" t="str">
        <f t="shared" si="170"/>
        <v>High Risk</v>
      </c>
      <c r="K3643" s="3" t="str">
        <f t="shared" si="168"/>
        <v>0-1 Year</v>
      </c>
    </row>
    <row r="3644" spans="1:11" x14ac:dyDescent="0.3">
      <c r="A3644" t="s">
        <v>3661</v>
      </c>
      <c r="B3644" t="s">
        <v>9</v>
      </c>
      <c r="C3644" t="s">
        <v>15</v>
      </c>
      <c r="D3644" t="s">
        <v>11</v>
      </c>
      <c r="E3644">
        <v>90.15</v>
      </c>
      <c r="F3644">
        <v>51</v>
      </c>
      <c r="G3644">
        <v>4597.6499999999996</v>
      </c>
      <c r="H3644" t="s">
        <v>12</v>
      </c>
      <c r="I3644" t="str">
        <f t="shared" si="169"/>
        <v>Medium Value</v>
      </c>
      <c r="J3644" t="str">
        <f t="shared" si="170"/>
        <v>Low Risk</v>
      </c>
      <c r="K3644" s="3" t="str">
        <f t="shared" si="168"/>
        <v>4+ Years</v>
      </c>
    </row>
    <row r="3645" spans="1:11" x14ac:dyDescent="0.3">
      <c r="A3645" t="s">
        <v>3662</v>
      </c>
      <c r="B3645" t="s">
        <v>14</v>
      </c>
      <c r="C3645" t="s">
        <v>30</v>
      </c>
      <c r="D3645" t="s">
        <v>24</v>
      </c>
      <c r="E3645">
        <v>25.35</v>
      </c>
      <c r="F3645">
        <v>71</v>
      </c>
      <c r="G3645">
        <v>1799.85</v>
      </c>
      <c r="H3645" t="s">
        <v>12</v>
      </c>
      <c r="I3645" t="str">
        <f t="shared" si="169"/>
        <v>Low Value</v>
      </c>
      <c r="J3645" t="str">
        <f t="shared" si="170"/>
        <v>Low Risk</v>
      </c>
      <c r="K3645" s="3" t="str">
        <f t="shared" si="168"/>
        <v>4+ Years</v>
      </c>
    </row>
    <row r="3646" spans="1:11" x14ac:dyDescent="0.3">
      <c r="A3646" t="s">
        <v>3663</v>
      </c>
      <c r="B3646" t="s">
        <v>14</v>
      </c>
      <c r="C3646" t="s">
        <v>30</v>
      </c>
      <c r="D3646" t="s">
        <v>16</v>
      </c>
      <c r="E3646">
        <v>24.65</v>
      </c>
      <c r="F3646">
        <v>71</v>
      </c>
      <c r="G3646">
        <v>1750.1499999999901</v>
      </c>
      <c r="H3646" t="s">
        <v>12</v>
      </c>
      <c r="I3646" t="str">
        <f t="shared" si="169"/>
        <v>Low Value</v>
      </c>
      <c r="J3646" t="str">
        <f t="shared" si="170"/>
        <v>Low Risk</v>
      </c>
      <c r="K3646" s="3" t="str">
        <f t="shared" si="168"/>
        <v>4+ Years</v>
      </c>
    </row>
    <row r="3647" spans="1:11" x14ac:dyDescent="0.3">
      <c r="A3647" t="s">
        <v>3664</v>
      </c>
      <c r="B3647" t="s">
        <v>9</v>
      </c>
      <c r="C3647" t="s">
        <v>30</v>
      </c>
      <c r="D3647" t="s">
        <v>24</v>
      </c>
      <c r="E3647">
        <v>19.55</v>
      </c>
      <c r="F3647">
        <v>70</v>
      </c>
      <c r="G3647">
        <v>1368.5</v>
      </c>
      <c r="H3647" t="s">
        <v>12</v>
      </c>
      <c r="I3647" t="str">
        <f t="shared" si="169"/>
        <v>Low Value</v>
      </c>
      <c r="J3647" t="str">
        <f t="shared" si="170"/>
        <v>Low Risk</v>
      </c>
      <c r="K3647" s="3" t="str">
        <f t="shared" si="168"/>
        <v>4+ Years</v>
      </c>
    </row>
    <row r="3648" spans="1:11" x14ac:dyDescent="0.3">
      <c r="A3648" t="s">
        <v>3665</v>
      </c>
      <c r="B3648" t="s">
        <v>9</v>
      </c>
      <c r="C3648" t="s">
        <v>10</v>
      </c>
      <c r="D3648" t="s">
        <v>11</v>
      </c>
      <c r="E3648">
        <v>25.25</v>
      </c>
      <c r="F3648">
        <v>1</v>
      </c>
      <c r="G3648">
        <v>25.25</v>
      </c>
      <c r="H3648" t="s">
        <v>18</v>
      </c>
      <c r="I3648" t="str">
        <f t="shared" si="169"/>
        <v>Low Value</v>
      </c>
      <c r="J3648" t="str">
        <f t="shared" si="170"/>
        <v>High Risk</v>
      </c>
      <c r="K3648" s="3" t="str">
        <f t="shared" si="168"/>
        <v>0-1 Year</v>
      </c>
    </row>
    <row r="3649" spans="1:11" x14ac:dyDescent="0.3">
      <c r="A3649" t="s">
        <v>3666</v>
      </c>
      <c r="B3649" t="s">
        <v>14</v>
      </c>
      <c r="C3649" t="s">
        <v>30</v>
      </c>
      <c r="D3649" t="s">
        <v>20</v>
      </c>
      <c r="E3649">
        <v>60</v>
      </c>
      <c r="F3649">
        <v>38</v>
      </c>
      <c r="G3649">
        <v>2280</v>
      </c>
      <c r="H3649" t="s">
        <v>12</v>
      </c>
      <c r="I3649" t="str">
        <f t="shared" si="169"/>
        <v>Medium Value</v>
      </c>
      <c r="J3649" t="str">
        <f t="shared" si="170"/>
        <v>Low Risk</v>
      </c>
      <c r="K3649" s="3" t="str">
        <f t="shared" si="168"/>
        <v>2-4 Years</v>
      </c>
    </row>
    <row r="3650" spans="1:11" x14ac:dyDescent="0.3">
      <c r="A3650" t="s">
        <v>3667</v>
      </c>
      <c r="B3650" t="s">
        <v>9</v>
      </c>
      <c r="C3650" t="s">
        <v>10</v>
      </c>
      <c r="D3650" t="s">
        <v>24</v>
      </c>
      <c r="E3650">
        <v>89.9</v>
      </c>
      <c r="F3650">
        <v>28</v>
      </c>
      <c r="G3650">
        <v>2517.1999999999998</v>
      </c>
      <c r="H3650" t="s">
        <v>12</v>
      </c>
      <c r="I3650" t="str">
        <f t="shared" si="169"/>
        <v>Medium Value</v>
      </c>
      <c r="J3650" t="str">
        <f t="shared" si="170"/>
        <v>Low Risk</v>
      </c>
      <c r="K3650" s="3" t="str">
        <f t="shared" si="168"/>
        <v>2-4 Years</v>
      </c>
    </row>
    <row r="3651" spans="1:11" x14ac:dyDescent="0.3">
      <c r="A3651" t="s">
        <v>3668</v>
      </c>
      <c r="B3651" t="s">
        <v>9</v>
      </c>
      <c r="C3651" t="s">
        <v>10</v>
      </c>
      <c r="D3651" t="s">
        <v>20</v>
      </c>
      <c r="E3651">
        <v>19.399999999999999</v>
      </c>
      <c r="F3651">
        <v>32</v>
      </c>
      <c r="G3651">
        <v>620.79999999999995</v>
      </c>
      <c r="H3651" t="s">
        <v>12</v>
      </c>
      <c r="I3651" t="str">
        <f t="shared" si="169"/>
        <v>Low Value</v>
      </c>
      <c r="J3651" t="str">
        <f t="shared" si="170"/>
        <v>Low Risk</v>
      </c>
      <c r="K3651" s="3" t="str">
        <f t="shared" ref="K3651:K3714" si="171">IF(F3651&lt;=12,"0-1 Year",
IF(F3651&lt;=24,"1-2 Years",
IF(F3651&lt;=48,"2-4 Years","4+ Years")))</f>
        <v>2-4 Years</v>
      </c>
    </row>
    <row r="3652" spans="1:11" x14ac:dyDescent="0.3">
      <c r="A3652" t="s">
        <v>3669</v>
      </c>
      <c r="B3652" t="s">
        <v>14</v>
      </c>
      <c r="C3652" t="s">
        <v>30</v>
      </c>
      <c r="D3652" t="s">
        <v>16</v>
      </c>
      <c r="E3652">
        <v>49.8</v>
      </c>
      <c r="F3652">
        <v>49</v>
      </c>
      <c r="G3652">
        <v>2440.1999999999998</v>
      </c>
      <c r="H3652" t="s">
        <v>12</v>
      </c>
      <c r="I3652" t="str">
        <f t="shared" ref="I3652:I3715" si="172">IF(G3652&gt;5000,"High Value",
IF(G3652&gt;2000,"Medium Value","Low Value"))</f>
        <v>Medium Value</v>
      </c>
      <c r="J3652" t="str">
        <f t="shared" ref="J3652:J3715" si="173">IF(F3652&lt;12,"High Risk",
IF(F3652&lt;24,"Medium Risk","Low Risk"))</f>
        <v>Low Risk</v>
      </c>
      <c r="K3652" s="3" t="str">
        <f t="shared" si="171"/>
        <v>4+ Years</v>
      </c>
    </row>
    <row r="3653" spans="1:11" x14ac:dyDescent="0.3">
      <c r="A3653" t="s">
        <v>3670</v>
      </c>
      <c r="B3653" t="s">
        <v>9</v>
      </c>
      <c r="C3653" t="s">
        <v>30</v>
      </c>
      <c r="D3653" t="s">
        <v>20</v>
      </c>
      <c r="E3653">
        <v>24.1</v>
      </c>
      <c r="F3653">
        <v>37</v>
      </c>
      <c r="G3653">
        <v>891.7</v>
      </c>
      <c r="H3653" t="s">
        <v>12</v>
      </c>
      <c r="I3653" t="str">
        <f t="shared" si="172"/>
        <v>Low Value</v>
      </c>
      <c r="J3653" t="str">
        <f t="shared" si="173"/>
        <v>Low Risk</v>
      </c>
      <c r="K3653" s="3" t="str">
        <f t="shared" si="171"/>
        <v>2-4 Years</v>
      </c>
    </row>
    <row r="3654" spans="1:11" x14ac:dyDescent="0.3">
      <c r="A3654" t="s">
        <v>3671</v>
      </c>
      <c r="B3654" t="s">
        <v>9</v>
      </c>
      <c r="C3654" t="s">
        <v>10</v>
      </c>
      <c r="D3654" t="s">
        <v>11</v>
      </c>
      <c r="E3654">
        <v>54.25</v>
      </c>
      <c r="F3654">
        <v>10</v>
      </c>
      <c r="G3654">
        <v>542.5</v>
      </c>
      <c r="H3654" t="s">
        <v>12</v>
      </c>
      <c r="I3654" t="str">
        <f t="shared" si="172"/>
        <v>Low Value</v>
      </c>
      <c r="J3654" t="str">
        <f t="shared" si="173"/>
        <v>High Risk</v>
      </c>
      <c r="K3654" s="3" t="str">
        <f t="shared" si="171"/>
        <v>0-1 Year</v>
      </c>
    </row>
    <row r="3655" spans="1:11" x14ac:dyDescent="0.3">
      <c r="A3655" t="s">
        <v>3672</v>
      </c>
      <c r="B3655" t="s">
        <v>14</v>
      </c>
      <c r="C3655" t="s">
        <v>15</v>
      </c>
      <c r="D3655" t="s">
        <v>24</v>
      </c>
      <c r="E3655">
        <v>109.9</v>
      </c>
      <c r="F3655">
        <v>67</v>
      </c>
      <c r="G3655">
        <v>7363.3</v>
      </c>
      <c r="H3655" t="s">
        <v>12</v>
      </c>
      <c r="I3655" t="str">
        <f t="shared" si="172"/>
        <v>High Value</v>
      </c>
      <c r="J3655" t="str">
        <f t="shared" si="173"/>
        <v>Low Risk</v>
      </c>
      <c r="K3655" s="3" t="str">
        <f t="shared" si="171"/>
        <v>4+ Years</v>
      </c>
    </row>
    <row r="3656" spans="1:11" x14ac:dyDescent="0.3">
      <c r="A3656" t="s">
        <v>3673</v>
      </c>
      <c r="B3656" t="s">
        <v>14</v>
      </c>
      <c r="C3656" t="s">
        <v>15</v>
      </c>
      <c r="D3656" t="s">
        <v>24</v>
      </c>
      <c r="E3656">
        <v>35.5</v>
      </c>
      <c r="F3656">
        <v>7</v>
      </c>
      <c r="G3656">
        <v>248.5</v>
      </c>
      <c r="H3656" t="s">
        <v>12</v>
      </c>
      <c r="I3656" t="str">
        <f t="shared" si="172"/>
        <v>Low Value</v>
      </c>
      <c r="J3656" t="str">
        <f t="shared" si="173"/>
        <v>High Risk</v>
      </c>
      <c r="K3656" s="3" t="str">
        <f t="shared" si="171"/>
        <v>0-1 Year</v>
      </c>
    </row>
    <row r="3657" spans="1:11" x14ac:dyDescent="0.3">
      <c r="A3657" t="s">
        <v>3674</v>
      </c>
      <c r="B3657" t="s">
        <v>9</v>
      </c>
      <c r="C3657" t="s">
        <v>15</v>
      </c>
      <c r="D3657" t="s">
        <v>24</v>
      </c>
      <c r="E3657">
        <v>87.55</v>
      </c>
      <c r="F3657">
        <v>51</v>
      </c>
      <c r="G3657">
        <v>4465.05</v>
      </c>
      <c r="H3657" t="s">
        <v>12</v>
      </c>
      <c r="I3657" t="str">
        <f t="shared" si="172"/>
        <v>Medium Value</v>
      </c>
      <c r="J3657" t="str">
        <f t="shared" si="173"/>
        <v>Low Risk</v>
      </c>
      <c r="K3657" s="3" t="str">
        <f t="shared" si="171"/>
        <v>4+ Years</v>
      </c>
    </row>
    <row r="3658" spans="1:11" x14ac:dyDescent="0.3">
      <c r="A3658" t="s">
        <v>3675</v>
      </c>
      <c r="B3658" t="s">
        <v>9</v>
      </c>
      <c r="C3658" t="s">
        <v>10</v>
      </c>
      <c r="D3658" t="s">
        <v>11</v>
      </c>
      <c r="E3658">
        <v>45.15</v>
      </c>
      <c r="F3658">
        <v>9</v>
      </c>
      <c r="G3658">
        <v>406.349999999999</v>
      </c>
      <c r="H3658" t="s">
        <v>18</v>
      </c>
      <c r="I3658" t="str">
        <f t="shared" si="172"/>
        <v>Low Value</v>
      </c>
      <c r="J3658" t="str">
        <f t="shared" si="173"/>
        <v>High Risk</v>
      </c>
      <c r="K3658" s="3" t="str">
        <f t="shared" si="171"/>
        <v>0-1 Year</v>
      </c>
    </row>
    <row r="3659" spans="1:11" x14ac:dyDescent="0.3">
      <c r="A3659" t="s">
        <v>3676</v>
      </c>
      <c r="B3659" t="s">
        <v>9</v>
      </c>
      <c r="C3659" t="s">
        <v>10</v>
      </c>
      <c r="D3659" t="s">
        <v>16</v>
      </c>
      <c r="E3659">
        <v>88.4</v>
      </c>
      <c r="F3659">
        <v>9</v>
      </c>
      <c r="G3659">
        <v>795.6</v>
      </c>
      <c r="H3659" t="s">
        <v>12</v>
      </c>
      <c r="I3659" t="str">
        <f t="shared" si="172"/>
        <v>Low Value</v>
      </c>
      <c r="J3659" t="str">
        <f t="shared" si="173"/>
        <v>High Risk</v>
      </c>
      <c r="K3659" s="3" t="str">
        <f t="shared" si="171"/>
        <v>0-1 Year</v>
      </c>
    </row>
    <row r="3660" spans="1:11" x14ac:dyDescent="0.3">
      <c r="A3660" t="s">
        <v>3677</v>
      </c>
      <c r="B3660" t="s">
        <v>14</v>
      </c>
      <c r="C3660" t="s">
        <v>10</v>
      </c>
      <c r="D3660" t="s">
        <v>16</v>
      </c>
      <c r="E3660">
        <v>50.8</v>
      </c>
      <c r="F3660">
        <v>4</v>
      </c>
      <c r="G3660">
        <v>203.2</v>
      </c>
      <c r="H3660" t="s">
        <v>12</v>
      </c>
      <c r="I3660" t="str">
        <f t="shared" si="172"/>
        <v>Low Value</v>
      </c>
      <c r="J3660" t="str">
        <f t="shared" si="173"/>
        <v>High Risk</v>
      </c>
      <c r="K3660" s="3" t="str">
        <f t="shared" si="171"/>
        <v>0-1 Year</v>
      </c>
    </row>
    <row r="3661" spans="1:11" x14ac:dyDescent="0.3">
      <c r="A3661" t="s">
        <v>3678</v>
      </c>
      <c r="B3661" t="s">
        <v>14</v>
      </c>
      <c r="C3661" t="s">
        <v>30</v>
      </c>
      <c r="D3661" t="s">
        <v>11</v>
      </c>
      <c r="E3661">
        <v>99</v>
      </c>
      <c r="F3661">
        <v>71</v>
      </c>
      <c r="G3661">
        <v>7029</v>
      </c>
      <c r="H3661" t="s">
        <v>12</v>
      </c>
      <c r="I3661" t="str">
        <f t="shared" si="172"/>
        <v>High Value</v>
      </c>
      <c r="J3661" t="str">
        <f t="shared" si="173"/>
        <v>Low Risk</v>
      </c>
      <c r="K3661" s="3" t="str">
        <f t="shared" si="171"/>
        <v>4+ Years</v>
      </c>
    </row>
    <row r="3662" spans="1:11" x14ac:dyDescent="0.3">
      <c r="A3662" t="s">
        <v>3679</v>
      </c>
      <c r="B3662" t="s">
        <v>9</v>
      </c>
      <c r="C3662" t="s">
        <v>10</v>
      </c>
      <c r="D3662" t="s">
        <v>20</v>
      </c>
      <c r="E3662">
        <v>84.4</v>
      </c>
      <c r="F3662">
        <v>50</v>
      </c>
      <c r="G3662">
        <v>4220</v>
      </c>
      <c r="H3662" t="s">
        <v>18</v>
      </c>
      <c r="I3662" t="str">
        <f t="shared" si="172"/>
        <v>Medium Value</v>
      </c>
      <c r="J3662" t="str">
        <f t="shared" si="173"/>
        <v>Low Risk</v>
      </c>
      <c r="K3662" s="3" t="str">
        <f t="shared" si="171"/>
        <v>4+ Years</v>
      </c>
    </row>
    <row r="3663" spans="1:11" x14ac:dyDescent="0.3">
      <c r="A3663" t="s">
        <v>3680</v>
      </c>
      <c r="B3663" t="s">
        <v>9</v>
      </c>
      <c r="C3663" t="s">
        <v>30</v>
      </c>
      <c r="D3663" t="s">
        <v>11</v>
      </c>
      <c r="E3663">
        <v>96.55</v>
      </c>
      <c r="F3663">
        <v>24</v>
      </c>
      <c r="G3663">
        <v>2317.1999999999998</v>
      </c>
      <c r="H3663" t="s">
        <v>12</v>
      </c>
      <c r="I3663" t="str">
        <f t="shared" si="172"/>
        <v>Medium Value</v>
      </c>
      <c r="J3663" t="str">
        <f t="shared" si="173"/>
        <v>Low Risk</v>
      </c>
      <c r="K3663" s="3" t="str">
        <f t="shared" si="171"/>
        <v>1-2 Years</v>
      </c>
    </row>
    <row r="3664" spans="1:11" x14ac:dyDescent="0.3">
      <c r="A3664" t="s">
        <v>3681</v>
      </c>
      <c r="B3664" t="s">
        <v>14</v>
      </c>
      <c r="C3664" t="s">
        <v>15</v>
      </c>
      <c r="D3664" t="s">
        <v>20</v>
      </c>
      <c r="E3664">
        <v>59.75</v>
      </c>
      <c r="F3664">
        <v>22</v>
      </c>
      <c r="G3664">
        <v>1314.5</v>
      </c>
      <c r="H3664" t="s">
        <v>12</v>
      </c>
      <c r="I3664" t="str">
        <f t="shared" si="172"/>
        <v>Low Value</v>
      </c>
      <c r="J3664" t="str">
        <f t="shared" si="173"/>
        <v>Medium Risk</v>
      </c>
      <c r="K3664" s="3" t="str">
        <f t="shared" si="171"/>
        <v>1-2 Years</v>
      </c>
    </row>
    <row r="3665" spans="1:11" x14ac:dyDescent="0.3">
      <c r="A3665" t="s">
        <v>3682</v>
      </c>
      <c r="B3665" t="s">
        <v>14</v>
      </c>
      <c r="C3665" t="s">
        <v>10</v>
      </c>
      <c r="D3665" t="s">
        <v>11</v>
      </c>
      <c r="E3665">
        <v>111.5</v>
      </c>
      <c r="F3665">
        <v>44</v>
      </c>
      <c r="G3665">
        <v>4906</v>
      </c>
      <c r="H3665" t="s">
        <v>12</v>
      </c>
      <c r="I3665" t="str">
        <f t="shared" si="172"/>
        <v>Medium Value</v>
      </c>
      <c r="J3665" t="str">
        <f t="shared" si="173"/>
        <v>Low Risk</v>
      </c>
      <c r="K3665" s="3" t="str">
        <f t="shared" si="171"/>
        <v>2-4 Years</v>
      </c>
    </row>
    <row r="3666" spans="1:11" x14ac:dyDescent="0.3">
      <c r="A3666" t="s">
        <v>3683</v>
      </c>
      <c r="B3666" t="s">
        <v>9</v>
      </c>
      <c r="C3666" t="s">
        <v>10</v>
      </c>
      <c r="D3666" t="s">
        <v>20</v>
      </c>
      <c r="E3666">
        <v>24.25</v>
      </c>
      <c r="F3666">
        <v>33</v>
      </c>
      <c r="G3666">
        <v>800.25</v>
      </c>
      <c r="H3666" t="s">
        <v>12</v>
      </c>
      <c r="I3666" t="str">
        <f t="shared" si="172"/>
        <v>Low Value</v>
      </c>
      <c r="J3666" t="str">
        <f t="shared" si="173"/>
        <v>Low Risk</v>
      </c>
      <c r="K3666" s="3" t="str">
        <f t="shared" si="171"/>
        <v>2-4 Years</v>
      </c>
    </row>
    <row r="3667" spans="1:11" x14ac:dyDescent="0.3">
      <c r="A3667" t="s">
        <v>3684</v>
      </c>
      <c r="B3667" t="s">
        <v>9</v>
      </c>
      <c r="C3667" t="s">
        <v>10</v>
      </c>
      <c r="D3667" t="s">
        <v>11</v>
      </c>
      <c r="E3667">
        <v>75.099999999999994</v>
      </c>
      <c r="F3667">
        <v>1</v>
      </c>
      <c r="G3667">
        <v>75.099999999999994</v>
      </c>
      <c r="H3667" t="s">
        <v>18</v>
      </c>
      <c r="I3667" t="str">
        <f t="shared" si="172"/>
        <v>Low Value</v>
      </c>
      <c r="J3667" t="str">
        <f t="shared" si="173"/>
        <v>High Risk</v>
      </c>
      <c r="K3667" s="3" t="str">
        <f t="shared" si="171"/>
        <v>0-1 Year</v>
      </c>
    </row>
    <row r="3668" spans="1:11" x14ac:dyDescent="0.3">
      <c r="A3668" t="s">
        <v>3685</v>
      </c>
      <c r="B3668" t="s">
        <v>9</v>
      </c>
      <c r="C3668" t="s">
        <v>15</v>
      </c>
      <c r="D3668" t="s">
        <v>24</v>
      </c>
      <c r="E3668">
        <v>70.150000000000006</v>
      </c>
      <c r="F3668">
        <v>54</v>
      </c>
      <c r="G3668">
        <v>3788.1</v>
      </c>
      <c r="H3668" t="s">
        <v>18</v>
      </c>
      <c r="I3668" t="str">
        <f t="shared" si="172"/>
        <v>Medium Value</v>
      </c>
      <c r="J3668" t="str">
        <f t="shared" si="173"/>
        <v>Low Risk</v>
      </c>
      <c r="K3668" s="3" t="str">
        <f t="shared" si="171"/>
        <v>4+ Years</v>
      </c>
    </row>
    <row r="3669" spans="1:11" x14ac:dyDescent="0.3">
      <c r="A3669" t="s">
        <v>3686</v>
      </c>
      <c r="B3669" t="s">
        <v>14</v>
      </c>
      <c r="C3669" t="s">
        <v>10</v>
      </c>
      <c r="D3669" t="s">
        <v>11</v>
      </c>
      <c r="E3669">
        <v>101.75</v>
      </c>
      <c r="F3669">
        <v>42</v>
      </c>
      <c r="G3669">
        <v>4273.5</v>
      </c>
      <c r="H3669" t="s">
        <v>18</v>
      </c>
      <c r="I3669" t="str">
        <f t="shared" si="172"/>
        <v>Medium Value</v>
      </c>
      <c r="J3669" t="str">
        <f t="shared" si="173"/>
        <v>Low Risk</v>
      </c>
      <c r="K3669" s="3" t="str">
        <f t="shared" si="171"/>
        <v>2-4 Years</v>
      </c>
    </row>
    <row r="3670" spans="1:11" x14ac:dyDescent="0.3">
      <c r="A3670" t="s">
        <v>3687</v>
      </c>
      <c r="B3670" t="s">
        <v>9</v>
      </c>
      <c r="C3670" t="s">
        <v>10</v>
      </c>
      <c r="D3670" t="s">
        <v>11</v>
      </c>
      <c r="E3670">
        <v>45.8</v>
      </c>
      <c r="F3670">
        <v>1</v>
      </c>
      <c r="G3670">
        <v>45.8</v>
      </c>
      <c r="H3670" t="s">
        <v>18</v>
      </c>
      <c r="I3670" t="str">
        <f t="shared" si="172"/>
        <v>Low Value</v>
      </c>
      <c r="J3670" t="str">
        <f t="shared" si="173"/>
        <v>High Risk</v>
      </c>
      <c r="K3670" s="3" t="str">
        <f t="shared" si="171"/>
        <v>0-1 Year</v>
      </c>
    </row>
    <row r="3671" spans="1:11" x14ac:dyDescent="0.3">
      <c r="A3671" t="s">
        <v>3688</v>
      </c>
      <c r="B3671" t="s">
        <v>9</v>
      </c>
      <c r="C3671" t="s">
        <v>10</v>
      </c>
      <c r="D3671" t="s">
        <v>16</v>
      </c>
      <c r="E3671">
        <v>20.5</v>
      </c>
      <c r="F3671">
        <v>1</v>
      </c>
      <c r="G3671">
        <v>20.5</v>
      </c>
      <c r="H3671" t="s">
        <v>12</v>
      </c>
      <c r="I3671" t="str">
        <f t="shared" si="172"/>
        <v>Low Value</v>
      </c>
      <c r="J3671" t="str">
        <f t="shared" si="173"/>
        <v>High Risk</v>
      </c>
      <c r="K3671" s="3" t="str">
        <f t="shared" si="171"/>
        <v>0-1 Year</v>
      </c>
    </row>
    <row r="3672" spans="1:11" x14ac:dyDescent="0.3">
      <c r="A3672" t="s">
        <v>3689</v>
      </c>
      <c r="B3672" t="s">
        <v>14</v>
      </c>
      <c r="C3672" t="s">
        <v>15</v>
      </c>
      <c r="D3672" t="s">
        <v>11</v>
      </c>
      <c r="E3672">
        <v>70.400000000000006</v>
      </c>
      <c r="F3672">
        <v>30</v>
      </c>
      <c r="G3672">
        <v>2112</v>
      </c>
      <c r="H3672" t="s">
        <v>12</v>
      </c>
      <c r="I3672" t="str">
        <f t="shared" si="172"/>
        <v>Medium Value</v>
      </c>
      <c r="J3672" t="str">
        <f t="shared" si="173"/>
        <v>Low Risk</v>
      </c>
      <c r="K3672" s="3" t="str">
        <f t="shared" si="171"/>
        <v>2-4 Years</v>
      </c>
    </row>
    <row r="3673" spans="1:11" x14ac:dyDescent="0.3">
      <c r="A3673" t="s">
        <v>3690</v>
      </c>
      <c r="B3673" t="s">
        <v>9</v>
      </c>
      <c r="C3673" t="s">
        <v>10</v>
      </c>
      <c r="D3673" t="s">
        <v>16</v>
      </c>
      <c r="E3673">
        <v>30.55</v>
      </c>
      <c r="F3673">
        <v>1</v>
      </c>
      <c r="G3673">
        <v>30.55</v>
      </c>
      <c r="H3673" t="s">
        <v>12</v>
      </c>
      <c r="I3673" t="str">
        <f t="shared" si="172"/>
        <v>Low Value</v>
      </c>
      <c r="J3673" t="str">
        <f t="shared" si="173"/>
        <v>High Risk</v>
      </c>
      <c r="K3673" s="3" t="str">
        <f t="shared" si="171"/>
        <v>0-1 Year</v>
      </c>
    </row>
    <row r="3674" spans="1:11" x14ac:dyDescent="0.3">
      <c r="A3674" t="s">
        <v>3691</v>
      </c>
      <c r="B3674" t="s">
        <v>14</v>
      </c>
      <c r="C3674" t="s">
        <v>10</v>
      </c>
      <c r="D3674" t="s">
        <v>11</v>
      </c>
      <c r="E3674">
        <v>84.9</v>
      </c>
      <c r="F3674">
        <v>16</v>
      </c>
      <c r="G3674">
        <v>1358.4</v>
      </c>
      <c r="H3674" t="s">
        <v>12</v>
      </c>
      <c r="I3674" t="str">
        <f t="shared" si="172"/>
        <v>Low Value</v>
      </c>
      <c r="J3674" t="str">
        <f t="shared" si="173"/>
        <v>Medium Risk</v>
      </c>
      <c r="K3674" s="3" t="str">
        <f t="shared" si="171"/>
        <v>1-2 Years</v>
      </c>
    </row>
    <row r="3675" spans="1:11" x14ac:dyDescent="0.3">
      <c r="A3675" t="s">
        <v>3692</v>
      </c>
      <c r="B3675" t="s">
        <v>14</v>
      </c>
      <c r="C3675" t="s">
        <v>10</v>
      </c>
      <c r="D3675" t="s">
        <v>16</v>
      </c>
      <c r="E3675">
        <v>20.100000000000001</v>
      </c>
      <c r="F3675">
        <v>1</v>
      </c>
      <c r="G3675">
        <v>20.100000000000001</v>
      </c>
      <c r="H3675" t="s">
        <v>18</v>
      </c>
      <c r="I3675" t="str">
        <f t="shared" si="172"/>
        <v>Low Value</v>
      </c>
      <c r="J3675" t="str">
        <f t="shared" si="173"/>
        <v>High Risk</v>
      </c>
      <c r="K3675" s="3" t="str">
        <f t="shared" si="171"/>
        <v>0-1 Year</v>
      </c>
    </row>
    <row r="3676" spans="1:11" x14ac:dyDescent="0.3">
      <c r="A3676" t="s">
        <v>3693</v>
      </c>
      <c r="B3676" t="s">
        <v>14</v>
      </c>
      <c r="C3676" t="s">
        <v>10</v>
      </c>
      <c r="D3676" t="s">
        <v>16</v>
      </c>
      <c r="E3676">
        <v>40.65</v>
      </c>
      <c r="F3676">
        <v>9</v>
      </c>
      <c r="G3676">
        <v>365.849999999999</v>
      </c>
      <c r="H3676" t="s">
        <v>18</v>
      </c>
      <c r="I3676" t="str">
        <f t="shared" si="172"/>
        <v>Low Value</v>
      </c>
      <c r="J3676" t="str">
        <f t="shared" si="173"/>
        <v>High Risk</v>
      </c>
      <c r="K3676" s="3" t="str">
        <f t="shared" si="171"/>
        <v>0-1 Year</v>
      </c>
    </row>
    <row r="3677" spans="1:11" x14ac:dyDescent="0.3">
      <c r="A3677" t="s">
        <v>3694</v>
      </c>
      <c r="B3677" t="s">
        <v>14</v>
      </c>
      <c r="C3677" t="s">
        <v>10</v>
      </c>
      <c r="D3677" t="s">
        <v>11</v>
      </c>
      <c r="E3677">
        <v>101</v>
      </c>
      <c r="F3677">
        <v>46</v>
      </c>
      <c r="G3677">
        <v>4646</v>
      </c>
      <c r="H3677" t="s">
        <v>18</v>
      </c>
      <c r="I3677" t="str">
        <f t="shared" si="172"/>
        <v>Medium Value</v>
      </c>
      <c r="J3677" t="str">
        <f t="shared" si="173"/>
        <v>Low Risk</v>
      </c>
      <c r="K3677" s="3" t="str">
        <f t="shared" si="171"/>
        <v>2-4 Years</v>
      </c>
    </row>
    <row r="3678" spans="1:11" x14ac:dyDescent="0.3">
      <c r="A3678" t="s">
        <v>3695</v>
      </c>
      <c r="B3678" t="s">
        <v>14</v>
      </c>
      <c r="C3678" t="s">
        <v>10</v>
      </c>
      <c r="D3678" t="s">
        <v>11</v>
      </c>
      <c r="E3678">
        <v>69.099999999999994</v>
      </c>
      <c r="F3678">
        <v>1</v>
      </c>
      <c r="G3678">
        <v>69.099999999999994</v>
      </c>
      <c r="H3678" t="s">
        <v>18</v>
      </c>
      <c r="I3678" t="str">
        <f t="shared" si="172"/>
        <v>Low Value</v>
      </c>
      <c r="J3678" t="str">
        <f t="shared" si="173"/>
        <v>High Risk</v>
      </c>
      <c r="K3678" s="3" t="str">
        <f t="shared" si="171"/>
        <v>0-1 Year</v>
      </c>
    </row>
    <row r="3679" spans="1:11" x14ac:dyDescent="0.3">
      <c r="A3679" t="s">
        <v>3696</v>
      </c>
      <c r="B3679" t="s">
        <v>14</v>
      </c>
      <c r="C3679" t="s">
        <v>30</v>
      </c>
      <c r="D3679" t="s">
        <v>20</v>
      </c>
      <c r="E3679">
        <v>54.5</v>
      </c>
      <c r="F3679">
        <v>71</v>
      </c>
      <c r="G3679">
        <v>3869.5</v>
      </c>
      <c r="H3679" t="s">
        <v>12</v>
      </c>
      <c r="I3679" t="str">
        <f t="shared" si="172"/>
        <v>Medium Value</v>
      </c>
      <c r="J3679" t="str">
        <f t="shared" si="173"/>
        <v>Low Risk</v>
      </c>
      <c r="K3679" s="3" t="str">
        <f t="shared" si="171"/>
        <v>4+ Years</v>
      </c>
    </row>
    <row r="3680" spans="1:11" x14ac:dyDescent="0.3">
      <c r="A3680" t="s">
        <v>3697</v>
      </c>
      <c r="B3680" t="s">
        <v>14</v>
      </c>
      <c r="C3680" t="s">
        <v>10</v>
      </c>
      <c r="D3680" t="s">
        <v>24</v>
      </c>
      <c r="E3680">
        <v>75.349999999999994</v>
      </c>
      <c r="F3680">
        <v>43</v>
      </c>
      <c r="G3680">
        <v>3240.0499999999902</v>
      </c>
      <c r="H3680" t="s">
        <v>12</v>
      </c>
      <c r="I3680" t="str">
        <f t="shared" si="172"/>
        <v>Medium Value</v>
      </c>
      <c r="J3680" t="str">
        <f t="shared" si="173"/>
        <v>Low Risk</v>
      </c>
      <c r="K3680" s="3" t="str">
        <f t="shared" si="171"/>
        <v>2-4 Years</v>
      </c>
    </row>
    <row r="3681" spans="1:11" x14ac:dyDescent="0.3">
      <c r="A3681" t="s">
        <v>3698</v>
      </c>
      <c r="B3681" t="s">
        <v>14</v>
      </c>
      <c r="C3681" t="s">
        <v>15</v>
      </c>
      <c r="D3681" t="s">
        <v>20</v>
      </c>
      <c r="E3681">
        <v>44.45</v>
      </c>
      <c r="F3681">
        <v>50</v>
      </c>
      <c r="G3681">
        <v>2222.5</v>
      </c>
      <c r="H3681" t="s">
        <v>12</v>
      </c>
      <c r="I3681" t="str">
        <f t="shared" si="172"/>
        <v>Medium Value</v>
      </c>
      <c r="J3681" t="str">
        <f t="shared" si="173"/>
        <v>Low Risk</v>
      </c>
      <c r="K3681" s="3" t="str">
        <f t="shared" si="171"/>
        <v>4+ Years</v>
      </c>
    </row>
    <row r="3682" spans="1:11" x14ac:dyDescent="0.3">
      <c r="A3682" t="s">
        <v>3699</v>
      </c>
      <c r="B3682" t="s">
        <v>9</v>
      </c>
      <c r="C3682" t="s">
        <v>10</v>
      </c>
      <c r="D3682" t="s">
        <v>16</v>
      </c>
      <c r="E3682">
        <v>75</v>
      </c>
      <c r="F3682">
        <v>13</v>
      </c>
      <c r="G3682">
        <v>975</v>
      </c>
      <c r="H3682" t="s">
        <v>18</v>
      </c>
      <c r="I3682" t="str">
        <f t="shared" si="172"/>
        <v>Low Value</v>
      </c>
      <c r="J3682" t="str">
        <f t="shared" si="173"/>
        <v>Medium Risk</v>
      </c>
      <c r="K3682" s="3" t="str">
        <f t="shared" si="171"/>
        <v>1-2 Years</v>
      </c>
    </row>
    <row r="3683" spans="1:11" x14ac:dyDescent="0.3">
      <c r="A3683" t="s">
        <v>3700</v>
      </c>
      <c r="B3683" t="s">
        <v>14</v>
      </c>
      <c r="C3683" t="s">
        <v>15</v>
      </c>
      <c r="D3683" t="s">
        <v>20</v>
      </c>
      <c r="E3683">
        <v>100</v>
      </c>
      <c r="F3683">
        <v>19</v>
      </c>
      <c r="G3683">
        <v>1900</v>
      </c>
      <c r="H3683" t="s">
        <v>18</v>
      </c>
      <c r="I3683" t="str">
        <f t="shared" si="172"/>
        <v>Low Value</v>
      </c>
      <c r="J3683" t="str">
        <f t="shared" si="173"/>
        <v>Medium Risk</v>
      </c>
      <c r="K3683" s="3" t="str">
        <f t="shared" si="171"/>
        <v>1-2 Years</v>
      </c>
    </row>
    <row r="3684" spans="1:11" x14ac:dyDescent="0.3">
      <c r="A3684" t="s">
        <v>3701</v>
      </c>
      <c r="B3684" t="s">
        <v>9</v>
      </c>
      <c r="C3684" t="s">
        <v>10</v>
      </c>
      <c r="D3684" t="s">
        <v>20</v>
      </c>
      <c r="E3684">
        <v>98.05</v>
      </c>
      <c r="F3684">
        <v>41</v>
      </c>
      <c r="G3684">
        <v>4020.0499999999902</v>
      </c>
      <c r="H3684" t="s">
        <v>12</v>
      </c>
      <c r="I3684" t="str">
        <f t="shared" si="172"/>
        <v>Medium Value</v>
      </c>
      <c r="J3684" t="str">
        <f t="shared" si="173"/>
        <v>Low Risk</v>
      </c>
      <c r="K3684" s="3" t="str">
        <f t="shared" si="171"/>
        <v>2-4 Years</v>
      </c>
    </row>
    <row r="3685" spans="1:11" x14ac:dyDescent="0.3">
      <c r="A3685" t="s">
        <v>3702</v>
      </c>
      <c r="B3685" t="s">
        <v>9</v>
      </c>
      <c r="C3685" t="s">
        <v>10</v>
      </c>
      <c r="D3685" t="s">
        <v>11</v>
      </c>
      <c r="E3685">
        <v>71.150000000000006</v>
      </c>
      <c r="F3685">
        <v>1</v>
      </c>
      <c r="G3685">
        <v>71.150000000000006</v>
      </c>
      <c r="H3685" t="s">
        <v>18</v>
      </c>
      <c r="I3685" t="str">
        <f t="shared" si="172"/>
        <v>Low Value</v>
      </c>
      <c r="J3685" t="str">
        <f t="shared" si="173"/>
        <v>High Risk</v>
      </c>
      <c r="K3685" s="3" t="str">
        <f t="shared" si="171"/>
        <v>0-1 Year</v>
      </c>
    </row>
    <row r="3686" spans="1:11" x14ac:dyDescent="0.3">
      <c r="A3686" t="s">
        <v>3703</v>
      </c>
      <c r="B3686" t="s">
        <v>9</v>
      </c>
      <c r="C3686" t="s">
        <v>10</v>
      </c>
      <c r="D3686" t="s">
        <v>24</v>
      </c>
      <c r="E3686">
        <v>54.15</v>
      </c>
      <c r="F3686">
        <v>24</v>
      </c>
      <c r="G3686">
        <v>1299.5999999999999</v>
      </c>
      <c r="H3686" t="s">
        <v>18</v>
      </c>
      <c r="I3686" t="str">
        <f t="shared" si="172"/>
        <v>Low Value</v>
      </c>
      <c r="J3686" t="str">
        <f t="shared" si="173"/>
        <v>Low Risk</v>
      </c>
      <c r="K3686" s="3" t="str">
        <f t="shared" si="171"/>
        <v>1-2 Years</v>
      </c>
    </row>
    <row r="3687" spans="1:11" x14ac:dyDescent="0.3">
      <c r="A3687" t="s">
        <v>3704</v>
      </c>
      <c r="B3687" t="s">
        <v>9</v>
      </c>
      <c r="C3687" t="s">
        <v>15</v>
      </c>
      <c r="D3687" t="s">
        <v>20</v>
      </c>
      <c r="E3687">
        <v>63.9</v>
      </c>
      <c r="F3687">
        <v>40</v>
      </c>
      <c r="G3687">
        <v>2556</v>
      </c>
      <c r="H3687" t="s">
        <v>12</v>
      </c>
      <c r="I3687" t="str">
        <f t="shared" si="172"/>
        <v>Medium Value</v>
      </c>
      <c r="J3687" t="str">
        <f t="shared" si="173"/>
        <v>Low Risk</v>
      </c>
      <c r="K3687" s="3" t="str">
        <f t="shared" si="171"/>
        <v>2-4 Years</v>
      </c>
    </row>
    <row r="3688" spans="1:11" x14ac:dyDescent="0.3">
      <c r="A3688" t="s">
        <v>3705</v>
      </c>
      <c r="B3688" t="s">
        <v>9</v>
      </c>
      <c r="C3688" t="s">
        <v>10</v>
      </c>
      <c r="D3688" t="s">
        <v>20</v>
      </c>
      <c r="E3688">
        <v>69.150000000000006</v>
      </c>
      <c r="F3688">
        <v>3</v>
      </c>
      <c r="G3688">
        <v>207.45</v>
      </c>
      <c r="H3688" t="s">
        <v>12</v>
      </c>
      <c r="I3688" t="str">
        <f t="shared" si="172"/>
        <v>Low Value</v>
      </c>
      <c r="J3688" t="str">
        <f t="shared" si="173"/>
        <v>High Risk</v>
      </c>
      <c r="K3688" s="3" t="str">
        <f t="shared" si="171"/>
        <v>0-1 Year</v>
      </c>
    </row>
    <row r="3689" spans="1:11" x14ac:dyDescent="0.3">
      <c r="A3689" t="s">
        <v>3706</v>
      </c>
      <c r="B3689" t="s">
        <v>9</v>
      </c>
      <c r="C3689" t="s">
        <v>15</v>
      </c>
      <c r="D3689" t="s">
        <v>20</v>
      </c>
      <c r="E3689">
        <v>64.650000000000006</v>
      </c>
      <c r="F3689">
        <v>37</v>
      </c>
      <c r="G3689">
        <v>2392.0500000000002</v>
      </c>
      <c r="H3689" t="s">
        <v>12</v>
      </c>
      <c r="I3689" t="str">
        <f t="shared" si="172"/>
        <v>Medium Value</v>
      </c>
      <c r="J3689" t="str">
        <f t="shared" si="173"/>
        <v>Low Risk</v>
      </c>
      <c r="K3689" s="3" t="str">
        <f t="shared" si="171"/>
        <v>2-4 Years</v>
      </c>
    </row>
    <row r="3690" spans="1:11" x14ac:dyDescent="0.3">
      <c r="A3690" t="s">
        <v>3707</v>
      </c>
      <c r="B3690" t="s">
        <v>9</v>
      </c>
      <c r="C3690" t="s">
        <v>30</v>
      </c>
      <c r="D3690" t="s">
        <v>24</v>
      </c>
      <c r="E3690">
        <v>108.75</v>
      </c>
      <c r="F3690">
        <v>67</v>
      </c>
      <c r="G3690">
        <v>7286.25</v>
      </c>
      <c r="H3690" t="s">
        <v>18</v>
      </c>
      <c r="I3690" t="str">
        <f t="shared" si="172"/>
        <v>High Value</v>
      </c>
      <c r="J3690" t="str">
        <f t="shared" si="173"/>
        <v>Low Risk</v>
      </c>
      <c r="K3690" s="3" t="str">
        <f t="shared" si="171"/>
        <v>4+ Years</v>
      </c>
    </row>
    <row r="3691" spans="1:11" x14ac:dyDescent="0.3">
      <c r="A3691" t="s">
        <v>3708</v>
      </c>
      <c r="B3691" t="s">
        <v>9</v>
      </c>
      <c r="C3691" t="s">
        <v>10</v>
      </c>
      <c r="D3691" t="s">
        <v>11</v>
      </c>
      <c r="E3691">
        <v>98.85</v>
      </c>
      <c r="F3691">
        <v>32</v>
      </c>
      <c r="G3691">
        <v>3163.2</v>
      </c>
      <c r="H3691" t="s">
        <v>12</v>
      </c>
      <c r="I3691" t="str">
        <f t="shared" si="172"/>
        <v>Medium Value</v>
      </c>
      <c r="J3691" t="str">
        <f t="shared" si="173"/>
        <v>Low Risk</v>
      </c>
      <c r="K3691" s="3" t="str">
        <f t="shared" si="171"/>
        <v>2-4 Years</v>
      </c>
    </row>
    <row r="3692" spans="1:11" x14ac:dyDescent="0.3">
      <c r="A3692" t="s">
        <v>3709</v>
      </c>
      <c r="B3692" t="s">
        <v>9</v>
      </c>
      <c r="C3692" t="s">
        <v>10</v>
      </c>
      <c r="D3692" t="s">
        <v>11</v>
      </c>
      <c r="E3692">
        <v>49.15</v>
      </c>
      <c r="F3692">
        <v>6</v>
      </c>
      <c r="G3692">
        <v>294.89999999999998</v>
      </c>
      <c r="H3692" t="s">
        <v>18</v>
      </c>
      <c r="I3692" t="str">
        <f t="shared" si="172"/>
        <v>Low Value</v>
      </c>
      <c r="J3692" t="str">
        <f t="shared" si="173"/>
        <v>High Risk</v>
      </c>
      <c r="K3692" s="3" t="str">
        <f t="shared" si="171"/>
        <v>0-1 Year</v>
      </c>
    </row>
    <row r="3693" spans="1:11" x14ac:dyDescent="0.3">
      <c r="A3693" t="s">
        <v>3710</v>
      </c>
      <c r="B3693" t="s">
        <v>9</v>
      </c>
      <c r="C3693" t="s">
        <v>10</v>
      </c>
      <c r="D3693" t="s">
        <v>11</v>
      </c>
      <c r="E3693">
        <v>89.6</v>
      </c>
      <c r="F3693">
        <v>32</v>
      </c>
      <c r="G3693">
        <v>2867.2</v>
      </c>
      <c r="H3693" t="s">
        <v>12</v>
      </c>
      <c r="I3693" t="str">
        <f t="shared" si="172"/>
        <v>Medium Value</v>
      </c>
      <c r="J3693" t="str">
        <f t="shared" si="173"/>
        <v>Low Risk</v>
      </c>
      <c r="K3693" s="3" t="str">
        <f t="shared" si="171"/>
        <v>2-4 Years</v>
      </c>
    </row>
    <row r="3694" spans="1:11" x14ac:dyDescent="0.3">
      <c r="A3694" t="s">
        <v>3711</v>
      </c>
      <c r="B3694" t="s">
        <v>9</v>
      </c>
      <c r="C3694" t="s">
        <v>10</v>
      </c>
      <c r="D3694" t="s">
        <v>11</v>
      </c>
      <c r="E3694">
        <v>83.25</v>
      </c>
      <c r="F3694">
        <v>59</v>
      </c>
      <c r="G3694">
        <v>4911.75</v>
      </c>
      <c r="H3694" t="s">
        <v>12</v>
      </c>
      <c r="I3694" t="str">
        <f t="shared" si="172"/>
        <v>Medium Value</v>
      </c>
      <c r="J3694" t="str">
        <f t="shared" si="173"/>
        <v>Low Risk</v>
      </c>
      <c r="K3694" s="3" t="str">
        <f t="shared" si="171"/>
        <v>4+ Years</v>
      </c>
    </row>
    <row r="3695" spans="1:11" x14ac:dyDescent="0.3">
      <c r="A3695" t="s">
        <v>3712</v>
      </c>
      <c r="B3695" t="s">
        <v>9</v>
      </c>
      <c r="C3695" t="s">
        <v>15</v>
      </c>
      <c r="D3695" t="s">
        <v>20</v>
      </c>
      <c r="E3695">
        <v>70.25</v>
      </c>
      <c r="F3695">
        <v>30</v>
      </c>
      <c r="G3695">
        <v>2107.5</v>
      </c>
      <c r="H3695" t="s">
        <v>12</v>
      </c>
      <c r="I3695" t="str">
        <f t="shared" si="172"/>
        <v>Medium Value</v>
      </c>
      <c r="J3695" t="str">
        <f t="shared" si="173"/>
        <v>Low Risk</v>
      </c>
      <c r="K3695" s="3" t="str">
        <f t="shared" si="171"/>
        <v>2-4 Years</v>
      </c>
    </row>
    <row r="3696" spans="1:11" x14ac:dyDescent="0.3">
      <c r="A3696" t="s">
        <v>3713</v>
      </c>
      <c r="B3696" t="s">
        <v>14</v>
      </c>
      <c r="C3696" t="s">
        <v>10</v>
      </c>
      <c r="D3696" t="s">
        <v>11</v>
      </c>
      <c r="E3696">
        <v>19.399999999999999</v>
      </c>
      <c r="F3696">
        <v>20</v>
      </c>
      <c r="G3696">
        <v>388</v>
      </c>
      <c r="H3696" t="s">
        <v>18</v>
      </c>
      <c r="I3696" t="str">
        <f t="shared" si="172"/>
        <v>Low Value</v>
      </c>
      <c r="J3696" t="str">
        <f t="shared" si="173"/>
        <v>Medium Risk</v>
      </c>
      <c r="K3696" s="3" t="str">
        <f t="shared" si="171"/>
        <v>1-2 Years</v>
      </c>
    </row>
    <row r="3697" spans="1:11" x14ac:dyDescent="0.3">
      <c r="A3697" t="s">
        <v>3714</v>
      </c>
      <c r="B3697" t="s">
        <v>9</v>
      </c>
      <c r="C3697" t="s">
        <v>30</v>
      </c>
      <c r="D3697" t="s">
        <v>11</v>
      </c>
      <c r="E3697">
        <v>24.5</v>
      </c>
      <c r="F3697">
        <v>27</v>
      </c>
      <c r="G3697">
        <v>661.5</v>
      </c>
      <c r="H3697" t="s">
        <v>12</v>
      </c>
      <c r="I3697" t="str">
        <f t="shared" si="172"/>
        <v>Low Value</v>
      </c>
      <c r="J3697" t="str">
        <f t="shared" si="173"/>
        <v>Low Risk</v>
      </c>
      <c r="K3697" s="3" t="str">
        <f t="shared" si="171"/>
        <v>2-4 Years</v>
      </c>
    </row>
    <row r="3698" spans="1:11" x14ac:dyDescent="0.3">
      <c r="A3698" t="s">
        <v>3715</v>
      </c>
      <c r="B3698" t="s">
        <v>9</v>
      </c>
      <c r="C3698" t="s">
        <v>10</v>
      </c>
      <c r="D3698" t="s">
        <v>11</v>
      </c>
      <c r="E3698">
        <v>79.150000000000006</v>
      </c>
      <c r="F3698">
        <v>20</v>
      </c>
      <c r="G3698">
        <v>1583</v>
      </c>
      <c r="H3698" t="s">
        <v>18</v>
      </c>
      <c r="I3698" t="str">
        <f t="shared" si="172"/>
        <v>Low Value</v>
      </c>
      <c r="J3698" t="str">
        <f t="shared" si="173"/>
        <v>Medium Risk</v>
      </c>
      <c r="K3698" s="3" t="str">
        <f t="shared" si="171"/>
        <v>1-2 Years</v>
      </c>
    </row>
    <row r="3699" spans="1:11" x14ac:dyDescent="0.3">
      <c r="A3699" t="s">
        <v>3716</v>
      </c>
      <c r="B3699" t="s">
        <v>14</v>
      </c>
      <c r="C3699" t="s">
        <v>15</v>
      </c>
      <c r="D3699" t="s">
        <v>16</v>
      </c>
      <c r="E3699">
        <v>20.100000000000001</v>
      </c>
      <c r="F3699">
        <v>9</v>
      </c>
      <c r="G3699">
        <v>180.9</v>
      </c>
      <c r="H3699" t="s">
        <v>12</v>
      </c>
      <c r="I3699" t="str">
        <f t="shared" si="172"/>
        <v>Low Value</v>
      </c>
      <c r="J3699" t="str">
        <f t="shared" si="173"/>
        <v>High Risk</v>
      </c>
      <c r="K3699" s="3" t="str">
        <f t="shared" si="171"/>
        <v>0-1 Year</v>
      </c>
    </row>
    <row r="3700" spans="1:11" x14ac:dyDescent="0.3">
      <c r="A3700" t="s">
        <v>3717</v>
      </c>
      <c r="B3700" t="s">
        <v>9</v>
      </c>
      <c r="C3700" t="s">
        <v>15</v>
      </c>
      <c r="D3700" t="s">
        <v>24</v>
      </c>
      <c r="E3700">
        <v>73</v>
      </c>
      <c r="F3700">
        <v>68</v>
      </c>
      <c r="G3700">
        <v>4964</v>
      </c>
      <c r="H3700" t="s">
        <v>12</v>
      </c>
      <c r="I3700" t="str">
        <f t="shared" si="172"/>
        <v>Medium Value</v>
      </c>
      <c r="J3700" t="str">
        <f t="shared" si="173"/>
        <v>Low Risk</v>
      </c>
      <c r="K3700" s="3" t="str">
        <f t="shared" si="171"/>
        <v>4+ Years</v>
      </c>
    </row>
    <row r="3701" spans="1:11" x14ac:dyDescent="0.3">
      <c r="A3701" t="s">
        <v>3718</v>
      </c>
      <c r="B3701" t="s">
        <v>9</v>
      </c>
      <c r="C3701" t="s">
        <v>30</v>
      </c>
      <c r="D3701" t="s">
        <v>24</v>
      </c>
      <c r="E3701">
        <v>61.4</v>
      </c>
      <c r="F3701">
        <v>69</v>
      </c>
      <c r="G3701">
        <v>4236.5999999999904</v>
      </c>
      <c r="H3701" t="s">
        <v>12</v>
      </c>
      <c r="I3701" t="str">
        <f t="shared" si="172"/>
        <v>Medium Value</v>
      </c>
      <c r="J3701" t="str">
        <f t="shared" si="173"/>
        <v>Low Risk</v>
      </c>
      <c r="K3701" s="3" t="str">
        <f t="shared" si="171"/>
        <v>4+ Years</v>
      </c>
    </row>
    <row r="3702" spans="1:11" x14ac:dyDescent="0.3">
      <c r="A3702" t="s">
        <v>3719</v>
      </c>
      <c r="B3702" t="s">
        <v>14</v>
      </c>
      <c r="C3702" t="s">
        <v>10</v>
      </c>
      <c r="D3702" t="s">
        <v>16</v>
      </c>
      <c r="E3702">
        <v>84.3</v>
      </c>
      <c r="F3702">
        <v>26</v>
      </c>
      <c r="G3702">
        <v>2191.7999999999902</v>
      </c>
      <c r="H3702" t="s">
        <v>12</v>
      </c>
      <c r="I3702" t="str">
        <f t="shared" si="172"/>
        <v>Medium Value</v>
      </c>
      <c r="J3702" t="str">
        <f t="shared" si="173"/>
        <v>Low Risk</v>
      </c>
      <c r="K3702" s="3" t="str">
        <f t="shared" si="171"/>
        <v>2-4 Years</v>
      </c>
    </row>
    <row r="3703" spans="1:11" x14ac:dyDescent="0.3">
      <c r="A3703" t="s">
        <v>3720</v>
      </c>
      <c r="B3703" t="s">
        <v>14</v>
      </c>
      <c r="C3703" t="s">
        <v>30</v>
      </c>
      <c r="D3703" t="s">
        <v>20</v>
      </c>
      <c r="E3703">
        <v>19.899999999999999</v>
      </c>
      <c r="F3703">
        <v>69</v>
      </c>
      <c r="G3703">
        <v>1373.1</v>
      </c>
      <c r="H3703" t="s">
        <v>12</v>
      </c>
      <c r="I3703" t="str">
        <f t="shared" si="172"/>
        <v>Low Value</v>
      </c>
      <c r="J3703" t="str">
        <f t="shared" si="173"/>
        <v>Low Risk</v>
      </c>
      <c r="K3703" s="3" t="str">
        <f t="shared" si="171"/>
        <v>4+ Years</v>
      </c>
    </row>
    <row r="3704" spans="1:11" x14ac:dyDescent="0.3">
      <c r="A3704" t="s">
        <v>3721</v>
      </c>
      <c r="B3704" t="s">
        <v>14</v>
      </c>
      <c r="C3704" t="s">
        <v>30</v>
      </c>
      <c r="D3704" t="s">
        <v>16</v>
      </c>
      <c r="E3704">
        <v>20.399999999999999</v>
      </c>
      <c r="F3704">
        <v>11</v>
      </c>
      <c r="G3704">
        <v>224.39999999999901</v>
      </c>
      <c r="H3704" t="s">
        <v>12</v>
      </c>
      <c r="I3704" t="str">
        <f t="shared" si="172"/>
        <v>Low Value</v>
      </c>
      <c r="J3704" t="str">
        <f t="shared" si="173"/>
        <v>High Risk</v>
      </c>
      <c r="K3704" s="3" t="str">
        <f t="shared" si="171"/>
        <v>0-1 Year</v>
      </c>
    </row>
    <row r="3705" spans="1:11" x14ac:dyDescent="0.3">
      <c r="A3705" t="s">
        <v>3722</v>
      </c>
      <c r="B3705" t="s">
        <v>14</v>
      </c>
      <c r="C3705" t="s">
        <v>10</v>
      </c>
      <c r="D3705" t="s">
        <v>16</v>
      </c>
      <c r="E3705">
        <v>50.75</v>
      </c>
      <c r="F3705">
        <v>1</v>
      </c>
      <c r="G3705">
        <v>50.75</v>
      </c>
      <c r="H3705" t="s">
        <v>12</v>
      </c>
      <c r="I3705" t="str">
        <f t="shared" si="172"/>
        <v>Low Value</v>
      </c>
      <c r="J3705" t="str">
        <f t="shared" si="173"/>
        <v>High Risk</v>
      </c>
      <c r="K3705" s="3" t="str">
        <f t="shared" si="171"/>
        <v>0-1 Year</v>
      </c>
    </row>
    <row r="3706" spans="1:11" x14ac:dyDescent="0.3">
      <c r="A3706" t="s">
        <v>3723</v>
      </c>
      <c r="B3706" t="s">
        <v>14</v>
      </c>
      <c r="C3706" t="s">
        <v>15</v>
      </c>
      <c r="D3706" t="s">
        <v>16</v>
      </c>
      <c r="E3706">
        <v>20.45</v>
      </c>
      <c r="F3706">
        <v>10</v>
      </c>
      <c r="G3706">
        <v>204.5</v>
      </c>
      <c r="H3706" t="s">
        <v>12</v>
      </c>
      <c r="I3706" t="str">
        <f t="shared" si="172"/>
        <v>Low Value</v>
      </c>
      <c r="J3706" t="str">
        <f t="shared" si="173"/>
        <v>High Risk</v>
      </c>
      <c r="K3706" s="3" t="str">
        <f t="shared" si="171"/>
        <v>0-1 Year</v>
      </c>
    </row>
    <row r="3707" spans="1:11" x14ac:dyDescent="0.3">
      <c r="A3707" t="s">
        <v>3724</v>
      </c>
      <c r="B3707" t="s">
        <v>9</v>
      </c>
      <c r="C3707" t="s">
        <v>15</v>
      </c>
      <c r="D3707" t="s">
        <v>20</v>
      </c>
      <c r="E3707">
        <v>75.75</v>
      </c>
      <c r="F3707">
        <v>55</v>
      </c>
      <c r="G3707">
        <v>4166.25</v>
      </c>
      <c r="H3707" t="s">
        <v>12</v>
      </c>
      <c r="I3707" t="str">
        <f t="shared" si="172"/>
        <v>Medium Value</v>
      </c>
      <c r="J3707" t="str">
        <f t="shared" si="173"/>
        <v>Low Risk</v>
      </c>
      <c r="K3707" s="3" t="str">
        <f t="shared" si="171"/>
        <v>4+ Years</v>
      </c>
    </row>
    <row r="3708" spans="1:11" x14ac:dyDescent="0.3">
      <c r="A3708" t="s">
        <v>3725</v>
      </c>
      <c r="B3708" t="s">
        <v>14</v>
      </c>
      <c r="C3708" t="s">
        <v>15</v>
      </c>
      <c r="D3708" t="s">
        <v>11</v>
      </c>
      <c r="E3708">
        <v>65.400000000000006</v>
      </c>
      <c r="F3708">
        <v>44</v>
      </c>
      <c r="G3708">
        <v>2877.6</v>
      </c>
      <c r="H3708" t="s">
        <v>12</v>
      </c>
      <c r="I3708" t="str">
        <f t="shared" si="172"/>
        <v>Medium Value</v>
      </c>
      <c r="J3708" t="str">
        <f t="shared" si="173"/>
        <v>Low Risk</v>
      </c>
      <c r="K3708" s="3" t="str">
        <f t="shared" si="171"/>
        <v>2-4 Years</v>
      </c>
    </row>
    <row r="3709" spans="1:11" x14ac:dyDescent="0.3">
      <c r="A3709" t="s">
        <v>3726</v>
      </c>
      <c r="B3709" t="s">
        <v>14</v>
      </c>
      <c r="C3709" t="s">
        <v>10</v>
      </c>
      <c r="D3709" t="s">
        <v>11</v>
      </c>
      <c r="E3709">
        <v>80.400000000000006</v>
      </c>
      <c r="F3709">
        <v>46</v>
      </c>
      <c r="G3709">
        <v>3698.4</v>
      </c>
      <c r="H3709" t="s">
        <v>18</v>
      </c>
      <c r="I3709" t="str">
        <f t="shared" si="172"/>
        <v>Medium Value</v>
      </c>
      <c r="J3709" t="str">
        <f t="shared" si="173"/>
        <v>Low Risk</v>
      </c>
      <c r="K3709" s="3" t="str">
        <f t="shared" si="171"/>
        <v>2-4 Years</v>
      </c>
    </row>
    <row r="3710" spans="1:11" x14ac:dyDescent="0.3">
      <c r="A3710" t="s">
        <v>3727</v>
      </c>
      <c r="B3710" t="s">
        <v>14</v>
      </c>
      <c r="C3710" t="s">
        <v>30</v>
      </c>
      <c r="D3710" t="s">
        <v>20</v>
      </c>
      <c r="E3710">
        <v>59.75</v>
      </c>
      <c r="F3710">
        <v>69</v>
      </c>
      <c r="G3710">
        <v>4122.75</v>
      </c>
      <c r="H3710" t="s">
        <v>12</v>
      </c>
      <c r="I3710" t="str">
        <f t="shared" si="172"/>
        <v>Medium Value</v>
      </c>
      <c r="J3710" t="str">
        <f t="shared" si="173"/>
        <v>Low Risk</v>
      </c>
      <c r="K3710" s="3" t="str">
        <f t="shared" si="171"/>
        <v>4+ Years</v>
      </c>
    </row>
    <row r="3711" spans="1:11" x14ac:dyDescent="0.3">
      <c r="A3711" t="s">
        <v>3728</v>
      </c>
      <c r="B3711" t="s">
        <v>14</v>
      </c>
      <c r="C3711" t="s">
        <v>10</v>
      </c>
      <c r="D3711" t="s">
        <v>11</v>
      </c>
      <c r="E3711">
        <v>78.5</v>
      </c>
      <c r="F3711">
        <v>11</v>
      </c>
      <c r="G3711">
        <v>863.5</v>
      </c>
      <c r="H3711" t="s">
        <v>12</v>
      </c>
      <c r="I3711" t="str">
        <f t="shared" si="172"/>
        <v>Low Value</v>
      </c>
      <c r="J3711" t="str">
        <f t="shared" si="173"/>
        <v>High Risk</v>
      </c>
      <c r="K3711" s="3" t="str">
        <f t="shared" si="171"/>
        <v>0-1 Year</v>
      </c>
    </row>
    <row r="3712" spans="1:11" x14ac:dyDescent="0.3">
      <c r="A3712" t="s">
        <v>3729</v>
      </c>
      <c r="B3712" t="s">
        <v>9</v>
      </c>
      <c r="C3712" t="s">
        <v>10</v>
      </c>
      <c r="D3712" t="s">
        <v>11</v>
      </c>
      <c r="E3712">
        <v>102</v>
      </c>
      <c r="F3712">
        <v>11</v>
      </c>
      <c r="G3712">
        <v>1122</v>
      </c>
      <c r="H3712" t="s">
        <v>18</v>
      </c>
      <c r="I3712" t="str">
        <f t="shared" si="172"/>
        <v>Low Value</v>
      </c>
      <c r="J3712" t="str">
        <f t="shared" si="173"/>
        <v>High Risk</v>
      </c>
      <c r="K3712" s="3" t="str">
        <f t="shared" si="171"/>
        <v>0-1 Year</v>
      </c>
    </row>
    <row r="3713" spans="1:11" x14ac:dyDescent="0.3">
      <c r="A3713" t="s">
        <v>3730</v>
      </c>
      <c r="B3713" t="s">
        <v>14</v>
      </c>
      <c r="C3713" t="s">
        <v>10</v>
      </c>
      <c r="D3713" t="s">
        <v>20</v>
      </c>
      <c r="E3713">
        <v>48.95</v>
      </c>
      <c r="F3713">
        <v>29</v>
      </c>
      <c r="G3713">
        <v>1419.55</v>
      </c>
      <c r="H3713" t="s">
        <v>12</v>
      </c>
      <c r="I3713" t="str">
        <f t="shared" si="172"/>
        <v>Low Value</v>
      </c>
      <c r="J3713" t="str">
        <f t="shared" si="173"/>
        <v>Low Risk</v>
      </c>
      <c r="K3713" s="3" t="str">
        <f t="shared" si="171"/>
        <v>2-4 Years</v>
      </c>
    </row>
    <row r="3714" spans="1:11" x14ac:dyDescent="0.3">
      <c r="A3714" t="s">
        <v>3731</v>
      </c>
      <c r="B3714" t="s">
        <v>9</v>
      </c>
      <c r="C3714" t="s">
        <v>10</v>
      </c>
      <c r="D3714" t="s">
        <v>11</v>
      </c>
      <c r="E3714">
        <v>99.65</v>
      </c>
      <c r="F3714">
        <v>57</v>
      </c>
      <c r="G3714">
        <v>5680.05</v>
      </c>
      <c r="H3714" t="s">
        <v>12</v>
      </c>
      <c r="I3714" t="str">
        <f t="shared" si="172"/>
        <v>High Value</v>
      </c>
      <c r="J3714" t="str">
        <f t="shared" si="173"/>
        <v>Low Risk</v>
      </c>
      <c r="K3714" s="3" t="str">
        <f t="shared" si="171"/>
        <v>4+ Years</v>
      </c>
    </row>
    <row r="3715" spans="1:11" x14ac:dyDescent="0.3">
      <c r="A3715" t="s">
        <v>3732</v>
      </c>
      <c r="B3715" t="s">
        <v>14</v>
      </c>
      <c r="C3715" t="s">
        <v>15</v>
      </c>
      <c r="D3715" t="s">
        <v>24</v>
      </c>
      <c r="E3715">
        <v>18.25</v>
      </c>
      <c r="F3715">
        <v>28</v>
      </c>
      <c r="G3715">
        <v>511</v>
      </c>
      <c r="H3715" t="s">
        <v>12</v>
      </c>
      <c r="I3715" t="str">
        <f t="shared" si="172"/>
        <v>Low Value</v>
      </c>
      <c r="J3715" t="str">
        <f t="shared" si="173"/>
        <v>Low Risk</v>
      </c>
      <c r="K3715" s="3" t="str">
        <f t="shared" ref="K3715:K3778" si="174">IF(F3715&lt;=12,"0-1 Year",
IF(F3715&lt;=24,"1-2 Years",
IF(F3715&lt;=48,"2-4 Years","4+ Years")))</f>
        <v>2-4 Years</v>
      </c>
    </row>
    <row r="3716" spans="1:11" x14ac:dyDescent="0.3">
      <c r="A3716" t="s">
        <v>3733</v>
      </c>
      <c r="B3716" t="s">
        <v>9</v>
      </c>
      <c r="C3716" t="s">
        <v>10</v>
      </c>
      <c r="D3716" t="s">
        <v>24</v>
      </c>
      <c r="E3716">
        <v>54.55</v>
      </c>
      <c r="F3716">
        <v>42</v>
      </c>
      <c r="G3716">
        <v>2291.1</v>
      </c>
      <c r="H3716" t="s">
        <v>12</v>
      </c>
      <c r="I3716" t="str">
        <f t="shared" ref="I3716:I3779" si="175">IF(G3716&gt;5000,"High Value",
IF(G3716&gt;2000,"Medium Value","Low Value"))</f>
        <v>Medium Value</v>
      </c>
      <c r="J3716" t="str">
        <f t="shared" ref="J3716:J3779" si="176">IF(F3716&lt;12,"High Risk",
IF(F3716&lt;24,"Medium Risk","Low Risk"))</f>
        <v>Low Risk</v>
      </c>
      <c r="K3716" s="3" t="str">
        <f t="shared" si="174"/>
        <v>2-4 Years</v>
      </c>
    </row>
    <row r="3717" spans="1:11" x14ac:dyDescent="0.3">
      <c r="A3717" t="s">
        <v>3734</v>
      </c>
      <c r="B3717" t="s">
        <v>9</v>
      </c>
      <c r="C3717" t="s">
        <v>10</v>
      </c>
      <c r="D3717" t="s">
        <v>16</v>
      </c>
      <c r="E3717">
        <v>20.65</v>
      </c>
      <c r="F3717">
        <v>2</v>
      </c>
      <c r="G3717">
        <v>41.3</v>
      </c>
      <c r="H3717" t="s">
        <v>18</v>
      </c>
      <c r="I3717" t="str">
        <f t="shared" si="175"/>
        <v>Low Value</v>
      </c>
      <c r="J3717" t="str">
        <f t="shared" si="176"/>
        <v>High Risk</v>
      </c>
      <c r="K3717" s="3" t="str">
        <f t="shared" si="174"/>
        <v>0-1 Year</v>
      </c>
    </row>
    <row r="3718" spans="1:11" x14ac:dyDescent="0.3">
      <c r="A3718" t="s">
        <v>3735</v>
      </c>
      <c r="B3718" t="s">
        <v>14</v>
      </c>
      <c r="C3718" t="s">
        <v>15</v>
      </c>
      <c r="D3718" t="s">
        <v>20</v>
      </c>
      <c r="E3718">
        <v>40.65</v>
      </c>
      <c r="F3718">
        <v>23</v>
      </c>
      <c r="G3718">
        <v>934.94999999999902</v>
      </c>
      <c r="H3718" t="s">
        <v>12</v>
      </c>
      <c r="I3718" t="str">
        <f t="shared" si="175"/>
        <v>Low Value</v>
      </c>
      <c r="J3718" t="str">
        <f t="shared" si="176"/>
        <v>Medium Risk</v>
      </c>
      <c r="K3718" s="3" t="str">
        <f t="shared" si="174"/>
        <v>1-2 Years</v>
      </c>
    </row>
    <row r="3719" spans="1:11" x14ac:dyDescent="0.3">
      <c r="A3719" t="s">
        <v>3736</v>
      </c>
      <c r="B3719" t="s">
        <v>9</v>
      </c>
      <c r="C3719" t="s">
        <v>10</v>
      </c>
      <c r="D3719" t="s">
        <v>16</v>
      </c>
      <c r="E3719">
        <v>20.45</v>
      </c>
      <c r="F3719">
        <v>18</v>
      </c>
      <c r="G3719">
        <v>368.099999999999</v>
      </c>
      <c r="H3719" t="s">
        <v>12</v>
      </c>
      <c r="I3719" t="str">
        <f t="shared" si="175"/>
        <v>Low Value</v>
      </c>
      <c r="J3719" t="str">
        <f t="shared" si="176"/>
        <v>Medium Risk</v>
      </c>
      <c r="K3719" s="3" t="str">
        <f t="shared" si="174"/>
        <v>1-2 Years</v>
      </c>
    </row>
    <row r="3720" spans="1:11" x14ac:dyDescent="0.3">
      <c r="A3720" t="s">
        <v>3737</v>
      </c>
      <c r="B3720" t="s">
        <v>14</v>
      </c>
      <c r="C3720" t="s">
        <v>15</v>
      </c>
      <c r="D3720" t="s">
        <v>20</v>
      </c>
      <c r="E3720">
        <v>24.8</v>
      </c>
      <c r="F3720">
        <v>62</v>
      </c>
      <c r="G3720">
        <v>1537.6</v>
      </c>
      <c r="H3720" t="s">
        <v>12</v>
      </c>
      <c r="I3720" t="str">
        <f t="shared" si="175"/>
        <v>Low Value</v>
      </c>
      <c r="J3720" t="str">
        <f t="shared" si="176"/>
        <v>Low Risk</v>
      </c>
      <c r="K3720" s="3" t="str">
        <f t="shared" si="174"/>
        <v>4+ Years</v>
      </c>
    </row>
    <row r="3721" spans="1:11" x14ac:dyDescent="0.3">
      <c r="A3721" t="s">
        <v>3738</v>
      </c>
      <c r="B3721" t="s">
        <v>9</v>
      </c>
      <c r="C3721" t="s">
        <v>10</v>
      </c>
      <c r="D3721" t="s">
        <v>16</v>
      </c>
      <c r="E3721">
        <v>70.8</v>
      </c>
      <c r="F3721">
        <v>1</v>
      </c>
      <c r="G3721">
        <v>70.8</v>
      </c>
      <c r="H3721" t="s">
        <v>18</v>
      </c>
      <c r="I3721" t="str">
        <f t="shared" si="175"/>
        <v>Low Value</v>
      </c>
      <c r="J3721" t="str">
        <f t="shared" si="176"/>
        <v>High Risk</v>
      </c>
      <c r="K3721" s="3" t="str">
        <f t="shared" si="174"/>
        <v>0-1 Year</v>
      </c>
    </row>
    <row r="3722" spans="1:11" x14ac:dyDescent="0.3">
      <c r="A3722" t="s">
        <v>3739</v>
      </c>
      <c r="B3722" t="s">
        <v>14</v>
      </c>
      <c r="C3722" t="s">
        <v>10</v>
      </c>
      <c r="D3722" t="s">
        <v>24</v>
      </c>
      <c r="E3722">
        <v>89.05</v>
      </c>
      <c r="F3722">
        <v>16</v>
      </c>
      <c r="G3722">
        <v>1424.8</v>
      </c>
      <c r="H3722" t="s">
        <v>18</v>
      </c>
      <c r="I3722" t="str">
        <f t="shared" si="175"/>
        <v>Low Value</v>
      </c>
      <c r="J3722" t="str">
        <f t="shared" si="176"/>
        <v>Medium Risk</v>
      </c>
      <c r="K3722" s="3" t="str">
        <f t="shared" si="174"/>
        <v>1-2 Years</v>
      </c>
    </row>
    <row r="3723" spans="1:11" x14ac:dyDescent="0.3">
      <c r="A3723" t="s">
        <v>3740</v>
      </c>
      <c r="B3723" t="s">
        <v>9</v>
      </c>
      <c r="C3723" t="s">
        <v>10</v>
      </c>
      <c r="D3723" t="s">
        <v>11</v>
      </c>
      <c r="E3723">
        <v>96.6</v>
      </c>
      <c r="F3723">
        <v>3</v>
      </c>
      <c r="G3723">
        <v>289.79999999999899</v>
      </c>
      <c r="H3723" t="s">
        <v>18</v>
      </c>
      <c r="I3723" t="str">
        <f t="shared" si="175"/>
        <v>Low Value</v>
      </c>
      <c r="J3723" t="str">
        <f t="shared" si="176"/>
        <v>High Risk</v>
      </c>
      <c r="K3723" s="3" t="str">
        <f t="shared" si="174"/>
        <v>0-1 Year</v>
      </c>
    </row>
    <row r="3724" spans="1:11" x14ac:dyDescent="0.3">
      <c r="A3724" t="s">
        <v>3741</v>
      </c>
      <c r="B3724" t="s">
        <v>14</v>
      </c>
      <c r="C3724" t="s">
        <v>15</v>
      </c>
      <c r="D3724" t="s">
        <v>20</v>
      </c>
      <c r="E3724">
        <v>88.8</v>
      </c>
      <c r="F3724">
        <v>67</v>
      </c>
      <c r="G3724">
        <v>5949.5999999999904</v>
      </c>
      <c r="H3724" t="s">
        <v>12</v>
      </c>
      <c r="I3724" t="str">
        <f t="shared" si="175"/>
        <v>High Value</v>
      </c>
      <c r="J3724" t="str">
        <f t="shared" si="176"/>
        <v>Low Risk</v>
      </c>
      <c r="K3724" s="3" t="str">
        <f t="shared" si="174"/>
        <v>4+ Years</v>
      </c>
    </row>
    <row r="3725" spans="1:11" x14ac:dyDescent="0.3">
      <c r="A3725" t="s">
        <v>3742</v>
      </c>
      <c r="B3725" t="s">
        <v>14</v>
      </c>
      <c r="C3725" t="s">
        <v>30</v>
      </c>
      <c r="D3725" t="s">
        <v>24</v>
      </c>
      <c r="E3725">
        <v>20.05</v>
      </c>
      <c r="F3725">
        <v>62</v>
      </c>
      <c r="G3725">
        <v>1243.0999999999999</v>
      </c>
      <c r="H3725" t="s">
        <v>12</v>
      </c>
      <c r="I3725" t="str">
        <f t="shared" si="175"/>
        <v>Low Value</v>
      </c>
      <c r="J3725" t="str">
        <f t="shared" si="176"/>
        <v>Low Risk</v>
      </c>
      <c r="K3725" s="3" t="str">
        <f t="shared" si="174"/>
        <v>4+ Years</v>
      </c>
    </row>
    <row r="3726" spans="1:11" x14ac:dyDescent="0.3">
      <c r="A3726" t="s">
        <v>3743</v>
      </c>
      <c r="B3726" t="s">
        <v>9</v>
      </c>
      <c r="C3726" t="s">
        <v>10</v>
      </c>
      <c r="D3726" t="s">
        <v>24</v>
      </c>
      <c r="E3726">
        <v>104.5</v>
      </c>
      <c r="F3726">
        <v>57</v>
      </c>
      <c r="G3726">
        <v>5956.5</v>
      </c>
      <c r="H3726" t="s">
        <v>18</v>
      </c>
      <c r="I3726" t="str">
        <f t="shared" si="175"/>
        <v>High Value</v>
      </c>
      <c r="J3726" t="str">
        <f t="shared" si="176"/>
        <v>Low Risk</v>
      </c>
      <c r="K3726" s="3" t="str">
        <f t="shared" si="174"/>
        <v>4+ Years</v>
      </c>
    </row>
    <row r="3727" spans="1:11" x14ac:dyDescent="0.3">
      <c r="A3727" t="s">
        <v>3744</v>
      </c>
      <c r="B3727" t="s">
        <v>14</v>
      </c>
      <c r="C3727" t="s">
        <v>10</v>
      </c>
      <c r="D3727" t="s">
        <v>11</v>
      </c>
      <c r="E3727">
        <v>69.8</v>
      </c>
      <c r="F3727">
        <v>2</v>
      </c>
      <c r="G3727">
        <v>139.6</v>
      </c>
      <c r="H3727" t="s">
        <v>12</v>
      </c>
      <c r="I3727" t="str">
        <f t="shared" si="175"/>
        <v>Low Value</v>
      </c>
      <c r="J3727" t="str">
        <f t="shared" si="176"/>
        <v>High Risk</v>
      </c>
      <c r="K3727" s="3" t="str">
        <f t="shared" si="174"/>
        <v>0-1 Year</v>
      </c>
    </row>
    <row r="3728" spans="1:11" x14ac:dyDescent="0.3">
      <c r="A3728" t="s">
        <v>3745</v>
      </c>
      <c r="B3728" t="s">
        <v>9</v>
      </c>
      <c r="C3728" t="s">
        <v>30</v>
      </c>
      <c r="D3728" t="s">
        <v>20</v>
      </c>
      <c r="E3728">
        <v>77.150000000000006</v>
      </c>
      <c r="F3728">
        <v>23</v>
      </c>
      <c r="G3728">
        <v>1774.45</v>
      </c>
      <c r="H3728" t="s">
        <v>12</v>
      </c>
      <c r="I3728" t="str">
        <f t="shared" si="175"/>
        <v>Low Value</v>
      </c>
      <c r="J3728" t="str">
        <f t="shared" si="176"/>
        <v>Medium Risk</v>
      </c>
      <c r="K3728" s="3" t="str">
        <f t="shared" si="174"/>
        <v>1-2 Years</v>
      </c>
    </row>
    <row r="3729" spans="1:11" x14ac:dyDescent="0.3">
      <c r="A3729" t="s">
        <v>3746</v>
      </c>
      <c r="B3729" t="s">
        <v>9</v>
      </c>
      <c r="C3729" t="s">
        <v>30</v>
      </c>
      <c r="D3729" t="s">
        <v>20</v>
      </c>
      <c r="E3729">
        <v>35.049999999999997</v>
      </c>
      <c r="F3729">
        <v>25</v>
      </c>
      <c r="G3729">
        <v>876.24999999999898</v>
      </c>
      <c r="H3729" t="s">
        <v>12</v>
      </c>
      <c r="I3729" t="str">
        <f t="shared" si="175"/>
        <v>Low Value</v>
      </c>
      <c r="J3729" t="str">
        <f t="shared" si="176"/>
        <v>Low Risk</v>
      </c>
      <c r="K3729" s="3" t="str">
        <f t="shared" si="174"/>
        <v>2-4 Years</v>
      </c>
    </row>
    <row r="3730" spans="1:11" x14ac:dyDescent="0.3">
      <c r="A3730" t="s">
        <v>3747</v>
      </c>
      <c r="B3730" t="s">
        <v>9</v>
      </c>
      <c r="C3730" t="s">
        <v>30</v>
      </c>
      <c r="D3730" t="s">
        <v>20</v>
      </c>
      <c r="E3730">
        <v>108.1</v>
      </c>
      <c r="F3730">
        <v>72</v>
      </c>
      <c r="G3730">
        <v>7783.2</v>
      </c>
      <c r="H3730" t="s">
        <v>12</v>
      </c>
      <c r="I3730" t="str">
        <f t="shared" si="175"/>
        <v>High Value</v>
      </c>
      <c r="J3730" t="str">
        <f t="shared" si="176"/>
        <v>Low Risk</v>
      </c>
      <c r="K3730" s="3" t="str">
        <f t="shared" si="174"/>
        <v>4+ Years</v>
      </c>
    </row>
    <row r="3731" spans="1:11" x14ac:dyDescent="0.3">
      <c r="A3731" t="s">
        <v>3748</v>
      </c>
      <c r="B3731" t="s">
        <v>9</v>
      </c>
      <c r="C3731" t="s">
        <v>10</v>
      </c>
      <c r="D3731" t="s">
        <v>11</v>
      </c>
      <c r="E3731">
        <v>84.05</v>
      </c>
      <c r="F3731">
        <v>2</v>
      </c>
      <c r="G3731">
        <v>168.1</v>
      </c>
      <c r="H3731" t="s">
        <v>12</v>
      </c>
      <c r="I3731" t="str">
        <f t="shared" si="175"/>
        <v>Low Value</v>
      </c>
      <c r="J3731" t="str">
        <f t="shared" si="176"/>
        <v>High Risk</v>
      </c>
      <c r="K3731" s="3" t="str">
        <f t="shared" si="174"/>
        <v>0-1 Year</v>
      </c>
    </row>
    <row r="3732" spans="1:11" x14ac:dyDescent="0.3">
      <c r="A3732" t="s">
        <v>3749</v>
      </c>
      <c r="B3732" t="s">
        <v>9</v>
      </c>
      <c r="C3732" t="s">
        <v>15</v>
      </c>
      <c r="D3732" t="s">
        <v>20</v>
      </c>
      <c r="E3732">
        <v>20.2</v>
      </c>
      <c r="F3732">
        <v>8</v>
      </c>
      <c r="G3732">
        <v>161.6</v>
      </c>
      <c r="H3732" t="s">
        <v>12</v>
      </c>
      <c r="I3732" t="str">
        <f t="shared" si="175"/>
        <v>Low Value</v>
      </c>
      <c r="J3732" t="str">
        <f t="shared" si="176"/>
        <v>High Risk</v>
      </c>
      <c r="K3732" s="3" t="str">
        <f t="shared" si="174"/>
        <v>0-1 Year</v>
      </c>
    </row>
    <row r="3733" spans="1:11" x14ac:dyDescent="0.3">
      <c r="A3733" t="s">
        <v>3750</v>
      </c>
      <c r="B3733" t="s">
        <v>9</v>
      </c>
      <c r="C3733" t="s">
        <v>10</v>
      </c>
      <c r="D3733" t="s">
        <v>16</v>
      </c>
      <c r="E3733">
        <v>50.6</v>
      </c>
      <c r="F3733">
        <v>5</v>
      </c>
      <c r="G3733">
        <v>253</v>
      </c>
      <c r="H3733" t="s">
        <v>18</v>
      </c>
      <c r="I3733" t="str">
        <f t="shared" si="175"/>
        <v>Low Value</v>
      </c>
      <c r="J3733" t="str">
        <f t="shared" si="176"/>
        <v>High Risk</v>
      </c>
      <c r="K3733" s="3" t="str">
        <f t="shared" si="174"/>
        <v>0-1 Year</v>
      </c>
    </row>
    <row r="3734" spans="1:11" x14ac:dyDescent="0.3">
      <c r="A3734" t="s">
        <v>3751</v>
      </c>
      <c r="B3734" t="s">
        <v>14</v>
      </c>
      <c r="C3734" t="s">
        <v>10</v>
      </c>
      <c r="D3734" t="s">
        <v>11</v>
      </c>
      <c r="E3734">
        <v>49.2</v>
      </c>
      <c r="F3734">
        <v>35</v>
      </c>
      <c r="G3734">
        <v>1722</v>
      </c>
      <c r="H3734" t="s">
        <v>12</v>
      </c>
      <c r="I3734" t="str">
        <f t="shared" si="175"/>
        <v>Low Value</v>
      </c>
      <c r="J3734" t="str">
        <f t="shared" si="176"/>
        <v>Low Risk</v>
      </c>
      <c r="K3734" s="3" t="str">
        <f t="shared" si="174"/>
        <v>2-4 Years</v>
      </c>
    </row>
    <row r="3735" spans="1:11" x14ac:dyDescent="0.3">
      <c r="A3735" t="s">
        <v>3752</v>
      </c>
      <c r="B3735" t="s">
        <v>14</v>
      </c>
      <c r="C3735" t="s">
        <v>15</v>
      </c>
      <c r="D3735" t="s">
        <v>11</v>
      </c>
      <c r="E3735">
        <v>24.6</v>
      </c>
      <c r="F3735">
        <v>24</v>
      </c>
      <c r="G3735">
        <v>590.4</v>
      </c>
      <c r="H3735" t="s">
        <v>12</v>
      </c>
      <c r="I3735" t="str">
        <f t="shared" si="175"/>
        <v>Low Value</v>
      </c>
      <c r="J3735" t="str">
        <f t="shared" si="176"/>
        <v>Low Risk</v>
      </c>
      <c r="K3735" s="3" t="str">
        <f t="shared" si="174"/>
        <v>1-2 Years</v>
      </c>
    </row>
    <row r="3736" spans="1:11" x14ac:dyDescent="0.3">
      <c r="A3736" t="s">
        <v>3753</v>
      </c>
      <c r="B3736" t="s">
        <v>9</v>
      </c>
      <c r="C3736" t="s">
        <v>10</v>
      </c>
      <c r="D3736" t="s">
        <v>11</v>
      </c>
      <c r="E3736">
        <v>71.650000000000006</v>
      </c>
      <c r="F3736">
        <v>2</v>
      </c>
      <c r="G3736">
        <v>143.30000000000001</v>
      </c>
      <c r="H3736" t="s">
        <v>12</v>
      </c>
      <c r="I3736" t="str">
        <f t="shared" si="175"/>
        <v>Low Value</v>
      </c>
      <c r="J3736" t="str">
        <f t="shared" si="176"/>
        <v>High Risk</v>
      </c>
      <c r="K3736" s="3" t="str">
        <f t="shared" si="174"/>
        <v>0-1 Year</v>
      </c>
    </row>
    <row r="3737" spans="1:11" x14ac:dyDescent="0.3">
      <c r="A3737" t="s">
        <v>3754</v>
      </c>
      <c r="B3737" t="s">
        <v>14</v>
      </c>
      <c r="C3737" t="s">
        <v>30</v>
      </c>
      <c r="D3737" t="s">
        <v>24</v>
      </c>
      <c r="E3737">
        <v>104.9</v>
      </c>
      <c r="F3737">
        <v>72</v>
      </c>
      <c r="G3737">
        <v>7552.8</v>
      </c>
      <c r="H3737" t="s">
        <v>12</v>
      </c>
      <c r="I3737" t="str">
        <f t="shared" si="175"/>
        <v>High Value</v>
      </c>
      <c r="J3737" t="str">
        <f t="shared" si="176"/>
        <v>Low Risk</v>
      </c>
      <c r="K3737" s="3" t="str">
        <f t="shared" si="174"/>
        <v>4+ Years</v>
      </c>
    </row>
    <row r="3738" spans="1:11" x14ac:dyDescent="0.3">
      <c r="A3738" t="s">
        <v>3755</v>
      </c>
      <c r="B3738" t="s">
        <v>9</v>
      </c>
      <c r="C3738" t="s">
        <v>10</v>
      </c>
      <c r="D3738" t="s">
        <v>11</v>
      </c>
      <c r="E3738">
        <v>106.5</v>
      </c>
      <c r="F3738">
        <v>41</v>
      </c>
      <c r="G3738">
        <v>4366.5</v>
      </c>
      <c r="H3738" t="s">
        <v>12</v>
      </c>
      <c r="I3738" t="str">
        <f t="shared" si="175"/>
        <v>Medium Value</v>
      </c>
      <c r="J3738" t="str">
        <f t="shared" si="176"/>
        <v>Low Risk</v>
      </c>
      <c r="K3738" s="3" t="str">
        <f t="shared" si="174"/>
        <v>2-4 Years</v>
      </c>
    </row>
    <row r="3739" spans="1:11" x14ac:dyDescent="0.3">
      <c r="A3739" t="s">
        <v>3756</v>
      </c>
      <c r="B3739" t="s">
        <v>14</v>
      </c>
      <c r="C3739" t="s">
        <v>10</v>
      </c>
      <c r="D3739" t="s">
        <v>11</v>
      </c>
      <c r="E3739">
        <v>49.35</v>
      </c>
      <c r="F3739">
        <v>4</v>
      </c>
      <c r="G3739">
        <v>197.4</v>
      </c>
      <c r="H3739" t="s">
        <v>18</v>
      </c>
      <c r="I3739" t="str">
        <f t="shared" si="175"/>
        <v>Low Value</v>
      </c>
      <c r="J3739" t="str">
        <f t="shared" si="176"/>
        <v>High Risk</v>
      </c>
      <c r="K3739" s="3" t="str">
        <f t="shared" si="174"/>
        <v>0-1 Year</v>
      </c>
    </row>
    <row r="3740" spans="1:11" x14ac:dyDescent="0.3">
      <c r="A3740" t="s">
        <v>3757</v>
      </c>
      <c r="B3740" t="s">
        <v>14</v>
      </c>
      <c r="C3740" t="s">
        <v>15</v>
      </c>
      <c r="D3740" t="s">
        <v>20</v>
      </c>
      <c r="E3740">
        <v>75.5</v>
      </c>
      <c r="F3740">
        <v>26</v>
      </c>
      <c r="G3740">
        <v>1963</v>
      </c>
      <c r="H3740" t="s">
        <v>12</v>
      </c>
      <c r="I3740" t="str">
        <f t="shared" si="175"/>
        <v>Low Value</v>
      </c>
      <c r="J3740" t="str">
        <f t="shared" si="176"/>
        <v>Low Risk</v>
      </c>
      <c r="K3740" s="3" t="str">
        <f t="shared" si="174"/>
        <v>2-4 Years</v>
      </c>
    </row>
    <row r="3741" spans="1:11" x14ac:dyDescent="0.3">
      <c r="A3741" t="s">
        <v>3758</v>
      </c>
      <c r="B3741" t="s">
        <v>14</v>
      </c>
      <c r="C3741" t="s">
        <v>10</v>
      </c>
      <c r="D3741" t="s">
        <v>11</v>
      </c>
      <c r="E3741">
        <v>94.25</v>
      </c>
      <c r="F3741">
        <v>7</v>
      </c>
      <c r="G3741">
        <v>659.75</v>
      </c>
      <c r="H3741" t="s">
        <v>18</v>
      </c>
      <c r="I3741" t="str">
        <f t="shared" si="175"/>
        <v>Low Value</v>
      </c>
      <c r="J3741" t="str">
        <f t="shared" si="176"/>
        <v>High Risk</v>
      </c>
      <c r="K3741" s="3" t="str">
        <f t="shared" si="174"/>
        <v>0-1 Year</v>
      </c>
    </row>
    <row r="3742" spans="1:11" x14ac:dyDescent="0.3">
      <c r="A3742" t="s">
        <v>3759</v>
      </c>
      <c r="B3742" t="s">
        <v>9</v>
      </c>
      <c r="C3742" t="s">
        <v>10</v>
      </c>
      <c r="D3742" t="s">
        <v>11</v>
      </c>
      <c r="E3742">
        <v>68.95</v>
      </c>
      <c r="F3742">
        <v>1</v>
      </c>
      <c r="G3742">
        <v>68.95</v>
      </c>
      <c r="H3742" t="s">
        <v>18</v>
      </c>
      <c r="I3742" t="str">
        <f t="shared" si="175"/>
        <v>Low Value</v>
      </c>
      <c r="J3742" t="str">
        <f t="shared" si="176"/>
        <v>High Risk</v>
      </c>
      <c r="K3742" s="3" t="str">
        <f t="shared" si="174"/>
        <v>0-1 Year</v>
      </c>
    </row>
    <row r="3743" spans="1:11" x14ac:dyDescent="0.3">
      <c r="A3743" t="s">
        <v>3760</v>
      </c>
      <c r="B3743" t="s">
        <v>9</v>
      </c>
      <c r="C3743" t="s">
        <v>10</v>
      </c>
      <c r="D3743" t="s">
        <v>16</v>
      </c>
      <c r="E3743">
        <v>58.5</v>
      </c>
      <c r="F3743">
        <v>4</v>
      </c>
      <c r="G3743">
        <v>234</v>
      </c>
      <c r="H3743" t="s">
        <v>12</v>
      </c>
      <c r="I3743" t="str">
        <f t="shared" si="175"/>
        <v>Low Value</v>
      </c>
      <c r="J3743" t="str">
        <f t="shared" si="176"/>
        <v>High Risk</v>
      </c>
      <c r="K3743" s="3" t="str">
        <f t="shared" si="174"/>
        <v>0-1 Year</v>
      </c>
    </row>
    <row r="3744" spans="1:11" x14ac:dyDescent="0.3">
      <c r="A3744" t="s">
        <v>3761</v>
      </c>
      <c r="B3744" t="s">
        <v>14</v>
      </c>
      <c r="C3744" t="s">
        <v>30</v>
      </c>
      <c r="D3744" t="s">
        <v>24</v>
      </c>
      <c r="E3744">
        <v>78.900000000000006</v>
      </c>
      <c r="F3744">
        <v>48</v>
      </c>
      <c r="G3744">
        <v>3787.2</v>
      </c>
      <c r="H3744" t="s">
        <v>12</v>
      </c>
      <c r="I3744" t="str">
        <f t="shared" si="175"/>
        <v>Medium Value</v>
      </c>
      <c r="J3744" t="str">
        <f t="shared" si="176"/>
        <v>Low Risk</v>
      </c>
      <c r="K3744" s="3" t="str">
        <f t="shared" si="174"/>
        <v>2-4 Years</v>
      </c>
    </row>
    <row r="3745" spans="1:11" x14ac:dyDescent="0.3">
      <c r="A3745" t="s">
        <v>3762</v>
      </c>
      <c r="B3745" t="s">
        <v>14</v>
      </c>
      <c r="C3745" t="s">
        <v>10</v>
      </c>
      <c r="D3745" t="s">
        <v>11</v>
      </c>
      <c r="E3745">
        <v>93.85</v>
      </c>
      <c r="F3745">
        <v>2</v>
      </c>
      <c r="G3745">
        <v>187.7</v>
      </c>
      <c r="H3745" t="s">
        <v>18</v>
      </c>
      <c r="I3745" t="str">
        <f t="shared" si="175"/>
        <v>Low Value</v>
      </c>
      <c r="J3745" t="str">
        <f t="shared" si="176"/>
        <v>High Risk</v>
      </c>
      <c r="K3745" s="3" t="str">
        <f t="shared" si="174"/>
        <v>0-1 Year</v>
      </c>
    </row>
    <row r="3746" spans="1:11" x14ac:dyDescent="0.3">
      <c r="A3746" t="s">
        <v>3763</v>
      </c>
      <c r="B3746" t="s">
        <v>9</v>
      </c>
      <c r="C3746" t="s">
        <v>15</v>
      </c>
      <c r="D3746" t="s">
        <v>11</v>
      </c>
      <c r="E3746">
        <v>79.2</v>
      </c>
      <c r="F3746">
        <v>12</v>
      </c>
      <c r="G3746">
        <v>950.4</v>
      </c>
      <c r="H3746" t="s">
        <v>12</v>
      </c>
      <c r="I3746" t="str">
        <f t="shared" si="175"/>
        <v>Low Value</v>
      </c>
      <c r="J3746" t="str">
        <f t="shared" si="176"/>
        <v>Medium Risk</v>
      </c>
      <c r="K3746" s="3" t="str">
        <f t="shared" si="174"/>
        <v>0-1 Year</v>
      </c>
    </row>
    <row r="3747" spans="1:11" x14ac:dyDescent="0.3">
      <c r="A3747" t="s">
        <v>3764</v>
      </c>
      <c r="B3747" t="s">
        <v>14</v>
      </c>
      <c r="C3747" t="s">
        <v>10</v>
      </c>
      <c r="D3747" t="s">
        <v>20</v>
      </c>
      <c r="E3747">
        <v>109.45</v>
      </c>
      <c r="F3747">
        <v>60</v>
      </c>
      <c r="G3747">
        <v>6567</v>
      </c>
      <c r="H3747" t="s">
        <v>12</v>
      </c>
      <c r="I3747" t="str">
        <f t="shared" si="175"/>
        <v>High Value</v>
      </c>
      <c r="J3747" t="str">
        <f t="shared" si="176"/>
        <v>Low Risk</v>
      </c>
      <c r="K3747" s="3" t="str">
        <f t="shared" si="174"/>
        <v>4+ Years</v>
      </c>
    </row>
    <row r="3748" spans="1:11" x14ac:dyDescent="0.3">
      <c r="A3748" t="s">
        <v>3765</v>
      </c>
      <c r="B3748" t="s">
        <v>14</v>
      </c>
      <c r="C3748" t="s">
        <v>30</v>
      </c>
      <c r="D3748" t="s">
        <v>11</v>
      </c>
      <c r="E3748">
        <v>59.2</v>
      </c>
      <c r="F3748">
        <v>55</v>
      </c>
      <c r="G3748">
        <v>3256</v>
      </c>
      <c r="H3748" t="s">
        <v>12</v>
      </c>
      <c r="I3748" t="str">
        <f t="shared" si="175"/>
        <v>Medium Value</v>
      </c>
      <c r="J3748" t="str">
        <f t="shared" si="176"/>
        <v>Low Risk</v>
      </c>
      <c r="K3748" s="3" t="str">
        <f t="shared" si="174"/>
        <v>4+ Years</v>
      </c>
    </row>
    <row r="3749" spans="1:11" x14ac:dyDescent="0.3">
      <c r="A3749" t="s">
        <v>3766</v>
      </c>
      <c r="B3749" t="s">
        <v>14</v>
      </c>
      <c r="C3749" t="s">
        <v>10</v>
      </c>
      <c r="D3749" t="s">
        <v>16</v>
      </c>
      <c r="E3749">
        <v>29.15</v>
      </c>
      <c r="F3749">
        <v>1</v>
      </c>
      <c r="G3749">
        <v>29.15</v>
      </c>
      <c r="H3749" t="s">
        <v>12</v>
      </c>
      <c r="I3749" t="str">
        <f t="shared" si="175"/>
        <v>Low Value</v>
      </c>
      <c r="J3749" t="str">
        <f t="shared" si="176"/>
        <v>High Risk</v>
      </c>
      <c r="K3749" s="3" t="str">
        <f t="shared" si="174"/>
        <v>0-1 Year</v>
      </c>
    </row>
    <row r="3750" spans="1:11" x14ac:dyDescent="0.3">
      <c r="A3750" t="s">
        <v>3767</v>
      </c>
      <c r="B3750" t="s">
        <v>14</v>
      </c>
      <c r="C3750" t="s">
        <v>10</v>
      </c>
      <c r="D3750" t="s">
        <v>16</v>
      </c>
      <c r="E3750">
        <v>20.05</v>
      </c>
      <c r="F3750">
        <v>1</v>
      </c>
      <c r="G3750">
        <v>20.05</v>
      </c>
      <c r="H3750" t="s">
        <v>12</v>
      </c>
      <c r="I3750" t="str">
        <f t="shared" si="175"/>
        <v>Low Value</v>
      </c>
      <c r="J3750" t="str">
        <f t="shared" si="176"/>
        <v>High Risk</v>
      </c>
      <c r="K3750" s="3" t="str">
        <f t="shared" si="174"/>
        <v>0-1 Year</v>
      </c>
    </row>
    <row r="3751" spans="1:11" x14ac:dyDescent="0.3">
      <c r="A3751" t="s">
        <v>3768</v>
      </c>
      <c r="B3751" t="s">
        <v>14</v>
      </c>
      <c r="C3751" t="s">
        <v>10</v>
      </c>
      <c r="D3751" t="s">
        <v>11</v>
      </c>
      <c r="E3751">
        <v>76.05</v>
      </c>
      <c r="F3751">
        <v>4</v>
      </c>
      <c r="G3751">
        <v>304.2</v>
      </c>
      <c r="H3751" t="s">
        <v>18</v>
      </c>
      <c r="I3751" t="str">
        <f t="shared" si="175"/>
        <v>Low Value</v>
      </c>
      <c r="J3751" t="str">
        <f t="shared" si="176"/>
        <v>High Risk</v>
      </c>
      <c r="K3751" s="3" t="str">
        <f t="shared" si="174"/>
        <v>0-1 Year</v>
      </c>
    </row>
    <row r="3752" spans="1:11" x14ac:dyDescent="0.3">
      <c r="A3752" t="s">
        <v>3769</v>
      </c>
      <c r="B3752" t="s">
        <v>14</v>
      </c>
      <c r="C3752" t="s">
        <v>10</v>
      </c>
      <c r="D3752" t="s">
        <v>16</v>
      </c>
      <c r="E3752">
        <v>24.45</v>
      </c>
      <c r="F3752">
        <v>1</v>
      </c>
      <c r="G3752">
        <v>24.45</v>
      </c>
      <c r="H3752" t="s">
        <v>18</v>
      </c>
      <c r="I3752" t="str">
        <f t="shared" si="175"/>
        <v>Low Value</v>
      </c>
      <c r="J3752" t="str">
        <f t="shared" si="176"/>
        <v>High Risk</v>
      </c>
      <c r="K3752" s="3" t="str">
        <f t="shared" si="174"/>
        <v>0-1 Year</v>
      </c>
    </row>
    <row r="3753" spans="1:11" x14ac:dyDescent="0.3">
      <c r="A3753" t="s">
        <v>3770</v>
      </c>
      <c r="B3753" t="s">
        <v>9</v>
      </c>
      <c r="C3753" t="s">
        <v>30</v>
      </c>
      <c r="D3753" t="s">
        <v>24</v>
      </c>
      <c r="E3753">
        <v>66.5</v>
      </c>
      <c r="F3753">
        <v>42</v>
      </c>
      <c r="G3753">
        <v>2793</v>
      </c>
      <c r="H3753" t="s">
        <v>12</v>
      </c>
      <c r="I3753" t="str">
        <f t="shared" si="175"/>
        <v>Medium Value</v>
      </c>
      <c r="J3753" t="str">
        <f t="shared" si="176"/>
        <v>Low Risk</v>
      </c>
      <c r="K3753" s="3" t="str">
        <f t="shared" si="174"/>
        <v>2-4 Years</v>
      </c>
    </row>
    <row r="3754" spans="1:11" x14ac:dyDescent="0.3">
      <c r="A3754" t="s">
        <v>3771</v>
      </c>
      <c r="B3754" t="s">
        <v>9</v>
      </c>
      <c r="C3754" t="s">
        <v>10</v>
      </c>
      <c r="D3754" t="s">
        <v>20</v>
      </c>
      <c r="E3754">
        <v>49.55</v>
      </c>
      <c r="F3754">
        <v>1</v>
      </c>
      <c r="G3754">
        <v>49.55</v>
      </c>
      <c r="H3754" t="s">
        <v>12</v>
      </c>
      <c r="I3754" t="str">
        <f t="shared" si="175"/>
        <v>Low Value</v>
      </c>
      <c r="J3754" t="str">
        <f t="shared" si="176"/>
        <v>High Risk</v>
      </c>
      <c r="K3754" s="3" t="str">
        <f t="shared" si="174"/>
        <v>0-1 Year</v>
      </c>
    </row>
    <row r="3755" spans="1:11" x14ac:dyDescent="0.3">
      <c r="A3755" t="s">
        <v>3772</v>
      </c>
      <c r="B3755" t="s">
        <v>14</v>
      </c>
      <c r="C3755" t="s">
        <v>10</v>
      </c>
      <c r="D3755" t="s">
        <v>24</v>
      </c>
      <c r="E3755">
        <v>89.35</v>
      </c>
      <c r="F3755">
        <v>7</v>
      </c>
      <c r="G3755">
        <v>625.44999999999902</v>
      </c>
      <c r="H3755" t="s">
        <v>18</v>
      </c>
      <c r="I3755" t="str">
        <f t="shared" si="175"/>
        <v>Low Value</v>
      </c>
      <c r="J3755" t="str">
        <f t="shared" si="176"/>
        <v>High Risk</v>
      </c>
      <c r="K3755" s="3" t="str">
        <f t="shared" si="174"/>
        <v>0-1 Year</v>
      </c>
    </row>
    <row r="3756" spans="1:11" x14ac:dyDescent="0.3">
      <c r="A3756" t="s">
        <v>3773</v>
      </c>
      <c r="B3756" t="s">
        <v>14</v>
      </c>
      <c r="C3756" t="s">
        <v>10</v>
      </c>
      <c r="D3756" t="s">
        <v>24</v>
      </c>
      <c r="E3756">
        <v>73.599999999999994</v>
      </c>
      <c r="F3756">
        <v>3</v>
      </c>
      <c r="G3756">
        <v>220.79999999999899</v>
      </c>
      <c r="H3756" t="s">
        <v>12</v>
      </c>
      <c r="I3756" t="str">
        <f t="shared" si="175"/>
        <v>Low Value</v>
      </c>
      <c r="J3756" t="str">
        <f t="shared" si="176"/>
        <v>High Risk</v>
      </c>
      <c r="K3756" s="3" t="str">
        <f t="shared" si="174"/>
        <v>0-1 Year</v>
      </c>
    </row>
    <row r="3757" spans="1:11" x14ac:dyDescent="0.3">
      <c r="A3757" t="s">
        <v>3774</v>
      </c>
      <c r="B3757" t="s">
        <v>9</v>
      </c>
      <c r="C3757" t="s">
        <v>30</v>
      </c>
      <c r="D3757" t="s">
        <v>24</v>
      </c>
      <c r="E3757">
        <v>82.65</v>
      </c>
      <c r="F3757">
        <v>72</v>
      </c>
      <c r="G3757">
        <v>5950.8</v>
      </c>
      <c r="H3757" t="s">
        <v>12</v>
      </c>
      <c r="I3757" t="str">
        <f t="shared" si="175"/>
        <v>High Value</v>
      </c>
      <c r="J3757" t="str">
        <f t="shared" si="176"/>
        <v>Low Risk</v>
      </c>
      <c r="K3757" s="3" t="str">
        <f t="shared" si="174"/>
        <v>4+ Years</v>
      </c>
    </row>
    <row r="3758" spans="1:11" x14ac:dyDescent="0.3">
      <c r="A3758" t="s">
        <v>3775</v>
      </c>
      <c r="B3758" t="s">
        <v>14</v>
      </c>
      <c r="C3758" t="s">
        <v>10</v>
      </c>
      <c r="D3758" t="s">
        <v>11</v>
      </c>
      <c r="E3758">
        <v>49</v>
      </c>
      <c r="F3758">
        <v>15</v>
      </c>
      <c r="G3758">
        <v>735</v>
      </c>
      <c r="H3758" t="s">
        <v>12</v>
      </c>
      <c r="I3758" t="str">
        <f t="shared" si="175"/>
        <v>Low Value</v>
      </c>
      <c r="J3758" t="str">
        <f t="shared" si="176"/>
        <v>Medium Risk</v>
      </c>
      <c r="K3758" s="3" t="str">
        <f t="shared" si="174"/>
        <v>1-2 Years</v>
      </c>
    </row>
    <row r="3759" spans="1:11" x14ac:dyDescent="0.3">
      <c r="A3759" t="s">
        <v>3776</v>
      </c>
      <c r="B3759" t="s">
        <v>14</v>
      </c>
      <c r="C3759" t="s">
        <v>10</v>
      </c>
      <c r="D3759" t="s">
        <v>11</v>
      </c>
      <c r="E3759">
        <v>80.349999999999994</v>
      </c>
      <c r="F3759">
        <v>4</v>
      </c>
      <c r="G3759">
        <v>321.39999999999998</v>
      </c>
      <c r="H3759" t="s">
        <v>18</v>
      </c>
      <c r="I3759" t="str">
        <f t="shared" si="175"/>
        <v>Low Value</v>
      </c>
      <c r="J3759" t="str">
        <f t="shared" si="176"/>
        <v>High Risk</v>
      </c>
      <c r="K3759" s="3" t="str">
        <f t="shared" si="174"/>
        <v>0-1 Year</v>
      </c>
    </row>
    <row r="3760" spans="1:11" x14ac:dyDescent="0.3">
      <c r="A3760" t="s">
        <v>3777</v>
      </c>
      <c r="B3760" t="s">
        <v>9</v>
      </c>
      <c r="C3760" t="s">
        <v>15</v>
      </c>
      <c r="D3760" t="s">
        <v>11</v>
      </c>
      <c r="E3760">
        <v>25.2</v>
      </c>
      <c r="F3760">
        <v>11</v>
      </c>
      <c r="G3760">
        <v>277.2</v>
      </c>
      <c r="H3760" t="s">
        <v>12</v>
      </c>
      <c r="I3760" t="str">
        <f t="shared" si="175"/>
        <v>Low Value</v>
      </c>
      <c r="J3760" t="str">
        <f t="shared" si="176"/>
        <v>High Risk</v>
      </c>
      <c r="K3760" s="3" t="str">
        <f t="shared" si="174"/>
        <v>0-1 Year</v>
      </c>
    </row>
    <row r="3761" spans="1:11" x14ac:dyDescent="0.3">
      <c r="A3761" t="s">
        <v>3778</v>
      </c>
      <c r="B3761" t="s">
        <v>9</v>
      </c>
      <c r="C3761" t="s">
        <v>10</v>
      </c>
      <c r="D3761" t="s">
        <v>16</v>
      </c>
      <c r="E3761">
        <v>25.45</v>
      </c>
      <c r="F3761">
        <v>5</v>
      </c>
      <c r="G3761">
        <v>127.25</v>
      </c>
      <c r="H3761" t="s">
        <v>12</v>
      </c>
      <c r="I3761" t="str">
        <f t="shared" si="175"/>
        <v>Low Value</v>
      </c>
      <c r="J3761" t="str">
        <f t="shared" si="176"/>
        <v>High Risk</v>
      </c>
      <c r="K3761" s="3" t="str">
        <f t="shared" si="174"/>
        <v>0-1 Year</v>
      </c>
    </row>
    <row r="3762" spans="1:11" x14ac:dyDescent="0.3">
      <c r="A3762" t="s">
        <v>3779</v>
      </c>
      <c r="B3762" t="s">
        <v>9</v>
      </c>
      <c r="C3762" t="s">
        <v>10</v>
      </c>
      <c r="D3762" t="s">
        <v>11</v>
      </c>
      <c r="E3762">
        <v>55.8</v>
      </c>
      <c r="F3762">
        <v>1</v>
      </c>
      <c r="G3762">
        <v>55.8</v>
      </c>
      <c r="H3762" t="s">
        <v>18</v>
      </c>
      <c r="I3762" t="str">
        <f t="shared" si="175"/>
        <v>Low Value</v>
      </c>
      <c r="J3762" t="str">
        <f t="shared" si="176"/>
        <v>High Risk</v>
      </c>
      <c r="K3762" s="3" t="str">
        <f t="shared" si="174"/>
        <v>0-1 Year</v>
      </c>
    </row>
    <row r="3763" spans="1:11" x14ac:dyDescent="0.3">
      <c r="A3763" t="s">
        <v>3780</v>
      </c>
      <c r="B3763" t="s">
        <v>14</v>
      </c>
      <c r="C3763" t="s">
        <v>30</v>
      </c>
      <c r="D3763" t="s">
        <v>24</v>
      </c>
      <c r="E3763">
        <v>110.9</v>
      </c>
      <c r="F3763">
        <v>72</v>
      </c>
      <c r="G3763">
        <v>7984.8</v>
      </c>
      <c r="H3763" t="s">
        <v>12</v>
      </c>
      <c r="I3763" t="str">
        <f t="shared" si="175"/>
        <v>High Value</v>
      </c>
      <c r="J3763" t="str">
        <f t="shared" si="176"/>
        <v>Low Risk</v>
      </c>
      <c r="K3763" s="3" t="str">
        <f t="shared" si="174"/>
        <v>4+ Years</v>
      </c>
    </row>
    <row r="3764" spans="1:11" x14ac:dyDescent="0.3">
      <c r="A3764" t="s">
        <v>3781</v>
      </c>
      <c r="B3764" t="s">
        <v>9</v>
      </c>
      <c r="C3764" t="s">
        <v>10</v>
      </c>
      <c r="D3764" t="s">
        <v>24</v>
      </c>
      <c r="E3764">
        <v>77.75</v>
      </c>
      <c r="F3764">
        <v>55</v>
      </c>
      <c r="G3764">
        <v>4276.25</v>
      </c>
      <c r="H3764" t="s">
        <v>12</v>
      </c>
      <c r="I3764" t="str">
        <f t="shared" si="175"/>
        <v>Medium Value</v>
      </c>
      <c r="J3764" t="str">
        <f t="shared" si="176"/>
        <v>Low Risk</v>
      </c>
      <c r="K3764" s="3" t="str">
        <f t="shared" si="174"/>
        <v>4+ Years</v>
      </c>
    </row>
    <row r="3765" spans="1:11" x14ac:dyDescent="0.3">
      <c r="A3765" t="s">
        <v>3782</v>
      </c>
      <c r="B3765" t="s">
        <v>9</v>
      </c>
      <c r="C3765" t="s">
        <v>10</v>
      </c>
      <c r="D3765" t="s">
        <v>11</v>
      </c>
      <c r="E3765">
        <v>26.2</v>
      </c>
      <c r="F3765">
        <v>40</v>
      </c>
      <c r="G3765">
        <v>1048</v>
      </c>
      <c r="H3765" t="s">
        <v>12</v>
      </c>
      <c r="I3765" t="str">
        <f t="shared" si="175"/>
        <v>Low Value</v>
      </c>
      <c r="J3765" t="str">
        <f t="shared" si="176"/>
        <v>Low Risk</v>
      </c>
      <c r="K3765" s="3" t="str">
        <f t="shared" si="174"/>
        <v>2-4 Years</v>
      </c>
    </row>
    <row r="3766" spans="1:11" x14ac:dyDescent="0.3">
      <c r="A3766" t="s">
        <v>3783</v>
      </c>
      <c r="B3766" t="s">
        <v>9</v>
      </c>
      <c r="C3766" t="s">
        <v>30</v>
      </c>
      <c r="D3766" t="s">
        <v>20</v>
      </c>
      <c r="E3766">
        <v>19.899999999999999</v>
      </c>
      <c r="F3766">
        <v>57</v>
      </c>
      <c r="G3766">
        <v>1134.3</v>
      </c>
      <c r="H3766" t="s">
        <v>12</v>
      </c>
      <c r="I3766" t="str">
        <f t="shared" si="175"/>
        <v>Low Value</v>
      </c>
      <c r="J3766" t="str">
        <f t="shared" si="176"/>
        <v>Low Risk</v>
      </c>
      <c r="K3766" s="3" t="str">
        <f t="shared" si="174"/>
        <v>4+ Years</v>
      </c>
    </row>
    <row r="3767" spans="1:11" x14ac:dyDescent="0.3">
      <c r="A3767" t="s">
        <v>3784</v>
      </c>
      <c r="B3767" t="s">
        <v>14</v>
      </c>
      <c r="C3767" t="s">
        <v>10</v>
      </c>
      <c r="D3767" t="s">
        <v>11</v>
      </c>
      <c r="E3767">
        <v>79.05</v>
      </c>
      <c r="F3767">
        <v>1</v>
      </c>
      <c r="G3767">
        <v>79.05</v>
      </c>
      <c r="H3767" t="s">
        <v>18</v>
      </c>
      <c r="I3767" t="str">
        <f t="shared" si="175"/>
        <v>Low Value</v>
      </c>
      <c r="J3767" t="str">
        <f t="shared" si="176"/>
        <v>High Risk</v>
      </c>
      <c r="K3767" s="3" t="str">
        <f t="shared" si="174"/>
        <v>0-1 Year</v>
      </c>
    </row>
    <row r="3768" spans="1:11" x14ac:dyDescent="0.3">
      <c r="A3768" t="s">
        <v>3785</v>
      </c>
      <c r="B3768" t="s">
        <v>14</v>
      </c>
      <c r="C3768" t="s">
        <v>10</v>
      </c>
      <c r="D3768" t="s">
        <v>11</v>
      </c>
      <c r="E3768">
        <v>95</v>
      </c>
      <c r="F3768">
        <v>1</v>
      </c>
      <c r="G3768">
        <v>95</v>
      </c>
      <c r="H3768" t="s">
        <v>18</v>
      </c>
      <c r="I3768" t="str">
        <f t="shared" si="175"/>
        <v>Low Value</v>
      </c>
      <c r="J3768" t="str">
        <f t="shared" si="176"/>
        <v>High Risk</v>
      </c>
      <c r="K3768" s="3" t="str">
        <f t="shared" si="174"/>
        <v>0-1 Year</v>
      </c>
    </row>
    <row r="3769" spans="1:11" x14ac:dyDescent="0.3">
      <c r="A3769" t="s">
        <v>3786</v>
      </c>
      <c r="B3769" t="s">
        <v>9</v>
      </c>
      <c r="C3769" t="s">
        <v>10</v>
      </c>
      <c r="D3769" t="s">
        <v>16</v>
      </c>
      <c r="E3769">
        <v>25.2</v>
      </c>
      <c r="F3769">
        <v>1</v>
      </c>
      <c r="G3769">
        <v>25.2</v>
      </c>
      <c r="H3769" t="s">
        <v>18</v>
      </c>
      <c r="I3769" t="str">
        <f t="shared" si="175"/>
        <v>Low Value</v>
      </c>
      <c r="J3769" t="str">
        <f t="shared" si="176"/>
        <v>High Risk</v>
      </c>
      <c r="K3769" s="3" t="str">
        <f t="shared" si="174"/>
        <v>0-1 Year</v>
      </c>
    </row>
    <row r="3770" spans="1:11" x14ac:dyDescent="0.3">
      <c r="A3770" t="s">
        <v>3787</v>
      </c>
      <c r="B3770" t="s">
        <v>14</v>
      </c>
      <c r="C3770" t="s">
        <v>15</v>
      </c>
      <c r="D3770" t="s">
        <v>11</v>
      </c>
      <c r="E3770">
        <v>80.849999999999994</v>
      </c>
      <c r="F3770">
        <v>52</v>
      </c>
      <c r="G3770">
        <v>4204.2</v>
      </c>
      <c r="H3770" t="s">
        <v>12</v>
      </c>
      <c r="I3770" t="str">
        <f t="shared" si="175"/>
        <v>Medium Value</v>
      </c>
      <c r="J3770" t="str">
        <f t="shared" si="176"/>
        <v>Low Risk</v>
      </c>
      <c r="K3770" s="3" t="str">
        <f t="shared" si="174"/>
        <v>4+ Years</v>
      </c>
    </row>
    <row r="3771" spans="1:11" x14ac:dyDescent="0.3">
      <c r="A3771" t="s">
        <v>3788</v>
      </c>
      <c r="B3771" t="s">
        <v>14</v>
      </c>
      <c r="C3771" t="s">
        <v>10</v>
      </c>
      <c r="D3771" t="s">
        <v>11</v>
      </c>
      <c r="E3771">
        <v>98.4</v>
      </c>
      <c r="F3771">
        <v>41</v>
      </c>
      <c r="G3771">
        <v>4034.4</v>
      </c>
      <c r="H3771" t="s">
        <v>18</v>
      </c>
      <c r="I3771" t="str">
        <f t="shared" si="175"/>
        <v>Medium Value</v>
      </c>
      <c r="J3771" t="str">
        <f t="shared" si="176"/>
        <v>Low Risk</v>
      </c>
      <c r="K3771" s="3" t="str">
        <f t="shared" si="174"/>
        <v>2-4 Years</v>
      </c>
    </row>
    <row r="3772" spans="1:11" x14ac:dyDescent="0.3">
      <c r="A3772" t="s">
        <v>3789</v>
      </c>
      <c r="B3772" t="s">
        <v>14</v>
      </c>
      <c r="C3772" t="s">
        <v>15</v>
      </c>
      <c r="D3772" t="s">
        <v>16</v>
      </c>
      <c r="E3772">
        <v>56.35</v>
      </c>
      <c r="F3772">
        <v>43</v>
      </c>
      <c r="G3772">
        <v>2423.0500000000002</v>
      </c>
      <c r="H3772" t="s">
        <v>12</v>
      </c>
      <c r="I3772" t="str">
        <f t="shared" si="175"/>
        <v>Medium Value</v>
      </c>
      <c r="J3772" t="str">
        <f t="shared" si="176"/>
        <v>Low Risk</v>
      </c>
      <c r="K3772" s="3" t="str">
        <f t="shared" si="174"/>
        <v>2-4 Years</v>
      </c>
    </row>
    <row r="3773" spans="1:11" x14ac:dyDescent="0.3">
      <c r="A3773" t="s">
        <v>3790</v>
      </c>
      <c r="B3773" t="s">
        <v>9</v>
      </c>
      <c r="C3773" t="s">
        <v>30</v>
      </c>
      <c r="D3773" t="s">
        <v>20</v>
      </c>
      <c r="E3773">
        <v>19.3</v>
      </c>
      <c r="F3773">
        <v>47</v>
      </c>
      <c r="G3773">
        <v>907.1</v>
      </c>
      <c r="H3773" t="s">
        <v>12</v>
      </c>
      <c r="I3773" t="str">
        <f t="shared" si="175"/>
        <v>Low Value</v>
      </c>
      <c r="J3773" t="str">
        <f t="shared" si="176"/>
        <v>Low Risk</v>
      </c>
      <c r="K3773" s="3" t="str">
        <f t="shared" si="174"/>
        <v>2-4 Years</v>
      </c>
    </row>
    <row r="3774" spans="1:11" x14ac:dyDescent="0.3">
      <c r="A3774" t="s">
        <v>3791</v>
      </c>
      <c r="B3774" t="s">
        <v>14</v>
      </c>
      <c r="C3774" t="s">
        <v>10</v>
      </c>
      <c r="D3774" t="s">
        <v>20</v>
      </c>
      <c r="E3774">
        <v>50.4</v>
      </c>
      <c r="F3774">
        <v>3</v>
      </c>
      <c r="G3774">
        <v>151.19999999999999</v>
      </c>
      <c r="H3774" t="s">
        <v>12</v>
      </c>
      <c r="I3774" t="str">
        <f t="shared" si="175"/>
        <v>Low Value</v>
      </c>
      <c r="J3774" t="str">
        <f t="shared" si="176"/>
        <v>High Risk</v>
      </c>
      <c r="K3774" s="3" t="str">
        <f t="shared" si="174"/>
        <v>0-1 Year</v>
      </c>
    </row>
    <row r="3775" spans="1:11" x14ac:dyDescent="0.3">
      <c r="A3775" t="s">
        <v>3792</v>
      </c>
      <c r="B3775" t="s">
        <v>14</v>
      </c>
      <c r="C3775" t="s">
        <v>30</v>
      </c>
      <c r="D3775" t="s">
        <v>24</v>
      </c>
      <c r="E3775">
        <v>79.400000000000006</v>
      </c>
      <c r="F3775">
        <v>66</v>
      </c>
      <c r="G3775">
        <v>5240.3999999999996</v>
      </c>
      <c r="H3775" t="s">
        <v>18</v>
      </c>
      <c r="I3775" t="str">
        <f t="shared" si="175"/>
        <v>High Value</v>
      </c>
      <c r="J3775" t="str">
        <f t="shared" si="176"/>
        <v>Low Risk</v>
      </c>
      <c r="K3775" s="3" t="str">
        <f t="shared" si="174"/>
        <v>4+ Years</v>
      </c>
    </row>
    <row r="3776" spans="1:11" x14ac:dyDescent="0.3">
      <c r="A3776" t="s">
        <v>3793</v>
      </c>
      <c r="B3776" t="s">
        <v>14</v>
      </c>
      <c r="C3776" t="s">
        <v>30</v>
      </c>
      <c r="D3776" t="s">
        <v>24</v>
      </c>
      <c r="E3776">
        <v>55.25</v>
      </c>
      <c r="F3776">
        <v>55</v>
      </c>
      <c r="G3776">
        <v>3038.75</v>
      </c>
      <c r="H3776" t="s">
        <v>12</v>
      </c>
      <c r="I3776" t="str">
        <f t="shared" si="175"/>
        <v>Medium Value</v>
      </c>
      <c r="J3776" t="str">
        <f t="shared" si="176"/>
        <v>Low Risk</v>
      </c>
      <c r="K3776" s="3" t="str">
        <f t="shared" si="174"/>
        <v>4+ Years</v>
      </c>
    </row>
    <row r="3777" spans="1:11" x14ac:dyDescent="0.3">
      <c r="A3777" t="s">
        <v>3794</v>
      </c>
      <c r="B3777" t="s">
        <v>14</v>
      </c>
      <c r="C3777" t="s">
        <v>15</v>
      </c>
      <c r="D3777" t="s">
        <v>16</v>
      </c>
      <c r="E3777">
        <v>19.100000000000001</v>
      </c>
      <c r="F3777">
        <v>29</v>
      </c>
      <c r="G3777">
        <v>553.9</v>
      </c>
      <c r="H3777" t="s">
        <v>12</v>
      </c>
      <c r="I3777" t="str">
        <f t="shared" si="175"/>
        <v>Low Value</v>
      </c>
      <c r="J3777" t="str">
        <f t="shared" si="176"/>
        <v>Low Risk</v>
      </c>
      <c r="K3777" s="3" t="str">
        <f t="shared" si="174"/>
        <v>2-4 Years</v>
      </c>
    </row>
    <row r="3778" spans="1:11" x14ac:dyDescent="0.3">
      <c r="A3778" t="s">
        <v>3795</v>
      </c>
      <c r="B3778" t="s">
        <v>9</v>
      </c>
      <c r="C3778" t="s">
        <v>10</v>
      </c>
      <c r="D3778" t="s">
        <v>11</v>
      </c>
      <c r="E3778">
        <v>84.05</v>
      </c>
      <c r="F3778">
        <v>12</v>
      </c>
      <c r="G3778">
        <v>1008.59999999999</v>
      </c>
      <c r="H3778" t="s">
        <v>12</v>
      </c>
      <c r="I3778" t="str">
        <f t="shared" si="175"/>
        <v>Low Value</v>
      </c>
      <c r="J3778" t="str">
        <f t="shared" si="176"/>
        <v>Medium Risk</v>
      </c>
      <c r="K3778" s="3" t="str">
        <f t="shared" si="174"/>
        <v>0-1 Year</v>
      </c>
    </row>
    <row r="3779" spans="1:11" x14ac:dyDescent="0.3">
      <c r="A3779" t="s">
        <v>3796</v>
      </c>
      <c r="B3779" t="s">
        <v>9</v>
      </c>
      <c r="C3779" t="s">
        <v>10</v>
      </c>
      <c r="D3779" t="s">
        <v>11</v>
      </c>
      <c r="E3779">
        <v>105.2</v>
      </c>
      <c r="F3779">
        <v>66</v>
      </c>
      <c r="G3779">
        <v>6943.2</v>
      </c>
      <c r="H3779" t="s">
        <v>12</v>
      </c>
      <c r="I3779" t="str">
        <f t="shared" si="175"/>
        <v>High Value</v>
      </c>
      <c r="J3779" t="str">
        <f t="shared" si="176"/>
        <v>Low Risk</v>
      </c>
      <c r="K3779" s="3" t="str">
        <f t="shared" ref="K3779:K3842" si="177">IF(F3779&lt;=12,"0-1 Year",
IF(F3779&lt;=24,"1-2 Years",
IF(F3779&lt;=48,"2-4 Years","4+ Years")))</f>
        <v>4+ Years</v>
      </c>
    </row>
    <row r="3780" spans="1:11" x14ac:dyDescent="0.3">
      <c r="A3780" t="s">
        <v>3797</v>
      </c>
      <c r="B3780" t="s">
        <v>14</v>
      </c>
      <c r="C3780" t="s">
        <v>10</v>
      </c>
      <c r="D3780" t="s">
        <v>11</v>
      </c>
      <c r="E3780">
        <v>101.4</v>
      </c>
      <c r="F3780">
        <v>35</v>
      </c>
      <c r="G3780">
        <v>3549</v>
      </c>
      <c r="H3780" t="s">
        <v>18</v>
      </c>
      <c r="I3780" t="str">
        <f t="shared" ref="I3780:I3843" si="178">IF(G3780&gt;5000,"High Value",
IF(G3780&gt;2000,"Medium Value","Low Value"))</f>
        <v>Medium Value</v>
      </c>
      <c r="J3780" t="str">
        <f t="shared" ref="J3780:J3843" si="179">IF(F3780&lt;12,"High Risk",
IF(F3780&lt;24,"Medium Risk","Low Risk"))</f>
        <v>Low Risk</v>
      </c>
      <c r="K3780" s="3" t="str">
        <f t="shared" si="177"/>
        <v>2-4 Years</v>
      </c>
    </row>
    <row r="3781" spans="1:11" x14ac:dyDescent="0.3">
      <c r="A3781" t="s">
        <v>3798</v>
      </c>
      <c r="B3781" t="s">
        <v>14</v>
      </c>
      <c r="C3781" t="s">
        <v>10</v>
      </c>
      <c r="D3781" t="s">
        <v>11</v>
      </c>
      <c r="E3781">
        <v>89.8</v>
      </c>
      <c r="F3781">
        <v>10</v>
      </c>
      <c r="G3781">
        <v>898</v>
      </c>
      <c r="H3781" t="s">
        <v>18</v>
      </c>
      <c r="I3781" t="str">
        <f t="shared" si="178"/>
        <v>Low Value</v>
      </c>
      <c r="J3781" t="str">
        <f t="shared" si="179"/>
        <v>High Risk</v>
      </c>
      <c r="K3781" s="3" t="str">
        <f t="shared" si="177"/>
        <v>0-1 Year</v>
      </c>
    </row>
    <row r="3782" spans="1:11" x14ac:dyDescent="0.3">
      <c r="A3782" t="s">
        <v>3799</v>
      </c>
      <c r="B3782" t="s">
        <v>14</v>
      </c>
      <c r="C3782" t="s">
        <v>10</v>
      </c>
      <c r="D3782" t="s">
        <v>20</v>
      </c>
      <c r="E3782">
        <v>75.75</v>
      </c>
      <c r="F3782">
        <v>27</v>
      </c>
      <c r="G3782">
        <v>2045.25</v>
      </c>
      <c r="H3782" t="s">
        <v>12</v>
      </c>
      <c r="I3782" t="str">
        <f t="shared" si="178"/>
        <v>Medium Value</v>
      </c>
      <c r="J3782" t="str">
        <f t="shared" si="179"/>
        <v>Low Risk</v>
      </c>
      <c r="K3782" s="3" t="str">
        <f t="shared" si="177"/>
        <v>2-4 Years</v>
      </c>
    </row>
    <row r="3783" spans="1:11" x14ac:dyDescent="0.3">
      <c r="A3783" t="s">
        <v>3800</v>
      </c>
      <c r="B3783" t="s">
        <v>9</v>
      </c>
      <c r="C3783" t="s">
        <v>10</v>
      </c>
      <c r="D3783" t="s">
        <v>11</v>
      </c>
      <c r="E3783">
        <v>95.3</v>
      </c>
      <c r="F3783">
        <v>58</v>
      </c>
      <c r="G3783">
        <v>5527.4</v>
      </c>
      <c r="H3783" t="s">
        <v>12</v>
      </c>
      <c r="I3783" t="str">
        <f t="shared" si="178"/>
        <v>High Value</v>
      </c>
      <c r="J3783" t="str">
        <f t="shared" si="179"/>
        <v>Low Risk</v>
      </c>
      <c r="K3783" s="3" t="str">
        <f t="shared" si="177"/>
        <v>4+ Years</v>
      </c>
    </row>
    <row r="3784" spans="1:11" x14ac:dyDescent="0.3">
      <c r="A3784" t="s">
        <v>3801</v>
      </c>
      <c r="B3784" t="s">
        <v>14</v>
      </c>
      <c r="C3784" t="s">
        <v>30</v>
      </c>
      <c r="D3784" t="s">
        <v>20</v>
      </c>
      <c r="E3784">
        <v>109.75</v>
      </c>
      <c r="F3784">
        <v>54</v>
      </c>
      <c r="G3784">
        <v>5926.5</v>
      </c>
      <c r="H3784" t="s">
        <v>18</v>
      </c>
      <c r="I3784" t="str">
        <f t="shared" si="178"/>
        <v>High Value</v>
      </c>
      <c r="J3784" t="str">
        <f t="shared" si="179"/>
        <v>Low Risk</v>
      </c>
      <c r="K3784" s="3" t="str">
        <f t="shared" si="177"/>
        <v>4+ Years</v>
      </c>
    </row>
    <row r="3785" spans="1:11" x14ac:dyDescent="0.3">
      <c r="A3785" t="s">
        <v>3802</v>
      </c>
      <c r="B3785" t="s">
        <v>14</v>
      </c>
      <c r="C3785" t="s">
        <v>10</v>
      </c>
      <c r="D3785" t="s">
        <v>16</v>
      </c>
      <c r="E3785">
        <v>19.850000000000001</v>
      </c>
      <c r="F3785">
        <v>9</v>
      </c>
      <c r="G3785">
        <v>178.65</v>
      </c>
      <c r="H3785" t="s">
        <v>12</v>
      </c>
      <c r="I3785" t="str">
        <f t="shared" si="178"/>
        <v>Low Value</v>
      </c>
      <c r="J3785" t="str">
        <f t="shared" si="179"/>
        <v>High Risk</v>
      </c>
      <c r="K3785" s="3" t="str">
        <f t="shared" si="177"/>
        <v>0-1 Year</v>
      </c>
    </row>
    <row r="3786" spans="1:11" x14ac:dyDescent="0.3">
      <c r="A3786" t="s">
        <v>3803</v>
      </c>
      <c r="B3786" t="s">
        <v>14</v>
      </c>
      <c r="C3786" t="s">
        <v>15</v>
      </c>
      <c r="D3786" t="s">
        <v>24</v>
      </c>
      <c r="E3786">
        <v>19.3</v>
      </c>
      <c r="F3786">
        <v>2</v>
      </c>
      <c r="G3786">
        <v>38.6</v>
      </c>
      <c r="H3786" t="s">
        <v>18</v>
      </c>
      <c r="I3786" t="str">
        <f t="shared" si="178"/>
        <v>Low Value</v>
      </c>
      <c r="J3786" t="str">
        <f t="shared" si="179"/>
        <v>High Risk</v>
      </c>
      <c r="K3786" s="3" t="str">
        <f t="shared" si="177"/>
        <v>0-1 Year</v>
      </c>
    </row>
    <row r="3787" spans="1:11" x14ac:dyDescent="0.3">
      <c r="A3787" t="s">
        <v>3804</v>
      </c>
      <c r="B3787" t="s">
        <v>14</v>
      </c>
      <c r="C3787" t="s">
        <v>10</v>
      </c>
      <c r="D3787" t="s">
        <v>11</v>
      </c>
      <c r="E3787">
        <v>69.099999999999994</v>
      </c>
      <c r="F3787">
        <v>6</v>
      </c>
      <c r="G3787">
        <v>414.599999999999</v>
      </c>
      <c r="H3787" t="s">
        <v>12</v>
      </c>
      <c r="I3787" t="str">
        <f t="shared" si="178"/>
        <v>Low Value</v>
      </c>
      <c r="J3787" t="str">
        <f t="shared" si="179"/>
        <v>High Risk</v>
      </c>
      <c r="K3787" s="3" t="str">
        <f t="shared" si="177"/>
        <v>0-1 Year</v>
      </c>
    </row>
    <row r="3788" spans="1:11" x14ac:dyDescent="0.3">
      <c r="A3788" t="s">
        <v>3805</v>
      </c>
      <c r="B3788" t="s">
        <v>9</v>
      </c>
      <c r="C3788" t="s">
        <v>10</v>
      </c>
      <c r="D3788" t="s">
        <v>11</v>
      </c>
      <c r="E3788">
        <v>91.25</v>
      </c>
      <c r="F3788">
        <v>26</v>
      </c>
      <c r="G3788">
        <v>2372.5</v>
      </c>
      <c r="H3788" t="s">
        <v>18</v>
      </c>
      <c r="I3788" t="str">
        <f t="shared" si="178"/>
        <v>Medium Value</v>
      </c>
      <c r="J3788" t="str">
        <f t="shared" si="179"/>
        <v>Low Risk</v>
      </c>
      <c r="K3788" s="3" t="str">
        <f t="shared" si="177"/>
        <v>2-4 Years</v>
      </c>
    </row>
    <row r="3789" spans="1:11" x14ac:dyDescent="0.3">
      <c r="A3789" t="s">
        <v>3806</v>
      </c>
      <c r="B3789" t="s">
        <v>9</v>
      </c>
      <c r="C3789" t="s">
        <v>10</v>
      </c>
      <c r="D3789" t="s">
        <v>16</v>
      </c>
      <c r="E3789">
        <v>20.25</v>
      </c>
      <c r="F3789">
        <v>9</v>
      </c>
      <c r="G3789">
        <v>182.25</v>
      </c>
      <c r="H3789" t="s">
        <v>12</v>
      </c>
      <c r="I3789" t="str">
        <f t="shared" si="178"/>
        <v>Low Value</v>
      </c>
      <c r="J3789" t="str">
        <f t="shared" si="179"/>
        <v>High Risk</v>
      </c>
      <c r="K3789" s="3" t="str">
        <f t="shared" si="177"/>
        <v>0-1 Year</v>
      </c>
    </row>
    <row r="3790" spans="1:11" x14ac:dyDescent="0.3">
      <c r="A3790" t="s">
        <v>3807</v>
      </c>
      <c r="B3790" t="s">
        <v>14</v>
      </c>
      <c r="C3790" t="s">
        <v>10</v>
      </c>
      <c r="D3790" t="s">
        <v>16</v>
      </c>
      <c r="E3790">
        <v>54.75</v>
      </c>
      <c r="F3790">
        <v>8</v>
      </c>
      <c r="G3790">
        <v>438</v>
      </c>
      <c r="H3790" t="s">
        <v>12</v>
      </c>
      <c r="I3790" t="str">
        <f t="shared" si="178"/>
        <v>Low Value</v>
      </c>
      <c r="J3790" t="str">
        <f t="shared" si="179"/>
        <v>High Risk</v>
      </c>
      <c r="K3790" s="3" t="str">
        <f t="shared" si="177"/>
        <v>0-1 Year</v>
      </c>
    </row>
    <row r="3791" spans="1:11" x14ac:dyDescent="0.3">
      <c r="A3791" t="s">
        <v>3808</v>
      </c>
      <c r="B3791" t="s">
        <v>14</v>
      </c>
      <c r="C3791" t="s">
        <v>10</v>
      </c>
      <c r="D3791" t="s">
        <v>11</v>
      </c>
      <c r="E3791">
        <v>81.45</v>
      </c>
      <c r="F3791">
        <v>12</v>
      </c>
      <c r="G3791">
        <v>977.4</v>
      </c>
      <c r="H3791" t="s">
        <v>12</v>
      </c>
      <c r="I3791" t="str">
        <f t="shared" si="178"/>
        <v>Low Value</v>
      </c>
      <c r="J3791" t="str">
        <f t="shared" si="179"/>
        <v>Medium Risk</v>
      </c>
      <c r="K3791" s="3" t="str">
        <f t="shared" si="177"/>
        <v>0-1 Year</v>
      </c>
    </row>
    <row r="3792" spans="1:11" x14ac:dyDescent="0.3">
      <c r="A3792" t="s">
        <v>3809</v>
      </c>
      <c r="B3792" t="s">
        <v>9</v>
      </c>
      <c r="C3792" t="s">
        <v>10</v>
      </c>
      <c r="D3792" t="s">
        <v>11</v>
      </c>
      <c r="E3792">
        <v>49.1</v>
      </c>
      <c r="F3792">
        <v>15</v>
      </c>
      <c r="G3792">
        <v>736.5</v>
      </c>
      <c r="H3792" t="s">
        <v>18</v>
      </c>
      <c r="I3792" t="str">
        <f t="shared" si="178"/>
        <v>Low Value</v>
      </c>
      <c r="J3792" t="str">
        <f t="shared" si="179"/>
        <v>Medium Risk</v>
      </c>
      <c r="K3792" s="3" t="str">
        <f t="shared" si="177"/>
        <v>1-2 Years</v>
      </c>
    </row>
    <row r="3793" spans="1:11" x14ac:dyDescent="0.3">
      <c r="A3793" t="s">
        <v>3810</v>
      </c>
      <c r="B3793" t="s">
        <v>14</v>
      </c>
      <c r="C3793" t="s">
        <v>15</v>
      </c>
      <c r="D3793" t="s">
        <v>11</v>
      </c>
      <c r="E3793">
        <v>80.2</v>
      </c>
      <c r="F3793">
        <v>43</v>
      </c>
      <c r="G3793">
        <v>3448.6</v>
      </c>
      <c r="H3793" t="s">
        <v>12</v>
      </c>
      <c r="I3793" t="str">
        <f t="shared" si="178"/>
        <v>Medium Value</v>
      </c>
      <c r="J3793" t="str">
        <f t="shared" si="179"/>
        <v>Low Risk</v>
      </c>
      <c r="K3793" s="3" t="str">
        <f t="shared" si="177"/>
        <v>2-4 Years</v>
      </c>
    </row>
    <row r="3794" spans="1:11" x14ac:dyDescent="0.3">
      <c r="A3794" t="s">
        <v>3811</v>
      </c>
      <c r="B3794" t="s">
        <v>14</v>
      </c>
      <c r="C3794" t="s">
        <v>10</v>
      </c>
      <c r="D3794" t="s">
        <v>11</v>
      </c>
      <c r="E3794">
        <v>100.3</v>
      </c>
      <c r="F3794">
        <v>42</v>
      </c>
      <c r="G3794">
        <v>4212.5999999999904</v>
      </c>
      <c r="H3794" t="s">
        <v>12</v>
      </c>
      <c r="I3794" t="str">
        <f t="shared" si="178"/>
        <v>Medium Value</v>
      </c>
      <c r="J3794" t="str">
        <f t="shared" si="179"/>
        <v>Low Risk</v>
      </c>
      <c r="K3794" s="3" t="str">
        <f t="shared" si="177"/>
        <v>2-4 Years</v>
      </c>
    </row>
    <row r="3795" spans="1:11" x14ac:dyDescent="0.3">
      <c r="A3795" t="s">
        <v>3812</v>
      </c>
      <c r="B3795" t="s">
        <v>9</v>
      </c>
      <c r="C3795" t="s">
        <v>10</v>
      </c>
      <c r="D3795" t="s">
        <v>24</v>
      </c>
      <c r="E3795">
        <v>65.25</v>
      </c>
      <c r="F3795">
        <v>31</v>
      </c>
      <c r="G3795">
        <v>2022.75</v>
      </c>
      <c r="H3795" t="s">
        <v>18</v>
      </c>
      <c r="I3795" t="str">
        <f t="shared" si="178"/>
        <v>Medium Value</v>
      </c>
      <c r="J3795" t="str">
        <f t="shared" si="179"/>
        <v>Low Risk</v>
      </c>
      <c r="K3795" s="3" t="str">
        <f t="shared" si="177"/>
        <v>2-4 Years</v>
      </c>
    </row>
    <row r="3796" spans="1:11" x14ac:dyDescent="0.3">
      <c r="A3796" t="s">
        <v>3813</v>
      </c>
      <c r="B3796" t="s">
        <v>9</v>
      </c>
      <c r="C3796" t="s">
        <v>30</v>
      </c>
      <c r="D3796" t="s">
        <v>24</v>
      </c>
      <c r="E3796">
        <v>90.95</v>
      </c>
      <c r="F3796">
        <v>66</v>
      </c>
      <c r="G3796">
        <v>6002.7</v>
      </c>
      <c r="H3796" t="s">
        <v>12</v>
      </c>
      <c r="I3796" t="str">
        <f t="shared" si="178"/>
        <v>High Value</v>
      </c>
      <c r="J3796" t="str">
        <f t="shared" si="179"/>
        <v>Low Risk</v>
      </c>
      <c r="K3796" s="3" t="str">
        <f t="shared" si="177"/>
        <v>4+ Years</v>
      </c>
    </row>
    <row r="3797" spans="1:11" x14ac:dyDescent="0.3">
      <c r="A3797" t="s">
        <v>3814</v>
      </c>
      <c r="B3797" t="s">
        <v>9</v>
      </c>
      <c r="C3797" t="s">
        <v>10</v>
      </c>
      <c r="D3797" t="s">
        <v>11</v>
      </c>
      <c r="E3797">
        <v>85.45</v>
      </c>
      <c r="F3797">
        <v>18</v>
      </c>
      <c r="G3797">
        <v>1538.1</v>
      </c>
      <c r="H3797" t="s">
        <v>18</v>
      </c>
      <c r="I3797" t="str">
        <f t="shared" si="178"/>
        <v>Low Value</v>
      </c>
      <c r="J3797" t="str">
        <f t="shared" si="179"/>
        <v>Medium Risk</v>
      </c>
      <c r="K3797" s="3" t="str">
        <f t="shared" si="177"/>
        <v>1-2 Years</v>
      </c>
    </row>
    <row r="3798" spans="1:11" x14ac:dyDescent="0.3">
      <c r="A3798" t="s">
        <v>3815</v>
      </c>
      <c r="B3798" t="s">
        <v>14</v>
      </c>
      <c r="C3798" t="s">
        <v>10</v>
      </c>
      <c r="D3798" t="s">
        <v>16</v>
      </c>
      <c r="E3798">
        <v>20</v>
      </c>
      <c r="F3798">
        <v>1</v>
      </c>
      <c r="G3798">
        <v>20</v>
      </c>
      <c r="H3798" t="s">
        <v>12</v>
      </c>
      <c r="I3798" t="str">
        <f t="shared" si="178"/>
        <v>Low Value</v>
      </c>
      <c r="J3798" t="str">
        <f t="shared" si="179"/>
        <v>High Risk</v>
      </c>
      <c r="K3798" s="3" t="str">
        <f t="shared" si="177"/>
        <v>0-1 Year</v>
      </c>
    </row>
    <row r="3799" spans="1:11" x14ac:dyDescent="0.3">
      <c r="A3799" t="s">
        <v>3816</v>
      </c>
      <c r="B3799" t="s">
        <v>14</v>
      </c>
      <c r="C3799" t="s">
        <v>30</v>
      </c>
      <c r="D3799" t="s">
        <v>11</v>
      </c>
      <c r="E3799">
        <v>94.1</v>
      </c>
      <c r="F3799">
        <v>61</v>
      </c>
      <c r="G3799">
        <v>5740.0999999999904</v>
      </c>
      <c r="H3799" t="s">
        <v>18</v>
      </c>
      <c r="I3799" t="str">
        <f t="shared" si="178"/>
        <v>High Value</v>
      </c>
      <c r="J3799" t="str">
        <f t="shared" si="179"/>
        <v>Low Risk</v>
      </c>
      <c r="K3799" s="3" t="str">
        <f t="shared" si="177"/>
        <v>4+ Years</v>
      </c>
    </row>
    <row r="3800" spans="1:11" x14ac:dyDescent="0.3">
      <c r="A3800" t="s">
        <v>3817</v>
      </c>
      <c r="B3800" t="s">
        <v>14</v>
      </c>
      <c r="C3800" t="s">
        <v>10</v>
      </c>
      <c r="D3800" t="s">
        <v>11</v>
      </c>
      <c r="E3800">
        <v>79.849999999999994</v>
      </c>
      <c r="F3800">
        <v>10</v>
      </c>
      <c r="G3800">
        <v>798.5</v>
      </c>
      <c r="H3800" t="s">
        <v>12</v>
      </c>
      <c r="I3800" t="str">
        <f t="shared" si="178"/>
        <v>Low Value</v>
      </c>
      <c r="J3800" t="str">
        <f t="shared" si="179"/>
        <v>High Risk</v>
      </c>
      <c r="K3800" s="3" t="str">
        <f t="shared" si="177"/>
        <v>0-1 Year</v>
      </c>
    </row>
    <row r="3801" spans="1:11" x14ac:dyDescent="0.3">
      <c r="A3801" t="s">
        <v>3818</v>
      </c>
      <c r="B3801" t="s">
        <v>14</v>
      </c>
      <c r="C3801" t="s">
        <v>10</v>
      </c>
      <c r="D3801" t="s">
        <v>11</v>
      </c>
      <c r="E3801">
        <v>71.650000000000006</v>
      </c>
      <c r="F3801">
        <v>1</v>
      </c>
      <c r="G3801">
        <v>71.650000000000006</v>
      </c>
      <c r="H3801" t="s">
        <v>18</v>
      </c>
      <c r="I3801" t="str">
        <f t="shared" si="178"/>
        <v>Low Value</v>
      </c>
      <c r="J3801" t="str">
        <f t="shared" si="179"/>
        <v>High Risk</v>
      </c>
      <c r="K3801" s="3" t="str">
        <f t="shared" si="177"/>
        <v>0-1 Year</v>
      </c>
    </row>
    <row r="3802" spans="1:11" x14ac:dyDescent="0.3">
      <c r="A3802" t="s">
        <v>3819</v>
      </c>
      <c r="B3802" t="s">
        <v>9</v>
      </c>
      <c r="C3802" t="s">
        <v>10</v>
      </c>
      <c r="D3802" t="s">
        <v>11</v>
      </c>
      <c r="E3802">
        <v>73.55</v>
      </c>
      <c r="F3802">
        <v>18</v>
      </c>
      <c r="G3802">
        <v>1323.8999999999901</v>
      </c>
      <c r="H3802" t="s">
        <v>12</v>
      </c>
      <c r="I3802" t="str">
        <f t="shared" si="178"/>
        <v>Low Value</v>
      </c>
      <c r="J3802" t="str">
        <f t="shared" si="179"/>
        <v>Medium Risk</v>
      </c>
      <c r="K3802" s="3" t="str">
        <f t="shared" si="177"/>
        <v>1-2 Years</v>
      </c>
    </row>
    <row r="3803" spans="1:11" x14ac:dyDescent="0.3">
      <c r="A3803" t="s">
        <v>3820</v>
      </c>
      <c r="B3803" t="s">
        <v>14</v>
      </c>
      <c r="C3803" t="s">
        <v>10</v>
      </c>
      <c r="D3803" t="s">
        <v>11</v>
      </c>
      <c r="E3803">
        <v>104.65</v>
      </c>
      <c r="F3803">
        <v>24</v>
      </c>
      <c r="G3803">
        <v>2511.6</v>
      </c>
      <c r="H3803" t="s">
        <v>18</v>
      </c>
      <c r="I3803" t="str">
        <f t="shared" si="178"/>
        <v>Medium Value</v>
      </c>
      <c r="J3803" t="str">
        <f t="shared" si="179"/>
        <v>Low Risk</v>
      </c>
      <c r="K3803" s="3" t="str">
        <f t="shared" si="177"/>
        <v>1-2 Years</v>
      </c>
    </row>
    <row r="3804" spans="1:11" x14ac:dyDescent="0.3">
      <c r="A3804" t="s">
        <v>3821</v>
      </c>
      <c r="B3804" t="s">
        <v>9</v>
      </c>
      <c r="C3804" t="s">
        <v>10</v>
      </c>
      <c r="D3804" t="s">
        <v>16</v>
      </c>
      <c r="E3804">
        <v>19.3</v>
      </c>
      <c r="F3804">
        <v>3</v>
      </c>
      <c r="G3804">
        <v>57.9</v>
      </c>
      <c r="H3804" t="s">
        <v>12</v>
      </c>
      <c r="I3804" t="str">
        <f t="shared" si="178"/>
        <v>Low Value</v>
      </c>
      <c r="J3804" t="str">
        <f t="shared" si="179"/>
        <v>High Risk</v>
      </c>
      <c r="K3804" s="3" t="str">
        <f t="shared" si="177"/>
        <v>0-1 Year</v>
      </c>
    </row>
    <row r="3805" spans="1:11" x14ac:dyDescent="0.3">
      <c r="A3805" t="s">
        <v>3822</v>
      </c>
      <c r="B3805" t="s">
        <v>14</v>
      </c>
      <c r="C3805" t="s">
        <v>15</v>
      </c>
      <c r="D3805" t="s">
        <v>24</v>
      </c>
      <c r="E3805">
        <v>20.149999999999999</v>
      </c>
      <c r="F3805">
        <v>50</v>
      </c>
      <c r="G3805">
        <v>1007.49999999999</v>
      </c>
      <c r="H3805" t="s">
        <v>12</v>
      </c>
      <c r="I3805" t="str">
        <f t="shared" si="178"/>
        <v>Low Value</v>
      </c>
      <c r="J3805" t="str">
        <f t="shared" si="179"/>
        <v>Low Risk</v>
      </c>
      <c r="K3805" s="3" t="str">
        <f t="shared" si="177"/>
        <v>4+ Years</v>
      </c>
    </row>
    <row r="3806" spans="1:11" x14ac:dyDescent="0.3">
      <c r="A3806" t="s">
        <v>3823</v>
      </c>
      <c r="B3806" t="s">
        <v>14</v>
      </c>
      <c r="C3806" t="s">
        <v>10</v>
      </c>
      <c r="D3806" t="s">
        <v>11</v>
      </c>
      <c r="E3806">
        <v>44.55</v>
      </c>
      <c r="F3806">
        <v>1</v>
      </c>
      <c r="G3806">
        <v>44.55</v>
      </c>
      <c r="H3806" t="s">
        <v>12</v>
      </c>
      <c r="I3806" t="str">
        <f t="shared" si="178"/>
        <v>Low Value</v>
      </c>
      <c r="J3806" t="str">
        <f t="shared" si="179"/>
        <v>High Risk</v>
      </c>
      <c r="K3806" s="3" t="str">
        <f t="shared" si="177"/>
        <v>0-1 Year</v>
      </c>
    </row>
    <row r="3807" spans="1:11" x14ac:dyDescent="0.3">
      <c r="A3807" t="s">
        <v>3824</v>
      </c>
      <c r="B3807" t="s">
        <v>14</v>
      </c>
      <c r="C3807" t="s">
        <v>10</v>
      </c>
      <c r="D3807" t="s">
        <v>16</v>
      </c>
      <c r="E3807">
        <v>54.45</v>
      </c>
      <c r="F3807">
        <v>2</v>
      </c>
      <c r="G3807">
        <v>108.9</v>
      </c>
      <c r="H3807" t="s">
        <v>12</v>
      </c>
      <c r="I3807" t="str">
        <f t="shared" si="178"/>
        <v>Low Value</v>
      </c>
      <c r="J3807" t="str">
        <f t="shared" si="179"/>
        <v>High Risk</v>
      </c>
      <c r="K3807" s="3" t="str">
        <f t="shared" si="177"/>
        <v>0-1 Year</v>
      </c>
    </row>
    <row r="3808" spans="1:11" x14ac:dyDescent="0.3">
      <c r="A3808" t="s">
        <v>3825</v>
      </c>
      <c r="B3808" t="s">
        <v>14</v>
      </c>
      <c r="C3808" t="s">
        <v>15</v>
      </c>
      <c r="D3808" t="s">
        <v>20</v>
      </c>
      <c r="E3808">
        <v>19.649999999999999</v>
      </c>
      <c r="F3808">
        <v>17</v>
      </c>
      <c r="G3808">
        <v>334.04999999999899</v>
      </c>
      <c r="H3808" t="s">
        <v>12</v>
      </c>
      <c r="I3808" t="str">
        <f t="shared" si="178"/>
        <v>Low Value</v>
      </c>
      <c r="J3808" t="str">
        <f t="shared" si="179"/>
        <v>Medium Risk</v>
      </c>
      <c r="K3808" s="3" t="str">
        <f t="shared" si="177"/>
        <v>1-2 Years</v>
      </c>
    </row>
    <row r="3809" spans="1:11" x14ac:dyDescent="0.3">
      <c r="A3809" t="s">
        <v>3826</v>
      </c>
      <c r="B3809" t="s">
        <v>14</v>
      </c>
      <c r="C3809" t="s">
        <v>30</v>
      </c>
      <c r="D3809" t="s">
        <v>11</v>
      </c>
      <c r="E3809">
        <v>105</v>
      </c>
      <c r="F3809">
        <v>69</v>
      </c>
      <c r="G3809">
        <v>7245</v>
      </c>
      <c r="H3809" t="s">
        <v>12</v>
      </c>
      <c r="I3809" t="str">
        <f t="shared" si="178"/>
        <v>High Value</v>
      </c>
      <c r="J3809" t="str">
        <f t="shared" si="179"/>
        <v>Low Risk</v>
      </c>
      <c r="K3809" s="3" t="str">
        <f t="shared" si="177"/>
        <v>4+ Years</v>
      </c>
    </row>
    <row r="3810" spans="1:11" x14ac:dyDescent="0.3">
      <c r="A3810" t="s">
        <v>3827</v>
      </c>
      <c r="B3810" t="s">
        <v>14</v>
      </c>
      <c r="C3810" t="s">
        <v>30</v>
      </c>
      <c r="D3810" t="s">
        <v>24</v>
      </c>
      <c r="E3810">
        <v>88.7</v>
      </c>
      <c r="F3810">
        <v>72</v>
      </c>
      <c r="G3810">
        <v>6386.4</v>
      </c>
      <c r="H3810" t="s">
        <v>12</v>
      </c>
      <c r="I3810" t="str">
        <f t="shared" si="178"/>
        <v>High Value</v>
      </c>
      <c r="J3810" t="str">
        <f t="shared" si="179"/>
        <v>Low Risk</v>
      </c>
      <c r="K3810" s="3" t="str">
        <f t="shared" si="177"/>
        <v>4+ Years</v>
      </c>
    </row>
    <row r="3811" spans="1:11" x14ac:dyDescent="0.3">
      <c r="A3811" t="s">
        <v>3828</v>
      </c>
      <c r="B3811" t="s">
        <v>9</v>
      </c>
      <c r="C3811" t="s">
        <v>10</v>
      </c>
      <c r="D3811" t="s">
        <v>11</v>
      </c>
      <c r="E3811">
        <v>74.25</v>
      </c>
      <c r="F3811">
        <v>3</v>
      </c>
      <c r="G3811">
        <v>222.75</v>
      </c>
      <c r="H3811" t="s">
        <v>18</v>
      </c>
      <c r="I3811" t="str">
        <f t="shared" si="178"/>
        <v>Low Value</v>
      </c>
      <c r="J3811" t="str">
        <f t="shared" si="179"/>
        <v>High Risk</v>
      </c>
      <c r="K3811" s="3" t="str">
        <f t="shared" si="177"/>
        <v>0-1 Year</v>
      </c>
    </row>
    <row r="3812" spans="1:11" x14ac:dyDescent="0.3">
      <c r="A3812" t="s">
        <v>3829</v>
      </c>
      <c r="B3812" t="s">
        <v>14</v>
      </c>
      <c r="C3812" t="s">
        <v>30</v>
      </c>
      <c r="D3812" t="s">
        <v>20</v>
      </c>
      <c r="E3812">
        <v>75.150000000000006</v>
      </c>
      <c r="F3812">
        <v>50</v>
      </c>
      <c r="G3812">
        <v>3757.5</v>
      </c>
      <c r="H3812" t="s">
        <v>12</v>
      </c>
      <c r="I3812" t="str">
        <f t="shared" si="178"/>
        <v>Medium Value</v>
      </c>
      <c r="J3812" t="str">
        <f t="shared" si="179"/>
        <v>Low Risk</v>
      </c>
      <c r="K3812" s="3" t="str">
        <f t="shared" si="177"/>
        <v>4+ Years</v>
      </c>
    </row>
    <row r="3813" spans="1:11" x14ac:dyDescent="0.3">
      <c r="A3813" t="s">
        <v>3830</v>
      </c>
      <c r="B3813" t="s">
        <v>9</v>
      </c>
      <c r="C3813" t="s">
        <v>30</v>
      </c>
      <c r="D3813" t="s">
        <v>16</v>
      </c>
      <c r="E3813">
        <v>20.25</v>
      </c>
      <c r="F3813">
        <v>53</v>
      </c>
      <c r="G3813">
        <v>1073.25</v>
      </c>
      <c r="H3813" t="s">
        <v>12</v>
      </c>
      <c r="I3813" t="str">
        <f t="shared" si="178"/>
        <v>Low Value</v>
      </c>
      <c r="J3813" t="str">
        <f t="shared" si="179"/>
        <v>Low Risk</v>
      </c>
      <c r="K3813" s="3" t="str">
        <f t="shared" si="177"/>
        <v>4+ Years</v>
      </c>
    </row>
    <row r="3814" spans="1:11" x14ac:dyDescent="0.3">
      <c r="A3814" t="s">
        <v>3831</v>
      </c>
      <c r="B3814" t="s">
        <v>9</v>
      </c>
      <c r="C3814" t="s">
        <v>30</v>
      </c>
      <c r="D3814" t="s">
        <v>24</v>
      </c>
      <c r="E3814">
        <v>109.1</v>
      </c>
      <c r="F3814">
        <v>58</v>
      </c>
      <c r="G3814">
        <v>6327.7999999999902</v>
      </c>
      <c r="H3814" t="s">
        <v>12</v>
      </c>
      <c r="I3814" t="str">
        <f t="shared" si="178"/>
        <v>High Value</v>
      </c>
      <c r="J3814" t="str">
        <f t="shared" si="179"/>
        <v>Low Risk</v>
      </c>
      <c r="K3814" s="3" t="str">
        <f t="shared" si="177"/>
        <v>4+ Years</v>
      </c>
    </row>
    <row r="3815" spans="1:11" x14ac:dyDescent="0.3">
      <c r="A3815" t="s">
        <v>3832</v>
      </c>
      <c r="B3815" t="s">
        <v>14</v>
      </c>
      <c r="C3815" t="s">
        <v>15</v>
      </c>
      <c r="D3815" t="s">
        <v>20</v>
      </c>
      <c r="E3815">
        <v>30.75</v>
      </c>
      <c r="F3815">
        <v>46</v>
      </c>
      <c r="G3815">
        <v>1414.5</v>
      </c>
      <c r="H3815" t="s">
        <v>12</v>
      </c>
      <c r="I3815" t="str">
        <f t="shared" si="178"/>
        <v>Low Value</v>
      </c>
      <c r="J3815" t="str">
        <f t="shared" si="179"/>
        <v>Low Risk</v>
      </c>
      <c r="K3815" s="3" t="str">
        <f t="shared" si="177"/>
        <v>2-4 Years</v>
      </c>
    </row>
    <row r="3816" spans="1:11" x14ac:dyDescent="0.3">
      <c r="A3816" t="s">
        <v>3833</v>
      </c>
      <c r="B3816" t="s">
        <v>14</v>
      </c>
      <c r="C3816" t="s">
        <v>10</v>
      </c>
      <c r="D3816" t="s">
        <v>24</v>
      </c>
      <c r="E3816">
        <v>112.9</v>
      </c>
      <c r="F3816">
        <v>72</v>
      </c>
      <c r="G3816">
        <v>8128.8</v>
      </c>
      <c r="H3816" t="s">
        <v>12</v>
      </c>
      <c r="I3816" t="str">
        <f t="shared" si="178"/>
        <v>High Value</v>
      </c>
      <c r="J3816" t="str">
        <f t="shared" si="179"/>
        <v>Low Risk</v>
      </c>
      <c r="K3816" s="3" t="str">
        <f t="shared" si="177"/>
        <v>4+ Years</v>
      </c>
    </row>
    <row r="3817" spans="1:11" x14ac:dyDescent="0.3">
      <c r="A3817" t="s">
        <v>3834</v>
      </c>
      <c r="B3817" t="s">
        <v>9</v>
      </c>
      <c r="C3817" t="s">
        <v>10</v>
      </c>
      <c r="D3817" t="s">
        <v>11</v>
      </c>
      <c r="E3817">
        <v>74.2</v>
      </c>
      <c r="F3817">
        <v>1</v>
      </c>
      <c r="G3817">
        <v>74.2</v>
      </c>
      <c r="H3817" t="s">
        <v>18</v>
      </c>
      <c r="I3817" t="str">
        <f t="shared" si="178"/>
        <v>Low Value</v>
      </c>
      <c r="J3817" t="str">
        <f t="shared" si="179"/>
        <v>High Risk</v>
      </c>
      <c r="K3817" s="3" t="str">
        <f t="shared" si="177"/>
        <v>0-1 Year</v>
      </c>
    </row>
    <row r="3818" spans="1:11" x14ac:dyDescent="0.3">
      <c r="A3818" t="s">
        <v>3835</v>
      </c>
      <c r="B3818" t="s">
        <v>9</v>
      </c>
      <c r="C3818" t="s">
        <v>10</v>
      </c>
      <c r="D3818" t="s">
        <v>16</v>
      </c>
      <c r="E3818">
        <v>94.05</v>
      </c>
      <c r="F3818">
        <v>6</v>
      </c>
      <c r="G3818">
        <v>564.29999999999995</v>
      </c>
      <c r="H3818" t="s">
        <v>12</v>
      </c>
      <c r="I3818" t="str">
        <f t="shared" si="178"/>
        <v>Low Value</v>
      </c>
      <c r="J3818" t="str">
        <f t="shared" si="179"/>
        <v>High Risk</v>
      </c>
      <c r="K3818" s="3" t="str">
        <f t="shared" si="177"/>
        <v>0-1 Year</v>
      </c>
    </row>
    <row r="3819" spans="1:11" x14ac:dyDescent="0.3">
      <c r="A3819" t="s">
        <v>3836</v>
      </c>
      <c r="B3819" t="s">
        <v>14</v>
      </c>
      <c r="C3819" t="s">
        <v>30</v>
      </c>
      <c r="D3819" t="s">
        <v>20</v>
      </c>
      <c r="E3819">
        <v>78.849999999999994</v>
      </c>
      <c r="F3819">
        <v>72</v>
      </c>
      <c r="G3819">
        <v>5677.2</v>
      </c>
      <c r="H3819" t="s">
        <v>12</v>
      </c>
      <c r="I3819" t="str">
        <f t="shared" si="178"/>
        <v>High Value</v>
      </c>
      <c r="J3819" t="str">
        <f t="shared" si="179"/>
        <v>Low Risk</v>
      </c>
      <c r="K3819" s="3" t="str">
        <f t="shared" si="177"/>
        <v>4+ Years</v>
      </c>
    </row>
    <row r="3820" spans="1:11" x14ac:dyDescent="0.3">
      <c r="A3820" t="s">
        <v>3837</v>
      </c>
      <c r="B3820" t="s">
        <v>14</v>
      </c>
      <c r="C3820" t="s">
        <v>10</v>
      </c>
      <c r="D3820" t="s">
        <v>16</v>
      </c>
      <c r="E3820">
        <v>55.3</v>
      </c>
      <c r="F3820">
        <v>4</v>
      </c>
      <c r="G3820">
        <v>221.2</v>
      </c>
      <c r="H3820" t="s">
        <v>12</v>
      </c>
      <c r="I3820" t="str">
        <f t="shared" si="178"/>
        <v>Low Value</v>
      </c>
      <c r="J3820" t="str">
        <f t="shared" si="179"/>
        <v>High Risk</v>
      </c>
      <c r="K3820" s="3" t="str">
        <f t="shared" si="177"/>
        <v>0-1 Year</v>
      </c>
    </row>
    <row r="3821" spans="1:11" x14ac:dyDescent="0.3">
      <c r="A3821" t="s">
        <v>3838</v>
      </c>
      <c r="B3821" t="s">
        <v>9</v>
      </c>
      <c r="C3821" t="s">
        <v>30</v>
      </c>
      <c r="D3821" t="s">
        <v>16</v>
      </c>
      <c r="E3821">
        <v>19.350000000000001</v>
      </c>
      <c r="F3821">
        <v>52</v>
      </c>
      <c r="G3821">
        <v>1006.2</v>
      </c>
      <c r="H3821" t="s">
        <v>12</v>
      </c>
      <c r="I3821" t="str">
        <f t="shared" si="178"/>
        <v>Low Value</v>
      </c>
      <c r="J3821" t="str">
        <f t="shared" si="179"/>
        <v>Low Risk</v>
      </c>
      <c r="K3821" s="3" t="str">
        <f t="shared" si="177"/>
        <v>4+ Years</v>
      </c>
    </row>
    <row r="3822" spans="1:11" x14ac:dyDescent="0.3">
      <c r="A3822" t="s">
        <v>3839</v>
      </c>
      <c r="B3822" t="s">
        <v>9</v>
      </c>
      <c r="C3822" t="s">
        <v>15</v>
      </c>
      <c r="D3822" t="s">
        <v>16</v>
      </c>
      <c r="E3822">
        <v>20.45</v>
      </c>
      <c r="F3822">
        <v>2</v>
      </c>
      <c r="G3822">
        <v>40.9</v>
      </c>
      <c r="H3822" t="s">
        <v>12</v>
      </c>
      <c r="I3822" t="str">
        <f t="shared" si="178"/>
        <v>Low Value</v>
      </c>
      <c r="J3822" t="str">
        <f t="shared" si="179"/>
        <v>High Risk</v>
      </c>
      <c r="K3822" s="3" t="str">
        <f t="shared" si="177"/>
        <v>0-1 Year</v>
      </c>
    </row>
    <row r="3823" spans="1:11" x14ac:dyDescent="0.3">
      <c r="A3823" t="s">
        <v>3840</v>
      </c>
      <c r="B3823" t="s">
        <v>9</v>
      </c>
      <c r="C3823" t="s">
        <v>30</v>
      </c>
      <c r="D3823" t="s">
        <v>20</v>
      </c>
      <c r="E3823">
        <v>19.350000000000001</v>
      </c>
      <c r="F3823">
        <v>65</v>
      </c>
      <c r="G3823">
        <v>1257.75</v>
      </c>
      <c r="H3823" t="s">
        <v>12</v>
      </c>
      <c r="I3823" t="str">
        <f t="shared" si="178"/>
        <v>Low Value</v>
      </c>
      <c r="J3823" t="str">
        <f t="shared" si="179"/>
        <v>Low Risk</v>
      </c>
      <c r="K3823" s="3" t="str">
        <f t="shared" si="177"/>
        <v>4+ Years</v>
      </c>
    </row>
    <row r="3824" spans="1:11" x14ac:dyDescent="0.3">
      <c r="A3824" t="s">
        <v>3841</v>
      </c>
      <c r="B3824" t="s">
        <v>14</v>
      </c>
      <c r="C3824" t="s">
        <v>10</v>
      </c>
      <c r="D3824" t="s">
        <v>11</v>
      </c>
      <c r="E3824">
        <v>101</v>
      </c>
      <c r="F3824">
        <v>43</v>
      </c>
      <c r="G3824">
        <v>4343</v>
      </c>
      <c r="H3824" t="s">
        <v>18</v>
      </c>
      <c r="I3824" t="str">
        <f t="shared" si="178"/>
        <v>Medium Value</v>
      </c>
      <c r="J3824" t="str">
        <f t="shared" si="179"/>
        <v>Low Risk</v>
      </c>
      <c r="K3824" s="3" t="str">
        <f t="shared" si="177"/>
        <v>2-4 Years</v>
      </c>
    </row>
    <row r="3825" spans="1:11" x14ac:dyDescent="0.3">
      <c r="A3825" t="s">
        <v>3842</v>
      </c>
      <c r="B3825" t="s">
        <v>14</v>
      </c>
      <c r="C3825" t="s">
        <v>10</v>
      </c>
      <c r="D3825" t="s">
        <v>11</v>
      </c>
      <c r="E3825">
        <v>100.2</v>
      </c>
      <c r="F3825">
        <v>4</v>
      </c>
      <c r="G3825">
        <v>400.8</v>
      </c>
      <c r="H3825" t="s">
        <v>18</v>
      </c>
      <c r="I3825" t="str">
        <f t="shared" si="178"/>
        <v>Low Value</v>
      </c>
      <c r="J3825" t="str">
        <f t="shared" si="179"/>
        <v>High Risk</v>
      </c>
      <c r="K3825" s="3" t="str">
        <f t="shared" si="177"/>
        <v>0-1 Year</v>
      </c>
    </row>
    <row r="3826" spans="1:11" x14ac:dyDescent="0.3">
      <c r="A3826" t="s">
        <v>3843</v>
      </c>
      <c r="B3826" t="s">
        <v>14</v>
      </c>
      <c r="C3826" t="s">
        <v>15</v>
      </c>
      <c r="D3826" t="s">
        <v>11</v>
      </c>
      <c r="E3826">
        <v>89.05</v>
      </c>
      <c r="F3826">
        <v>25</v>
      </c>
      <c r="G3826">
        <v>2226.25</v>
      </c>
      <c r="H3826" t="s">
        <v>18</v>
      </c>
      <c r="I3826" t="str">
        <f t="shared" si="178"/>
        <v>Medium Value</v>
      </c>
      <c r="J3826" t="str">
        <f t="shared" si="179"/>
        <v>Low Risk</v>
      </c>
      <c r="K3826" s="3" t="str">
        <f t="shared" si="177"/>
        <v>2-4 Years</v>
      </c>
    </row>
    <row r="3827" spans="1:11" x14ac:dyDescent="0.3">
      <c r="A3827" t="s">
        <v>3844</v>
      </c>
      <c r="B3827" t="s">
        <v>9</v>
      </c>
      <c r="C3827" t="s">
        <v>15</v>
      </c>
      <c r="D3827" t="s">
        <v>24</v>
      </c>
      <c r="E3827">
        <v>78.650000000000006</v>
      </c>
      <c r="F3827">
        <v>51</v>
      </c>
      <c r="G3827">
        <v>4011.15</v>
      </c>
      <c r="H3827" t="s">
        <v>12</v>
      </c>
      <c r="I3827" t="str">
        <f t="shared" si="178"/>
        <v>Medium Value</v>
      </c>
      <c r="J3827" t="str">
        <f t="shared" si="179"/>
        <v>Low Risk</v>
      </c>
      <c r="K3827" s="3" t="str">
        <f t="shared" si="177"/>
        <v>4+ Years</v>
      </c>
    </row>
    <row r="3828" spans="1:11" x14ac:dyDescent="0.3">
      <c r="A3828" t="s">
        <v>3845</v>
      </c>
      <c r="B3828" t="s">
        <v>14</v>
      </c>
      <c r="C3828" t="s">
        <v>10</v>
      </c>
      <c r="D3828" t="s">
        <v>20</v>
      </c>
      <c r="E3828">
        <v>74.75</v>
      </c>
      <c r="F3828">
        <v>12</v>
      </c>
      <c r="G3828">
        <v>897</v>
      </c>
      <c r="H3828" t="s">
        <v>12</v>
      </c>
      <c r="I3828" t="str">
        <f t="shared" si="178"/>
        <v>Low Value</v>
      </c>
      <c r="J3828" t="str">
        <f t="shared" si="179"/>
        <v>Medium Risk</v>
      </c>
      <c r="K3828" s="3" t="str">
        <f t="shared" si="177"/>
        <v>0-1 Year</v>
      </c>
    </row>
    <row r="3829" spans="1:11" x14ac:dyDescent="0.3">
      <c r="A3829" t="s">
        <v>3846</v>
      </c>
      <c r="B3829" t="s">
        <v>9</v>
      </c>
      <c r="C3829" t="s">
        <v>15</v>
      </c>
      <c r="D3829" t="s">
        <v>20</v>
      </c>
      <c r="E3829">
        <v>70.099999999999994</v>
      </c>
      <c r="F3829">
        <v>57</v>
      </c>
      <c r="G3829">
        <v>3995.7</v>
      </c>
      <c r="H3829" t="s">
        <v>18</v>
      </c>
      <c r="I3829" t="str">
        <f t="shared" si="178"/>
        <v>Medium Value</v>
      </c>
      <c r="J3829" t="str">
        <f t="shared" si="179"/>
        <v>Low Risk</v>
      </c>
      <c r="K3829" s="3" t="str">
        <f t="shared" si="177"/>
        <v>4+ Years</v>
      </c>
    </row>
    <row r="3830" spans="1:11" x14ac:dyDescent="0.3">
      <c r="A3830" t="s">
        <v>3847</v>
      </c>
      <c r="B3830" t="s">
        <v>9</v>
      </c>
      <c r="C3830" t="s">
        <v>15</v>
      </c>
      <c r="D3830" t="s">
        <v>16</v>
      </c>
      <c r="E3830">
        <v>19.899999999999999</v>
      </c>
      <c r="F3830">
        <v>24</v>
      </c>
      <c r="G3830">
        <v>477.599999999999</v>
      </c>
      <c r="H3830" t="s">
        <v>12</v>
      </c>
      <c r="I3830" t="str">
        <f t="shared" si="178"/>
        <v>Low Value</v>
      </c>
      <c r="J3830" t="str">
        <f t="shared" si="179"/>
        <v>Low Risk</v>
      </c>
      <c r="K3830" s="3" t="str">
        <f t="shared" si="177"/>
        <v>1-2 Years</v>
      </c>
    </row>
    <row r="3831" spans="1:11" x14ac:dyDescent="0.3">
      <c r="A3831" t="s">
        <v>3848</v>
      </c>
      <c r="B3831" t="s">
        <v>9</v>
      </c>
      <c r="C3831" t="s">
        <v>15</v>
      </c>
      <c r="D3831" t="s">
        <v>20</v>
      </c>
      <c r="E3831">
        <v>58.35</v>
      </c>
      <c r="F3831">
        <v>64</v>
      </c>
      <c r="G3831">
        <v>3734.4</v>
      </c>
      <c r="H3831" t="s">
        <v>12</v>
      </c>
      <c r="I3831" t="str">
        <f t="shared" si="178"/>
        <v>Medium Value</v>
      </c>
      <c r="J3831" t="str">
        <f t="shared" si="179"/>
        <v>Low Risk</v>
      </c>
      <c r="K3831" s="3" t="str">
        <f t="shared" si="177"/>
        <v>4+ Years</v>
      </c>
    </row>
    <row r="3832" spans="1:11" x14ac:dyDescent="0.3">
      <c r="A3832" t="s">
        <v>3849</v>
      </c>
      <c r="B3832" t="s">
        <v>9</v>
      </c>
      <c r="C3832" t="s">
        <v>15</v>
      </c>
      <c r="D3832" t="s">
        <v>11</v>
      </c>
      <c r="E3832">
        <v>105.65</v>
      </c>
      <c r="F3832">
        <v>4</v>
      </c>
      <c r="G3832">
        <v>422.6</v>
      </c>
      <c r="H3832" t="s">
        <v>18</v>
      </c>
      <c r="I3832" t="str">
        <f t="shared" si="178"/>
        <v>Low Value</v>
      </c>
      <c r="J3832" t="str">
        <f t="shared" si="179"/>
        <v>High Risk</v>
      </c>
      <c r="K3832" s="3" t="str">
        <f t="shared" si="177"/>
        <v>0-1 Year</v>
      </c>
    </row>
    <row r="3833" spans="1:11" x14ac:dyDescent="0.3">
      <c r="A3833" t="s">
        <v>3850</v>
      </c>
      <c r="B3833" t="s">
        <v>9</v>
      </c>
      <c r="C3833" t="s">
        <v>10</v>
      </c>
      <c r="D3833" t="s">
        <v>20</v>
      </c>
      <c r="E3833">
        <v>100.5</v>
      </c>
      <c r="F3833">
        <v>26</v>
      </c>
      <c r="G3833">
        <v>2613</v>
      </c>
      <c r="H3833" t="s">
        <v>12</v>
      </c>
      <c r="I3833" t="str">
        <f t="shared" si="178"/>
        <v>Medium Value</v>
      </c>
      <c r="J3833" t="str">
        <f t="shared" si="179"/>
        <v>Low Risk</v>
      </c>
      <c r="K3833" s="3" t="str">
        <f t="shared" si="177"/>
        <v>2-4 Years</v>
      </c>
    </row>
    <row r="3834" spans="1:11" x14ac:dyDescent="0.3">
      <c r="A3834" t="s">
        <v>3851</v>
      </c>
      <c r="B3834" t="s">
        <v>9</v>
      </c>
      <c r="C3834" t="s">
        <v>10</v>
      </c>
      <c r="D3834" t="s">
        <v>16</v>
      </c>
      <c r="E3834">
        <v>20.05</v>
      </c>
      <c r="F3834">
        <v>15</v>
      </c>
      <c r="G3834">
        <v>300.75</v>
      </c>
      <c r="H3834" t="s">
        <v>12</v>
      </c>
      <c r="I3834" t="str">
        <f t="shared" si="178"/>
        <v>Low Value</v>
      </c>
      <c r="J3834" t="str">
        <f t="shared" si="179"/>
        <v>Medium Risk</v>
      </c>
      <c r="K3834" s="3" t="str">
        <f t="shared" si="177"/>
        <v>1-2 Years</v>
      </c>
    </row>
    <row r="3835" spans="1:11" x14ac:dyDescent="0.3">
      <c r="A3835" t="s">
        <v>3852</v>
      </c>
      <c r="B3835" t="s">
        <v>14</v>
      </c>
      <c r="C3835" t="s">
        <v>30</v>
      </c>
      <c r="D3835" t="s">
        <v>24</v>
      </c>
      <c r="E3835">
        <v>25.65</v>
      </c>
      <c r="F3835">
        <v>64</v>
      </c>
      <c r="G3835">
        <v>1641.6</v>
      </c>
      <c r="H3835" t="s">
        <v>12</v>
      </c>
      <c r="I3835" t="str">
        <f t="shared" si="178"/>
        <v>Low Value</v>
      </c>
      <c r="J3835" t="str">
        <f t="shared" si="179"/>
        <v>Low Risk</v>
      </c>
      <c r="K3835" s="3" t="str">
        <f t="shared" si="177"/>
        <v>4+ Years</v>
      </c>
    </row>
    <row r="3836" spans="1:11" x14ac:dyDescent="0.3">
      <c r="A3836" t="s">
        <v>3853</v>
      </c>
      <c r="B3836" t="s">
        <v>14</v>
      </c>
      <c r="C3836" t="s">
        <v>10</v>
      </c>
      <c r="D3836" t="s">
        <v>11</v>
      </c>
      <c r="E3836">
        <v>96.5</v>
      </c>
      <c r="F3836">
        <v>36</v>
      </c>
      <c r="G3836">
        <v>3474</v>
      </c>
      <c r="H3836" t="s">
        <v>18</v>
      </c>
      <c r="I3836" t="str">
        <f t="shared" si="178"/>
        <v>Medium Value</v>
      </c>
      <c r="J3836" t="str">
        <f t="shared" si="179"/>
        <v>Low Risk</v>
      </c>
      <c r="K3836" s="3" t="str">
        <f t="shared" si="177"/>
        <v>2-4 Years</v>
      </c>
    </row>
    <row r="3837" spans="1:11" x14ac:dyDescent="0.3">
      <c r="A3837" t="s">
        <v>3854</v>
      </c>
      <c r="B3837" t="s">
        <v>9</v>
      </c>
      <c r="C3837" t="s">
        <v>10</v>
      </c>
      <c r="D3837" t="s">
        <v>24</v>
      </c>
      <c r="E3837">
        <v>95</v>
      </c>
      <c r="F3837">
        <v>27</v>
      </c>
      <c r="G3837">
        <v>2565</v>
      </c>
      <c r="H3837" t="s">
        <v>12</v>
      </c>
      <c r="I3837" t="str">
        <f t="shared" si="178"/>
        <v>Medium Value</v>
      </c>
      <c r="J3837" t="str">
        <f t="shared" si="179"/>
        <v>Low Risk</v>
      </c>
      <c r="K3837" s="3" t="str">
        <f t="shared" si="177"/>
        <v>2-4 Years</v>
      </c>
    </row>
    <row r="3838" spans="1:11" x14ac:dyDescent="0.3">
      <c r="A3838" t="s">
        <v>3855</v>
      </c>
      <c r="B3838" t="s">
        <v>14</v>
      </c>
      <c r="C3838" t="s">
        <v>10</v>
      </c>
      <c r="D3838" t="s">
        <v>16</v>
      </c>
      <c r="E3838">
        <v>70.849999999999994</v>
      </c>
      <c r="F3838">
        <v>1</v>
      </c>
      <c r="G3838">
        <v>70.849999999999994</v>
      </c>
      <c r="H3838" t="s">
        <v>18</v>
      </c>
      <c r="I3838" t="str">
        <f t="shared" si="178"/>
        <v>Low Value</v>
      </c>
      <c r="J3838" t="str">
        <f t="shared" si="179"/>
        <v>High Risk</v>
      </c>
      <c r="K3838" s="3" t="str">
        <f t="shared" si="177"/>
        <v>0-1 Year</v>
      </c>
    </row>
    <row r="3839" spans="1:11" x14ac:dyDescent="0.3">
      <c r="A3839" t="s">
        <v>3856</v>
      </c>
      <c r="B3839" t="s">
        <v>9</v>
      </c>
      <c r="C3839" t="s">
        <v>15</v>
      </c>
      <c r="D3839" t="s">
        <v>24</v>
      </c>
      <c r="E3839">
        <v>85.95</v>
      </c>
      <c r="F3839">
        <v>35</v>
      </c>
      <c r="G3839">
        <v>3008.25</v>
      </c>
      <c r="H3839" t="s">
        <v>18</v>
      </c>
      <c r="I3839" t="str">
        <f t="shared" si="178"/>
        <v>Medium Value</v>
      </c>
      <c r="J3839" t="str">
        <f t="shared" si="179"/>
        <v>Low Risk</v>
      </c>
      <c r="K3839" s="3" t="str">
        <f t="shared" si="177"/>
        <v>2-4 Years</v>
      </c>
    </row>
    <row r="3840" spans="1:11" x14ac:dyDescent="0.3">
      <c r="A3840" t="s">
        <v>3857</v>
      </c>
      <c r="B3840" t="s">
        <v>14</v>
      </c>
      <c r="C3840" t="s">
        <v>10</v>
      </c>
      <c r="D3840" t="s">
        <v>11</v>
      </c>
      <c r="E3840">
        <v>73.900000000000006</v>
      </c>
      <c r="F3840">
        <v>4</v>
      </c>
      <c r="G3840">
        <v>295.60000000000002</v>
      </c>
      <c r="H3840" t="s">
        <v>18</v>
      </c>
      <c r="I3840" t="str">
        <f t="shared" si="178"/>
        <v>Low Value</v>
      </c>
      <c r="J3840" t="str">
        <f t="shared" si="179"/>
        <v>High Risk</v>
      </c>
      <c r="K3840" s="3" t="str">
        <f t="shared" si="177"/>
        <v>0-1 Year</v>
      </c>
    </row>
    <row r="3841" spans="1:11" x14ac:dyDescent="0.3">
      <c r="A3841" t="s">
        <v>3858</v>
      </c>
      <c r="B3841" t="s">
        <v>9</v>
      </c>
      <c r="C3841" t="s">
        <v>10</v>
      </c>
      <c r="D3841" t="s">
        <v>11</v>
      </c>
      <c r="E3841">
        <v>45.45</v>
      </c>
      <c r="F3841">
        <v>8</v>
      </c>
      <c r="G3841">
        <v>363.6</v>
      </c>
      <c r="H3841" t="s">
        <v>12</v>
      </c>
      <c r="I3841" t="str">
        <f t="shared" si="178"/>
        <v>Low Value</v>
      </c>
      <c r="J3841" t="str">
        <f t="shared" si="179"/>
        <v>High Risk</v>
      </c>
      <c r="K3841" s="3" t="str">
        <f t="shared" si="177"/>
        <v>0-1 Year</v>
      </c>
    </row>
    <row r="3842" spans="1:11" x14ac:dyDescent="0.3">
      <c r="A3842" t="s">
        <v>3859</v>
      </c>
      <c r="B3842" t="s">
        <v>14</v>
      </c>
      <c r="C3842" t="s">
        <v>10</v>
      </c>
      <c r="D3842" t="s">
        <v>24</v>
      </c>
      <c r="E3842">
        <v>20</v>
      </c>
      <c r="F3842">
        <v>10</v>
      </c>
      <c r="G3842">
        <v>200</v>
      </c>
      <c r="H3842" t="s">
        <v>12</v>
      </c>
      <c r="I3842" t="str">
        <f t="shared" si="178"/>
        <v>Low Value</v>
      </c>
      <c r="J3842" t="str">
        <f t="shared" si="179"/>
        <v>High Risk</v>
      </c>
      <c r="K3842" s="3" t="str">
        <f t="shared" si="177"/>
        <v>0-1 Year</v>
      </c>
    </row>
    <row r="3843" spans="1:11" x14ac:dyDescent="0.3">
      <c r="A3843" t="s">
        <v>3860</v>
      </c>
      <c r="B3843" t="s">
        <v>9</v>
      </c>
      <c r="C3843" t="s">
        <v>10</v>
      </c>
      <c r="D3843" t="s">
        <v>16</v>
      </c>
      <c r="E3843">
        <v>49.2</v>
      </c>
      <c r="F3843">
        <v>2</v>
      </c>
      <c r="G3843">
        <v>98.4</v>
      </c>
      <c r="H3843" t="s">
        <v>12</v>
      </c>
      <c r="I3843" t="str">
        <f t="shared" si="178"/>
        <v>Low Value</v>
      </c>
      <c r="J3843" t="str">
        <f t="shared" si="179"/>
        <v>High Risk</v>
      </c>
      <c r="K3843" s="3" t="str">
        <f t="shared" ref="K3843:K3906" si="180">IF(F3843&lt;=12,"0-1 Year",
IF(F3843&lt;=24,"1-2 Years",
IF(F3843&lt;=48,"2-4 Years","4+ Years")))</f>
        <v>0-1 Year</v>
      </c>
    </row>
    <row r="3844" spans="1:11" x14ac:dyDescent="0.3">
      <c r="A3844" t="s">
        <v>3861</v>
      </c>
      <c r="B3844" t="s">
        <v>9</v>
      </c>
      <c r="C3844" t="s">
        <v>30</v>
      </c>
      <c r="D3844" t="s">
        <v>20</v>
      </c>
      <c r="E3844">
        <v>109.45</v>
      </c>
      <c r="F3844">
        <v>58</v>
      </c>
      <c r="G3844">
        <v>6348.1</v>
      </c>
      <c r="H3844" t="s">
        <v>18</v>
      </c>
      <c r="I3844" t="str">
        <f t="shared" ref="I3844:I3907" si="181">IF(G3844&gt;5000,"High Value",
IF(G3844&gt;2000,"Medium Value","Low Value"))</f>
        <v>High Value</v>
      </c>
      <c r="J3844" t="str">
        <f t="shared" ref="J3844:J3907" si="182">IF(F3844&lt;12,"High Risk",
IF(F3844&lt;24,"Medium Risk","Low Risk"))</f>
        <v>Low Risk</v>
      </c>
      <c r="K3844" s="3" t="str">
        <f t="shared" si="180"/>
        <v>4+ Years</v>
      </c>
    </row>
    <row r="3845" spans="1:11" x14ac:dyDescent="0.3">
      <c r="A3845" t="s">
        <v>3862</v>
      </c>
      <c r="B3845" t="s">
        <v>14</v>
      </c>
      <c r="C3845" t="s">
        <v>30</v>
      </c>
      <c r="D3845" t="s">
        <v>24</v>
      </c>
      <c r="E3845">
        <v>83.25</v>
      </c>
      <c r="F3845">
        <v>51</v>
      </c>
      <c r="G3845">
        <v>4245.75</v>
      </c>
      <c r="H3845" t="s">
        <v>12</v>
      </c>
      <c r="I3845" t="str">
        <f t="shared" si="181"/>
        <v>Medium Value</v>
      </c>
      <c r="J3845" t="str">
        <f t="shared" si="182"/>
        <v>Low Risk</v>
      </c>
      <c r="K3845" s="3" t="str">
        <f t="shared" si="180"/>
        <v>4+ Years</v>
      </c>
    </row>
    <row r="3846" spans="1:11" x14ac:dyDescent="0.3">
      <c r="A3846" t="s">
        <v>3863</v>
      </c>
      <c r="B3846" t="s">
        <v>9</v>
      </c>
      <c r="C3846" t="s">
        <v>30</v>
      </c>
      <c r="D3846" t="s">
        <v>16</v>
      </c>
      <c r="E3846">
        <v>19.25</v>
      </c>
      <c r="F3846">
        <v>46</v>
      </c>
      <c r="G3846">
        <v>885.5</v>
      </c>
      <c r="H3846" t="s">
        <v>12</v>
      </c>
      <c r="I3846" t="str">
        <f t="shared" si="181"/>
        <v>Low Value</v>
      </c>
      <c r="J3846" t="str">
        <f t="shared" si="182"/>
        <v>Low Risk</v>
      </c>
      <c r="K3846" s="3" t="str">
        <f t="shared" si="180"/>
        <v>2-4 Years</v>
      </c>
    </row>
    <row r="3847" spans="1:11" x14ac:dyDescent="0.3">
      <c r="A3847" t="s">
        <v>3864</v>
      </c>
      <c r="B3847" t="s">
        <v>14</v>
      </c>
      <c r="C3847" t="s">
        <v>10</v>
      </c>
      <c r="D3847" t="s">
        <v>20</v>
      </c>
      <c r="E3847">
        <v>19.649999999999999</v>
      </c>
      <c r="F3847">
        <v>1</v>
      </c>
      <c r="G3847">
        <v>19.649999999999999</v>
      </c>
      <c r="H3847" t="s">
        <v>12</v>
      </c>
      <c r="I3847" t="str">
        <f t="shared" si="181"/>
        <v>Low Value</v>
      </c>
      <c r="J3847" t="str">
        <f t="shared" si="182"/>
        <v>High Risk</v>
      </c>
      <c r="K3847" s="3" t="str">
        <f t="shared" si="180"/>
        <v>0-1 Year</v>
      </c>
    </row>
    <row r="3848" spans="1:11" x14ac:dyDescent="0.3">
      <c r="A3848" t="s">
        <v>3865</v>
      </c>
      <c r="B3848" t="s">
        <v>14</v>
      </c>
      <c r="C3848" t="s">
        <v>10</v>
      </c>
      <c r="D3848" t="s">
        <v>20</v>
      </c>
      <c r="E3848">
        <v>72.8</v>
      </c>
      <c r="F3848">
        <v>46</v>
      </c>
      <c r="G3848">
        <v>3348.7999999999902</v>
      </c>
      <c r="H3848" t="s">
        <v>12</v>
      </c>
      <c r="I3848" t="str">
        <f t="shared" si="181"/>
        <v>Medium Value</v>
      </c>
      <c r="J3848" t="str">
        <f t="shared" si="182"/>
        <v>Low Risk</v>
      </c>
      <c r="K3848" s="3" t="str">
        <f t="shared" si="180"/>
        <v>2-4 Years</v>
      </c>
    </row>
    <row r="3849" spans="1:11" x14ac:dyDescent="0.3">
      <c r="A3849" t="s">
        <v>3866</v>
      </c>
      <c r="B3849" t="s">
        <v>9</v>
      </c>
      <c r="C3849" t="s">
        <v>10</v>
      </c>
      <c r="D3849" t="s">
        <v>20</v>
      </c>
      <c r="E3849">
        <v>109.65</v>
      </c>
      <c r="F3849">
        <v>50</v>
      </c>
      <c r="G3849">
        <v>5482.5</v>
      </c>
      <c r="H3849" t="s">
        <v>12</v>
      </c>
      <c r="I3849" t="str">
        <f t="shared" si="181"/>
        <v>High Value</v>
      </c>
      <c r="J3849" t="str">
        <f t="shared" si="182"/>
        <v>Low Risk</v>
      </c>
      <c r="K3849" s="3" t="str">
        <f t="shared" si="180"/>
        <v>4+ Years</v>
      </c>
    </row>
    <row r="3850" spans="1:11" x14ac:dyDescent="0.3">
      <c r="A3850" t="s">
        <v>3867</v>
      </c>
      <c r="B3850" t="s">
        <v>14</v>
      </c>
      <c r="C3850" t="s">
        <v>10</v>
      </c>
      <c r="D3850" t="s">
        <v>24</v>
      </c>
      <c r="E3850">
        <v>65</v>
      </c>
      <c r="F3850">
        <v>53</v>
      </c>
      <c r="G3850">
        <v>3445</v>
      </c>
      <c r="H3850" t="s">
        <v>12</v>
      </c>
      <c r="I3850" t="str">
        <f t="shared" si="181"/>
        <v>Medium Value</v>
      </c>
      <c r="J3850" t="str">
        <f t="shared" si="182"/>
        <v>Low Risk</v>
      </c>
      <c r="K3850" s="3" t="str">
        <f t="shared" si="180"/>
        <v>4+ Years</v>
      </c>
    </row>
    <row r="3851" spans="1:11" x14ac:dyDescent="0.3">
      <c r="A3851" t="s">
        <v>3868</v>
      </c>
      <c r="B3851" t="s">
        <v>14</v>
      </c>
      <c r="C3851" t="s">
        <v>10</v>
      </c>
      <c r="D3851" t="s">
        <v>11</v>
      </c>
      <c r="E3851">
        <v>114.1</v>
      </c>
      <c r="F3851">
        <v>61</v>
      </c>
      <c r="G3851">
        <v>6960.0999999999904</v>
      </c>
      <c r="H3851" t="s">
        <v>12</v>
      </c>
      <c r="I3851" t="str">
        <f t="shared" si="181"/>
        <v>High Value</v>
      </c>
      <c r="J3851" t="str">
        <f t="shared" si="182"/>
        <v>Low Risk</v>
      </c>
      <c r="K3851" s="3" t="str">
        <f t="shared" si="180"/>
        <v>4+ Years</v>
      </c>
    </row>
    <row r="3852" spans="1:11" x14ac:dyDescent="0.3">
      <c r="A3852" t="s">
        <v>3869</v>
      </c>
      <c r="B3852" t="s">
        <v>14</v>
      </c>
      <c r="C3852" t="s">
        <v>10</v>
      </c>
      <c r="D3852" t="s">
        <v>20</v>
      </c>
      <c r="E3852">
        <v>20.65</v>
      </c>
      <c r="F3852">
        <v>5</v>
      </c>
      <c r="G3852">
        <v>103.25</v>
      </c>
      <c r="H3852" t="s">
        <v>12</v>
      </c>
      <c r="I3852" t="str">
        <f t="shared" si="181"/>
        <v>Low Value</v>
      </c>
      <c r="J3852" t="str">
        <f t="shared" si="182"/>
        <v>High Risk</v>
      </c>
      <c r="K3852" s="3" t="str">
        <f t="shared" si="180"/>
        <v>0-1 Year</v>
      </c>
    </row>
    <row r="3853" spans="1:11" x14ac:dyDescent="0.3">
      <c r="A3853" t="s">
        <v>3870</v>
      </c>
      <c r="B3853" t="s">
        <v>14</v>
      </c>
      <c r="C3853" t="s">
        <v>15</v>
      </c>
      <c r="D3853" t="s">
        <v>20</v>
      </c>
      <c r="E3853">
        <v>86.95</v>
      </c>
      <c r="F3853">
        <v>47</v>
      </c>
      <c r="G3853">
        <v>4086.65</v>
      </c>
      <c r="H3853" t="s">
        <v>12</v>
      </c>
      <c r="I3853" t="str">
        <f t="shared" si="181"/>
        <v>Medium Value</v>
      </c>
      <c r="J3853" t="str">
        <f t="shared" si="182"/>
        <v>Low Risk</v>
      </c>
      <c r="K3853" s="3" t="str">
        <f t="shared" si="180"/>
        <v>2-4 Years</v>
      </c>
    </row>
    <row r="3854" spans="1:11" x14ac:dyDescent="0.3">
      <c r="A3854" t="s">
        <v>3871</v>
      </c>
      <c r="B3854" t="s">
        <v>9</v>
      </c>
      <c r="C3854" t="s">
        <v>15</v>
      </c>
      <c r="D3854" t="s">
        <v>20</v>
      </c>
      <c r="E3854">
        <v>94.75</v>
      </c>
      <c r="F3854">
        <v>54</v>
      </c>
      <c r="G3854">
        <v>5116.5</v>
      </c>
      <c r="H3854" t="s">
        <v>12</v>
      </c>
      <c r="I3854" t="str">
        <f t="shared" si="181"/>
        <v>High Value</v>
      </c>
      <c r="J3854" t="str">
        <f t="shared" si="182"/>
        <v>Low Risk</v>
      </c>
      <c r="K3854" s="3" t="str">
        <f t="shared" si="180"/>
        <v>4+ Years</v>
      </c>
    </row>
    <row r="3855" spans="1:11" x14ac:dyDescent="0.3">
      <c r="A3855" t="s">
        <v>3872</v>
      </c>
      <c r="B3855" t="s">
        <v>14</v>
      </c>
      <c r="C3855" t="s">
        <v>10</v>
      </c>
      <c r="D3855" t="s">
        <v>24</v>
      </c>
      <c r="E3855">
        <v>25.35</v>
      </c>
      <c r="F3855">
        <v>19</v>
      </c>
      <c r="G3855">
        <v>481.65</v>
      </c>
      <c r="H3855" t="s">
        <v>12</v>
      </c>
      <c r="I3855" t="str">
        <f t="shared" si="181"/>
        <v>Low Value</v>
      </c>
      <c r="J3855" t="str">
        <f t="shared" si="182"/>
        <v>Medium Risk</v>
      </c>
      <c r="K3855" s="3" t="str">
        <f t="shared" si="180"/>
        <v>1-2 Years</v>
      </c>
    </row>
    <row r="3856" spans="1:11" x14ac:dyDescent="0.3">
      <c r="A3856" t="s">
        <v>3873</v>
      </c>
      <c r="B3856" t="s">
        <v>9</v>
      </c>
      <c r="C3856" t="s">
        <v>30</v>
      </c>
      <c r="D3856" t="s">
        <v>11</v>
      </c>
      <c r="E3856">
        <v>105.45</v>
      </c>
      <c r="F3856">
        <v>26</v>
      </c>
      <c r="G3856">
        <v>2741.7</v>
      </c>
      <c r="H3856" t="s">
        <v>12</v>
      </c>
      <c r="I3856" t="str">
        <f t="shared" si="181"/>
        <v>Medium Value</v>
      </c>
      <c r="J3856" t="str">
        <f t="shared" si="182"/>
        <v>Low Risk</v>
      </c>
      <c r="K3856" s="3" t="str">
        <f t="shared" si="180"/>
        <v>2-4 Years</v>
      </c>
    </row>
    <row r="3857" spans="1:11" x14ac:dyDescent="0.3">
      <c r="A3857" t="s">
        <v>3874</v>
      </c>
      <c r="B3857" t="s">
        <v>14</v>
      </c>
      <c r="C3857" t="s">
        <v>30</v>
      </c>
      <c r="D3857" t="s">
        <v>16</v>
      </c>
      <c r="E3857">
        <v>25.4</v>
      </c>
      <c r="F3857">
        <v>70</v>
      </c>
      <c r="G3857">
        <v>1778</v>
      </c>
      <c r="H3857" t="s">
        <v>12</v>
      </c>
      <c r="I3857" t="str">
        <f t="shared" si="181"/>
        <v>Low Value</v>
      </c>
      <c r="J3857" t="str">
        <f t="shared" si="182"/>
        <v>Low Risk</v>
      </c>
      <c r="K3857" s="3" t="str">
        <f t="shared" si="180"/>
        <v>4+ Years</v>
      </c>
    </row>
    <row r="3858" spans="1:11" x14ac:dyDescent="0.3">
      <c r="A3858" t="s">
        <v>3875</v>
      </c>
      <c r="B3858" t="s">
        <v>14</v>
      </c>
      <c r="C3858" t="s">
        <v>10</v>
      </c>
      <c r="D3858" t="s">
        <v>11</v>
      </c>
      <c r="E3858">
        <v>102.55</v>
      </c>
      <c r="F3858">
        <v>17</v>
      </c>
      <c r="G3858">
        <v>1743.35</v>
      </c>
      <c r="H3858" t="s">
        <v>12</v>
      </c>
      <c r="I3858" t="str">
        <f t="shared" si="181"/>
        <v>Low Value</v>
      </c>
      <c r="J3858" t="str">
        <f t="shared" si="182"/>
        <v>Medium Risk</v>
      </c>
      <c r="K3858" s="3" t="str">
        <f t="shared" si="180"/>
        <v>1-2 Years</v>
      </c>
    </row>
    <row r="3859" spans="1:11" x14ac:dyDescent="0.3">
      <c r="A3859" t="s">
        <v>3876</v>
      </c>
      <c r="B3859" t="s">
        <v>9</v>
      </c>
      <c r="C3859" t="s">
        <v>10</v>
      </c>
      <c r="D3859" t="s">
        <v>11</v>
      </c>
      <c r="E3859">
        <v>100.2</v>
      </c>
      <c r="F3859">
        <v>30</v>
      </c>
      <c r="G3859">
        <v>3006</v>
      </c>
      <c r="H3859" t="s">
        <v>18</v>
      </c>
      <c r="I3859" t="str">
        <f t="shared" si="181"/>
        <v>Medium Value</v>
      </c>
      <c r="J3859" t="str">
        <f t="shared" si="182"/>
        <v>Low Risk</v>
      </c>
      <c r="K3859" s="3" t="str">
        <f t="shared" si="180"/>
        <v>2-4 Years</v>
      </c>
    </row>
    <row r="3860" spans="1:11" x14ac:dyDescent="0.3">
      <c r="A3860" t="s">
        <v>3877</v>
      </c>
      <c r="B3860" t="s">
        <v>9</v>
      </c>
      <c r="C3860" t="s">
        <v>10</v>
      </c>
      <c r="D3860" t="s">
        <v>16</v>
      </c>
      <c r="E3860">
        <v>24</v>
      </c>
      <c r="F3860">
        <v>1</v>
      </c>
      <c r="G3860">
        <v>24</v>
      </c>
      <c r="H3860" t="s">
        <v>12</v>
      </c>
      <c r="I3860" t="str">
        <f t="shared" si="181"/>
        <v>Low Value</v>
      </c>
      <c r="J3860" t="str">
        <f t="shared" si="182"/>
        <v>High Risk</v>
      </c>
      <c r="K3860" s="3" t="str">
        <f t="shared" si="180"/>
        <v>0-1 Year</v>
      </c>
    </row>
    <row r="3861" spans="1:11" x14ac:dyDescent="0.3">
      <c r="A3861" t="s">
        <v>3878</v>
      </c>
      <c r="B3861" t="s">
        <v>9</v>
      </c>
      <c r="C3861" t="s">
        <v>30</v>
      </c>
      <c r="D3861" t="s">
        <v>16</v>
      </c>
      <c r="E3861">
        <v>25.6</v>
      </c>
      <c r="F3861">
        <v>19</v>
      </c>
      <c r="G3861">
        <v>486.4</v>
      </c>
      <c r="H3861" t="s">
        <v>12</v>
      </c>
      <c r="I3861" t="str">
        <f t="shared" si="181"/>
        <v>Low Value</v>
      </c>
      <c r="J3861" t="str">
        <f t="shared" si="182"/>
        <v>Medium Risk</v>
      </c>
      <c r="K3861" s="3" t="str">
        <f t="shared" si="180"/>
        <v>1-2 Years</v>
      </c>
    </row>
    <row r="3862" spans="1:11" x14ac:dyDescent="0.3">
      <c r="A3862" t="s">
        <v>3879</v>
      </c>
      <c r="B3862" t="s">
        <v>9</v>
      </c>
      <c r="C3862" t="s">
        <v>30</v>
      </c>
      <c r="D3862" t="s">
        <v>24</v>
      </c>
      <c r="E3862">
        <v>73.5</v>
      </c>
      <c r="F3862">
        <v>26</v>
      </c>
      <c r="G3862">
        <v>1911</v>
      </c>
      <c r="H3862" t="s">
        <v>12</v>
      </c>
      <c r="I3862" t="str">
        <f t="shared" si="181"/>
        <v>Low Value</v>
      </c>
      <c r="J3862" t="str">
        <f t="shared" si="182"/>
        <v>Low Risk</v>
      </c>
      <c r="K3862" s="3" t="str">
        <f t="shared" si="180"/>
        <v>2-4 Years</v>
      </c>
    </row>
    <row r="3863" spans="1:11" x14ac:dyDescent="0.3">
      <c r="A3863" t="s">
        <v>3880</v>
      </c>
      <c r="B3863" t="s">
        <v>9</v>
      </c>
      <c r="C3863" t="s">
        <v>10</v>
      </c>
      <c r="D3863" t="s">
        <v>20</v>
      </c>
      <c r="E3863">
        <v>74.05</v>
      </c>
      <c r="F3863">
        <v>21</v>
      </c>
      <c r="G3863">
        <v>1555.05</v>
      </c>
      <c r="H3863" t="s">
        <v>18</v>
      </c>
      <c r="I3863" t="str">
        <f t="shared" si="181"/>
        <v>Low Value</v>
      </c>
      <c r="J3863" t="str">
        <f t="shared" si="182"/>
        <v>Medium Risk</v>
      </c>
      <c r="K3863" s="3" t="str">
        <f t="shared" si="180"/>
        <v>1-2 Years</v>
      </c>
    </row>
    <row r="3864" spans="1:11" x14ac:dyDescent="0.3">
      <c r="A3864" t="s">
        <v>3881</v>
      </c>
      <c r="B3864" t="s">
        <v>14</v>
      </c>
      <c r="C3864" t="s">
        <v>15</v>
      </c>
      <c r="D3864" t="s">
        <v>11</v>
      </c>
      <c r="E3864">
        <v>98.25</v>
      </c>
      <c r="F3864">
        <v>50</v>
      </c>
      <c r="G3864">
        <v>4912.5</v>
      </c>
      <c r="H3864" t="s">
        <v>12</v>
      </c>
      <c r="I3864" t="str">
        <f t="shared" si="181"/>
        <v>Medium Value</v>
      </c>
      <c r="J3864" t="str">
        <f t="shared" si="182"/>
        <v>Low Risk</v>
      </c>
      <c r="K3864" s="3" t="str">
        <f t="shared" si="180"/>
        <v>4+ Years</v>
      </c>
    </row>
    <row r="3865" spans="1:11" x14ac:dyDescent="0.3">
      <c r="A3865" t="s">
        <v>3882</v>
      </c>
      <c r="B3865" t="s">
        <v>9</v>
      </c>
      <c r="C3865" t="s">
        <v>15</v>
      </c>
      <c r="D3865" t="s">
        <v>11</v>
      </c>
      <c r="E3865">
        <v>54.4</v>
      </c>
      <c r="F3865">
        <v>68</v>
      </c>
      <c r="G3865">
        <v>3699.2</v>
      </c>
      <c r="H3865" t="s">
        <v>12</v>
      </c>
      <c r="I3865" t="str">
        <f t="shared" si="181"/>
        <v>Medium Value</v>
      </c>
      <c r="J3865" t="str">
        <f t="shared" si="182"/>
        <v>Low Risk</v>
      </c>
      <c r="K3865" s="3" t="str">
        <f t="shared" si="180"/>
        <v>4+ Years</v>
      </c>
    </row>
    <row r="3866" spans="1:11" x14ac:dyDescent="0.3">
      <c r="A3866" t="s">
        <v>3883</v>
      </c>
      <c r="B3866" t="s">
        <v>14</v>
      </c>
      <c r="C3866" t="s">
        <v>10</v>
      </c>
      <c r="D3866" t="s">
        <v>20</v>
      </c>
      <c r="E3866">
        <v>101.55</v>
      </c>
      <c r="F3866">
        <v>3</v>
      </c>
      <c r="G3866">
        <v>304.64999999999998</v>
      </c>
      <c r="H3866" t="s">
        <v>18</v>
      </c>
      <c r="I3866" t="str">
        <f t="shared" si="181"/>
        <v>Low Value</v>
      </c>
      <c r="J3866" t="str">
        <f t="shared" si="182"/>
        <v>High Risk</v>
      </c>
      <c r="K3866" s="3" t="str">
        <f t="shared" si="180"/>
        <v>0-1 Year</v>
      </c>
    </row>
    <row r="3867" spans="1:11" x14ac:dyDescent="0.3">
      <c r="A3867" t="s">
        <v>3884</v>
      </c>
      <c r="B3867" t="s">
        <v>14</v>
      </c>
      <c r="C3867" t="s">
        <v>10</v>
      </c>
      <c r="D3867" t="s">
        <v>11</v>
      </c>
      <c r="E3867">
        <v>103.1</v>
      </c>
      <c r="F3867">
        <v>9</v>
      </c>
      <c r="G3867">
        <v>927.9</v>
      </c>
      <c r="H3867" t="s">
        <v>12</v>
      </c>
      <c r="I3867" t="str">
        <f t="shared" si="181"/>
        <v>Low Value</v>
      </c>
      <c r="J3867" t="str">
        <f t="shared" si="182"/>
        <v>High Risk</v>
      </c>
      <c r="K3867" s="3" t="str">
        <f t="shared" si="180"/>
        <v>0-1 Year</v>
      </c>
    </row>
    <row r="3868" spans="1:11" x14ac:dyDescent="0.3">
      <c r="A3868" t="s">
        <v>3885</v>
      </c>
      <c r="B3868" t="s">
        <v>9</v>
      </c>
      <c r="C3868" t="s">
        <v>30</v>
      </c>
      <c r="D3868" t="s">
        <v>20</v>
      </c>
      <c r="E3868">
        <v>34.200000000000003</v>
      </c>
      <c r="F3868">
        <v>51</v>
      </c>
      <c r="G3868">
        <v>1744.2</v>
      </c>
      <c r="H3868" t="s">
        <v>12</v>
      </c>
      <c r="I3868" t="str">
        <f t="shared" si="181"/>
        <v>Low Value</v>
      </c>
      <c r="J3868" t="str">
        <f t="shared" si="182"/>
        <v>Low Risk</v>
      </c>
      <c r="K3868" s="3" t="str">
        <f t="shared" si="180"/>
        <v>4+ Years</v>
      </c>
    </row>
    <row r="3869" spans="1:11" x14ac:dyDescent="0.3">
      <c r="A3869" t="s">
        <v>3886</v>
      </c>
      <c r="B3869" t="s">
        <v>9</v>
      </c>
      <c r="C3869" t="s">
        <v>10</v>
      </c>
      <c r="D3869" t="s">
        <v>11</v>
      </c>
      <c r="E3869">
        <v>43.75</v>
      </c>
      <c r="F3869">
        <v>9</v>
      </c>
      <c r="G3869">
        <v>393.75</v>
      </c>
      <c r="H3869" t="s">
        <v>12</v>
      </c>
      <c r="I3869" t="str">
        <f t="shared" si="181"/>
        <v>Low Value</v>
      </c>
      <c r="J3869" t="str">
        <f t="shared" si="182"/>
        <v>High Risk</v>
      </c>
      <c r="K3869" s="3" t="str">
        <f t="shared" si="180"/>
        <v>0-1 Year</v>
      </c>
    </row>
    <row r="3870" spans="1:11" x14ac:dyDescent="0.3">
      <c r="A3870" t="s">
        <v>3887</v>
      </c>
      <c r="B3870" t="s">
        <v>14</v>
      </c>
      <c r="C3870" t="s">
        <v>15</v>
      </c>
      <c r="D3870" t="s">
        <v>11</v>
      </c>
      <c r="E3870">
        <v>111.95</v>
      </c>
      <c r="F3870">
        <v>41</v>
      </c>
      <c r="G3870">
        <v>4589.95</v>
      </c>
      <c r="H3870" t="s">
        <v>18</v>
      </c>
      <c r="I3870" t="str">
        <f t="shared" si="181"/>
        <v>Medium Value</v>
      </c>
      <c r="J3870" t="str">
        <f t="shared" si="182"/>
        <v>Low Risk</v>
      </c>
      <c r="K3870" s="3" t="str">
        <f t="shared" si="180"/>
        <v>2-4 Years</v>
      </c>
    </row>
    <row r="3871" spans="1:11" x14ac:dyDescent="0.3">
      <c r="A3871" t="s">
        <v>3888</v>
      </c>
      <c r="B3871" t="s">
        <v>14</v>
      </c>
      <c r="C3871" t="s">
        <v>10</v>
      </c>
      <c r="D3871" t="s">
        <v>11</v>
      </c>
      <c r="E3871">
        <v>100.65</v>
      </c>
      <c r="F3871">
        <v>22</v>
      </c>
      <c r="G3871">
        <v>2214.3000000000002</v>
      </c>
      <c r="H3871" t="s">
        <v>12</v>
      </c>
      <c r="I3871" t="str">
        <f t="shared" si="181"/>
        <v>Medium Value</v>
      </c>
      <c r="J3871" t="str">
        <f t="shared" si="182"/>
        <v>Medium Risk</v>
      </c>
      <c r="K3871" s="3" t="str">
        <f t="shared" si="180"/>
        <v>1-2 Years</v>
      </c>
    </row>
    <row r="3872" spans="1:11" x14ac:dyDescent="0.3">
      <c r="A3872" t="s">
        <v>3889</v>
      </c>
      <c r="B3872" t="s">
        <v>9</v>
      </c>
      <c r="C3872" t="s">
        <v>15</v>
      </c>
      <c r="D3872" t="s">
        <v>11</v>
      </c>
      <c r="E3872">
        <v>55.95</v>
      </c>
      <c r="F3872">
        <v>21</v>
      </c>
      <c r="G3872">
        <v>1174.95</v>
      </c>
      <c r="H3872" t="s">
        <v>18</v>
      </c>
      <c r="I3872" t="str">
        <f t="shared" si="181"/>
        <v>Low Value</v>
      </c>
      <c r="J3872" t="str">
        <f t="shared" si="182"/>
        <v>Medium Risk</v>
      </c>
      <c r="K3872" s="3" t="str">
        <f t="shared" si="180"/>
        <v>1-2 Years</v>
      </c>
    </row>
    <row r="3873" spans="1:11" x14ac:dyDescent="0.3">
      <c r="A3873" t="s">
        <v>3890</v>
      </c>
      <c r="B3873" t="s">
        <v>14</v>
      </c>
      <c r="C3873" t="s">
        <v>30</v>
      </c>
      <c r="D3873" t="s">
        <v>20</v>
      </c>
      <c r="E3873">
        <v>116.05</v>
      </c>
      <c r="F3873">
        <v>71</v>
      </c>
      <c r="G3873">
        <v>8239.5499999999993</v>
      </c>
      <c r="H3873" t="s">
        <v>12</v>
      </c>
      <c r="I3873" t="str">
        <f t="shared" si="181"/>
        <v>High Value</v>
      </c>
      <c r="J3873" t="str">
        <f t="shared" si="182"/>
        <v>Low Risk</v>
      </c>
      <c r="K3873" s="3" t="str">
        <f t="shared" si="180"/>
        <v>4+ Years</v>
      </c>
    </row>
    <row r="3874" spans="1:11" x14ac:dyDescent="0.3">
      <c r="A3874" t="s">
        <v>3891</v>
      </c>
      <c r="B3874" t="s">
        <v>14</v>
      </c>
      <c r="C3874" t="s">
        <v>10</v>
      </c>
      <c r="D3874" t="s">
        <v>11</v>
      </c>
      <c r="E3874">
        <v>45.75</v>
      </c>
      <c r="F3874">
        <v>1</v>
      </c>
      <c r="G3874">
        <v>45.75</v>
      </c>
      <c r="H3874" t="s">
        <v>18</v>
      </c>
      <c r="I3874" t="str">
        <f t="shared" si="181"/>
        <v>Low Value</v>
      </c>
      <c r="J3874" t="str">
        <f t="shared" si="182"/>
        <v>High Risk</v>
      </c>
      <c r="K3874" s="3" t="str">
        <f t="shared" si="180"/>
        <v>0-1 Year</v>
      </c>
    </row>
    <row r="3875" spans="1:11" x14ac:dyDescent="0.3">
      <c r="A3875" t="s">
        <v>3892</v>
      </c>
      <c r="B3875" t="s">
        <v>14</v>
      </c>
      <c r="C3875" t="s">
        <v>15</v>
      </c>
      <c r="D3875" t="s">
        <v>24</v>
      </c>
      <c r="E3875">
        <v>82</v>
      </c>
      <c r="F3875">
        <v>26</v>
      </c>
      <c r="G3875">
        <v>2132</v>
      </c>
      <c r="H3875" t="s">
        <v>12</v>
      </c>
      <c r="I3875" t="str">
        <f t="shared" si="181"/>
        <v>Medium Value</v>
      </c>
      <c r="J3875" t="str">
        <f t="shared" si="182"/>
        <v>Low Risk</v>
      </c>
      <c r="K3875" s="3" t="str">
        <f t="shared" si="180"/>
        <v>2-4 Years</v>
      </c>
    </row>
    <row r="3876" spans="1:11" x14ac:dyDescent="0.3">
      <c r="A3876" t="s">
        <v>3893</v>
      </c>
      <c r="B3876" t="s">
        <v>14</v>
      </c>
      <c r="C3876" t="s">
        <v>30</v>
      </c>
      <c r="D3876" t="s">
        <v>20</v>
      </c>
      <c r="E3876">
        <v>65.150000000000006</v>
      </c>
      <c r="F3876">
        <v>71</v>
      </c>
      <c r="G3876">
        <v>4625.6499999999996</v>
      </c>
      <c r="H3876" t="s">
        <v>12</v>
      </c>
      <c r="I3876" t="str">
        <f t="shared" si="181"/>
        <v>Medium Value</v>
      </c>
      <c r="J3876" t="str">
        <f t="shared" si="182"/>
        <v>Low Risk</v>
      </c>
      <c r="K3876" s="3" t="str">
        <f t="shared" si="180"/>
        <v>4+ Years</v>
      </c>
    </row>
    <row r="3877" spans="1:11" x14ac:dyDescent="0.3">
      <c r="A3877" t="s">
        <v>3894</v>
      </c>
      <c r="B3877" t="s">
        <v>14</v>
      </c>
      <c r="C3877" t="s">
        <v>10</v>
      </c>
      <c r="D3877" t="s">
        <v>24</v>
      </c>
      <c r="E3877">
        <v>44.8</v>
      </c>
      <c r="F3877">
        <v>4</v>
      </c>
      <c r="G3877">
        <v>179.2</v>
      </c>
      <c r="H3877" t="s">
        <v>12</v>
      </c>
      <c r="I3877" t="str">
        <f t="shared" si="181"/>
        <v>Low Value</v>
      </c>
      <c r="J3877" t="str">
        <f t="shared" si="182"/>
        <v>High Risk</v>
      </c>
      <c r="K3877" s="3" t="str">
        <f t="shared" si="180"/>
        <v>0-1 Year</v>
      </c>
    </row>
    <row r="3878" spans="1:11" x14ac:dyDescent="0.3">
      <c r="A3878" t="s">
        <v>3895</v>
      </c>
      <c r="B3878" t="s">
        <v>9</v>
      </c>
      <c r="C3878" t="s">
        <v>10</v>
      </c>
      <c r="D3878" t="s">
        <v>11</v>
      </c>
      <c r="E3878">
        <v>79.8</v>
      </c>
      <c r="F3878">
        <v>12</v>
      </c>
      <c r="G3878">
        <v>957.599999999999</v>
      </c>
      <c r="H3878" t="s">
        <v>12</v>
      </c>
      <c r="I3878" t="str">
        <f t="shared" si="181"/>
        <v>Low Value</v>
      </c>
      <c r="J3878" t="str">
        <f t="shared" si="182"/>
        <v>Medium Risk</v>
      </c>
      <c r="K3878" s="3" t="str">
        <f t="shared" si="180"/>
        <v>0-1 Year</v>
      </c>
    </row>
    <row r="3879" spans="1:11" x14ac:dyDescent="0.3">
      <c r="A3879" t="s">
        <v>3896</v>
      </c>
      <c r="B3879" t="s">
        <v>9</v>
      </c>
      <c r="C3879" t="s">
        <v>10</v>
      </c>
      <c r="D3879" t="s">
        <v>11</v>
      </c>
      <c r="E3879">
        <v>88.85</v>
      </c>
      <c r="F3879">
        <v>18</v>
      </c>
      <c r="G3879">
        <v>1599.3</v>
      </c>
      <c r="H3879" t="s">
        <v>12</v>
      </c>
      <c r="I3879" t="str">
        <f t="shared" si="181"/>
        <v>Low Value</v>
      </c>
      <c r="J3879" t="str">
        <f t="shared" si="182"/>
        <v>Medium Risk</v>
      </c>
      <c r="K3879" s="3" t="str">
        <f t="shared" si="180"/>
        <v>1-2 Years</v>
      </c>
    </row>
    <row r="3880" spans="1:11" x14ac:dyDescent="0.3">
      <c r="A3880" t="s">
        <v>3897</v>
      </c>
      <c r="B3880" t="s">
        <v>9</v>
      </c>
      <c r="C3880" t="s">
        <v>10</v>
      </c>
      <c r="D3880" t="s">
        <v>11</v>
      </c>
      <c r="E3880">
        <v>74.95</v>
      </c>
      <c r="F3880">
        <v>3</v>
      </c>
      <c r="G3880">
        <v>224.85</v>
      </c>
      <c r="H3880" t="s">
        <v>12</v>
      </c>
      <c r="I3880" t="str">
        <f t="shared" si="181"/>
        <v>Low Value</v>
      </c>
      <c r="J3880" t="str">
        <f t="shared" si="182"/>
        <v>High Risk</v>
      </c>
      <c r="K3880" s="3" t="str">
        <f t="shared" si="180"/>
        <v>0-1 Year</v>
      </c>
    </row>
    <row r="3881" spans="1:11" x14ac:dyDescent="0.3">
      <c r="A3881" t="s">
        <v>3898</v>
      </c>
      <c r="B3881" t="s">
        <v>9</v>
      </c>
      <c r="C3881" t="s">
        <v>15</v>
      </c>
      <c r="D3881" t="s">
        <v>20</v>
      </c>
      <c r="E3881">
        <v>106.85</v>
      </c>
      <c r="F3881">
        <v>72</v>
      </c>
      <c r="G3881">
        <v>7693.2</v>
      </c>
      <c r="H3881" t="s">
        <v>12</v>
      </c>
      <c r="I3881" t="str">
        <f t="shared" si="181"/>
        <v>High Value</v>
      </c>
      <c r="J3881" t="str">
        <f t="shared" si="182"/>
        <v>Low Risk</v>
      </c>
      <c r="K3881" s="3" t="str">
        <f t="shared" si="180"/>
        <v>4+ Years</v>
      </c>
    </row>
    <row r="3882" spans="1:11" x14ac:dyDescent="0.3">
      <c r="A3882" t="s">
        <v>3899</v>
      </c>
      <c r="B3882" t="s">
        <v>14</v>
      </c>
      <c r="C3882" t="s">
        <v>10</v>
      </c>
      <c r="D3882" t="s">
        <v>11</v>
      </c>
      <c r="E3882">
        <v>74.95</v>
      </c>
      <c r="F3882">
        <v>11</v>
      </c>
      <c r="G3882">
        <v>824.45</v>
      </c>
      <c r="H3882" t="s">
        <v>18</v>
      </c>
      <c r="I3882" t="str">
        <f t="shared" si="181"/>
        <v>Low Value</v>
      </c>
      <c r="J3882" t="str">
        <f t="shared" si="182"/>
        <v>High Risk</v>
      </c>
      <c r="K3882" s="3" t="str">
        <f t="shared" si="180"/>
        <v>0-1 Year</v>
      </c>
    </row>
    <row r="3883" spans="1:11" x14ac:dyDescent="0.3">
      <c r="A3883" t="s">
        <v>3900</v>
      </c>
      <c r="B3883" t="s">
        <v>9</v>
      </c>
      <c r="C3883" t="s">
        <v>10</v>
      </c>
      <c r="D3883" t="s">
        <v>24</v>
      </c>
      <c r="E3883">
        <v>80.150000000000006</v>
      </c>
      <c r="F3883">
        <v>1</v>
      </c>
      <c r="G3883">
        <v>80.150000000000006</v>
      </c>
      <c r="H3883" t="s">
        <v>18</v>
      </c>
      <c r="I3883" t="str">
        <f t="shared" si="181"/>
        <v>Low Value</v>
      </c>
      <c r="J3883" t="str">
        <f t="shared" si="182"/>
        <v>High Risk</v>
      </c>
      <c r="K3883" s="3" t="str">
        <f t="shared" si="180"/>
        <v>0-1 Year</v>
      </c>
    </row>
    <row r="3884" spans="1:11" x14ac:dyDescent="0.3">
      <c r="A3884" t="s">
        <v>3901</v>
      </c>
      <c r="B3884" t="s">
        <v>14</v>
      </c>
      <c r="C3884" t="s">
        <v>15</v>
      </c>
      <c r="D3884" t="s">
        <v>24</v>
      </c>
      <c r="E3884">
        <v>19.3</v>
      </c>
      <c r="F3884">
        <v>13</v>
      </c>
      <c r="G3884">
        <v>250.9</v>
      </c>
      <c r="H3884" t="s">
        <v>12</v>
      </c>
      <c r="I3884" t="str">
        <f t="shared" si="181"/>
        <v>Low Value</v>
      </c>
      <c r="J3884" t="str">
        <f t="shared" si="182"/>
        <v>Medium Risk</v>
      </c>
      <c r="K3884" s="3" t="str">
        <f t="shared" si="180"/>
        <v>1-2 Years</v>
      </c>
    </row>
    <row r="3885" spans="1:11" x14ac:dyDescent="0.3">
      <c r="A3885" t="s">
        <v>3902</v>
      </c>
      <c r="B3885" t="s">
        <v>9</v>
      </c>
      <c r="C3885" t="s">
        <v>15</v>
      </c>
      <c r="D3885" t="s">
        <v>11</v>
      </c>
      <c r="E3885">
        <v>109.25</v>
      </c>
      <c r="F3885">
        <v>72</v>
      </c>
      <c r="G3885">
        <v>7866</v>
      </c>
      <c r="H3885" t="s">
        <v>18</v>
      </c>
      <c r="I3885" t="str">
        <f t="shared" si="181"/>
        <v>High Value</v>
      </c>
      <c r="J3885" t="str">
        <f t="shared" si="182"/>
        <v>Low Risk</v>
      </c>
      <c r="K3885" s="3" t="str">
        <f t="shared" si="180"/>
        <v>4+ Years</v>
      </c>
    </row>
    <row r="3886" spans="1:11" x14ac:dyDescent="0.3">
      <c r="A3886" t="s">
        <v>3903</v>
      </c>
      <c r="B3886" t="s">
        <v>14</v>
      </c>
      <c r="C3886" t="s">
        <v>15</v>
      </c>
      <c r="D3886" t="s">
        <v>24</v>
      </c>
      <c r="E3886">
        <v>56.1</v>
      </c>
      <c r="F3886">
        <v>42</v>
      </c>
      <c r="G3886">
        <v>2356.1999999999998</v>
      </c>
      <c r="H3886" t="s">
        <v>12</v>
      </c>
      <c r="I3886" t="str">
        <f t="shared" si="181"/>
        <v>Medium Value</v>
      </c>
      <c r="J3886" t="str">
        <f t="shared" si="182"/>
        <v>Low Risk</v>
      </c>
      <c r="K3886" s="3" t="str">
        <f t="shared" si="180"/>
        <v>2-4 Years</v>
      </c>
    </row>
    <row r="3887" spans="1:11" x14ac:dyDescent="0.3">
      <c r="A3887" t="s">
        <v>3904</v>
      </c>
      <c r="B3887" t="s">
        <v>9</v>
      </c>
      <c r="C3887" t="s">
        <v>10</v>
      </c>
      <c r="D3887" t="s">
        <v>24</v>
      </c>
      <c r="E3887">
        <v>19.7</v>
      </c>
      <c r="F3887">
        <v>17</v>
      </c>
      <c r="G3887">
        <v>334.9</v>
      </c>
      <c r="H3887" t="s">
        <v>12</v>
      </c>
      <c r="I3887" t="str">
        <f t="shared" si="181"/>
        <v>Low Value</v>
      </c>
      <c r="J3887" t="str">
        <f t="shared" si="182"/>
        <v>Medium Risk</v>
      </c>
      <c r="K3887" s="3" t="str">
        <f t="shared" si="180"/>
        <v>1-2 Years</v>
      </c>
    </row>
    <row r="3888" spans="1:11" x14ac:dyDescent="0.3">
      <c r="A3888" t="s">
        <v>3905</v>
      </c>
      <c r="B3888" t="s">
        <v>9</v>
      </c>
      <c r="C3888" t="s">
        <v>10</v>
      </c>
      <c r="D3888" t="s">
        <v>16</v>
      </c>
      <c r="E3888">
        <v>51.3</v>
      </c>
      <c r="F3888">
        <v>7</v>
      </c>
      <c r="G3888">
        <v>359.099999999999</v>
      </c>
      <c r="H3888" t="s">
        <v>12</v>
      </c>
      <c r="I3888" t="str">
        <f t="shared" si="181"/>
        <v>Low Value</v>
      </c>
      <c r="J3888" t="str">
        <f t="shared" si="182"/>
        <v>High Risk</v>
      </c>
      <c r="K3888" s="3" t="str">
        <f t="shared" si="180"/>
        <v>0-1 Year</v>
      </c>
    </row>
    <row r="3889" spans="1:11" x14ac:dyDescent="0.3">
      <c r="A3889" t="s">
        <v>3906</v>
      </c>
      <c r="B3889" t="s">
        <v>9</v>
      </c>
      <c r="C3889" t="s">
        <v>30</v>
      </c>
      <c r="D3889" t="s">
        <v>16</v>
      </c>
      <c r="E3889">
        <v>118.6</v>
      </c>
      <c r="F3889">
        <v>68</v>
      </c>
      <c r="G3889">
        <v>8064.7999999999902</v>
      </c>
      <c r="H3889" t="s">
        <v>12</v>
      </c>
      <c r="I3889" t="str">
        <f t="shared" si="181"/>
        <v>High Value</v>
      </c>
      <c r="J3889" t="str">
        <f t="shared" si="182"/>
        <v>Low Risk</v>
      </c>
      <c r="K3889" s="3" t="str">
        <f t="shared" si="180"/>
        <v>4+ Years</v>
      </c>
    </row>
    <row r="3890" spans="1:11" x14ac:dyDescent="0.3">
      <c r="A3890" t="s">
        <v>3907</v>
      </c>
      <c r="B3890" t="s">
        <v>14</v>
      </c>
      <c r="C3890" t="s">
        <v>30</v>
      </c>
      <c r="D3890" t="s">
        <v>20</v>
      </c>
      <c r="E3890">
        <v>24.15</v>
      </c>
      <c r="F3890">
        <v>56</v>
      </c>
      <c r="G3890">
        <v>1352.3999999999901</v>
      </c>
      <c r="H3890" t="s">
        <v>12</v>
      </c>
      <c r="I3890" t="str">
        <f t="shared" si="181"/>
        <v>Low Value</v>
      </c>
      <c r="J3890" t="str">
        <f t="shared" si="182"/>
        <v>Low Risk</v>
      </c>
      <c r="K3890" s="3" t="str">
        <f t="shared" si="180"/>
        <v>4+ Years</v>
      </c>
    </row>
    <row r="3891" spans="1:11" x14ac:dyDescent="0.3">
      <c r="A3891" t="s">
        <v>3908</v>
      </c>
      <c r="B3891" t="s">
        <v>9</v>
      </c>
      <c r="C3891" t="s">
        <v>15</v>
      </c>
      <c r="D3891" t="s">
        <v>16</v>
      </c>
      <c r="E3891">
        <v>20.3</v>
      </c>
      <c r="F3891">
        <v>38</v>
      </c>
      <c r="G3891">
        <v>771.4</v>
      </c>
      <c r="H3891" t="s">
        <v>12</v>
      </c>
      <c r="I3891" t="str">
        <f t="shared" si="181"/>
        <v>Low Value</v>
      </c>
      <c r="J3891" t="str">
        <f t="shared" si="182"/>
        <v>Low Risk</v>
      </c>
      <c r="K3891" s="3" t="str">
        <f t="shared" si="180"/>
        <v>2-4 Years</v>
      </c>
    </row>
    <row r="3892" spans="1:11" x14ac:dyDescent="0.3">
      <c r="A3892" t="s">
        <v>3909</v>
      </c>
      <c r="B3892" t="s">
        <v>9</v>
      </c>
      <c r="C3892" t="s">
        <v>30</v>
      </c>
      <c r="D3892" t="s">
        <v>11</v>
      </c>
      <c r="E3892">
        <v>115.5</v>
      </c>
      <c r="F3892">
        <v>72</v>
      </c>
      <c r="G3892">
        <v>8316</v>
      </c>
      <c r="H3892" t="s">
        <v>12</v>
      </c>
      <c r="I3892" t="str">
        <f t="shared" si="181"/>
        <v>High Value</v>
      </c>
      <c r="J3892" t="str">
        <f t="shared" si="182"/>
        <v>Low Risk</v>
      </c>
      <c r="K3892" s="3" t="str">
        <f t="shared" si="180"/>
        <v>4+ Years</v>
      </c>
    </row>
    <row r="3893" spans="1:11" x14ac:dyDescent="0.3">
      <c r="A3893" t="s">
        <v>3910</v>
      </c>
      <c r="B3893" t="s">
        <v>9</v>
      </c>
      <c r="C3893" t="s">
        <v>15</v>
      </c>
      <c r="D3893" t="s">
        <v>24</v>
      </c>
      <c r="E3893">
        <v>25.05</v>
      </c>
      <c r="F3893">
        <v>48</v>
      </c>
      <c r="G3893">
        <v>1202.4000000000001</v>
      </c>
      <c r="H3893" t="s">
        <v>12</v>
      </c>
      <c r="I3893" t="str">
        <f t="shared" si="181"/>
        <v>Low Value</v>
      </c>
      <c r="J3893" t="str">
        <f t="shared" si="182"/>
        <v>Low Risk</v>
      </c>
      <c r="K3893" s="3" t="str">
        <f t="shared" si="180"/>
        <v>2-4 Years</v>
      </c>
    </row>
    <row r="3894" spans="1:11" x14ac:dyDescent="0.3">
      <c r="A3894" t="s">
        <v>3911</v>
      </c>
      <c r="B3894" t="s">
        <v>9</v>
      </c>
      <c r="C3894" t="s">
        <v>10</v>
      </c>
      <c r="D3894" t="s">
        <v>11</v>
      </c>
      <c r="E3894">
        <v>109.1</v>
      </c>
      <c r="F3894">
        <v>52</v>
      </c>
      <c r="G3894">
        <v>5673.2</v>
      </c>
      <c r="H3894" t="s">
        <v>12</v>
      </c>
      <c r="I3894" t="str">
        <f t="shared" si="181"/>
        <v>High Value</v>
      </c>
      <c r="J3894" t="str">
        <f t="shared" si="182"/>
        <v>Low Risk</v>
      </c>
      <c r="K3894" s="3" t="str">
        <f t="shared" si="180"/>
        <v>4+ Years</v>
      </c>
    </row>
    <row r="3895" spans="1:11" x14ac:dyDescent="0.3">
      <c r="A3895" t="s">
        <v>3912</v>
      </c>
      <c r="B3895" t="s">
        <v>9</v>
      </c>
      <c r="C3895" t="s">
        <v>15</v>
      </c>
      <c r="D3895" t="s">
        <v>16</v>
      </c>
      <c r="E3895">
        <v>19.649999999999999</v>
      </c>
      <c r="F3895">
        <v>35</v>
      </c>
      <c r="G3895">
        <v>687.75</v>
      </c>
      <c r="H3895" t="s">
        <v>12</v>
      </c>
      <c r="I3895" t="str">
        <f t="shared" si="181"/>
        <v>Low Value</v>
      </c>
      <c r="J3895" t="str">
        <f t="shared" si="182"/>
        <v>Low Risk</v>
      </c>
      <c r="K3895" s="3" t="str">
        <f t="shared" si="180"/>
        <v>2-4 Years</v>
      </c>
    </row>
    <row r="3896" spans="1:11" x14ac:dyDescent="0.3">
      <c r="A3896" t="s">
        <v>3913</v>
      </c>
      <c r="B3896" t="s">
        <v>14</v>
      </c>
      <c r="C3896" t="s">
        <v>30</v>
      </c>
      <c r="D3896" t="s">
        <v>20</v>
      </c>
      <c r="E3896">
        <v>111.3</v>
      </c>
      <c r="F3896">
        <v>67</v>
      </c>
      <c r="G3896">
        <v>7457.0999999999904</v>
      </c>
      <c r="H3896" t="s">
        <v>12</v>
      </c>
      <c r="I3896" t="str">
        <f t="shared" si="181"/>
        <v>High Value</v>
      </c>
      <c r="J3896" t="str">
        <f t="shared" si="182"/>
        <v>Low Risk</v>
      </c>
      <c r="K3896" s="3" t="str">
        <f t="shared" si="180"/>
        <v>4+ Years</v>
      </c>
    </row>
    <row r="3897" spans="1:11" x14ac:dyDescent="0.3">
      <c r="A3897" t="s">
        <v>3914</v>
      </c>
      <c r="B3897" t="s">
        <v>9</v>
      </c>
      <c r="C3897" t="s">
        <v>10</v>
      </c>
      <c r="D3897" t="s">
        <v>16</v>
      </c>
      <c r="E3897">
        <v>29.9</v>
      </c>
      <c r="F3897">
        <v>1</v>
      </c>
      <c r="G3897">
        <v>29.9</v>
      </c>
      <c r="H3897" t="s">
        <v>12</v>
      </c>
      <c r="I3897" t="str">
        <f t="shared" si="181"/>
        <v>Low Value</v>
      </c>
      <c r="J3897" t="str">
        <f t="shared" si="182"/>
        <v>High Risk</v>
      </c>
      <c r="K3897" s="3" t="str">
        <f t="shared" si="180"/>
        <v>0-1 Year</v>
      </c>
    </row>
    <row r="3898" spans="1:11" x14ac:dyDescent="0.3">
      <c r="A3898" t="s">
        <v>3915</v>
      </c>
      <c r="B3898" t="s">
        <v>14</v>
      </c>
      <c r="C3898" t="s">
        <v>10</v>
      </c>
      <c r="D3898" t="s">
        <v>16</v>
      </c>
      <c r="E3898">
        <v>80.599999999999994</v>
      </c>
      <c r="F3898">
        <v>53</v>
      </c>
      <c r="G3898">
        <v>4271.7999999999902</v>
      </c>
      <c r="H3898" t="s">
        <v>12</v>
      </c>
      <c r="I3898" t="str">
        <f t="shared" si="181"/>
        <v>Medium Value</v>
      </c>
      <c r="J3898" t="str">
        <f t="shared" si="182"/>
        <v>Low Risk</v>
      </c>
      <c r="K3898" s="3" t="str">
        <f t="shared" si="180"/>
        <v>4+ Years</v>
      </c>
    </row>
    <row r="3899" spans="1:11" x14ac:dyDescent="0.3">
      <c r="A3899" t="s">
        <v>3916</v>
      </c>
      <c r="B3899" t="s">
        <v>14</v>
      </c>
      <c r="C3899" t="s">
        <v>10</v>
      </c>
      <c r="D3899" t="s">
        <v>16</v>
      </c>
      <c r="E3899">
        <v>20.8</v>
      </c>
      <c r="F3899">
        <v>34</v>
      </c>
      <c r="G3899">
        <v>707.2</v>
      </c>
      <c r="H3899" t="s">
        <v>12</v>
      </c>
      <c r="I3899" t="str">
        <f t="shared" si="181"/>
        <v>Low Value</v>
      </c>
      <c r="J3899" t="str">
        <f t="shared" si="182"/>
        <v>Low Risk</v>
      </c>
      <c r="K3899" s="3" t="str">
        <f t="shared" si="180"/>
        <v>2-4 Years</v>
      </c>
    </row>
    <row r="3900" spans="1:11" x14ac:dyDescent="0.3">
      <c r="A3900" t="s">
        <v>3917</v>
      </c>
      <c r="B3900" t="s">
        <v>9</v>
      </c>
      <c r="C3900" t="s">
        <v>10</v>
      </c>
      <c r="D3900" t="s">
        <v>24</v>
      </c>
      <c r="E3900">
        <v>35.200000000000003</v>
      </c>
      <c r="F3900">
        <v>3</v>
      </c>
      <c r="G3900">
        <v>105.6</v>
      </c>
      <c r="H3900" t="s">
        <v>18</v>
      </c>
      <c r="I3900" t="str">
        <f t="shared" si="181"/>
        <v>Low Value</v>
      </c>
      <c r="J3900" t="str">
        <f t="shared" si="182"/>
        <v>High Risk</v>
      </c>
      <c r="K3900" s="3" t="str">
        <f t="shared" si="180"/>
        <v>0-1 Year</v>
      </c>
    </row>
    <row r="3901" spans="1:11" x14ac:dyDescent="0.3">
      <c r="A3901" t="s">
        <v>3918</v>
      </c>
      <c r="B3901" t="s">
        <v>9</v>
      </c>
      <c r="C3901" t="s">
        <v>10</v>
      </c>
      <c r="D3901" t="s">
        <v>11</v>
      </c>
      <c r="E3901">
        <v>78.8</v>
      </c>
      <c r="F3901">
        <v>1</v>
      </c>
      <c r="G3901">
        <v>78.8</v>
      </c>
      <c r="H3901" t="s">
        <v>18</v>
      </c>
      <c r="I3901" t="str">
        <f t="shared" si="181"/>
        <v>Low Value</v>
      </c>
      <c r="J3901" t="str">
        <f t="shared" si="182"/>
        <v>High Risk</v>
      </c>
      <c r="K3901" s="3" t="str">
        <f t="shared" si="180"/>
        <v>0-1 Year</v>
      </c>
    </row>
    <row r="3902" spans="1:11" x14ac:dyDescent="0.3">
      <c r="A3902" t="s">
        <v>3919</v>
      </c>
      <c r="B3902" t="s">
        <v>14</v>
      </c>
      <c r="C3902" t="s">
        <v>10</v>
      </c>
      <c r="D3902" t="s">
        <v>16</v>
      </c>
      <c r="E3902">
        <v>89.95</v>
      </c>
      <c r="F3902">
        <v>19</v>
      </c>
      <c r="G3902">
        <v>1709.05</v>
      </c>
      <c r="H3902" t="s">
        <v>12</v>
      </c>
      <c r="I3902" t="str">
        <f t="shared" si="181"/>
        <v>Low Value</v>
      </c>
      <c r="J3902" t="str">
        <f t="shared" si="182"/>
        <v>Medium Risk</v>
      </c>
      <c r="K3902" s="3" t="str">
        <f t="shared" si="180"/>
        <v>1-2 Years</v>
      </c>
    </row>
    <row r="3903" spans="1:11" x14ac:dyDescent="0.3">
      <c r="A3903" t="s">
        <v>3920</v>
      </c>
      <c r="B3903" t="s">
        <v>9</v>
      </c>
      <c r="C3903" t="s">
        <v>30</v>
      </c>
      <c r="D3903" t="s">
        <v>20</v>
      </c>
      <c r="E3903">
        <v>116.05</v>
      </c>
      <c r="F3903">
        <v>60</v>
      </c>
      <c r="G3903">
        <v>6963</v>
      </c>
      <c r="H3903" t="s">
        <v>12</v>
      </c>
      <c r="I3903" t="str">
        <f t="shared" si="181"/>
        <v>High Value</v>
      </c>
      <c r="J3903" t="str">
        <f t="shared" si="182"/>
        <v>Low Risk</v>
      </c>
      <c r="K3903" s="3" t="str">
        <f t="shared" si="180"/>
        <v>4+ Years</v>
      </c>
    </row>
    <row r="3904" spans="1:11" x14ac:dyDescent="0.3">
      <c r="A3904" t="s">
        <v>3921</v>
      </c>
      <c r="B3904" t="s">
        <v>14</v>
      </c>
      <c r="C3904" t="s">
        <v>30</v>
      </c>
      <c r="D3904" t="s">
        <v>24</v>
      </c>
      <c r="E3904">
        <v>19.55</v>
      </c>
      <c r="F3904">
        <v>11</v>
      </c>
      <c r="G3904">
        <v>215.05</v>
      </c>
      <c r="H3904" t="s">
        <v>12</v>
      </c>
      <c r="I3904" t="str">
        <f t="shared" si="181"/>
        <v>Low Value</v>
      </c>
      <c r="J3904" t="str">
        <f t="shared" si="182"/>
        <v>High Risk</v>
      </c>
      <c r="K3904" s="3" t="str">
        <f t="shared" si="180"/>
        <v>0-1 Year</v>
      </c>
    </row>
    <row r="3905" spans="1:11" x14ac:dyDescent="0.3">
      <c r="A3905" t="s">
        <v>3922</v>
      </c>
      <c r="B3905" t="s">
        <v>9</v>
      </c>
      <c r="C3905" t="s">
        <v>10</v>
      </c>
      <c r="D3905" t="s">
        <v>11</v>
      </c>
      <c r="E3905">
        <v>106.4</v>
      </c>
      <c r="F3905">
        <v>47</v>
      </c>
      <c r="G3905">
        <v>5000.8</v>
      </c>
      <c r="H3905" t="s">
        <v>18</v>
      </c>
      <c r="I3905" t="str">
        <f t="shared" si="181"/>
        <v>High Value</v>
      </c>
      <c r="J3905" t="str">
        <f t="shared" si="182"/>
        <v>Low Risk</v>
      </c>
      <c r="K3905" s="3" t="str">
        <f t="shared" si="180"/>
        <v>2-4 Years</v>
      </c>
    </row>
    <row r="3906" spans="1:11" x14ac:dyDescent="0.3">
      <c r="A3906" t="s">
        <v>3923</v>
      </c>
      <c r="B3906" t="s">
        <v>14</v>
      </c>
      <c r="C3906" t="s">
        <v>10</v>
      </c>
      <c r="D3906" t="s">
        <v>11</v>
      </c>
      <c r="E3906">
        <v>49.4</v>
      </c>
      <c r="F3906">
        <v>18</v>
      </c>
      <c r="G3906">
        <v>889.19999999999902</v>
      </c>
      <c r="H3906" t="s">
        <v>18</v>
      </c>
      <c r="I3906" t="str">
        <f t="shared" si="181"/>
        <v>Low Value</v>
      </c>
      <c r="J3906" t="str">
        <f t="shared" si="182"/>
        <v>Medium Risk</v>
      </c>
      <c r="K3906" s="3" t="str">
        <f t="shared" si="180"/>
        <v>1-2 Years</v>
      </c>
    </row>
    <row r="3907" spans="1:11" x14ac:dyDescent="0.3">
      <c r="A3907" t="s">
        <v>3924</v>
      </c>
      <c r="B3907" t="s">
        <v>9</v>
      </c>
      <c r="C3907" t="s">
        <v>30</v>
      </c>
      <c r="D3907" t="s">
        <v>24</v>
      </c>
      <c r="E3907">
        <v>115.25</v>
      </c>
      <c r="F3907">
        <v>60</v>
      </c>
      <c r="G3907">
        <v>6915</v>
      </c>
      <c r="H3907" t="s">
        <v>12</v>
      </c>
      <c r="I3907" t="str">
        <f t="shared" si="181"/>
        <v>High Value</v>
      </c>
      <c r="J3907" t="str">
        <f t="shared" si="182"/>
        <v>Low Risk</v>
      </c>
      <c r="K3907" s="3" t="str">
        <f t="shared" ref="K3907:K3970" si="183">IF(F3907&lt;=12,"0-1 Year",
IF(F3907&lt;=24,"1-2 Years",
IF(F3907&lt;=48,"2-4 Years","4+ Years")))</f>
        <v>4+ Years</v>
      </c>
    </row>
    <row r="3908" spans="1:11" x14ac:dyDescent="0.3">
      <c r="A3908" t="s">
        <v>3925</v>
      </c>
      <c r="B3908" t="s">
        <v>14</v>
      </c>
      <c r="C3908" t="s">
        <v>30</v>
      </c>
      <c r="D3908" t="s">
        <v>24</v>
      </c>
      <c r="E3908">
        <v>24.8</v>
      </c>
      <c r="F3908">
        <v>72</v>
      </c>
      <c r="G3908">
        <v>1785.6</v>
      </c>
      <c r="H3908" t="s">
        <v>12</v>
      </c>
      <c r="I3908" t="str">
        <f t="shared" ref="I3908:I3971" si="184">IF(G3908&gt;5000,"High Value",
IF(G3908&gt;2000,"Medium Value","Low Value"))</f>
        <v>Low Value</v>
      </c>
      <c r="J3908" t="str">
        <f t="shared" ref="J3908:J3971" si="185">IF(F3908&lt;12,"High Risk",
IF(F3908&lt;24,"Medium Risk","Low Risk"))</f>
        <v>Low Risk</v>
      </c>
      <c r="K3908" s="3" t="str">
        <f t="shared" si="183"/>
        <v>4+ Years</v>
      </c>
    </row>
    <row r="3909" spans="1:11" x14ac:dyDescent="0.3">
      <c r="A3909" t="s">
        <v>3926</v>
      </c>
      <c r="B3909" t="s">
        <v>14</v>
      </c>
      <c r="C3909" t="s">
        <v>15</v>
      </c>
      <c r="D3909" t="s">
        <v>16</v>
      </c>
      <c r="E3909">
        <v>19.899999999999999</v>
      </c>
      <c r="F3909">
        <v>39</v>
      </c>
      <c r="G3909">
        <v>776.099999999999</v>
      </c>
      <c r="H3909" t="s">
        <v>12</v>
      </c>
      <c r="I3909" t="str">
        <f t="shared" si="184"/>
        <v>Low Value</v>
      </c>
      <c r="J3909" t="str">
        <f t="shared" si="185"/>
        <v>Low Risk</v>
      </c>
      <c r="K3909" s="3" t="str">
        <f t="shared" si="183"/>
        <v>2-4 Years</v>
      </c>
    </row>
    <row r="3910" spans="1:11" x14ac:dyDescent="0.3">
      <c r="A3910" t="s">
        <v>3927</v>
      </c>
      <c r="B3910" t="s">
        <v>9</v>
      </c>
      <c r="C3910" t="s">
        <v>15</v>
      </c>
      <c r="D3910" t="s">
        <v>24</v>
      </c>
      <c r="E3910">
        <v>81.25</v>
      </c>
      <c r="F3910">
        <v>59</v>
      </c>
      <c r="G3910">
        <v>4793.75</v>
      </c>
      <c r="H3910" t="s">
        <v>12</v>
      </c>
      <c r="I3910" t="str">
        <f t="shared" si="184"/>
        <v>Medium Value</v>
      </c>
      <c r="J3910" t="str">
        <f t="shared" si="185"/>
        <v>Low Risk</v>
      </c>
      <c r="K3910" s="3" t="str">
        <f t="shared" si="183"/>
        <v>4+ Years</v>
      </c>
    </row>
    <row r="3911" spans="1:11" x14ac:dyDescent="0.3">
      <c r="A3911" t="s">
        <v>3928</v>
      </c>
      <c r="B3911" t="s">
        <v>14</v>
      </c>
      <c r="C3911" t="s">
        <v>10</v>
      </c>
      <c r="D3911" t="s">
        <v>16</v>
      </c>
      <c r="E3911">
        <v>69.95</v>
      </c>
      <c r="F3911">
        <v>2</v>
      </c>
      <c r="G3911">
        <v>139.9</v>
      </c>
      <c r="H3911" t="s">
        <v>12</v>
      </c>
      <c r="I3911" t="str">
        <f t="shared" si="184"/>
        <v>Low Value</v>
      </c>
      <c r="J3911" t="str">
        <f t="shared" si="185"/>
        <v>High Risk</v>
      </c>
      <c r="K3911" s="3" t="str">
        <f t="shared" si="183"/>
        <v>0-1 Year</v>
      </c>
    </row>
    <row r="3912" spans="1:11" x14ac:dyDescent="0.3">
      <c r="A3912" t="s">
        <v>3929</v>
      </c>
      <c r="B3912" t="s">
        <v>14</v>
      </c>
      <c r="C3912" t="s">
        <v>10</v>
      </c>
      <c r="D3912" t="s">
        <v>11</v>
      </c>
      <c r="E3912">
        <v>69.099999999999994</v>
      </c>
      <c r="F3912">
        <v>1</v>
      </c>
      <c r="G3912">
        <v>69.099999999999994</v>
      </c>
      <c r="H3912" t="s">
        <v>18</v>
      </c>
      <c r="I3912" t="str">
        <f t="shared" si="184"/>
        <v>Low Value</v>
      </c>
      <c r="J3912" t="str">
        <f t="shared" si="185"/>
        <v>High Risk</v>
      </c>
      <c r="K3912" s="3" t="str">
        <f t="shared" si="183"/>
        <v>0-1 Year</v>
      </c>
    </row>
    <row r="3913" spans="1:11" x14ac:dyDescent="0.3">
      <c r="A3913" t="s">
        <v>3930</v>
      </c>
      <c r="B3913" t="s">
        <v>14</v>
      </c>
      <c r="C3913" t="s">
        <v>10</v>
      </c>
      <c r="D3913" t="s">
        <v>11</v>
      </c>
      <c r="E3913">
        <v>90.2</v>
      </c>
      <c r="F3913">
        <v>20</v>
      </c>
      <c r="G3913">
        <v>1804</v>
      </c>
      <c r="H3913" t="s">
        <v>18</v>
      </c>
      <c r="I3913" t="str">
        <f t="shared" si="184"/>
        <v>Low Value</v>
      </c>
      <c r="J3913" t="str">
        <f t="shared" si="185"/>
        <v>Medium Risk</v>
      </c>
      <c r="K3913" s="3" t="str">
        <f t="shared" si="183"/>
        <v>1-2 Years</v>
      </c>
    </row>
    <row r="3914" spans="1:11" x14ac:dyDescent="0.3">
      <c r="A3914" t="s">
        <v>3931</v>
      </c>
      <c r="B3914" t="s">
        <v>9</v>
      </c>
      <c r="C3914" t="s">
        <v>10</v>
      </c>
      <c r="D3914" t="s">
        <v>20</v>
      </c>
      <c r="E3914">
        <v>93.55</v>
      </c>
      <c r="F3914">
        <v>6</v>
      </c>
      <c r="G3914">
        <v>561.29999999999995</v>
      </c>
      <c r="H3914" t="s">
        <v>18</v>
      </c>
      <c r="I3914" t="str">
        <f t="shared" si="184"/>
        <v>Low Value</v>
      </c>
      <c r="J3914" t="str">
        <f t="shared" si="185"/>
        <v>High Risk</v>
      </c>
      <c r="K3914" s="3" t="str">
        <f t="shared" si="183"/>
        <v>0-1 Year</v>
      </c>
    </row>
    <row r="3915" spans="1:11" x14ac:dyDescent="0.3">
      <c r="A3915" t="s">
        <v>3932</v>
      </c>
      <c r="B3915" t="s">
        <v>14</v>
      </c>
      <c r="C3915" t="s">
        <v>30</v>
      </c>
      <c r="D3915" t="s">
        <v>24</v>
      </c>
      <c r="E3915">
        <v>86.4</v>
      </c>
      <c r="F3915">
        <v>71</v>
      </c>
      <c r="G3915">
        <v>6134.4</v>
      </c>
      <c r="H3915" t="s">
        <v>12</v>
      </c>
      <c r="I3915" t="str">
        <f t="shared" si="184"/>
        <v>High Value</v>
      </c>
      <c r="J3915" t="str">
        <f t="shared" si="185"/>
        <v>Low Risk</v>
      </c>
      <c r="K3915" s="3" t="str">
        <f t="shared" si="183"/>
        <v>4+ Years</v>
      </c>
    </row>
    <row r="3916" spans="1:11" x14ac:dyDescent="0.3">
      <c r="A3916" t="s">
        <v>3933</v>
      </c>
      <c r="B3916" t="s">
        <v>9</v>
      </c>
      <c r="C3916" t="s">
        <v>10</v>
      </c>
      <c r="D3916" t="s">
        <v>16</v>
      </c>
      <c r="E3916">
        <v>66.3</v>
      </c>
      <c r="F3916">
        <v>24</v>
      </c>
      <c r="G3916">
        <v>1591.19999999999</v>
      </c>
      <c r="H3916" t="s">
        <v>12</v>
      </c>
      <c r="I3916" t="str">
        <f t="shared" si="184"/>
        <v>Low Value</v>
      </c>
      <c r="J3916" t="str">
        <f t="shared" si="185"/>
        <v>Low Risk</v>
      </c>
      <c r="K3916" s="3" t="str">
        <f t="shared" si="183"/>
        <v>1-2 Years</v>
      </c>
    </row>
    <row r="3917" spans="1:11" x14ac:dyDescent="0.3">
      <c r="A3917" t="s">
        <v>3934</v>
      </c>
      <c r="B3917" t="s">
        <v>14</v>
      </c>
      <c r="C3917" t="s">
        <v>10</v>
      </c>
      <c r="D3917" t="s">
        <v>24</v>
      </c>
      <c r="E3917">
        <v>94.65</v>
      </c>
      <c r="F3917">
        <v>67</v>
      </c>
      <c r="G3917">
        <v>6341.55</v>
      </c>
      <c r="H3917" t="s">
        <v>12</v>
      </c>
      <c r="I3917" t="str">
        <f t="shared" si="184"/>
        <v>High Value</v>
      </c>
      <c r="J3917" t="str">
        <f t="shared" si="185"/>
        <v>Low Risk</v>
      </c>
      <c r="K3917" s="3" t="str">
        <f t="shared" si="183"/>
        <v>4+ Years</v>
      </c>
    </row>
    <row r="3918" spans="1:11" x14ac:dyDescent="0.3">
      <c r="A3918" t="s">
        <v>3935</v>
      </c>
      <c r="B3918" t="s">
        <v>14</v>
      </c>
      <c r="C3918" t="s">
        <v>10</v>
      </c>
      <c r="D3918" t="s">
        <v>16</v>
      </c>
      <c r="E3918">
        <v>80.849999999999994</v>
      </c>
      <c r="F3918">
        <v>1</v>
      </c>
      <c r="G3918">
        <v>80.849999999999994</v>
      </c>
      <c r="H3918" t="s">
        <v>18</v>
      </c>
      <c r="I3918" t="str">
        <f t="shared" si="184"/>
        <v>Low Value</v>
      </c>
      <c r="J3918" t="str">
        <f t="shared" si="185"/>
        <v>High Risk</v>
      </c>
      <c r="K3918" s="3" t="str">
        <f t="shared" si="183"/>
        <v>0-1 Year</v>
      </c>
    </row>
    <row r="3919" spans="1:11" x14ac:dyDescent="0.3">
      <c r="A3919" t="s">
        <v>3936</v>
      </c>
      <c r="B3919" t="s">
        <v>9</v>
      </c>
      <c r="C3919" t="s">
        <v>15</v>
      </c>
      <c r="D3919" t="s">
        <v>16</v>
      </c>
      <c r="E3919">
        <v>82.05</v>
      </c>
      <c r="F3919">
        <v>48</v>
      </c>
      <c r="G3919">
        <v>3938.3999999999901</v>
      </c>
      <c r="H3919" t="s">
        <v>18</v>
      </c>
      <c r="I3919" t="str">
        <f t="shared" si="184"/>
        <v>Medium Value</v>
      </c>
      <c r="J3919" t="str">
        <f t="shared" si="185"/>
        <v>Low Risk</v>
      </c>
      <c r="K3919" s="3" t="str">
        <f t="shared" si="183"/>
        <v>2-4 Years</v>
      </c>
    </row>
    <row r="3920" spans="1:11" x14ac:dyDescent="0.3">
      <c r="A3920" t="s">
        <v>3937</v>
      </c>
      <c r="B3920" t="s">
        <v>9</v>
      </c>
      <c r="C3920" t="s">
        <v>15</v>
      </c>
      <c r="D3920" t="s">
        <v>16</v>
      </c>
      <c r="E3920">
        <v>72.099999999999994</v>
      </c>
      <c r="F3920">
        <v>37</v>
      </c>
      <c r="G3920">
        <v>2667.7</v>
      </c>
      <c r="H3920" t="s">
        <v>12</v>
      </c>
      <c r="I3920" t="str">
        <f t="shared" si="184"/>
        <v>Medium Value</v>
      </c>
      <c r="J3920" t="str">
        <f t="shared" si="185"/>
        <v>Low Risk</v>
      </c>
      <c r="K3920" s="3" t="str">
        <f t="shared" si="183"/>
        <v>2-4 Years</v>
      </c>
    </row>
    <row r="3921" spans="1:11" x14ac:dyDescent="0.3">
      <c r="A3921" t="s">
        <v>3938</v>
      </c>
      <c r="B3921" t="s">
        <v>14</v>
      </c>
      <c r="C3921" t="s">
        <v>10</v>
      </c>
      <c r="D3921" t="s">
        <v>16</v>
      </c>
      <c r="E3921">
        <v>34.700000000000003</v>
      </c>
      <c r="F3921">
        <v>11</v>
      </c>
      <c r="G3921">
        <v>381.7</v>
      </c>
      <c r="H3921" t="s">
        <v>12</v>
      </c>
      <c r="I3921" t="str">
        <f t="shared" si="184"/>
        <v>Low Value</v>
      </c>
      <c r="J3921" t="str">
        <f t="shared" si="185"/>
        <v>High Risk</v>
      </c>
      <c r="K3921" s="3" t="str">
        <f t="shared" si="183"/>
        <v>0-1 Year</v>
      </c>
    </row>
    <row r="3922" spans="1:11" x14ac:dyDescent="0.3">
      <c r="A3922" t="s">
        <v>3939</v>
      </c>
      <c r="B3922" t="s">
        <v>14</v>
      </c>
      <c r="C3922" t="s">
        <v>10</v>
      </c>
      <c r="D3922" t="s">
        <v>24</v>
      </c>
      <c r="E3922">
        <v>20.55</v>
      </c>
      <c r="F3922">
        <v>3</v>
      </c>
      <c r="G3922">
        <v>61.65</v>
      </c>
      <c r="H3922" t="s">
        <v>18</v>
      </c>
      <c r="I3922" t="str">
        <f t="shared" si="184"/>
        <v>Low Value</v>
      </c>
      <c r="J3922" t="str">
        <f t="shared" si="185"/>
        <v>High Risk</v>
      </c>
      <c r="K3922" s="3" t="str">
        <f t="shared" si="183"/>
        <v>0-1 Year</v>
      </c>
    </row>
    <row r="3923" spans="1:11" x14ac:dyDescent="0.3">
      <c r="A3923" t="s">
        <v>3940</v>
      </c>
      <c r="B3923" t="s">
        <v>9</v>
      </c>
      <c r="C3923" t="s">
        <v>10</v>
      </c>
      <c r="D3923" t="s">
        <v>24</v>
      </c>
      <c r="E3923">
        <v>95.95</v>
      </c>
      <c r="F3923">
        <v>18</v>
      </c>
      <c r="G3923">
        <v>1727.1</v>
      </c>
      <c r="H3923" t="s">
        <v>12</v>
      </c>
      <c r="I3923" t="str">
        <f t="shared" si="184"/>
        <v>Low Value</v>
      </c>
      <c r="J3923" t="str">
        <f t="shared" si="185"/>
        <v>Medium Risk</v>
      </c>
      <c r="K3923" s="3" t="str">
        <f t="shared" si="183"/>
        <v>1-2 Years</v>
      </c>
    </row>
    <row r="3924" spans="1:11" x14ac:dyDescent="0.3">
      <c r="A3924" t="s">
        <v>3941</v>
      </c>
      <c r="B3924" t="s">
        <v>14</v>
      </c>
      <c r="C3924" t="s">
        <v>15</v>
      </c>
      <c r="D3924" t="s">
        <v>20</v>
      </c>
      <c r="E3924">
        <v>44.8</v>
      </c>
      <c r="F3924">
        <v>50</v>
      </c>
      <c r="G3924">
        <v>2240</v>
      </c>
      <c r="H3924" t="s">
        <v>12</v>
      </c>
      <c r="I3924" t="str">
        <f t="shared" si="184"/>
        <v>Medium Value</v>
      </c>
      <c r="J3924" t="str">
        <f t="shared" si="185"/>
        <v>Low Risk</v>
      </c>
      <c r="K3924" s="3" t="str">
        <f t="shared" si="183"/>
        <v>4+ Years</v>
      </c>
    </row>
    <row r="3925" spans="1:11" x14ac:dyDescent="0.3">
      <c r="A3925" t="s">
        <v>3942</v>
      </c>
      <c r="B3925" t="s">
        <v>9</v>
      </c>
      <c r="C3925" t="s">
        <v>15</v>
      </c>
      <c r="D3925" t="s">
        <v>11</v>
      </c>
      <c r="E3925">
        <v>109.4</v>
      </c>
      <c r="F3925">
        <v>67</v>
      </c>
      <c r="G3925">
        <v>7329.8</v>
      </c>
      <c r="H3925" t="s">
        <v>12</v>
      </c>
      <c r="I3925" t="str">
        <f t="shared" si="184"/>
        <v>High Value</v>
      </c>
      <c r="J3925" t="str">
        <f t="shared" si="185"/>
        <v>Low Risk</v>
      </c>
      <c r="K3925" s="3" t="str">
        <f t="shared" si="183"/>
        <v>4+ Years</v>
      </c>
    </row>
    <row r="3926" spans="1:11" x14ac:dyDescent="0.3">
      <c r="A3926" t="s">
        <v>3943</v>
      </c>
      <c r="B3926" t="s">
        <v>9</v>
      </c>
      <c r="C3926" t="s">
        <v>10</v>
      </c>
      <c r="D3926" t="s">
        <v>16</v>
      </c>
      <c r="E3926">
        <v>71.05</v>
      </c>
      <c r="F3926">
        <v>25</v>
      </c>
      <c r="G3926">
        <v>1776.25</v>
      </c>
      <c r="H3926" t="s">
        <v>12</v>
      </c>
      <c r="I3926" t="str">
        <f t="shared" si="184"/>
        <v>Low Value</v>
      </c>
      <c r="J3926" t="str">
        <f t="shared" si="185"/>
        <v>Low Risk</v>
      </c>
      <c r="K3926" s="3" t="str">
        <f t="shared" si="183"/>
        <v>2-4 Years</v>
      </c>
    </row>
    <row r="3927" spans="1:11" x14ac:dyDescent="0.3">
      <c r="A3927" t="s">
        <v>3944</v>
      </c>
      <c r="B3927" t="s">
        <v>9</v>
      </c>
      <c r="C3927" t="s">
        <v>10</v>
      </c>
      <c r="D3927" t="s">
        <v>11</v>
      </c>
      <c r="E3927">
        <v>78.55</v>
      </c>
      <c r="F3927">
        <v>2</v>
      </c>
      <c r="G3927">
        <v>157.1</v>
      </c>
      <c r="H3927" t="s">
        <v>18</v>
      </c>
      <c r="I3927" t="str">
        <f t="shared" si="184"/>
        <v>Low Value</v>
      </c>
      <c r="J3927" t="str">
        <f t="shared" si="185"/>
        <v>High Risk</v>
      </c>
      <c r="K3927" s="3" t="str">
        <f t="shared" si="183"/>
        <v>0-1 Year</v>
      </c>
    </row>
    <row r="3928" spans="1:11" x14ac:dyDescent="0.3">
      <c r="A3928" t="s">
        <v>3945</v>
      </c>
      <c r="B3928" t="s">
        <v>14</v>
      </c>
      <c r="C3928" t="s">
        <v>10</v>
      </c>
      <c r="D3928" t="s">
        <v>24</v>
      </c>
      <c r="E3928">
        <v>19.7</v>
      </c>
      <c r="F3928">
        <v>9</v>
      </c>
      <c r="G3928">
        <v>177.29999999999899</v>
      </c>
      <c r="H3928" t="s">
        <v>12</v>
      </c>
      <c r="I3928" t="str">
        <f t="shared" si="184"/>
        <v>Low Value</v>
      </c>
      <c r="J3928" t="str">
        <f t="shared" si="185"/>
        <v>High Risk</v>
      </c>
      <c r="K3928" s="3" t="str">
        <f t="shared" si="183"/>
        <v>0-1 Year</v>
      </c>
    </row>
    <row r="3929" spans="1:11" x14ac:dyDescent="0.3">
      <c r="A3929" t="s">
        <v>3946</v>
      </c>
      <c r="B3929" t="s">
        <v>9</v>
      </c>
      <c r="C3929" t="s">
        <v>15</v>
      </c>
      <c r="D3929" t="s">
        <v>16</v>
      </c>
      <c r="E3929">
        <v>40.25</v>
      </c>
      <c r="F3929">
        <v>10</v>
      </c>
      <c r="G3929">
        <v>402.5</v>
      </c>
      <c r="H3929" t="s">
        <v>12</v>
      </c>
      <c r="I3929" t="str">
        <f t="shared" si="184"/>
        <v>Low Value</v>
      </c>
      <c r="J3929" t="str">
        <f t="shared" si="185"/>
        <v>High Risk</v>
      </c>
      <c r="K3929" s="3" t="str">
        <f t="shared" si="183"/>
        <v>0-1 Year</v>
      </c>
    </row>
    <row r="3930" spans="1:11" x14ac:dyDescent="0.3">
      <c r="A3930" t="s">
        <v>3947</v>
      </c>
      <c r="B3930" t="s">
        <v>9</v>
      </c>
      <c r="C3930" t="s">
        <v>30</v>
      </c>
      <c r="D3930" t="s">
        <v>24</v>
      </c>
      <c r="E3930">
        <v>19.850000000000001</v>
      </c>
      <c r="F3930">
        <v>70</v>
      </c>
      <c r="G3930">
        <v>1389.5</v>
      </c>
      <c r="H3930" t="s">
        <v>12</v>
      </c>
      <c r="I3930" t="str">
        <f t="shared" si="184"/>
        <v>Low Value</v>
      </c>
      <c r="J3930" t="str">
        <f t="shared" si="185"/>
        <v>Low Risk</v>
      </c>
      <c r="K3930" s="3" t="str">
        <f t="shared" si="183"/>
        <v>4+ Years</v>
      </c>
    </row>
    <row r="3931" spans="1:11" x14ac:dyDescent="0.3">
      <c r="A3931" t="s">
        <v>3948</v>
      </c>
      <c r="B3931" t="s">
        <v>14</v>
      </c>
      <c r="C3931" t="s">
        <v>10</v>
      </c>
      <c r="D3931" t="s">
        <v>20</v>
      </c>
      <c r="E3931">
        <v>68.25</v>
      </c>
      <c r="F3931">
        <v>9</v>
      </c>
      <c r="G3931">
        <v>614.25</v>
      </c>
      <c r="H3931" t="s">
        <v>12</v>
      </c>
      <c r="I3931" t="str">
        <f t="shared" si="184"/>
        <v>Low Value</v>
      </c>
      <c r="J3931" t="str">
        <f t="shared" si="185"/>
        <v>High Risk</v>
      </c>
      <c r="K3931" s="3" t="str">
        <f t="shared" si="183"/>
        <v>0-1 Year</v>
      </c>
    </row>
    <row r="3932" spans="1:11" x14ac:dyDescent="0.3">
      <c r="A3932" t="s">
        <v>3949</v>
      </c>
      <c r="B3932" t="s">
        <v>9</v>
      </c>
      <c r="C3932" t="s">
        <v>10</v>
      </c>
      <c r="D3932" t="s">
        <v>24</v>
      </c>
      <c r="E3932">
        <v>20.149999999999999</v>
      </c>
      <c r="F3932">
        <v>4</v>
      </c>
      <c r="G3932">
        <v>80.599999999999994</v>
      </c>
      <c r="H3932" t="s">
        <v>12</v>
      </c>
      <c r="I3932" t="str">
        <f t="shared" si="184"/>
        <v>Low Value</v>
      </c>
      <c r="J3932" t="str">
        <f t="shared" si="185"/>
        <v>High Risk</v>
      </c>
      <c r="K3932" s="3" t="str">
        <f t="shared" si="183"/>
        <v>0-1 Year</v>
      </c>
    </row>
    <row r="3933" spans="1:11" x14ac:dyDescent="0.3">
      <c r="A3933" t="s">
        <v>3950</v>
      </c>
      <c r="B3933" t="s">
        <v>9</v>
      </c>
      <c r="C3933" t="s">
        <v>10</v>
      </c>
      <c r="D3933" t="s">
        <v>16</v>
      </c>
      <c r="E3933">
        <v>50.95</v>
      </c>
      <c r="F3933">
        <v>2</v>
      </c>
      <c r="G3933">
        <v>101.9</v>
      </c>
      <c r="H3933" t="s">
        <v>12</v>
      </c>
      <c r="I3933" t="str">
        <f t="shared" si="184"/>
        <v>Low Value</v>
      </c>
      <c r="J3933" t="str">
        <f t="shared" si="185"/>
        <v>High Risk</v>
      </c>
      <c r="K3933" s="3" t="str">
        <f t="shared" si="183"/>
        <v>0-1 Year</v>
      </c>
    </row>
    <row r="3934" spans="1:11" x14ac:dyDescent="0.3">
      <c r="A3934" t="s">
        <v>3951</v>
      </c>
      <c r="B3934" t="s">
        <v>9</v>
      </c>
      <c r="C3934" t="s">
        <v>10</v>
      </c>
      <c r="D3934" t="s">
        <v>11</v>
      </c>
      <c r="E3934">
        <v>78.650000000000006</v>
      </c>
      <c r="F3934">
        <v>1</v>
      </c>
      <c r="G3934">
        <v>78.650000000000006</v>
      </c>
      <c r="H3934" t="s">
        <v>18</v>
      </c>
      <c r="I3934" t="str">
        <f t="shared" si="184"/>
        <v>Low Value</v>
      </c>
      <c r="J3934" t="str">
        <f t="shared" si="185"/>
        <v>High Risk</v>
      </c>
      <c r="K3934" s="3" t="str">
        <f t="shared" si="183"/>
        <v>0-1 Year</v>
      </c>
    </row>
    <row r="3935" spans="1:11" x14ac:dyDescent="0.3">
      <c r="A3935" t="s">
        <v>3952</v>
      </c>
      <c r="B3935" t="s">
        <v>14</v>
      </c>
      <c r="C3935" t="s">
        <v>10</v>
      </c>
      <c r="D3935" t="s">
        <v>20</v>
      </c>
      <c r="E3935">
        <v>25.15</v>
      </c>
      <c r="F3935">
        <v>19</v>
      </c>
      <c r="G3935">
        <v>477.849999999999</v>
      </c>
      <c r="H3935" t="s">
        <v>12</v>
      </c>
      <c r="I3935" t="str">
        <f t="shared" si="184"/>
        <v>Low Value</v>
      </c>
      <c r="J3935" t="str">
        <f t="shared" si="185"/>
        <v>Medium Risk</v>
      </c>
      <c r="K3935" s="3" t="str">
        <f t="shared" si="183"/>
        <v>1-2 Years</v>
      </c>
    </row>
    <row r="3936" spans="1:11" x14ac:dyDescent="0.3">
      <c r="A3936" t="s">
        <v>3953</v>
      </c>
      <c r="B3936" t="s">
        <v>14</v>
      </c>
      <c r="C3936" t="s">
        <v>10</v>
      </c>
      <c r="D3936" t="s">
        <v>20</v>
      </c>
      <c r="E3936">
        <v>20.25</v>
      </c>
      <c r="F3936">
        <v>7</v>
      </c>
      <c r="G3936">
        <v>141.75</v>
      </c>
      <c r="H3936" t="s">
        <v>12</v>
      </c>
      <c r="I3936" t="str">
        <f t="shared" si="184"/>
        <v>Low Value</v>
      </c>
      <c r="J3936" t="str">
        <f t="shared" si="185"/>
        <v>High Risk</v>
      </c>
      <c r="K3936" s="3" t="str">
        <f t="shared" si="183"/>
        <v>0-1 Year</v>
      </c>
    </row>
    <row r="3937" spans="1:11" x14ac:dyDescent="0.3">
      <c r="A3937" t="s">
        <v>3954</v>
      </c>
      <c r="B3937" t="s">
        <v>14</v>
      </c>
      <c r="C3937" t="s">
        <v>10</v>
      </c>
      <c r="D3937" t="s">
        <v>11</v>
      </c>
      <c r="E3937">
        <v>42.9</v>
      </c>
      <c r="F3937">
        <v>1</v>
      </c>
      <c r="G3937">
        <v>42.9</v>
      </c>
      <c r="H3937" t="s">
        <v>18</v>
      </c>
      <c r="I3937" t="str">
        <f t="shared" si="184"/>
        <v>Low Value</v>
      </c>
      <c r="J3937" t="str">
        <f t="shared" si="185"/>
        <v>High Risk</v>
      </c>
      <c r="K3937" s="3" t="str">
        <f t="shared" si="183"/>
        <v>0-1 Year</v>
      </c>
    </row>
    <row r="3938" spans="1:11" x14ac:dyDescent="0.3">
      <c r="A3938" t="s">
        <v>3955</v>
      </c>
      <c r="B3938" t="s">
        <v>14</v>
      </c>
      <c r="C3938" t="s">
        <v>10</v>
      </c>
      <c r="D3938" t="s">
        <v>11</v>
      </c>
      <c r="E3938">
        <v>44</v>
      </c>
      <c r="F3938">
        <v>1</v>
      </c>
      <c r="G3938">
        <v>44</v>
      </c>
      <c r="H3938" t="s">
        <v>12</v>
      </c>
      <c r="I3938" t="str">
        <f t="shared" si="184"/>
        <v>Low Value</v>
      </c>
      <c r="J3938" t="str">
        <f t="shared" si="185"/>
        <v>High Risk</v>
      </c>
      <c r="K3938" s="3" t="str">
        <f t="shared" si="183"/>
        <v>0-1 Year</v>
      </c>
    </row>
    <row r="3939" spans="1:11" x14ac:dyDescent="0.3">
      <c r="A3939" t="s">
        <v>3956</v>
      </c>
      <c r="B3939" t="s">
        <v>9</v>
      </c>
      <c r="C3939" t="s">
        <v>15</v>
      </c>
      <c r="D3939" t="s">
        <v>16</v>
      </c>
      <c r="E3939">
        <v>20.25</v>
      </c>
      <c r="F3939">
        <v>9</v>
      </c>
      <c r="G3939">
        <v>182.25</v>
      </c>
      <c r="H3939" t="s">
        <v>12</v>
      </c>
      <c r="I3939" t="str">
        <f t="shared" si="184"/>
        <v>Low Value</v>
      </c>
      <c r="J3939" t="str">
        <f t="shared" si="185"/>
        <v>High Risk</v>
      </c>
      <c r="K3939" s="3" t="str">
        <f t="shared" si="183"/>
        <v>0-1 Year</v>
      </c>
    </row>
    <row r="3940" spans="1:11" x14ac:dyDescent="0.3">
      <c r="A3940" t="s">
        <v>3957</v>
      </c>
      <c r="B3940" t="s">
        <v>9</v>
      </c>
      <c r="C3940" t="s">
        <v>10</v>
      </c>
      <c r="D3940" t="s">
        <v>16</v>
      </c>
      <c r="E3940">
        <v>34.25</v>
      </c>
      <c r="F3940">
        <v>3</v>
      </c>
      <c r="G3940">
        <v>102.75</v>
      </c>
      <c r="H3940" t="s">
        <v>18</v>
      </c>
      <c r="I3940" t="str">
        <f t="shared" si="184"/>
        <v>Low Value</v>
      </c>
      <c r="J3940" t="str">
        <f t="shared" si="185"/>
        <v>High Risk</v>
      </c>
      <c r="K3940" s="3" t="str">
        <f t="shared" si="183"/>
        <v>0-1 Year</v>
      </c>
    </row>
    <row r="3941" spans="1:11" x14ac:dyDescent="0.3">
      <c r="A3941" t="s">
        <v>3958</v>
      </c>
      <c r="B3941" t="s">
        <v>9</v>
      </c>
      <c r="C3941" t="s">
        <v>10</v>
      </c>
      <c r="D3941" t="s">
        <v>16</v>
      </c>
      <c r="E3941">
        <v>58.5</v>
      </c>
      <c r="F3941">
        <v>9</v>
      </c>
      <c r="G3941">
        <v>526.5</v>
      </c>
      <c r="H3941" t="s">
        <v>18</v>
      </c>
      <c r="I3941" t="str">
        <f t="shared" si="184"/>
        <v>Low Value</v>
      </c>
      <c r="J3941" t="str">
        <f t="shared" si="185"/>
        <v>High Risk</v>
      </c>
      <c r="K3941" s="3" t="str">
        <f t="shared" si="183"/>
        <v>0-1 Year</v>
      </c>
    </row>
    <row r="3942" spans="1:11" x14ac:dyDescent="0.3">
      <c r="A3942" t="s">
        <v>3959</v>
      </c>
      <c r="B3942" t="s">
        <v>9</v>
      </c>
      <c r="C3942" t="s">
        <v>10</v>
      </c>
      <c r="D3942" t="s">
        <v>24</v>
      </c>
      <c r="E3942">
        <v>55.8</v>
      </c>
      <c r="F3942">
        <v>5</v>
      </c>
      <c r="G3942">
        <v>279</v>
      </c>
      <c r="H3942" t="s">
        <v>12</v>
      </c>
      <c r="I3942" t="str">
        <f t="shared" si="184"/>
        <v>Low Value</v>
      </c>
      <c r="J3942" t="str">
        <f t="shared" si="185"/>
        <v>High Risk</v>
      </c>
      <c r="K3942" s="3" t="str">
        <f t="shared" si="183"/>
        <v>0-1 Year</v>
      </c>
    </row>
    <row r="3943" spans="1:11" x14ac:dyDescent="0.3">
      <c r="A3943" t="s">
        <v>3960</v>
      </c>
      <c r="B3943" t="s">
        <v>9</v>
      </c>
      <c r="C3943" t="s">
        <v>15</v>
      </c>
      <c r="D3943" t="s">
        <v>20</v>
      </c>
      <c r="E3943">
        <v>88.9</v>
      </c>
      <c r="F3943">
        <v>56</v>
      </c>
      <c r="G3943">
        <v>4978.3999999999996</v>
      </c>
      <c r="H3943" t="s">
        <v>12</v>
      </c>
      <c r="I3943" t="str">
        <f t="shared" si="184"/>
        <v>Medium Value</v>
      </c>
      <c r="J3943" t="str">
        <f t="shared" si="185"/>
        <v>Low Risk</v>
      </c>
      <c r="K3943" s="3" t="str">
        <f t="shared" si="183"/>
        <v>4+ Years</v>
      </c>
    </row>
    <row r="3944" spans="1:11" x14ac:dyDescent="0.3">
      <c r="A3944" t="s">
        <v>3961</v>
      </c>
      <c r="B3944" t="s">
        <v>9</v>
      </c>
      <c r="C3944" t="s">
        <v>10</v>
      </c>
      <c r="D3944" t="s">
        <v>16</v>
      </c>
      <c r="E3944">
        <v>57.65</v>
      </c>
      <c r="F3944">
        <v>18</v>
      </c>
      <c r="G3944">
        <v>1037.7</v>
      </c>
      <c r="H3944" t="s">
        <v>12</v>
      </c>
      <c r="I3944" t="str">
        <f t="shared" si="184"/>
        <v>Low Value</v>
      </c>
      <c r="J3944" t="str">
        <f t="shared" si="185"/>
        <v>Medium Risk</v>
      </c>
      <c r="K3944" s="3" t="str">
        <f t="shared" si="183"/>
        <v>1-2 Years</v>
      </c>
    </row>
    <row r="3945" spans="1:11" x14ac:dyDescent="0.3">
      <c r="A3945" t="s">
        <v>3962</v>
      </c>
      <c r="B3945" t="s">
        <v>14</v>
      </c>
      <c r="C3945" t="s">
        <v>10</v>
      </c>
      <c r="D3945" t="s">
        <v>11</v>
      </c>
      <c r="E3945">
        <v>96.2</v>
      </c>
      <c r="F3945">
        <v>49</v>
      </c>
      <c r="G3945">
        <v>4713.8</v>
      </c>
      <c r="H3945" t="s">
        <v>18</v>
      </c>
      <c r="I3945" t="str">
        <f t="shared" si="184"/>
        <v>Medium Value</v>
      </c>
      <c r="J3945" t="str">
        <f t="shared" si="185"/>
        <v>Low Risk</v>
      </c>
      <c r="K3945" s="3" t="str">
        <f t="shared" si="183"/>
        <v>4+ Years</v>
      </c>
    </row>
    <row r="3946" spans="1:11" x14ac:dyDescent="0.3">
      <c r="A3946" t="s">
        <v>3963</v>
      </c>
      <c r="B3946" t="s">
        <v>14</v>
      </c>
      <c r="C3946" t="s">
        <v>30</v>
      </c>
      <c r="D3946" t="s">
        <v>16</v>
      </c>
      <c r="E3946">
        <v>79.150000000000006</v>
      </c>
      <c r="F3946">
        <v>70</v>
      </c>
      <c r="G3946">
        <v>5540.5</v>
      </c>
      <c r="H3946" t="s">
        <v>12</v>
      </c>
      <c r="I3946" t="str">
        <f t="shared" si="184"/>
        <v>High Value</v>
      </c>
      <c r="J3946" t="str">
        <f t="shared" si="185"/>
        <v>Low Risk</v>
      </c>
      <c r="K3946" s="3" t="str">
        <f t="shared" si="183"/>
        <v>4+ Years</v>
      </c>
    </row>
    <row r="3947" spans="1:11" x14ac:dyDescent="0.3">
      <c r="A3947" t="s">
        <v>3964</v>
      </c>
      <c r="B3947" t="s">
        <v>9</v>
      </c>
      <c r="C3947" t="s">
        <v>30</v>
      </c>
      <c r="D3947" t="s">
        <v>24</v>
      </c>
      <c r="E3947">
        <v>108.05</v>
      </c>
      <c r="F3947">
        <v>72</v>
      </c>
      <c r="G3947">
        <v>7779.5999999999904</v>
      </c>
      <c r="H3947" t="s">
        <v>12</v>
      </c>
      <c r="I3947" t="str">
        <f t="shared" si="184"/>
        <v>High Value</v>
      </c>
      <c r="J3947" t="str">
        <f t="shared" si="185"/>
        <v>Low Risk</v>
      </c>
      <c r="K3947" s="3" t="str">
        <f t="shared" si="183"/>
        <v>4+ Years</v>
      </c>
    </row>
    <row r="3948" spans="1:11" x14ac:dyDescent="0.3">
      <c r="A3948" t="s">
        <v>3965</v>
      </c>
      <c r="B3948" t="s">
        <v>9</v>
      </c>
      <c r="C3948" t="s">
        <v>10</v>
      </c>
      <c r="D3948" t="s">
        <v>11</v>
      </c>
      <c r="E3948">
        <v>74.400000000000006</v>
      </c>
      <c r="F3948">
        <v>6</v>
      </c>
      <c r="G3948">
        <v>446.4</v>
      </c>
      <c r="H3948" t="s">
        <v>18</v>
      </c>
      <c r="I3948" t="str">
        <f t="shared" si="184"/>
        <v>Low Value</v>
      </c>
      <c r="J3948" t="str">
        <f t="shared" si="185"/>
        <v>High Risk</v>
      </c>
      <c r="K3948" s="3" t="str">
        <f t="shared" si="183"/>
        <v>0-1 Year</v>
      </c>
    </row>
    <row r="3949" spans="1:11" x14ac:dyDescent="0.3">
      <c r="A3949" t="s">
        <v>3966</v>
      </c>
      <c r="B3949" t="s">
        <v>14</v>
      </c>
      <c r="C3949" t="s">
        <v>10</v>
      </c>
      <c r="D3949" t="s">
        <v>11</v>
      </c>
      <c r="E3949">
        <v>94.8</v>
      </c>
      <c r="F3949">
        <v>17</v>
      </c>
      <c r="G3949">
        <v>1611.6</v>
      </c>
      <c r="H3949" t="s">
        <v>12</v>
      </c>
      <c r="I3949" t="str">
        <f t="shared" si="184"/>
        <v>Low Value</v>
      </c>
      <c r="J3949" t="str">
        <f t="shared" si="185"/>
        <v>Medium Risk</v>
      </c>
      <c r="K3949" s="3" t="str">
        <f t="shared" si="183"/>
        <v>1-2 Years</v>
      </c>
    </row>
    <row r="3950" spans="1:11" x14ac:dyDescent="0.3">
      <c r="A3950" t="s">
        <v>3967</v>
      </c>
      <c r="B3950" t="s">
        <v>14</v>
      </c>
      <c r="C3950" t="s">
        <v>10</v>
      </c>
      <c r="D3950" t="s">
        <v>11</v>
      </c>
      <c r="E3950">
        <v>45.9</v>
      </c>
      <c r="F3950">
        <v>29</v>
      </c>
      <c r="G3950">
        <v>1331.1</v>
      </c>
      <c r="H3950" t="s">
        <v>12</v>
      </c>
      <c r="I3950" t="str">
        <f t="shared" si="184"/>
        <v>Low Value</v>
      </c>
      <c r="J3950" t="str">
        <f t="shared" si="185"/>
        <v>Low Risk</v>
      </c>
      <c r="K3950" s="3" t="str">
        <f t="shared" si="183"/>
        <v>2-4 Years</v>
      </c>
    </row>
    <row r="3951" spans="1:11" x14ac:dyDescent="0.3">
      <c r="A3951" t="s">
        <v>3968</v>
      </c>
      <c r="B3951" t="s">
        <v>9</v>
      </c>
      <c r="C3951" t="s">
        <v>10</v>
      </c>
      <c r="D3951" t="s">
        <v>11</v>
      </c>
      <c r="E3951">
        <v>105.3</v>
      </c>
      <c r="F3951">
        <v>6</v>
      </c>
      <c r="G3951">
        <v>631.79999999999995</v>
      </c>
      <c r="H3951" t="s">
        <v>18</v>
      </c>
      <c r="I3951" t="str">
        <f t="shared" si="184"/>
        <v>Low Value</v>
      </c>
      <c r="J3951" t="str">
        <f t="shared" si="185"/>
        <v>High Risk</v>
      </c>
      <c r="K3951" s="3" t="str">
        <f t="shared" si="183"/>
        <v>0-1 Year</v>
      </c>
    </row>
    <row r="3952" spans="1:11" x14ac:dyDescent="0.3">
      <c r="A3952" t="s">
        <v>3969</v>
      </c>
      <c r="B3952" t="s">
        <v>14</v>
      </c>
      <c r="C3952" t="s">
        <v>30</v>
      </c>
      <c r="D3952" t="s">
        <v>11</v>
      </c>
      <c r="E3952">
        <v>102.6</v>
      </c>
      <c r="F3952">
        <v>63</v>
      </c>
      <c r="G3952">
        <v>6463.7999999999902</v>
      </c>
      <c r="H3952" t="s">
        <v>12</v>
      </c>
      <c r="I3952" t="str">
        <f t="shared" si="184"/>
        <v>High Value</v>
      </c>
      <c r="J3952" t="str">
        <f t="shared" si="185"/>
        <v>Low Risk</v>
      </c>
      <c r="K3952" s="3" t="str">
        <f t="shared" si="183"/>
        <v>4+ Years</v>
      </c>
    </row>
    <row r="3953" spans="1:11" x14ac:dyDescent="0.3">
      <c r="A3953" t="s">
        <v>3970</v>
      </c>
      <c r="B3953" t="s">
        <v>14</v>
      </c>
      <c r="C3953" t="s">
        <v>10</v>
      </c>
      <c r="D3953" t="s">
        <v>20</v>
      </c>
      <c r="E3953">
        <v>73.849999999999994</v>
      </c>
      <c r="F3953">
        <v>16</v>
      </c>
      <c r="G3953">
        <v>1181.5999999999999</v>
      </c>
      <c r="H3953" t="s">
        <v>18</v>
      </c>
      <c r="I3953" t="str">
        <f t="shared" si="184"/>
        <v>Low Value</v>
      </c>
      <c r="J3953" t="str">
        <f t="shared" si="185"/>
        <v>Medium Risk</v>
      </c>
      <c r="K3953" s="3" t="str">
        <f t="shared" si="183"/>
        <v>1-2 Years</v>
      </c>
    </row>
    <row r="3954" spans="1:11" x14ac:dyDescent="0.3">
      <c r="A3954" t="s">
        <v>3971</v>
      </c>
      <c r="B3954" t="s">
        <v>14</v>
      </c>
      <c r="C3954" t="s">
        <v>15</v>
      </c>
      <c r="D3954" t="s">
        <v>20</v>
      </c>
      <c r="E3954">
        <v>61.35</v>
      </c>
      <c r="F3954">
        <v>59</v>
      </c>
      <c r="G3954">
        <v>3619.65</v>
      </c>
      <c r="H3954" t="s">
        <v>12</v>
      </c>
      <c r="I3954" t="str">
        <f t="shared" si="184"/>
        <v>Medium Value</v>
      </c>
      <c r="J3954" t="str">
        <f t="shared" si="185"/>
        <v>Low Risk</v>
      </c>
      <c r="K3954" s="3" t="str">
        <f t="shared" si="183"/>
        <v>4+ Years</v>
      </c>
    </row>
    <row r="3955" spans="1:11" x14ac:dyDescent="0.3">
      <c r="A3955" t="s">
        <v>3972</v>
      </c>
      <c r="B3955" t="s">
        <v>9</v>
      </c>
      <c r="C3955" t="s">
        <v>10</v>
      </c>
      <c r="D3955" t="s">
        <v>11</v>
      </c>
      <c r="E3955">
        <v>57.55</v>
      </c>
      <c r="F3955">
        <v>3</v>
      </c>
      <c r="G3955">
        <v>172.64999999999901</v>
      </c>
      <c r="H3955" t="s">
        <v>12</v>
      </c>
      <c r="I3955" t="str">
        <f t="shared" si="184"/>
        <v>Low Value</v>
      </c>
      <c r="J3955" t="str">
        <f t="shared" si="185"/>
        <v>High Risk</v>
      </c>
      <c r="K3955" s="3" t="str">
        <f t="shared" si="183"/>
        <v>0-1 Year</v>
      </c>
    </row>
    <row r="3956" spans="1:11" x14ac:dyDescent="0.3">
      <c r="A3956" t="s">
        <v>3973</v>
      </c>
      <c r="B3956" t="s">
        <v>9</v>
      </c>
      <c r="C3956" t="s">
        <v>10</v>
      </c>
      <c r="D3956" t="s">
        <v>16</v>
      </c>
      <c r="E3956">
        <v>29.25</v>
      </c>
      <c r="F3956">
        <v>8</v>
      </c>
      <c r="G3956">
        <v>234</v>
      </c>
      <c r="H3956" t="s">
        <v>12</v>
      </c>
      <c r="I3956" t="str">
        <f t="shared" si="184"/>
        <v>Low Value</v>
      </c>
      <c r="J3956" t="str">
        <f t="shared" si="185"/>
        <v>High Risk</v>
      </c>
      <c r="K3956" s="3" t="str">
        <f t="shared" si="183"/>
        <v>0-1 Year</v>
      </c>
    </row>
    <row r="3957" spans="1:11" x14ac:dyDescent="0.3">
      <c r="A3957" t="s">
        <v>3974</v>
      </c>
      <c r="B3957" t="s">
        <v>9</v>
      </c>
      <c r="C3957" t="s">
        <v>10</v>
      </c>
      <c r="D3957" t="s">
        <v>11</v>
      </c>
      <c r="E3957">
        <v>84.55</v>
      </c>
      <c r="F3957">
        <v>7</v>
      </c>
      <c r="G3957">
        <v>591.85</v>
      </c>
      <c r="H3957" t="s">
        <v>18</v>
      </c>
      <c r="I3957" t="str">
        <f t="shared" si="184"/>
        <v>Low Value</v>
      </c>
      <c r="J3957" t="str">
        <f t="shared" si="185"/>
        <v>High Risk</v>
      </c>
      <c r="K3957" s="3" t="str">
        <f t="shared" si="183"/>
        <v>0-1 Year</v>
      </c>
    </row>
    <row r="3958" spans="1:11" x14ac:dyDescent="0.3">
      <c r="A3958" t="s">
        <v>3975</v>
      </c>
      <c r="B3958" t="s">
        <v>9</v>
      </c>
      <c r="C3958" t="s">
        <v>30</v>
      </c>
      <c r="D3958" t="s">
        <v>24</v>
      </c>
      <c r="E3958">
        <v>19.600000000000001</v>
      </c>
      <c r="F3958">
        <v>68</v>
      </c>
      <c r="G3958">
        <v>1332.8</v>
      </c>
      <c r="H3958" t="s">
        <v>12</v>
      </c>
      <c r="I3958" t="str">
        <f t="shared" si="184"/>
        <v>Low Value</v>
      </c>
      <c r="J3958" t="str">
        <f t="shared" si="185"/>
        <v>Low Risk</v>
      </c>
      <c r="K3958" s="3" t="str">
        <f t="shared" si="183"/>
        <v>4+ Years</v>
      </c>
    </row>
    <row r="3959" spans="1:11" x14ac:dyDescent="0.3">
      <c r="A3959" t="s">
        <v>3976</v>
      </c>
      <c r="B3959" t="s">
        <v>9</v>
      </c>
      <c r="C3959" t="s">
        <v>30</v>
      </c>
      <c r="D3959" t="s">
        <v>24</v>
      </c>
      <c r="E3959">
        <v>111.75</v>
      </c>
      <c r="F3959">
        <v>68</v>
      </c>
      <c r="G3959">
        <v>7599</v>
      </c>
      <c r="H3959" t="s">
        <v>12</v>
      </c>
      <c r="I3959" t="str">
        <f t="shared" si="184"/>
        <v>High Value</v>
      </c>
      <c r="J3959" t="str">
        <f t="shared" si="185"/>
        <v>Low Risk</v>
      </c>
      <c r="K3959" s="3" t="str">
        <f t="shared" si="183"/>
        <v>4+ Years</v>
      </c>
    </row>
    <row r="3960" spans="1:11" x14ac:dyDescent="0.3">
      <c r="A3960" t="s">
        <v>3977</v>
      </c>
      <c r="B3960" t="s">
        <v>9</v>
      </c>
      <c r="C3960" t="s">
        <v>15</v>
      </c>
      <c r="D3960" t="s">
        <v>11</v>
      </c>
      <c r="E3960">
        <v>106.5</v>
      </c>
      <c r="F3960">
        <v>52</v>
      </c>
      <c r="G3960">
        <v>5538</v>
      </c>
      <c r="H3960" t="s">
        <v>12</v>
      </c>
      <c r="I3960" t="str">
        <f t="shared" si="184"/>
        <v>High Value</v>
      </c>
      <c r="J3960" t="str">
        <f t="shared" si="185"/>
        <v>Low Risk</v>
      </c>
      <c r="K3960" s="3" t="str">
        <f t="shared" si="183"/>
        <v>4+ Years</v>
      </c>
    </row>
    <row r="3961" spans="1:11" x14ac:dyDescent="0.3">
      <c r="A3961" t="s">
        <v>3978</v>
      </c>
      <c r="B3961" t="s">
        <v>14</v>
      </c>
      <c r="C3961" t="s">
        <v>30</v>
      </c>
      <c r="D3961" t="s">
        <v>24</v>
      </c>
      <c r="E3961">
        <v>107.7</v>
      </c>
      <c r="F3961">
        <v>72</v>
      </c>
      <c r="G3961">
        <v>7754.4</v>
      </c>
      <c r="H3961" t="s">
        <v>12</v>
      </c>
      <c r="I3961" t="str">
        <f t="shared" si="184"/>
        <v>High Value</v>
      </c>
      <c r="J3961" t="str">
        <f t="shared" si="185"/>
        <v>Low Risk</v>
      </c>
      <c r="K3961" s="3" t="str">
        <f t="shared" si="183"/>
        <v>4+ Years</v>
      </c>
    </row>
    <row r="3962" spans="1:11" x14ac:dyDescent="0.3">
      <c r="A3962" t="s">
        <v>3979</v>
      </c>
      <c r="B3962" t="s">
        <v>9</v>
      </c>
      <c r="C3962" t="s">
        <v>15</v>
      </c>
      <c r="D3962" t="s">
        <v>16</v>
      </c>
      <c r="E3962">
        <v>19.3</v>
      </c>
      <c r="F3962">
        <v>32</v>
      </c>
      <c r="G3962">
        <v>617.6</v>
      </c>
      <c r="H3962" t="s">
        <v>12</v>
      </c>
      <c r="I3962" t="str">
        <f t="shared" si="184"/>
        <v>Low Value</v>
      </c>
      <c r="J3962" t="str">
        <f t="shared" si="185"/>
        <v>Low Risk</v>
      </c>
      <c r="K3962" s="3" t="str">
        <f t="shared" si="183"/>
        <v>2-4 Years</v>
      </c>
    </row>
    <row r="3963" spans="1:11" x14ac:dyDescent="0.3">
      <c r="A3963" t="s">
        <v>3980</v>
      </c>
      <c r="B3963" t="s">
        <v>9</v>
      </c>
      <c r="C3963" t="s">
        <v>30</v>
      </c>
      <c r="D3963" t="s">
        <v>20</v>
      </c>
      <c r="E3963">
        <v>20.05</v>
      </c>
      <c r="F3963">
        <v>72</v>
      </c>
      <c r="G3963">
        <v>1443.6</v>
      </c>
      <c r="H3963" t="s">
        <v>12</v>
      </c>
      <c r="I3963" t="str">
        <f t="shared" si="184"/>
        <v>Low Value</v>
      </c>
      <c r="J3963" t="str">
        <f t="shared" si="185"/>
        <v>Low Risk</v>
      </c>
      <c r="K3963" s="3" t="str">
        <f t="shared" si="183"/>
        <v>4+ Years</v>
      </c>
    </row>
    <row r="3964" spans="1:11" x14ac:dyDescent="0.3">
      <c r="A3964" t="s">
        <v>3981</v>
      </c>
      <c r="B3964" t="s">
        <v>14</v>
      </c>
      <c r="C3964" t="s">
        <v>10</v>
      </c>
      <c r="D3964" t="s">
        <v>24</v>
      </c>
      <c r="E3964">
        <v>69.95</v>
      </c>
      <c r="F3964">
        <v>1</v>
      </c>
      <c r="G3964">
        <v>69.95</v>
      </c>
      <c r="H3964" t="s">
        <v>12</v>
      </c>
      <c r="I3964" t="str">
        <f t="shared" si="184"/>
        <v>Low Value</v>
      </c>
      <c r="J3964" t="str">
        <f t="shared" si="185"/>
        <v>High Risk</v>
      </c>
      <c r="K3964" s="3" t="str">
        <f t="shared" si="183"/>
        <v>0-1 Year</v>
      </c>
    </row>
    <row r="3965" spans="1:11" x14ac:dyDescent="0.3">
      <c r="A3965" t="s">
        <v>3982</v>
      </c>
      <c r="B3965" t="s">
        <v>14</v>
      </c>
      <c r="C3965" t="s">
        <v>15</v>
      </c>
      <c r="D3965" t="s">
        <v>24</v>
      </c>
      <c r="E3965">
        <v>63.7</v>
      </c>
      <c r="F3965">
        <v>42</v>
      </c>
      <c r="G3965">
        <v>2675.4</v>
      </c>
      <c r="H3965" t="s">
        <v>12</v>
      </c>
      <c r="I3965" t="str">
        <f t="shared" si="184"/>
        <v>Medium Value</v>
      </c>
      <c r="J3965" t="str">
        <f t="shared" si="185"/>
        <v>Low Risk</v>
      </c>
      <c r="K3965" s="3" t="str">
        <f t="shared" si="183"/>
        <v>2-4 Years</v>
      </c>
    </row>
    <row r="3966" spans="1:11" x14ac:dyDescent="0.3">
      <c r="A3966" t="s">
        <v>3983</v>
      </c>
      <c r="B3966" t="s">
        <v>9</v>
      </c>
      <c r="C3966" t="s">
        <v>30</v>
      </c>
      <c r="D3966" t="s">
        <v>24</v>
      </c>
      <c r="E3966">
        <v>24.75</v>
      </c>
      <c r="F3966">
        <v>25</v>
      </c>
      <c r="G3966">
        <v>618.75</v>
      </c>
      <c r="H3966" t="s">
        <v>18</v>
      </c>
      <c r="I3966" t="str">
        <f t="shared" si="184"/>
        <v>Low Value</v>
      </c>
      <c r="J3966" t="str">
        <f t="shared" si="185"/>
        <v>Low Risk</v>
      </c>
      <c r="K3966" s="3" t="str">
        <f t="shared" si="183"/>
        <v>2-4 Years</v>
      </c>
    </row>
    <row r="3967" spans="1:11" x14ac:dyDescent="0.3">
      <c r="A3967" t="s">
        <v>3984</v>
      </c>
      <c r="B3967" t="s">
        <v>14</v>
      </c>
      <c r="C3967" t="s">
        <v>10</v>
      </c>
      <c r="D3967" t="s">
        <v>20</v>
      </c>
      <c r="E3967">
        <v>50.9</v>
      </c>
      <c r="F3967">
        <v>45</v>
      </c>
      <c r="G3967">
        <v>2290.5</v>
      </c>
      <c r="H3967" t="s">
        <v>12</v>
      </c>
      <c r="I3967" t="str">
        <f t="shared" si="184"/>
        <v>Medium Value</v>
      </c>
      <c r="J3967" t="str">
        <f t="shared" si="185"/>
        <v>Low Risk</v>
      </c>
      <c r="K3967" s="3" t="str">
        <f t="shared" si="183"/>
        <v>2-4 Years</v>
      </c>
    </row>
    <row r="3968" spans="1:11" x14ac:dyDescent="0.3">
      <c r="A3968" t="s">
        <v>3985</v>
      </c>
      <c r="B3968" t="s">
        <v>9</v>
      </c>
      <c r="C3968" t="s">
        <v>15</v>
      </c>
      <c r="D3968" t="s">
        <v>24</v>
      </c>
      <c r="E3968">
        <v>60.4</v>
      </c>
      <c r="F3968">
        <v>43</v>
      </c>
      <c r="G3968">
        <v>2597.1999999999998</v>
      </c>
      <c r="H3968" t="s">
        <v>12</v>
      </c>
      <c r="I3968" t="str">
        <f t="shared" si="184"/>
        <v>Medium Value</v>
      </c>
      <c r="J3968" t="str">
        <f t="shared" si="185"/>
        <v>Low Risk</v>
      </c>
      <c r="K3968" s="3" t="str">
        <f t="shared" si="183"/>
        <v>2-4 Years</v>
      </c>
    </row>
    <row r="3969" spans="1:11" x14ac:dyDescent="0.3">
      <c r="A3969" t="s">
        <v>3986</v>
      </c>
      <c r="B3969" t="s">
        <v>14</v>
      </c>
      <c r="C3969" t="s">
        <v>15</v>
      </c>
      <c r="D3969" t="s">
        <v>16</v>
      </c>
      <c r="E3969">
        <v>79.25</v>
      </c>
      <c r="F3969">
        <v>37</v>
      </c>
      <c r="G3969">
        <v>2932.25</v>
      </c>
      <c r="H3969" t="s">
        <v>12</v>
      </c>
      <c r="I3969" t="str">
        <f t="shared" si="184"/>
        <v>Medium Value</v>
      </c>
      <c r="J3969" t="str">
        <f t="shared" si="185"/>
        <v>Low Risk</v>
      </c>
      <c r="K3969" s="3" t="str">
        <f t="shared" si="183"/>
        <v>2-4 Years</v>
      </c>
    </row>
    <row r="3970" spans="1:11" x14ac:dyDescent="0.3">
      <c r="A3970" t="s">
        <v>3987</v>
      </c>
      <c r="B3970" t="s">
        <v>9</v>
      </c>
      <c r="C3970" t="s">
        <v>10</v>
      </c>
      <c r="D3970" t="s">
        <v>24</v>
      </c>
      <c r="E3970">
        <v>85.8</v>
      </c>
      <c r="F3970">
        <v>20</v>
      </c>
      <c r="G3970">
        <v>1716</v>
      </c>
      <c r="H3970" t="s">
        <v>18</v>
      </c>
      <c r="I3970" t="str">
        <f t="shared" si="184"/>
        <v>Low Value</v>
      </c>
      <c r="J3970" t="str">
        <f t="shared" si="185"/>
        <v>Medium Risk</v>
      </c>
      <c r="K3970" s="3" t="str">
        <f t="shared" si="183"/>
        <v>1-2 Years</v>
      </c>
    </row>
    <row r="3971" spans="1:11" x14ac:dyDescent="0.3">
      <c r="A3971" t="s">
        <v>3988</v>
      </c>
      <c r="B3971" t="s">
        <v>9</v>
      </c>
      <c r="C3971" t="s">
        <v>10</v>
      </c>
      <c r="D3971" t="s">
        <v>11</v>
      </c>
      <c r="E3971">
        <v>24.45</v>
      </c>
      <c r="F3971">
        <v>4</v>
      </c>
      <c r="G3971">
        <v>97.8</v>
      </c>
      <c r="H3971" t="s">
        <v>18</v>
      </c>
      <c r="I3971" t="str">
        <f t="shared" si="184"/>
        <v>Low Value</v>
      </c>
      <c r="J3971" t="str">
        <f t="shared" si="185"/>
        <v>High Risk</v>
      </c>
      <c r="K3971" s="3" t="str">
        <f t="shared" ref="K3971:K4034" si="186">IF(F3971&lt;=12,"0-1 Year",
IF(F3971&lt;=24,"1-2 Years",
IF(F3971&lt;=48,"2-4 Years","4+ Years")))</f>
        <v>0-1 Year</v>
      </c>
    </row>
    <row r="3972" spans="1:11" x14ac:dyDescent="0.3">
      <c r="A3972" t="s">
        <v>3989</v>
      </c>
      <c r="B3972" t="s">
        <v>14</v>
      </c>
      <c r="C3972" t="s">
        <v>30</v>
      </c>
      <c r="D3972" t="s">
        <v>24</v>
      </c>
      <c r="E3972">
        <v>110.1</v>
      </c>
      <c r="F3972">
        <v>63</v>
      </c>
      <c r="G3972">
        <v>6936.2999999999902</v>
      </c>
      <c r="H3972" t="s">
        <v>12</v>
      </c>
      <c r="I3972" t="str">
        <f t="shared" ref="I3972:I4035" si="187">IF(G3972&gt;5000,"High Value",
IF(G3972&gt;2000,"Medium Value","Low Value"))</f>
        <v>High Value</v>
      </c>
      <c r="J3972" t="str">
        <f t="shared" ref="J3972:J4035" si="188">IF(F3972&lt;12,"High Risk",
IF(F3972&lt;24,"Medium Risk","Low Risk"))</f>
        <v>Low Risk</v>
      </c>
      <c r="K3972" s="3" t="str">
        <f t="shared" si="186"/>
        <v>4+ Years</v>
      </c>
    </row>
    <row r="3973" spans="1:11" x14ac:dyDescent="0.3">
      <c r="A3973" t="s">
        <v>3990</v>
      </c>
      <c r="B3973" t="s">
        <v>14</v>
      </c>
      <c r="C3973" t="s">
        <v>10</v>
      </c>
      <c r="D3973" t="s">
        <v>16</v>
      </c>
      <c r="E3973">
        <v>90.7</v>
      </c>
      <c r="F3973">
        <v>3</v>
      </c>
      <c r="G3973">
        <v>272.10000000000002</v>
      </c>
      <c r="H3973" t="s">
        <v>12</v>
      </c>
      <c r="I3973" t="str">
        <f t="shared" si="187"/>
        <v>Low Value</v>
      </c>
      <c r="J3973" t="str">
        <f t="shared" si="188"/>
        <v>High Risk</v>
      </c>
      <c r="K3973" s="3" t="str">
        <f t="shared" si="186"/>
        <v>0-1 Year</v>
      </c>
    </row>
    <row r="3974" spans="1:11" x14ac:dyDescent="0.3">
      <c r="A3974" t="s">
        <v>3991</v>
      </c>
      <c r="B3974" t="s">
        <v>14</v>
      </c>
      <c r="C3974" t="s">
        <v>30</v>
      </c>
      <c r="D3974" t="s">
        <v>24</v>
      </c>
      <c r="E3974">
        <v>25.3</v>
      </c>
      <c r="F3974">
        <v>66</v>
      </c>
      <c r="G3974">
        <v>1669.8</v>
      </c>
      <c r="H3974" t="s">
        <v>12</v>
      </c>
      <c r="I3974" t="str">
        <f t="shared" si="187"/>
        <v>Low Value</v>
      </c>
      <c r="J3974" t="str">
        <f t="shared" si="188"/>
        <v>Low Risk</v>
      </c>
      <c r="K3974" s="3" t="str">
        <f t="shared" si="186"/>
        <v>4+ Years</v>
      </c>
    </row>
    <row r="3975" spans="1:11" x14ac:dyDescent="0.3">
      <c r="A3975" t="s">
        <v>3992</v>
      </c>
      <c r="B3975" t="s">
        <v>14</v>
      </c>
      <c r="C3975" t="s">
        <v>10</v>
      </c>
      <c r="D3975" t="s">
        <v>11</v>
      </c>
      <c r="E3975">
        <v>105.7</v>
      </c>
      <c r="F3975">
        <v>28</v>
      </c>
      <c r="G3975">
        <v>2959.6</v>
      </c>
      <c r="H3975" t="s">
        <v>18</v>
      </c>
      <c r="I3975" t="str">
        <f t="shared" si="187"/>
        <v>Medium Value</v>
      </c>
      <c r="J3975" t="str">
        <f t="shared" si="188"/>
        <v>Low Risk</v>
      </c>
      <c r="K3975" s="3" t="str">
        <f t="shared" si="186"/>
        <v>2-4 Years</v>
      </c>
    </row>
    <row r="3976" spans="1:11" x14ac:dyDescent="0.3">
      <c r="A3976" t="s">
        <v>3993</v>
      </c>
      <c r="B3976" t="s">
        <v>9</v>
      </c>
      <c r="C3976" t="s">
        <v>10</v>
      </c>
      <c r="D3976" t="s">
        <v>11</v>
      </c>
      <c r="E3976">
        <v>85.2</v>
      </c>
      <c r="F3976">
        <v>8</v>
      </c>
      <c r="G3976">
        <v>681.6</v>
      </c>
      <c r="H3976" t="s">
        <v>12</v>
      </c>
      <c r="I3976" t="str">
        <f t="shared" si="187"/>
        <v>Low Value</v>
      </c>
      <c r="J3976" t="str">
        <f t="shared" si="188"/>
        <v>High Risk</v>
      </c>
      <c r="K3976" s="3" t="str">
        <f t="shared" si="186"/>
        <v>0-1 Year</v>
      </c>
    </row>
    <row r="3977" spans="1:11" x14ac:dyDescent="0.3">
      <c r="A3977" t="s">
        <v>3994</v>
      </c>
      <c r="B3977" t="s">
        <v>14</v>
      </c>
      <c r="C3977" t="s">
        <v>30</v>
      </c>
      <c r="D3977" t="s">
        <v>16</v>
      </c>
      <c r="E3977">
        <v>24.35</v>
      </c>
      <c r="F3977">
        <v>71</v>
      </c>
      <c r="G3977">
        <v>1728.85</v>
      </c>
      <c r="H3977" t="s">
        <v>12</v>
      </c>
      <c r="I3977" t="str">
        <f t="shared" si="187"/>
        <v>Low Value</v>
      </c>
      <c r="J3977" t="str">
        <f t="shared" si="188"/>
        <v>Low Risk</v>
      </c>
      <c r="K3977" s="3" t="str">
        <f t="shared" si="186"/>
        <v>4+ Years</v>
      </c>
    </row>
    <row r="3978" spans="1:11" x14ac:dyDescent="0.3">
      <c r="A3978" t="s">
        <v>3995</v>
      </c>
      <c r="B3978" t="s">
        <v>14</v>
      </c>
      <c r="C3978" t="s">
        <v>10</v>
      </c>
      <c r="D3978" t="s">
        <v>11</v>
      </c>
      <c r="E3978">
        <v>24.25</v>
      </c>
      <c r="F3978">
        <v>1</v>
      </c>
      <c r="G3978">
        <v>24.25</v>
      </c>
      <c r="H3978" t="s">
        <v>18</v>
      </c>
      <c r="I3978" t="str">
        <f t="shared" si="187"/>
        <v>Low Value</v>
      </c>
      <c r="J3978" t="str">
        <f t="shared" si="188"/>
        <v>High Risk</v>
      </c>
      <c r="K3978" s="3" t="str">
        <f t="shared" si="186"/>
        <v>0-1 Year</v>
      </c>
    </row>
    <row r="3979" spans="1:11" x14ac:dyDescent="0.3">
      <c r="A3979" t="s">
        <v>3996</v>
      </c>
      <c r="B3979" t="s">
        <v>9</v>
      </c>
      <c r="C3979" t="s">
        <v>30</v>
      </c>
      <c r="D3979" t="s">
        <v>20</v>
      </c>
      <c r="E3979">
        <v>25.1</v>
      </c>
      <c r="F3979">
        <v>72</v>
      </c>
      <c r="G3979">
        <v>1807.2</v>
      </c>
      <c r="H3979" t="s">
        <v>12</v>
      </c>
      <c r="I3979" t="str">
        <f t="shared" si="187"/>
        <v>Low Value</v>
      </c>
      <c r="J3979" t="str">
        <f t="shared" si="188"/>
        <v>Low Risk</v>
      </c>
      <c r="K3979" s="3" t="str">
        <f t="shared" si="186"/>
        <v>4+ Years</v>
      </c>
    </row>
    <row r="3980" spans="1:11" x14ac:dyDescent="0.3">
      <c r="A3980" t="s">
        <v>3997</v>
      </c>
      <c r="B3980" t="s">
        <v>14</v>
      </c>
      <c r="C3980" t="s">
        <v>10</v>
      </c>
      <c r="D3980" t="s">
        <v>20</v>
      </c>
      <c r="E3980">
        <v>54.55</v>
      </c>
      <c r="F3980">
        <v>16</v>
      </c>
      <c r="G3980">
        <v>872.8</v>
      </c>
      <c r="H3980" t="s">
        <v>12</v>
      </c>
      <c r="I3980" t="str">
        <f t="shared" si="187"/>
        <v>Low Value</v>
      </c>
      <c r="J3980" t="str">
        <f t="shared" si="188"/>
        <v>Medium Risk</v>
      </c>
      <c r="K3980" s="3" t="str">
        <f t="shared" si="186"/>
        <v>1-2 Years</v>
      </c>
    </row>
    <row r="3981" spans="1:11" x14ac:dyDescent="0.3">
      <c r="A3981" t="s">
        <v>3998</v>
      </c>
      <c r="B3981" t="s">
        <v>14</v>
      </c>
      <c r="C3981" t="s">
        <v>30</v>
      </c>
      <c r="D3981" t="s">
        <v>16</v>
      </c>
      <c r="E3981">
        <v>96.6</v>
      </c>
      <c r="F3981">
        <v>66</v>
      </c>
      <c r="G3981">
        <v>6375.5999999999904</v>
      </c>
      <c r="H3981" t="s">
        <v>12</v>
      </c>
      <c r="I3981" t="str">
        <f t="shared" si="187"/>
        <v>High Value</v>
      </c>
      <c r="J3981" t="str">
        <f t="shared" si="188"/>
        <v>Low Risk</v>
      </c>
      <c r="K3981" s="3" t="str">
        <f t="shared" si="186"/>
        <v>4+ Years</v>
      </c>
    </row>
    <row r="3982" spans="1:11" x14ac:dyDescent="0.3">
      <c r="A3982" t="s">
        <v>3999</v>
      </c>
      <c r="B3982" t="s">
        <v>9</v>
      </c>
      <c r="C3982" t="s">
        <v>10</v>
      </c>
      <c r="D3982" t="s">
        <v>11</v>
      </c>
      <c r="E3982">
        <v>76.5</v>
      </c>
      <c r="F3982">
        <v>11</v>
      </c>
      <c r="G3982">
        <v>841.5</v>
      </c>
      <c r="H3982" t="s">
        <v>18</v>
      </c>
      <c r="I3982" t="str">
        <f t="shared" si="187"/>
        <v>Low Value</v>
      </c>
      <c r="J3982" t="str">
        <f t="shared" si="188"/>
        <v>High Risk</v>
      </c>
      <c r="K3982" s="3" t="str">
        <f t="shared" si="186"/>
        <v>0-1 Year</v>
      </c>
    </row>
    <row r="3983" spans="1:11" x14ac:dyDescent="0.3">
      <c r="A3983" t="s">
        <v>4000</v>
      </c>
      <c r="B3983" t="s">
        <v>14</v>
      </c>
      <c r="C3983" t="s">
        <v>15</v>
      </c>
      <c r="D3983" t="s">
        <v>24</v>
      </c>
      <c r="E3983">
        <v>81.150000000000006</v>
      </c>
      <c r="F3983">
        <v>51</v>
      </c>
      <c r="G3983">
        <v>4138.6499999999996</v>
      </c>
      <c r="H3983" t="s">
        <v>12</v>
      </c>
      <c r="I3983" t="str">
        <f t="shared" si="187"/>
        <v>Medium Value</v>
      </c>
      <c r="J3983" t="str">
        <f t="shared" si="188"/>
        <v>Low Risk</v>
      </c>
      <c r="K3983" s="3" t="str">
        <f t="shared" si="186"/>
        <v>4+ Years</v>
      </c>
    </row>
    <row r="3984" spans="1:11" x14ac:dyDescent="0.3">
      <c r="A3984" t="s">
        <v>4001</v>
      </c>
      <c r="B3984" t="s">
        <v>9</v>
      </c>
      <c r="C3984" t="s">
        <v>10</v>
      </c>
      <c r="D3984" t="s">
        <v>11</v>
      </c>
      <c r="E3984">
        <v>38.5</v>
      </c>
      <c r="F3984">
        <v>8</v>
      </c>
      <c r="G3984">
        <v>308</v>
      </c>
      <c r="H3984" t="s">
        <v>12</v>
      </c>
      <c r="I3984" t="str">
        <f t="shared" si="187"/>
        <v>Low Value</v>
      </c>
      <c r="J3984" t="str">
        <f t="shared" si="188"/>
        <v>High Risk</v>
      </c>
      <c r="K3984" s="3" t="str">
        <f t="shared" si="186"/>
        <v>0-1 Year</v>
      </c>
    </row>
    <row r="3985" spans="1:11" x14ac:dyDescent="0.3">
      <c r="A3985" t="s">
        <v>4002</v>
      </c>
      <c r="B3985" t="s">
        <v>14</v>
      </c>
      <c r="C3985" t="s">
        <v>10</v>
      </c>
      <c r="D3985" t="s">
        <v>11</v>
      </c>
      <c r="E3985">
        <v>92.9</v>
      </c>
      <c r="F3985">
        <v>14</v>
      </c>
      <c r="G3985">
        <v>1300.5999999999999</v>
      </c>
      <c r="H3985" t="s">
        <v>12</v>
      </c>
      <c r="I3985" t="str">
        <f t="shared" si="187"/>
        <v>Low Value</v>
      </c>
      <c r="J3985" t="str">
        <f t="shared" si="188"/>
        <v>Medium Risk</v>
      </c>
      <c r="K3985" s="3" t="str">
        <f t="shared" si="186"/>
        <v>1-2 Years</v>
      </c>
    </row>
    <row r="3986" spans="1:11" x14ac:dyDescent="0.3">
      <c r="A3986" t="s">
        <v>4003</v>
      </c>
      <c r="B3986" t="s">
        <v>9</v>
      </c>
      <c r="C3986" t="s">
        <v>10</v>
      </c>
      <c r="D3986" t="s">
        <v>11</v>
      </c>
      <c r="E3986">
        <v>93.5</v>
      </c>
      <c r="F3986">
        <v>4</v>
      </c>
      <c r="G3986">
        <v>374</v>
      </c>
      <c r="H3986" t="s">
        <v>18</v>
      </c>
      <c r="I3986" t="str">
        <f t="shared" si="187"/>
        <v>Low Value</v>
      </c>
      <c r="J3986" t="str">
        <f t="shared" si="188"/>
        <v>High Risk</v>
      </c>
      <c r="K3986" s="3" t="str">
        <f t="shared" si="186"/>
        <v>0-1 Year</v>
      </c>
    </row>
    <row r="3987" spans="1:11" x14ac:dyDescent="0.3">
      <c r="A3987" t="s">
        <v>4004</v>
      </c>
      <c r="B3987" t="s">
        <v>9</v>
      </c>
      <c r="C3987" t="s">
        <v>30</v>
      </c>
      <c r="D3987" t="s">
        <v>16</v>
      </c>
      <c r="E3987">
        <v>84.7</v>
      </c>
      <c r="F3987">
        <v>70</v>
      </c>
      <c r="G3987">
        <v>5929</v>
      </c>
      <c r="H3987" t="s">
        <v>12</v>
      </c>
      <c r="I3987" t="str">
        <f t="shared" si="187"/>
        <v>High Value</v>
      </c>
      <c r="J3987" t="str">
        <f t="shared" si="188"/>
        <v>Low Risk</v>
      </c>
      <c r="K3987" s="3" t="str">
        <f t="shared" si="186"/>
        <v>4+ Years</v>
      </c>
    </row>
    <row r="3988" spans="1:11" x14ac:dyDescent="0.3">
      <c r="A3988" t="s">
        <v>4005</v>
      </c>
      <c r="B3988" t="s">
        <v>9</v>
      </c>
      <c r="C3988" t="s">
        <v>30</v>
      </c>
      <c r="D3988" t="s">
        <v>11</v>
      </c>
      <c r="E3988">
        <v>66</v>
      </c>
      <c r="F3988">
        <v>70</v>
      </c>
      <c r="G3988">
        <v>4620</v>
      </c>
      <c r="H3988" t="s">
        <v>12</v>
      </c>
      <c r="I3988" t="str">
        <f t="shared" si="187"/>
        <v>Medium Value</v>
      </c>
      <c r="J3988" t="str">
        <f t="shared" si="188"/>
        <v>Low Risk</v>
      </c>
      <c r="K3988" s="3" t="str">
        <f t="shared" si="186"/>
        <v>4+ Years</v>
      </c>
    </row>
    <row r="3989" spans="1:11" x14ac:dyDescent="0.3">
      <c r="A3989" t="s">
        <v>4006</v>
      </c>
      <c r="B3989" t="s">
        <v>9</v>
      </c>
      <c r="C3989" t="s">
        <v>15</v>
      </c>
      <c r="D3989" t="s">
        <v>24</v>
      </c>
      <c r="E3989">
        <v>101.5</v>
      </c>
      <c r="F3989">
        <v>54</v>
      </c>
      <c r="G3989">
        <v>5481</v>
      </c>
      <c r="H3989" t="s">
        <v>18</v>
      </c>
      <c r="I3989" t="str">
        <f t="shared" si="187"/>
        <v>High Value</v>
      </c>
      <c r="J3989" t="str">
        <f t="shared" si="188"/>
        <v>Low Risk</v>
      </c>
      <c r="K3989" s="3" t="str">
        <f t="shared" si="186"/>
        <v>4+ Years</v>
      </c>
    </row>
    <row r="3990" spans="1:11" x14ac:dyDescent="0.3">
      <c r="A3990" t="s">
        <v>4007</v>
      </c>
      <c r="B3990" t="s">
        <v>14</v>
      </c>
      <c r="C3990" t="s">
        <v>10</v>
      </c>
      <c r="D3990" t="s">
        <v>20</v>
      </c>
      <c r="E3990">
        <v>74.900000000000006</v>
      </c>
      <c r="F3990">
        <v>28</v>
      </c>
      <c r="G3990">
        <v>2097.1999999999998</v>
      </c>
      <c r="H3990" t="s">
        <v>18</v>
      </c>
      <c r="I3990" t="str">
        <f t="shared" si="187"/>
        <v>Medium Value</v>
      </c>
      <c r="J3990" t="str">
        <f t="shared" si="188"/>
        <v>Low Risk</v>
      </c>
      <c r="K3990" s="3" t="str">
        <f t="shared" si="186"/>
        <v>2-4 Years</v>
      </c>
    </row>
    <row r="3991" spans="1:11" x14ac:dyDescent="0.3">
      <c r="A3991" t="s">
        <v>4008</v>
      </c>
      <c r="B3991" t="s">
        <v>14</v>
      </c>
      <c r="C3991" t="s">
        <v>30</v>
      </c>
      <c r="D3991" t="s">
        <v>16</v>
      </c>
      <c r="E3991">
        <v>20.75</v>
      </c>
      <c r="F3991">
        <v>24</v>
      </c>
      <c r="G3991">
        <v>498</v>
      </c>
      <c r="H3991" t="s">
        <v>12</v>
      </c>
      <c r="I3991" t="str">
        <f t="shared" si="187"/>
        <v>Low Value</v>
      </c>
      <c r="J3991" t="str">
        <f t="shared" si="188"/>
        <v>Low Risk</v>
      </c>
      <c r="K3991" s="3" t="str">
        <f t="shared" si="186"/>
        <v>1-2 Years</v>
      </c>
    </row>
    <row r="3992" spans="1:11" x14ac:dyDescent="0.3">
      <c r="A3992" t="s">
        <v>4009</v>
      </c>
      <c r="B3992" t="s">
        <v>9</v>
      </c>
      <c r="C3992" t="s">
        <v>30</v>
      </c>
      <c r="D3992" t="s">
        <v>24</v>
      </c>
      <c r="E3992">
        <v>61.45</v>
      </c>
      <c r="F3992">
        <v>69</v>
      </c>
      <c r="G3992">
        <v>4240.05</v>
      </c>
      <c r="H3992" t="s">
        <v>12</v>
      </c>
      <c r="I3992" t="str">
        <f t="shared" si="187"/>
        <v>Medium Value</v>
      </c>
      <c r="J3992" t="str">
        <f t="shared" si="188"/>
        <v>Low Risk</v>
      </c>
      <c r="K3992" s="3" t="str">
        <f t="shared" si="186"/>
        <v>4+ Years</v>
      </c>
    </row>
    <row r="3993" spans="1:11" x14ac:dyDescent="0.3">
      <c r="A3993" t="s">
        <v>4010</v>
      </c>
      <c r="B3993" t="s">
        <v>14</v>
      </c>
      <c r="C3993" t="s">
        <v>10</v>
      </c>
      <c r="D3993" t="s">
        <v>16</v>
      </c>
      <c r="E3993">
        <v>54.5</v>
      </c>
      <c r="F3993">
        <v>42</v>
      </c>
      <c r="G3993">
        <v>2289</v>
      </c>
      <c r="H3993" t="s">
        <v>12</v>
      </c>
      <c r="I3993" t="str">
        <f t="shared" si="187"/>
        <v>Medium Value</v>
      </c>
      <c r="J3993" t="str">
        <f t="shared" si="188"/>
        <v>Low Risk</v>
      </c>
      <c r="K3993" s="3" t="str">
        <f t="shared" si="186"/>
        <v>2-4 Years</v>
      </c>
    </row>
    <row r="3994" spans="1:11" x14ac:dyDescent="0.3">
      <c r="A3994" t="s">
        <v>4011</v>
      </c>
      <c r="B3994" t="s">
        <v>9</v>
      </c>
      <c r="C3994" t="s">
        <v>10</v>
      </c>
      <c r="D3994" t="s">
        <v>11</v>
      </c>
      <c r="E3994">
        <v>69.599999999999994</v>
      </c>
      <c r="F3994">
        <v>2</v>
      </c>
      <c r="G3994">
        <v>139.19999999999999</v>
      </c>
      <c r="H3994" t="s">
        <v>18</v>
      </c>
      <c r="I3994" t="str">
        <f t="shared" si="187"/>
        <v>Low Value</v>
      </c>
      <c r="J3994" t="str">
        <f t="shared" si="188"/>
        <v>High Risk</v>
      </c>
      <c r="K3994" s="3" t="str">
        <f t="shared" si="186"/>
        <v>0-1 Year</v>
      </c>
    </row>
    <row r="3995" spans="1:11" x14ac:dyDescent="0.3">
      <c r="A3995" t="s">
        <v>4012</v>
      </c>
      <c r="B3995" t="s">
        <v>9</v>
      </c>
      <c r="C3995" t="s">
        <v>10</v>
      </c>
      <c r="D3995" t="s">
        <v>11</v>
      </c>
      <c r="E3995">
        <v>99.75</v>
      </c>
      <c r="F3995">
        <v>39</v>
      </c>
      <c r="G3995">
        <v>3890.25</v>
      </c>
      <c r="H3995" t="s">
        <v>12</v>
      </c>
      <c r="I3995" t="str">
        <f t="shared" si="187"/>
        <v>Medium Value</v>
      </c>
      <c r="J3995" t="str">
        <f t="shared" si="188"/>
        <v>Low Risk</v>
      </c>
      <c r="K3995" s="3" t="str">
        <f t="shared" si="186"/>
        <v>2-4 Years</v>
      </c>
    </row>
    <row r="3996" spans="1:11" x14ac:dyDescent="0.3">
      <c r="A3996" t="s">
        <v>4013</v>
      </c>
      <c r="B3996" t="s">
        <v>14</v>
      </c>
      <c r="C3996" t="s">
        <v>30</v>
      </c>
      <c r="D3996" t="s">
        <v>20</v>
      </c>
      <c r="E3996">
        <v>109.75</v>
      </c>
      <c r="F3996">
        <v>45</v>
      </c>
      <c r="G3996">
        <v>4938.75</v>
      </c>
      <c r="H3996" t="s">
        <v>12</v>
      </c>
      <c r="I3996" t="str">
        <f t="shared" si="187"/>
        <v>Medium Value</v>
      </c>
      <c r="J3996" t="str">
        <f t="shared" si="188"/>
        <v>Low Risk</v>
      </c>
      <c r="K3996" s="3" t="str">
        <f t="shared" si="186"/>
        <v>2-4 Years</v>
      </c>
    </row>
    <row r="3997" spans="1:11" x14ac:dyDescent="0.3">
      <c r="A3997" t="s">
        <v>4014</v>
      </c>
      <c r="B3997" t="s">
        <v>14</v>
      </c>
      <c r="C3997" t="s">
        <v>30</v>
      </c>
      <c r="D3997" t="s">
        <v>20</v>
      </c>
      <c r="E3997">
        <v>80.849999999999994</v>
      </c>
      <c r="F3997">
        <v>72</v>
      </c>
      <c r="G3997">
        <v>5821.2</v>
      </c>
      <c r="H3997" t="s">
        <v>12</v>
      </c>
      <c r="I3997" t="str">
        <f t="shared" si="187"/>
        <v>High Value</v>
      </c>
      <c r="J3997" t="str">
        <f t="shared" si="188"/>
        <v>Low Risk</v>
      </c>
      <c r="K3997" s="3" t="str">
        <f t="shared" si="186"/>
        <v>4+ Years</v>
      </c>
    </row>
    <row r="3998" spans="1:11" x14ac:dyDescent="0.3">
      <c r="A3998" t="s">
        <v>4015</v>
      </c>
      <c r="B3998" t="s">
        <v>9</v>
      </c>
      <c r="C3998" t="s">
        <v>30</v>
      </c>
      <c r="D3998" t="s">
        <v>16</v>
      </c>
      <c r="E3998">
        <v>20.3</v>
      </c>
      <c r="F3998">
        <v>38</v>
      </c>
      <c r="G3998">
        <v>771.4</v>
      </c>
      <c r="H3998" t="s">
        <v>12</v>
      </c>
      <c r="I3998" t="str">
        <f t="shared" si="187"/>
        <v>Low Value</v>
      </c>
      <c r="J3998" t="str">
        <f t="shared" si="188"/>
        <v>Low Risk</v>
      </c>
      <c r="K3998" s="3" t="str">
        <f t="shared" si="186"/>
        <v>2-4 Years</v>
      </c>
    </row>
    <row r="3999" spans="1:11" x14ac:dyDescent="0.3">
      <c r="A3999" t="s">
        <v>4016</v>
      </c>
      <c r="B3999" t="s">
        <v>14</v>
      </c>
      <c r="C3999" t="s">
        <v>30</v>
      </c>
      <c r="D3999" t="s">
        <v>20</v>
      </c>
      <c r="E3999">
        <v>67.8</v>
      </c>
      <c r="F3999">
        <v>72</v>
      </c>
      <c r="G3999">
        <v>4881.5999999999904</v>
      </c>
      <c r="H3999" t="s">
        <v>12</v>
      </c>
      <c r="I3999" t="str">
        <f t="shared" si="187"/>
        <v>Medium Value</v>
      </c>
      <c r="J3999" t="str">
        <f t="shared" si="188"/>
        <v>Low Risk</v>
      </c>
      <c r="K3999" s="3" t="str">
        <f t="shared" si="186"/>
        <v>4+ Years</v>
      </c>
    </row>
    <row r="4000" spans="1:11" x14ac:dyDescent="0.3">
      <c r="A4000" t="s">
        <v>4017</v>
      </c>
      <c r="B4000" t="s">
        <v>14</v>
      </c>
      <c r="C4000" t="s">
        <v>10</v>
      </c>
      <c r="D4000" t="s">
        <v>16</v>
      </c>
      <c r="E4000">
        <v>24.05</v>
      </c>
      <c r="F4000">
        <v>1</v>
      </c>
      <c r="G4000">
        <v>24.05</v>
      </c>
      <c r="H4000" t="s">
        <v>18</v>
      </c>
      <c r="I4000" t="str">
        <f t="shared" si="187"/>
        <v>Low Value</v>
      </c>
      <c r="J4000" t="str">
        <f t="shared" si="188"/>
        <v>High Risk</v>
      </c>
      <c r="K4000" s="3" t="str">
        <f t="shared" si="186"/>
        <v>0-1 Year</v>
      </c>
    </row>
    <row r="4001" spans="1:11" x14ac:dyDescent="0.3">
      <c r="A4001" t="s">
        <v>4018</v>
      </c>
      <c r="B4001" t="s">
        <v>14</v>
      </c>
      <c r="C4001" t="s">
        <v>30</v>
      </c>
      <c r="D4001" t="s">
        <v>24</v>
      </c>
      <c r="E4001">
        <v>19.8</v>
      </c>
      <c r="F4001">
        <v>72</v>
      </c>
      <c r="G4001">
        <v>1425.6</v>
      </c>
      <c r="H4001" t="s">
        <v>12</v>
      </c>
      <c r="I4001" t="str">
        <f t="shared" si="187"/>
        <v>Low Value</v>
      </c>
      <c r="J4001" t="str">
        <f t="shared" si="188"/>
        <v>Low Risk</v>
      </c>
      <c r="K4001" s="3" t="str">
        <f t="shared" si="186"/>
        <v>4+ Years</v>
      </c>
    </row>
    <row r="4002" spans="1:11" x14ac:dyDescent="0.3">
      <c r="A4002" t="s">
        <v>4019</v>
      </c>
      <c r="B4002" t="s">
        <v>14</v>
      </c>
      <c r="C4002" t="s">
        <v>30</v>
      </c>
      <c r="D4002" t="s">
        <v>20</v>
      </c>
      <c r="E4002">
        <v>25.7</v>
      </c>
      <c r="F4002">
        <v>55</v>
      </c>
      <c r="G4002">
        <v>1413.5</v>
      </c>
      <c r="H4002" t="s">
        <v>12</v>
      </c>
      <c r="I4002" t="str">
        <f t="shared" si="187"/>
        <v>Low Value</v>
      </c>
      <c r="J4002" t="str">
        <f t="shared" si="188"/>
        <v>Low Risk</v>
      </c>
      <c r="K4002" s="3" t="str">
        <f t="shared" si="186"/>
        <v>4+ Years</v>
      </c>
    </row>
    <row r="4003" spans="1:11" x14ac:dyDescent="0.3">
      <c r="A4003" t="s">
        <v>4020</v>
      </c>
      <c r="B4003" t="s">
        <v>9</v>
      </c>
      <c r="C4003" t="s">
        <v>15</v>
      </c>
      <c r="D4003" t="s">
        <v>11</v>
      </c>
      <c r="E4003">
        <v>56.15</v>
      </c>
      <c r="F4003">
        <v>51</v>
      </c>
      <c r="G4003">
        <v>2863.65</v>
      </c>
      <c r="H4003" t="s">
        <v>12</v>
      </c>
      <c r="I4003" t="str">
        <f t="shared" si="187"/>
        <v>Medium Value</v>
      </c>
      <c r="J4003" t="str">
        <f t="shared" si="188"/>
        <v>Low Risk</v>
      </c>
      <c r="K4003" s="3" t="str">
        <f t="shared" si="186"/>
        <v>4+ Years</v>
      </c>
    </row>
    <row r="4004" spans="1:11" x14ac:dyDescent="0.3">
      <c r="A4004" t="s">
        <v>4021</v>
      </c>
      <c r="B4004" t="s">
        <v>14</v>
      </c>
      <c r="C4004" t="s">
        <v>30</v>
      </c>
      <c r="D4004" t="s">
        <v>20</v>
      </c>
      <c r="E4004">
        <v>86.7</v>
      </c>
      <c r="F4004">
        <v>63</v>
      </c>
      <c r="G4004">
        <v>5462.1</v>
      </c>
      <c r="H4004" t="s">
        <v>12</v>
      </c>
      <c r="I4004" t="str">
        <f t="shared" si="187"/>
        <v>High Value</v>
      </c>
      <c r="J4004" t="str">
        <f t="shared" si="188"/>
        <v>Low Risk</v>
      </c>
      <c r="K4004" s="3" t="str">
        <f t="shared" si="186"/>
        <v>4+ Years</v>
      </c>
    </row>
    <row r="4005" spans="1:11" x14ac:dyDescent="0.3">
      <c r="A4005" t="s">
        <v>4022</v>
      </c>
      <c r="B4005" t="s">
        <v>9</v>
      </c>
      <c r="C4005" t="s">
        <v>10</v>
      </c>
      <c r="D4005" t="s">
        <v>16</v>
      </c>
      <c r="E4005">
        <v>20.399999999999999</v>
      </c>
      <c r="F4005">
        <v>1</v>
      </c>
      <c r="G4005">
        <v>20.399999999999999</v>
      </c>
      <c r="H4005" t="s">
        <v>12</v>
      </c>
      <c r="I4005" t="str">
        <f t="shared" si="187"/>
        <v>Low Value</v>
      </c>
      <c r="J4005" t="str">
        <f t="shared" si="188"/>
        <v>High Risk</v>
      </c>
      <c r="K4005" s="3" t="str">
        <f t="shared" si="186"/>
        <v>0-1 Year</v>
      </c>
    </row>
    <row r="4006" spans="1:11" x14ac:dyDescent="0.3">
      <c r="A4006" t="s">
        <v>4023</v>
      </c>
      <c r="B4006" t="s">
        <v>9</v>
      </c>
      <c r="C4006" t="s">
        <v>30</v>
      </c>
      <c r="D4006" t="s">
        <v>16</v>
      </c>
      <c r="E4006">
        <v>19.649999999999999</v>
      </c>
      <c r="F4006">
        <v>23</v>
      </c>
      <c r="G4006">
        <v>451.95</v>
      </c>
      <c r="H4006" t="s">
        <v>12</v>
      </c>
      <c r="I4006" t="str">
        <f t="shared" si="187"/>
        <v>Low Value</v>
      </c>
      <c r="J4006" t="str">
        <f t="shared" si="188"/>
        <v>Medium Risk</v>
      </c>
      <c r="K4006" s="3" t="str">
        <f t="shared" si="186"/>
        <v>1-2 Years</v>
      </c>
    </row>
    <row r="4007" spans="1:11" x14ac:dyDescent="0.3">
      <c r="A4007" t="s">
        <v>4024</v>
      </c>
      <c r="B4007" t="s">
        <v>9</v>
      </c>
      <c r="C4007" t="s">
        <v>10</v>
      </c>
      <c r="D4007" t="s">
        <v>11</v>
      </c>
      <c r="E4007">
        <v>50.55</v>
      </c>
      <c r="F4007">
        <v>1</v>
      </c>
      <c r="G4007">
        <v>50.55</v>
      </c>
      <c r="H4007" t="s">
        <v>18</v>
      </c>
      <c r="I4007" t="str">
        <f t="shared" si="187"/>
        <v>Low Value</v>
      </c>
      <c r="J4007" t="str">
        <f t="shared" si="188"/>
        <v>High Risk</v>
      </c>
      <c r="K4007" s="3" t="str">
        <f t="shared" si="186"/>
        <v>0-1 Year</v>
      </c>
    </row>
    <row r="4008" spans="1:11" x14ac:dyDescent="0.3">
      <c r="A4008" t="s">
        <v>4025</v>
      </c>
      <c r="B4008" t="s">
        <v>9</v>
      </c>
      <c r="C4008" t="s">
        <v>10</v>
      </c>
      <c r="D4008" t="s">
        <v>16</v>
      </c>
      <c r="E4008">
        <v>54.35</v>
      </c>
      <c r="F4008">
        <v>2</v>
      </c>
      <c r="G4008">
        <v>108.7</v>
      </c>
      <c r="H4008" t="s">
        <v>12</v>
      </c>
      <c r="I4008" t="str">
        <f t="shared" si="187"/>
        <v>Low Value</v>
      </c>
      <c r="J4008" t="str">
        <f t="shared" si="188"/>
        <v>High Risk</v>
      </c>
      <c r="K4008" s="3" t="str">
        <f t="shared" si="186"/>
        <v>0-1 Year</v>
      </c>
    </row>
    <row r="4009" spans="1:11" x14ac:dyDescent="0.3">
      <c r="A4009" t="s">
        <v>4026</v>
      </c>
      <c r="B4009" t="s">
        <v>9</v>
      </c>
      <c r="C4009" t="s">
        <v>10</v>
      </c>
      <c r="D4009" t="s">
        <v>24</v>
      </c>
      <c r="E4009">
        <v>108.1</v>
      </c>
      <c r="F4009">
        <v>52</v>
      </c>
      <c r="G4009">
        <v>5621.2</v>
      </c>
      <c r="H4009" t="s">
        <v>12</v>
      </c>
      <c r="I4009" t="str">
        <f t="shared" si="187"/>
        <v>High Value</v>
      </c>
      <c r="J4009" t="str">
        <f t="shared" si="188"/>
        <v>Low Risk</v>
      </c>
      <c r="K4009" s="3" t="str">
        <f t="shared" si="186"/>
        <v>4+ Years</v>
      </c>
    </row>
    <row r="4010" spans="1:11" x14ac:dyDescent="0.3">
      <c r="A4010" t="s">
        <v>4027</v>
      </c>
      <c r="B4010" t="s">
        <v>9</v>
      </c>
      <c r="C4010" t="s">
        <v>15</v>
      </c>
      <c r="D4010" t="s">
        <v>16</v>
      </c>
      <c r="E4010">
        <v>54.45</v>
      </c>
      <c r="F4010">
        <v>36</v>
      </c>
      <c r="G4010">
        <v>1960.2</v>
      </c>
      <c r="H4010" t="s">
        <v>12</v>
      </c>
      <c r="I4010" t="str">
        <f t="shared" si="187"/>
        <v>Low Value</v>
      </c>
      <c r="J4010" t="str">
        <f t="shared" si="188"/>
        <v>Low Risk</v>
      </c>
      <c r="K4010" s="3" t="str">
        <f t="shared" si="186"/>
        <v>2-4 Years</v>
      </c>
    </row>
    <row r="4011" spans="1:11" x14ac:dyDescent="0.3">
      <c r="A4011" t="s">
        <v>4028</v>
      </c>
      <c r="B4011" t="s">
        <v>9</v>
      </c>
      <c r="C4011" t="s">
        <v>10</v>
      </c>
      <c r="D4011" t="s">
        <v>16</v>
      </c>
      <c r="E4011">
        <v>45.35</v>
      </c>
      <c r="F4011">
        <v>1</v>
      </c>
      <c r="G4011">
        <v>45.35</v>
      </c>
      <c r="H4011" t="s">
        <v>12</v>
      </c>
      <c r="I4011" t="str">
        <f t="shared" si="187"/>
        <v>Low Value</v>
      </c>
      <c r="J4011" t="str">
        <f t="shared" si="188"/>
        <v>High Risk</v>
      </c>
      <c r="K4011" s="3" t="str">
        <f t="shared" si="186"/>
        <v>0-1 Year</v>
      </c>
    </row>
    <row r="4012" spans="1:11" x14ac:dyDescent="0.3">
      <c r="A4012" t="s">
        <v>4029</v>
      </c>
      <c r="B4012" t="s">
        <v>9</v>
      </c>
      <c r="C4012" t="s">
        <v>15</v>
      </c>
      <c r="D4012" t="s">
        <v>16</v>
      </c>
      <c r="E4012">
        <v>59</v>
      </c>
      <c r="F4012">
        <v>28</v>
      </c>
      <c r="G4012">
        <v>1652</v>
      </c>
      <c r="H4012" t="s">
        <v>12</v>
      </c>
      <c r="I4012" t="str">
        <f t="shared" si="187"/>
        <v>Low Value</v>
      </c>
      <c r="J4012" t="str">
        <f t="shared" si="188"/>
        <v>Low Risk</v>
      </c>
      <c r="K4012" s="3" t="str">
        <f t="shared" si="186"/>
        <v>2-4 Years</v>
      </c>
    </row>
    <row r="4013" spans="1:11" x14ac:dyDescent="0.3">
      <c r="A4013" t="s">
        <v>4030</v>
      </c>
      <c r="B4013" t="s">
        <v>9</v>
      </c>
      <c r="C4013" t="s">
        <v>15</v>
      </c>
      <c r="D4013" t="s">
        <v>11</v>
      </c>
      <c r="E4013">
        <v>69.45</v>
      </c>
      <c r="F4013">
        <v>7</v>
      </c>
      <c r="G4013">
        <v>486.15</v>
      </c>
      <c r="H4013" t="s">
        <v>12</v>
      </c>
      <c r="I4013" t="str">
        <f t="shared" si="187"/>
        <v>Low Value</v>
      </c>
      <c r="J4013" t="str">
        <f t="shared" si="188"/>
        <v>High Risk</v>
      </c>
      <c r="K4013" s="3" t="str">
        <f t="shared" si="186"/>
        <v>0-1 Year</v>
      </c>
    </row>
    <row r="4014" spans="1:11" x14ac:dyDescent="0.3">
      <c r="A4014" t="s">
        <v>4031</v>
      </c>
      <c r="B4014" t="s">
        <v>14</v>
      </c>
      <c r="C4014" t="s">
        <v>10</v>
      </c>
      <c r="D4014" t="s">
        <v>11</v>
      </c>
      <c r="E4014">
        <v>100.55</v>
      </c>
      <c r="F4014">
        <v>14</v>
      </c>
      <c r="G4014">
        <v>1407.7</v>
      </c>
      <c r="H4014" t="s">
        <v>18</v>
      </c>
      <c r="I4014" t="str">
        <f t="shared" si="187"/>
        <v>Low Value</v>
      </c>
      <c r="J4014" t="str">
        <f t="shared" si="188"/>
        <v>Medium Risk</v>
      </c>
      <c r="K4014" s="3" t="str">
        <f t="shared" si="186"/>
        <v>1-2 Years</v>
      </c>
    </row>
    <row r="4015" spans="1:11" x14ac:dyDescent="0.3">
      <c r="A4015" t="s">
        <v>4032</v>
      </c>
      <c r="B4015" t="s">
        <v>14</v>
      </c>
      <c r="C4015" t="s">
        <v>30</v>
      </c>
      <c r="D4015" t="s">
        <v>24</v>
      </c>
      <c r="E4015">
        <v>64.95</v>
      </c>
      <c r="F4015">
        <v>72</v>
      </c>
      <c r="G4015">
        <v>4676.3999999999996</v>
      </c>
      <c r="H4015" t="s">
        <v>12</v>
      </c>
      <c r="I4015" t="str">
        <f t="shared" si="187"/>
        <v>Medium Value</v>
      </c>
      <c r="J4015" t="str">
        <f t="shared" si="188"/>
        <v>Low Risk</v>
      </c>
      <c r="K4015" s="3" t="str">
        <f t="shared" si="186"/>
        <v>4+ Years</v>
      </c>
    </row>
    <row r="4016" spans="1:11" x14ac:dyDescent="0.3">
      <c r="A4016" t="s">
        <v>4033</v>
      </c>
      <c r="B4016" t="s">
        <v>9</v>
      </c>
      <c r="C4016" t="s">
        <v>10</v>
      </c>
      <c r="D4016" t="s">
        <v>16</v>
      </c>
      <c r="E4016">
        <v>20.5</v>
      </c>
      <c r="F4016">
        <v>1</v>
      </c>
      <c r="G4016">
        <v>20.5</v>
      </c>
      <c r="H4016" t="s">
        <v>18</v>
      </c>
      <c r="I4016" t="str">
        <f t="shared" si="187"/>
        <v>Low Value</v>
      </c>
      <c r="J4016" t="str">
        <f t="shared" si="188"/>
        <v>High Risk</v>
      </c>
      <c r="K4016" s="3" t="str">
        <f t="shared" si="186"/>
        <v>0-1 Year</v>
      </c>
    </row>
    <row r="4017" spans="1:11" x14ac:dyDescent="0.3">
      <c r="A4017" t="s">
        <v>4034</v>
      </c>
      <c r="B4017" t="s">
        <v>9</v>
      </c>
      <c r="C4017" t="s">
        <v>10</v>
      </c>
      <c r="D4017" t="s">
        <v>16</v>
      </c>
      <c r="E4017">
        <v>18.850000000000001</v>
      </c>
      <c r="F4017">
        <v>10</v>
      </c>
      <c r="G4017">
        <v>188.5</v>
      </c>
      <c r="H4017" t="s">
        <v>12</v>
      </c>
      <c r="I4017" t="str">
        <f t="shared" si="187"/>
        <v>Low Value</v>
      </c>
      <c r="J4017" t="str">
        <f t="shared" si="188"/>
        <v>High Risk</v>
      </c>
      <c r="K4017" s="3" t="str">
        <f t="shared" si="186"/>
        <v>0-1 Year</v>
      </c>
    </row>
    <row r="4018" spans="1:11" x14ac:dyDescent="0.3">
      <c r="A4018" t="s">
        <v>4035</v>
      </c>
      <c r="B4018" t="s">
        <v>14</v>
      </c>
      <c r="C4018" t="s">
        <v>15</v>
      </c>
      <c r="D4018" t="s">
        <v>20</v>
      </c>
      <c r="E4018">
        <v>19.8</v>
      </c>
      <c r="F4018">
        <v>42</v>
      </c>
      <c r="G4018">
        <v>831.6</v>
      </c>
      <c r="H4018" t="s">
        <v>12</v>
      </c>
      <c r="I4018" t="str">
        <f t="shared" si="187"/>
        <v>Low Value</v>
      </c>
      <c r="J4018" t="str">
        <f t="shared" si="188"/>
        <v>Low Risk</v>
      </c>
      <c r="K4018" s="3" t="str">
        <f t="shared" si="186"/>
        <v>2-4 Years</v>
      </c>
    </row>
    <row r="4019" spans="1:11" x14ac:dyDescent="0.3">
      <c r="A4019" t="s">
        <v>4036</v>
      </c>
      <c r="B4019" t="s">
        <v>9</v>
      </c>
      <c r="C4019" t="s">
        <v>10</v>
      </c>
      <c r="D4019" t="s">
        <v>20</v>
      </c>
      <c r="E4019">
        <v>25.05</v>
      </c>
      <c r="F4019">
        <v>7</v>
      </c>
      <c r="G4019">
        <v>175.35</v>
      </c>
      <c r="H4019" t="s">
        <v>12</v>
      </c>
      <c r="I4019" t="str">
        <f t="shared" si="187"/>
        <v>Low Value</v>
      </c>
      <c r="J4019" t="str">
        <f t="shared" si="188"/>
        <v>High Risk</v>
      </c>
      <c r="K4019" s="3" t="str">
        <f t="shared" si="186"/>
        <v>0-1 Year</v>
      </c>
    </row>
    <row r="4020" spans="1:11" x14ac:dyDescent="0.3">
      <c r="A4020" t="s">
        <v>4037</v>
      </c>
      <c r="B4020" t="s">
        <v>14</v>
      </c>
      <c r="C4020" t="s">
        <v>10</v>
      </c>
      <c r="D4020" t="s">
        <v>20</v>
      </c>
      <c r="E4020">
        <v>74.8</v>
      </c>
      <c r="F4020">
        <v>4</v>
      </c>
      <c r="G4020">
        <v>299.2</v>
      </c>
      <c r="H4020" t="s">
        <v>18</v>
      </c>
      <c r="I4020" t="str">
        <f t="shared" si="187"/>
        <v>Low Value</v>
      </c>
      <c r="J4020" t="str">
        <f t="shared" si="188"/>
        <v>High Risk</v>
      </c>
      <c r="K4020" s="3" t="str">
        <f t="shared" si="186"/>
        <v>0-1 Year</v>
      </c>
    </row>
    <row r="4021" spans="1:11" x14ac:dyDescent="0.3">
      <c r="A4021" t="s">
        <v>4038</v>
      </c>
      <c r="B4021" t="s">
        <v>14</v>
      </c>
      <c r="C4021" t="s">
        <v>30</v>
      </c>
      <c r="D4021" t="s">
        <v>24</v>
      </c>
      <c r="E4021">
        <v>114.3</v>
      </c>
      <c r="F4021">
        <v>72</v>
      </c>
      <c r="G4021">
        <v>8229.6</v>
      </c>
      <c r="H4021" t="s">
        <v>12</v>
      </c>
      <c r="I4021" t="str">
        <f t="shared" si="187"/>
        <v>High Value</v>
      </c>
      <c r="J4021" t="str">
        <f t="shared" si="188"/>
        <v>Low Risk</v>
      </c>
      <c r="K4021" s="3" t="str">
        <f t="shared" si="186"/>
        <v>4+ Years</v>
      </c>
    </row>
    <row r="4022" spans="1:11" x14ac:dyDescent="0.3">
      <c r="A4022" t="s">
        <v>4039</v>
      </c>
      <c r="B4022" t="s">
        <v>9</v>
      </c>
      <c r="C4022" t="s">
        <v>10</v>
      </c>
      <c r="D4022" t="s">
        <v>11</v>
      </c>
      <c r="E4022">
        <v>24.45</v>
      </c>
      <c r="F4022">
        <v>20</v>
      </c>
      <c r="G4022">
        <v>489</v>
      </c>
      <c r="H4022" t="s">
        <v>18</v>
      </c>
      <c r="I4022" t="str">
        <f t="shared" si="187"/>
        <v>Low Value</v>
      </c>
      <c r="J4022" t="str">
        <f t="shared" si="188"/>
        <v>Medium Risk</v>
      </c>
      <c r="K4022" s="3" t="str">
        <f t="shared" si="186"/>
        <v>1-2 Years</v>
      </c>
    </row>
    <row r="4023" spans="1:11" x14ac:dyDescent="0.3">
      <c r="A4023" t="s">
        <v>4040</v>
      </c>
      <c r="B4023" t="s">
        <v>14</v>
      </c>
      <c r="C4023" t="s">
        <v>30</v>
      </c>
      <c r="D4023" t="s">
        <v>24</v>
      </c>
      <c r="E4023">
        <v>109.2</v>
      </c>
      <c r="F4023">
        <v>63</v>
      </c>
      <c r="G4023">
        <v>6879.6</v>
      </c>
      <c r="H4023" t="s">
        <v>12</v>
      </c>
      <c r="I4023" t="str">
        <f t="shared" si="187"/>
        <v>High Value</v>
      </c>
      <c r="J4023" t="str">
        <f t="shared" si="188"/>
        <v>Low Risk</v>
      </c>
      <c r="K4023" s="3" t="str">
        <f t="shared" si="186"/>
        <v>4+ Years</v>
      </c>
    </row>
    <row r="4024" spans="1:11" x14ac:dyDescent="0.3">
      <c r="A4024" t="s">
        <v>4041</v>
      </c>
      <c r="B4024" t="s">
        <v>9</v>
      </c>
      <c r="C4024" t="s">
        <v>30</v>
      </c>
      <c r="D4024" t="s">
        <v>20</v>
      </c>
      <c r="E4024">
        <v>45.05</v>
      </c>
      <c r="F4024">
        <v>56</v>
      </c>
      <c r="G4024">
        <v>2522.7999999999902</v>
      </c>
      <c r="H4024" t="s">
        <v>12</v>
      </c>
      <c r="I4024" t="str">
        <f t="shared" si="187"/>
        <v>Medium Value</v>
      </c>
      <c r="J4024" t="str">
        <f t="shared" si="188"/>
        <v>Low Risk</v>
      </c>
      <c r="K4024" s="3" t="str">
        <f t="shared" si="186"/>
        <v>4+ Years</v>
      </c>
    </row>
    <row r="4025" spans="1:11" x14ac:dyDescent="0.3">
      <c r="A4025" t="s">
        <v>4042</v>
      </c>
      <c r="B4025" t="s">
        <v>9</v>
      </c>
      <c r="C4025" t="s">
        <v>10</v>
      </c>
      <c r="D4025" t="s">
        <v>16</v>
      </c>
      <c r="E4025">
        <v>51</v>
      </c>
      <c r="F4025">
        <v>5</v>
      </c>
      <c r="G4025">
        <v>255</v>
      </c>
      <c r="H4025" t="s">
        <v>12</v>
      </c>
      <c r="I4025" t="str">
        <f t="shared" si="187"/>
        <v>Low Value</v>
      </c>
      <c r="J4025" t="str">
        <f t="shared" si="188"/>
        <v>High Risk</v>
      </c>
      <c r="K4025" s="3" t="str">
        <f t="shared" si="186"/>
        <v>0-1 Year</v>
      </c>
    </row>
    <row r="4026" spans="1:11" x14ac:dyDescent="0.3">
      <c r="A4026" t="s">
        <v>4043</v>
      </c>
      <c r="B4026" t="s">
        <v>9</v>
      </c>
      <c r="C4026" t="s">
        <v>30</v>
      </c>
      <c r="D4026" t="s">
        <v>20</v>
      </c>
      <c r="E4026">
        <v>110.45</v>
      </c>
      <c r="F4026">
        <v>72</v>
      </c>
      <c r="G4026">
        <v>7952.4</v>
      </c>
      <c r="H4026" t="s">
        <v>12</v>
      </c>
      <c r="I4026" t="str">
        <f t="shared" si="187"/>
        <v>High Value</v>
      </c>
      <c r="J4026" t="str">
        <f t="shared" si="188"/>
        <v>Low Risk</v>
      </c>
      <c r="K4026" s="3" t="str">
        <f t="shared" si="186"/>
        <v>4+ Years</v>
      </c>
    </row>
    <row r="4027" spans="1:11" x14ac:dyDescent="0.3">
      <c r="A4027" t="s">
        <v>4044</v>
      </c>
      <c r="B4027" t="s">
        <v>14</v>
      </c>
      <c r="C4027" t="s">
        <v>10</v>
      </c>
      <c r="D4027" t="s">
        <v>11</v>
      </c>
      <c r="E4027">
        <v>84.65</v>
      </c>
      <c r="F4027">
        <v>68</v>
      </c>
      <c r="G4027">
        <v>5756.2</v>
      </c>
      <c r="H4027" t="s">
        <v>12</v>
      </c>
      <c r="I4027" t="str">
        <f t="shared" si="187"/>
        <v>High Value</v>
      </c>
      <c r="J4027" t="str">
        <f t="shared" si="188"/>
        <v>Low Risk</v>
      </c>
      <c r="K4027" s="3" t="str">
        <f t="shared" si="186"/>
        <v>4+ Years</v>
      </c>
    </row>
    <row r="4028" spans="1:11" x14ac:dyDescent="0.3">
      <c r="A4028" t="s">
        <v>4045</v>
      </c>
      <c r="B4028" t="s">
        <v>14</v>
      </c>
      <c r="C4028" t="s">
        <v>15</v>
      </c>
      <c r="D4028" t="s">
        <v>16</v>
      </c>
      <c r="E4028">
        <v>60.05</v>
      </c>
      <c r="F4028">
        <v>67</v>
      </c>
      <c r="G4028">
        <v>4023.35</v>
      </c>
      <c r="H4028" t="s">
        <v>12</v>
      </c>
      <c r="I4028" t="str">
        <f t="shared" si="187"/>
        <v>Medium Value</v>
      </c>
      <c r="J4028" t="str">
        <f t="shared" si="188"/>
        <v>Low Risk</v>
      </c>
      <c r="K4028" s="3" t="str">
        <f t="shared" si="186"/>
        <v>4+ Years</v>
      </c>
    </row>
    <row r="4029" spans="1:11" x14ac:dyDescent="0.3">
      <c r="A4029" t="s">
        <v>4046</v>
      </c>
      <c r="B4029" t="s">
        <v>14</v>
      </c>
      <c r="C4029" t="s">
        <v>10</v>
      </c>
      <c r="D4029" t="s">
        <v>20</v>
      </c>
      <c r="E4029">
        <v>44.65</v>
      </c>
      <c r="F4029">
        <v>8</v>
      </c>
      <c r="G4029">
        <v>357.2</v>
      </c>
      <c r="H4029" t="s">
        <v>12</v>
      </c>
      <c r="I4029" t="str">
        <f t="shared" si="187"/>
        <v>Low Value</v>
      </c>
      <c r="J4029" t="str">
        <f t="shared" si="188"/>
        <v>High Risk</v>
      </c>
      <c r="K4029" s="3" t="str">
        <f t="shared" si="186"/>
        <v>0-1 Year</v>
      </c>
    </row>
    <row r="4030" spans="1:11" x14ac:dyDescent="0.3">
      <c r="A4030" t="s">
        <v>4047</v>
      </c>
      <c r="B4030" t="s">
        <v>14</v>
      </c>
      <c r="C4030" t="s">
        <v>10</v>
      </c>
      <c r="D4030" t="s">
        <v>20</v>
      </c>
      <c r="E4030">
        <v>93.25</v>
      </c>
      <c r="F4030">
        <v>52</v>
      </c>
      <c r="G4030">
        <v>4849</v>
      </c>
      <c r="H4030" t="s">
        <v>12</v>
      </c>
      <c r="I4030" t="str">
        <f t="shared" si="187"/>
        <v>Medium Value</v>
      </c>
      <c r="J4030" t="str">
        <f t="shared" si="188"/>
        <v>Low Risk</v>
      </c>
      <c r="K4030" s="3" t="str">
        <f t="shared" si="186"/>
        <v>4+ Years</v>
      </c>
    </row>
    <row r="4031" spans="1:11" x14ac:dyDescent="0.3">
      <c r="A4031" t="s">
        <v>4048</v>
      </c>
      <c r="B4031" t="s">
        <v>9</v>
      </c>
      <c r="C4031" t="s">
        <v>10</v>
      </c>
      <c r="D4031" t="s">
        <v>16</v>
      </c>
      <c r="E4031">
        <v>20.25</v>
      </c>
      <c r="F4031">
        <v>18</v>
      </c>
      <c r="G4031">
        <v>364.5</v>
      </c>
      <c r="H4031" t="s">
        <v>12</v>
      </c>
      <c r="I4031" t="str">
        <f t="shared" si="187"/>
        <v>Low Value</v>
      </c>
      <c r="J4031" t="str">
        <f t="shared" si="188"/>
        <v>Medium Risk</v>
      </c>
      <c r="K4031" s="3" t="str">
        <f t="shared" si="186"/>
        <v>1-2 Years</v>
      </c>
    </row>
    <row r="4032" spans="1:11" x14ac:dyDescent="0.3">
      <c r="A4032" t="s">
        <v>4049</v>
      </c>
      <c r="B4032" t="s">
        <v>9</v>
      </c>
      <c r="C4032" t="s">
        <v>30</v>
      </c>
      <c r="D4032" t="s">
        <v>16</v>
      </c>
      <c r="E4032">
        <v>25.45</v>
      </c>
      <c r="F4032">
        <v>59</v>
      </c>
      <c r="G4032">
        <v>1501.55</v>
      </c>
      <c r="H4032" t="s">
        <v>12</v>
      </c>
      <c r="I4032" t="str">
        <f t="shared" si="187"/>
        <v>Low Value</v>
      </c>
      <c r="J4032" t="str">
        <f t="shared" si="188"/>
        <v>Low Risk</v>
      </c>
      <c r="K4032" s="3" t="str">
        <f t="shared" si="186"/>
        <v>4+ Years</v>
      </c>
    </row>
    <row r="4033" spans="1:11" x14ac:dyDescent="0.3">
      <c r="A4033" t="s">
        <v>4050</v>
      </c>
      <c r="B4033" t="s">
        <v>9</v>
      </c>
      <c r="C4033" t="s">
        <v>30</v>
      </c>
      <c r="D4033" t="s">
        <v>16</v>
      </c>
      <c r="E4033">
        <v>20.6</v>
      </c>
      <c r="F4033">
        <v>60</v>
      </c>
      <c r="G4033">
        <v>1236</v>
      </c>
      <c r="H4033" t="s">
        <v>12</v>
      </c>
      <c r="I4033" t="str">
        <f t="shared" si="187"/>
        <v>Low Value</v>
      </c>
      <c r="J4033" t="str">
        <f t="shared" si="188"/>
        <v>Low Risk</v>
      </c>
      <c r="K4033" s="3" t="str">
        <f t="shared" si="186"/>
        <v>4+ Years</v>
      </c>
    </row>
    <row r="4034" spans="1:11" x14ac:dyDescent="0.3">
      <c r="A4034" t="s">
        <v>4051</v>
      </c>
      <c r="B4034" t="s">
        <v>14</v>
      </c>
      <c r="C4034" t="s">
        <v>10</v>
      </c>
      <c r="D4034" t="s">
        <v>11</v>
      </c>
      <c r="E4034">
        <v>94.1</v>
      </c>
      <c r="F4034">
        <v>7</v>
      </c>
      <c r="G4034">
        <v>658.69999999999902</v>
      </c>
      <c r="H4034" t="s">
        <v>12</v>
      </c>
      <c r="I4034" t="str">
        <f t="shared" si="187"/>
        <v>Low Value</v>
      </c>
      <c r="J4034" t="str">
        <f t="shared" si="188"/>
        <v>High Risk</v>
      </c>
      <c r="K4034" s="3" t="str">
        <f t="shared" si="186"/>
        <v>0-1 Year</v>
      </c>
    </row>
    <row r="4035" spans="1:11" x14ac:dyDescent="0.3">
      <c r="A4035" t="s">
        <v>4052</v>
      </c>
      <c r="B4035" t="s">
        <v>14</v>
      </c>
      <c r="C4035" t="s">
        <v>15</v>
      </c>
      <c r="D4035" t="s">
        <v>16</v>
      </c>
      <c r="E4035">
        <v>34.799999999999997</v>
      </c>
      <c r="F4035">
        <v>59</v>
      </c>
      <c r="G4035">
        <v>2053.1999999999998</v>
      </c>
      <c r="H4035" t="s">
        <v>12</v>
      </c>
      <c r="I4035" t="str">
        <f t="shared" si="187"/>
        <v>Medium Value</v>
      </c>
      <c r="J4035" t="str">
        <f t="shared" si="188"/>
        <v>Low Risk</v>
      </c>
      <c r="K4035" s="3" t="str">
        <f t="shared" ref="K4035:K4098" si="189">IF(F4035&lt;=12,"0-1 Year",
IF(F4035&lt;=24,"1-2 Years",
IF(F4035&lt;=48,"2-4 Years","4+ Years")))</f>
        <v>4+ Years</v>
      </c>
    </row>
    <row r="4036" spans="1:11" x14ac:dyDescent="0.3">
      <c r="A4036" t="s">
        <v>4053</v>
      </c>
      <c r="B4036" t="s">
        <v>14</v>
      </c>
      <c r="C4036" t="s">
        <v>30</v>
      </c>
      <c r="D4036" t="s">
        <v>20</v>
      </c>
      <c r="E4036">
        <v>60.75</v>
      </c>
      <c r="F4036">
        <v>46</v>
      </c>
      <c r="G4036">
        <v>2794.5</v>
      </c>
      <c r="H4036" t="s">
        <v>12</v>
      </c>
      <c r="I4036" t="str">
        <f t="shared" ref="I4036:I4099" si="190">IF(G4036&gt;5000,"High Value",
IF(G4036&gt;2000,"Medium Value","Low Value"))</f>
        <v>Medium Value</v>
      </c>
      <c r="J4036" t="str">
        <f t="shared" ref="J4036:J4099" si="191">IF(F4036&lt;12,"High Risk",
IF(F4036&lt;24,"Medium Risk","Low Risk"))</f>
        <v>Low Risk</v>
      </c>
      <c r="K4036" s="3" t="str">
        <f t="shared" si="189"/>
        <v>2-4 Years</v>
      </c>
    </row>
    <row r="4037" spans="1:11" x14ac:dyDescent="0.3">
      <c r="A4037" t="s">
        <v>4054</v>
      </c>
      <c r="B4037" t="s">
        <v>14</v>
      </c>
      <c r="C4037" t="s">
        <v>10</v>
      </c>
      <c r="D4037" t="s">
        <v>11</v>
      </c>
      <c r="E4037">
        <v>51.35</v>
      </c>
      <c r="F4037">
        <v>5</v>
      </c>
      <c r="G4037">
        <v>256.75</v>
      </c>
      <c r="H4037" t="s">
        <v>12</v>
      </c>
      <c r="I4037" t="str">
        <f t="shared" si="190"/>
        <v>Low Value</v>
      </c>
      <c r="J4037" t="str">
        <f t="shared" si="191"/>
        <v>High Risk</v>
      </c>
      <c r="K4037" s="3" t="str">
        <f t="shared" si="189"/>
        <v>0-1 Year</v>
      </c>
    </row>
    <row r="4038" spans="1:11" x14ac:dyDescent="0.3">
      <c r="A4038" t="s">
        <v>4055</v>
      </c>
      <c r="B4038" t="s">
        <v>14</v>
      </c>
      <c r="C4038" t="s">
        <v>30</v>
      </c>
      <c r="D4038" t="s">
        <v>24</v>
      </c>
      <c r="E4038">
        <v>64.05</v>
      </c>
      <c r="F4038">
        <v>59</v>
      </c>
      <c r="G4038">
        <v>3778.95</v>
      </c>
      <c r="H4038" t="s">
        <v>12</v>
      </c>
      <c r="I4038" t="str">
        <f t="shared" si="190"/>
        <v>Medium Value</v>
      </c>
      <c r="J4038" t="str">
        <f t="shared" si="191"/>
        <v>Low Risk</v>
      </c>
      <c r="K4038" s="3" t="str">
        <f t="shared" si="189"/>
        <v>4+ Years</v>
      </c>
    </row>
    <row r="4039" spans="1:11" x14ac:dyDescent="0.3">
      <c r="A4039" t="s">
        <v>4056</v>
      </c>
      <c r="B4039" t="s">
        <v>9</v>
      </c>
      <c r="C4039" t="s">
        <v>30</v>
      </c>
      <c r="D4039" t="s">
        <v>20</v>
      </c>
      <c r="E4039">
        <v>84.8</v>
      </c>
      <c r="F4039">
        <v>70</v>
      </c>
      <c r="G4039">
        <v>5936</v>
      </c>
      <c r="H4039" t="s">
        <v>12</v>
      </c>
      <c r="I4039" t="str">
        <f t="shared" si="190"/>
        <v>High Value</v>
      </c>
      <c r="J4039" t="str">
        <f t="shared" si="191"/>
        <v>Low Risk</v>
      </c>
      <c r="K4039" s="3" t="str">
        <f t="shared" si="189"/>
        <v>4+ Years</v>
      </c>
    </row>
    <row r="4040" spans="1:11" x14ac:dyDescent="0.3">
      <c r="A4040" t="s">
        <v>4057</v>
      </c>
      <c r="B4040" t="s">
        <v>9</v>
      </c>
      <c r="C4040" t="s">
        <v>10</v>
      </c>
      <c r="D4040" t="s">
        <v>24</v>
      </c>
      <c r="E4040">
        <v>71</v>
      </c>
      <c r="F4040">
        <v>14</v>
      </c>
      <c r="G4040">
        <v>994</v>
      </c>
      <c r="H4040" t="s">
        <v>18</v>
      </c>
      <c r="I4040" t="str">
        <f t="shared" si="190"/>
        <v>Low Value</v>
      </c>
      <c r="J4040" t="str">
        <f t="shared" si="191"/>
        <v>Medium Risk</v>
      </c>
      <c r="K4040" s="3" t="str">
        <f t="shared" si="189"/>
        <v>1-2 Years</v>
      </c>
    </row>
    <row r="4041" spans="1:11" x14ac:dyDescent="0.3">
      <c r="A4041" t="s">
        <v>4058</v>
      </c>
      <c r="B4041" t="s">
        <v>9</v>
      </c>
      <c r="C4041" t="s">
        <v>10</v>
      </c>
      <c r="D4041" t="s">
        <v>16</v>
      </c>
      <c r="E4041">
        <v>50.15</v>
      </c>
      <c r="F4041">
        <v>44</v>
      </c>
      <c r="G4041">
        <v>2206.6</v>
      </c>
      <c r="H4041" t="s">
        <v>12</v>
      </c>
      <c r="I4041" t="str">
        <f t="shared" si="190"/>
        <v>Medium Value</v>
      </c>
      <c r="J4041" t="str">
        <f t="shared" si="191"/>
        <v>Low Risk</v>
      </c>
      <c r="K4041" s="3" t="str">
        <f t="shared" si="189"/>
        <v>2-4 Years</v>
      </c>
    </row>
    <row r="4042" spans="1:11" x14ac:dyDescent="0.3">
      <c r="A4042" t="s">
        <v>4059</v>
      </c>
      <c r="B4042" t="s">
        <v>9</v>
      </c>
      <c r="C4042" t="s">
        <v>30</v>
      </c>
      <c r="D4042" t="s">
        <v>24</v>
      </c>
      <c r="E4042">
        <v>94.6</v>
      </c>
      <c r="F4042">
        <v>64</v>
      </c>
      <c r="G4042">
        <v>6054.4</v>
      </c>
      <c r="H4042" t="s">
        <v>12</v>
      </c>
      <c r="I4042" t="str">
        <f t="shared" si="190"/>
        <v>High Value</v>
      </c>
      <c r="J4042" t="str">
        <f t="shared" si="191"/>
        <v>Low Risk</v>
      </c>
      <c r="K4042" s="3" t="str">
        <f t="shared" si="189"/>
        <v>4+ Years</v>
      </c>
    </row>
    <row r="4043" spans="1:11" x14ac:dyDescent="0.3">
      <c r="A4043" t="s">
        <v>4060</v>
      </c>
      <c r="B4043" t="s">
        <v>9</v>
      </c>
      <c r="C4043" t="s">
        <v>30</v>
      </c>
      <c r="D4043" t="s">
        <v>16</v>
      </c>
      <c r="E4043">
        <v>59.75</v>
      </c>
      <c r="F4043">
        <v>58</v>
      </c>
      <c r="G4043">
        <v>3465.5</v>
      </c>
      <c r="H4043" t="s">
        <v>12</v>
      </c>
      <c r="I4043" t="str">
        <f t="shared" si="190"/>
        <v>Medium Value</v>
      </c>
      <c r="J4043" t="str">
        <f t="shared" si="191"/>
        <v>Low Risk</v>
      </c>
      <c r="K4043" s="3" t="str">
        <f t="shared" si="189"/>
        <v>4+ Years</v>
      </c>
    </row>
    <row r="4044" spans="1:11" x14ac:dyDescent="0.3">
      <c r="A4044" t="s">
        <v>4061</v>
      </c>
      <c r="B4044" t="s">
        <v>9</v>
      </c>
      <c r="C4044" t="s">
        <v>15</v>
      </c>
      <c r="D4044" t="s">
        <v>11</v>
      </c>
      <c r="E4044">
        <v>100.25</v>
      </c>
      <c r="F4044">
        <v>46</v>
      </c>
      <c r="G4044">
        <v>4611.5</v>
      </c>
      <c r="H4044" t="s">
        <v>12</v>
      </c>
      <c r="I4044" t="str">
        <f t="shared" si="190"/>
        <v>Medium Value</v>
      </c>
      <c r="J4044" t="str">
        <f t="shared" si="191"/>
        <v>Low Risk</v>
      </c>
      <c r="K4044" s="3" t="str">
        <f t="shared" si="189"/>
        <v>2-4 Years</v>
      </c>
    </row>
    <row r="4045" spans="1:11" x14ac:dyDescent="0.3">
      <c r="A4045" t="s">
        <v>4062</v>
      </c>
      <c r="B4045" t="s">
        <v>14</v>
      </c>
      <c r="C4045" t="s">
        <v>10</v>
      </c>
      <c r="D4045" t="s">
        <v>11</v>
      </c>
      <c r="E4045">
        <v>98.9</v>
      </c>
      <c r="F4045">
        <v>58</v>
      </c>
      <c r="G4045">
        <v>5736.2</v>
      </c>
      <c r="H4045" t="s">
        <v>12</v>
      </c>
      <c r="I4045" t="str">
        <f t="shared" si="190"/>
        <v>High Value</v>
      </c>
      <c r="J4045" t="str">
        <f t="shared" si="191"/>
        <v>Low Risk</v>
      </c>
      <c r="K4045" s="3" t="str">
        <f t="shared" si="189"/>
        <v>4+ Years</v>
      </c>
    </row>
    <row r="4046" spans="1:11" x14ac:dyDescent="0.3">
      <c r="A4046" t="s">
        <v>4063</v>
      </c>
      <c r="B4046" t="s">
        <v>9</v>
      </c>
      <c r="C4046" t="s">
        <v>30</v>
      </c>
      <c r="D4046" t="s">
        <v>24</v>
      </c>
      <c r="E4046">
        <v>97.7</v>
      </c>
      <c r="F4046">
        <v>72</v>
      </c>
      <c r="G4046">
        <v>7034.4</v>
      </c>
      <c r="H4046" t="s">
        <v>12</v>
      </c>
      <c r="I4046" t="str">
        <f t="shared" si="190"/>
        <v>High Value</v>
      </c>
      <c r="J4046" t="str">
        <f t="shared" si="191"/>
        <v>Low Risk</v>
      </c>
      <c r="K4046" s="3" t="str">
        <f t="shared" si="189"/>
        <v>4+ Years</v>
      </c>
    </row>
    <row r="4047" spans="1:11" x14ac:dyDescent="0.3">
      <c r="A4047" t="s">
        <v>4064</v>
      </c>
      <c r="B4047" t="s">
        <v>9</v>
      </c>
      <c r="C4047" t="s">
        <v>10</v>
      </c>
      <c r="D4047" t="s">
        <v>11</v>
      </c>
      <c r="E4047">
        <v>40.299999999999997</v>
      </c>
      <c r="F4047">
        <v>30</v>
      </c>
      <c r="G4047">
        <v>1209</v>
      </c>
      <c r="H4047" t="s">
        <v>18</v>
      </c>
      <c r="I4047" t="str">
        <f t="shared" si="190"/>
        <v>Low Value</v>
      </c>
      <c r="J4047" t="str">
        <f t="shared" si="191"/>
        <v>Low Risk</v>
      </c>
      <c r="K4047" s="3" t="str">
        <f t="shared" si="189"/>
        <v>2-4 Years</v>
      </c>
    </row>
    <row r="4048" spans="1:11" x14ac:dyDescent="0.3">
      <c r="A4048" t="s">
        <v>4065</v>
      </c>
      <c r="B4048" t="s">
        <v>14</v>
      </c>
      <c r="C4048" t="s">
        <v>10</v>
      </c>
      <c r="D4048" t="s">
        <v>20</v>
      </c>
      <c r="E4048">
        <v>60.25</v>
      </c>
      <c r="F4048">
        <v>11</v>
      </c>
      <c r="G4048">
        <v>662.75</v>
      </c>
      <c r="H4048" t="s">
        <v>12</v>
      </c>
      <c r="I4048" t="str">
        <f t="shared" si="190"/>
        <v>Low Value</v>
      </c>
      <c r="J4048" t="str">
        <f t="shared" si="191"/>
        <v>High Risk</v>
      </c>
      <c r="K4048" s="3" t="str">
        <f t="shared" si="189"/>
        <v>0-1 Year</v>
      </c>
    </row>
    <row r="4049" spans="1:11" x14ac:dyDescent="0.3">
      <c r="A4049" t="s">
        <v>4066</v>
      </c>
      <c r="B4049" t="s">
        <v>9</v>
      </c>
      <c r="C4049" t="s">
        <v>10</v>
      </c>
      <c r="D4049" t="s">
        <v>11</v>
      </c>
      <c r="E4049">
        <v>56.25</v>
      </c>
      <c r="F4049">
        <v>34</v>
      </c>
      <c r="G4049">
        <v>1912.5</v>
      </c>
      <c r="H4049" t="s">
        <v>12</v>
      </c>
      <c r="I4049" t="str">
        <f t="shared" si="190"/>
        <v>Low Value</v>
      </c>
      <c r="J4049" t="str">
        <f t="shared" si="191"/>
        <v>Low Risk</v>
      </c>
      <c r="K4049" s="3" t="str">
        <f t="shared" si="189"/>
        <v>2-4 Years</v>
      </c>
    </row>
    <row r="4050" spans="1:11" x14ac:dyDescent="0.3">
      <c r="A4050" t="s">
        <v>4067</v>
      </c>
      <c r="B4050" t="s">
        <v>14</v>
      </c>
      <c r="C4050" t="s">
        <v>30</v>
      </c>
      <c r="D4050" t="s">
        <v>20</v>
      </c>
      <c r="E4050">
        <v>46.2</v>
      </c>
      <c r="F4050">
        <v>54</v>
      </c>
      <c r="G4050">
        <v>2494.8000000000002</v>
      </c>
      <c r="H4050" t="s">
        <v>12</v>
      </c>
      <c r="I4050" t="str">
        <f t="shared" si="190"/>
        <v>Medium Value</v>
      </c>
      <c r="J4050" t="str">
        <f t="shared" si="191"/>
        <v>Low Risk</v>
      </c>
      <c r="K4050" s="3" t="str">
        <f t="shared" si="189"/>
        <v>4+ Years</v>
      </c>
    </row>
    <row r="4051" spans="1:11" x14ac:dyDescent="0.3">
      <c r="A4051" t="s">
        <v>4068</v>
      </c>
      <c r="B4051" t="s">
        <v>9</v>
      </c>
      <c r="C4051" t="s">
        <v>10</v>
      </c>
      <c r="D4051" t="s">
        <v>11</v>
      </c>
      <c r="E4051">
        <v>50.6</v>
      </c>
      <c r="F4051">
        <v>3</v>
      </c>
      <c r="G4051">
        <v>151.80000000000001</v>
      </c>
      <c r="H4051" t="s">
        <v>18</v>
      </c>
      <c r="I4051" t="str">
        <f t="shared" si="190"/>
        <v>Low Value</v>
      </c>
      <c r="J4051" t="str">
        <f t="shared" si="191"/>
        <v>High Risk</v>
      </c>
      <c r="K4051" s="3" t="str">
        <f t="shared" si="189"/>
        <v>0-1 Year</v>
      </c>
    </row>
    <row r="4052" spans="1:11" x14ac:dyDescent="0.3">
      <c r="A4052" t="s">
        <v>4069</v>
      </c>
      <c r="B4052" t="s">
        <v>9</v>
      </c>
      <c r="C4052" t="s">
        <v>30</v>
      </c>
      <c r="D4052" t="s">
        <v>16</v>
      </c>
      <c r="E4052">
        <v>24.9</v>
      </c>
      <c r="F4052">
        <v>72</v>
      </c>
      <c r="G4052">
        <v>1792.8</v>
      </c>
      <c r="H4052" t="s">
        <v>12</v>
      </c>
      <c r="I4052" t="str">
        <f t="shared" si="190"/>
        <v>Low Value</v>
      </c>
      <c r="J4052" t="str">
        <f t="shared" si="191"/>
        <v>Low Risk</v>
      </c>
      <c r="K4052" s="3" t="str">
        <f t="shared" si="189"/>
        <v>4+ Years</v>
      </c>
    </row>
    <row r="4053" spans="1:11" x14ac:dyDescent="0.3">
      <c r="A4053" t="s">
        <v>4070</v>
      </c>
      <c r="B4053" t="s">
        <v>9</v>
      </c>
      <c r="C4053" t="s">
        <v>10</v>
      </c>
      <c r="D4053" t="s">
        <v>11</v>
      </c>
      <c r="E4053">
        <v>84.85</v>
      </c>
      <c r="F4053">
        <v>40</v>
      </c>
      <c r="G4053">
        <v>3394</v>
      </c>
      <c r="H4053" t="s">
        <v>18</v>
      </c>
      <c r="I4053" t="str">
        <f t="shared" si="190"/>
        <v>Medium Value</v>
      </c>
      <c r="J4053" t="str">
        <f t="shared" si="191"/>
        <v>Low Risk</v>
      </c>
      <c r="K4053" s="3" t="str">
        <f t="shared" si="189"/>
        <v>2-4 Years</v>
      </c>
    </row>
    <row r="4054" spans="1:11" x14ac:dyDescent="0.3">
      <c r="A4054" t="s">
        <v>4071</v>
      </c>
      <c r="B4054" t="s">
        <v>9</v>
      </c>
      <c r="C4054" t="s">
        <v>10</v>
      </c>
      <c r="D4054" t="s">
        <v>16</v>
      </c>
      <c r="E4054">
        <v>65.7</v>
      </c>
      <c r="F4054">
        <v>2</v>
      </c>
      <c r="G4054">
        <v>131.4</v>
      </c>
      <c r="H4054" t="s">
        <v>18</v>
      </c>
      <c r="I4054" t="str">
        <f t="shared" si="190"/>
        <v>Low Value</v>
      </c>
      <c r="J4054" t="str">
        <f t="shared" si="191"/>
        <v>High Risk</v>
      </c>
      <c r="K4054" s="3" t="str">
        <f t="shared" si="189"/>
        <v>0-1 Year</v>
      </c>
    </row>
    <row r="4055" spans="1:11" x14ac:dyDescent="0.3">
      <c r="A4055" t="s">
        <v>4072</v>
      </c>
      <c r="B4055" t="s">
        <v>14</v>
      </c>
      <c r="C4055" t="s">
        <v>30</v>
      </c>
      <c r="D4055" t="s">
        <v>24</v>
      </c>
      <c r="E4055">
        <v>63.35</v>
      </c>
      <c r="F4055">
        <v>54</v>
      </c>
      <c r="G4055">
        <v>3420.9</v>
      </c>
      <c r="H4055" t="s">
        <v>12</v>
      </c>
      <c r="I4055" t="str">
        <f t="shared" si="190"/>
        <v>Medium Value</v>
      </c>
      <c r="J4055" t="str">
        <f t="shared" si="191"/>
        <v>Low Risk</v>
      </c>
      <c r="K4055" s="3" t="str">
        <f t="shared" si="189"/>
        <v>4+ Years</v>
      </c>
    </row>
    <row r="4056" spans="1:11" x14ac:dyDescent="0.3">
      <c r="A4056" t="s">
        <v>4073</v>
      </c>
      <c r="B4056" t="s">
        <v>9</v>
      </c>
      <c r="C4056" t="s">
        <v>10</v>
      </c>
      <c r="D4056" t="s">
        <v>20</v>
      </c>
      <c r="E4056">
        <v>50.1</v>
      </c>
      <c r="F4056">
        <v>14</v>
      </c>
      <c r="G4056">
        <v>701.4</v>
      </c>
      <c r="H4056" t="s">
        <v>12</v>
      </c>
      <c r="I4056" t="str">
        <f t="shared" si="190"/>
        <v>Low Value</v>
      </c>
      <c r="J4056" t="str">
        <f t="shared" si="191"/>
        <v>Medium Risk</v>
      </c>
      <c r="K4056" s="3" t="str">
        <f t="shared" si="189"/>
        <v>1-2 Years</v>
      </c>
    </row>
    <row r="4057" spans="1:11" x14ac:dyDescent="0.3">
      <c r="A4057" t="s">
        <v>4074</v>
      </c>
      <c r="B4057" t="s">
        <v>9</v>
      </c>
      <c r="C4057" t="s">
        <v>10</v>
      </c>
      <c r="D4057" t="s">
        <v>11</v>
      </c>
      <c r="E4057">
        <v>70.5</v>
      </c>
      <c r="F4057">
        <v>1</v>
      </c>
      <c r="G4057">
        <v>70.5</v>
      </c>
      <c r="H4057" t="s">
        <v>18</v>
      </c>
      <c r="I4057" t="str">
        <f t="shared" si="190"/>
        <v>Low Value</v>
      </c>
      <c r="J4057" t="str">
        <f t="shared" si="191"/>
        <v>High Risk</v>
      </c>
      <c r="K4057" s="3" t="str">
        <f t="shared" si="189"/>
        <v>0-1 Year</v>
      </c>
    </row>
    <row r="4058" spans="1:11" x14ac:dyDescent="0.3">
      <c r="A4058" t="s">
        <v>4075</v>
      </c>
      <c r="B4058" t="s">
        <v>9</v>
      </c>
      <c r="C4058" t="s">
        <v>10</v>
      </c>
      <c r="D4058" t="s">
        <v>11</v>
      </c>
      <c r="E4058">
        <v>94.85</v>
      </c>
      <c r="F4058">
        <v>10</v>
      </c>
      <c r="G4058">
        <v>948.5</v>
      </c>
      <c r="H4058" t="s">
        <v>18</v>
      </c>
      <c r="I4058" t="str">
        <f t="shared" si="190"/>
        <v>Low Value</v>
      </c>
      <c r="J4058" t="str">
        <f t="shared" si="191"/>
        <v>High Risk</v>
      </c>
      <c r="K4058" s="3" t="str">
        <f t="shared" si="189"/>
        <v>0-1 Year</v>
      </c>
    </row>
    <row r="4059" spans="1:11" x14ac:dyDescent="0.3">
      <c r="A4059" t="s">
        <v>4076</v>
      </c>
      <c r="B4059" t="s">
        <v>9</v>
      </c>
      <c r="C4059" t="s">
        <v>10</v>
      </c>
      <c r="D4059" t="s">
        <v>11</v>
      </c>
      <c r="E4059">
        <v>50.15</v>
      </c>
      <c r="F4059">
        <v>1</v>
      </c>
      <c r="G4059">
        <v>50.15</v>
      </c>
      <c r="H4059" t="s">
        <v>12</v>
      </c>
      <c r="I4059" t="str">
        <f t="shared" si="190"/>
        <v>Low Value</v>
      </c>
      <c r="J4059" t="str">
        <f t="shared" si="191"/>
        <v>High Risk</v>
      </c>
      <c r="K4059" s="3" t="str">
        <f t="shared" si="189"/>
        <v>0-1 Year</v>
      </c>
    </row>
    <row r="4060" spans="1:11" x14ac:dyDescent="0.3">
      <c r="A4060" t="s">
        <v>4077</v>
      </c>
      <c r="B4060" t="s">
        <v>14</v>
      </c>
      <c r="C4060" t="s">
        <v>10</v>
      </c>
      <c r="D4060" t="s">
        <v>16</v>
      </c>
      <c r="E4060">
        <v>19.75</v>
      </c>
      <c r="F4060">
        <v>1</v>
      </c>
      <c r="G4060">
        <v>19.75</v>
      </c>
      <c r="H4060" t="s">
        <v>18</v>
      </c>
      <c r="I4060" t="str">
        <f t="shared" si="190"/>
        <v>Low Value</v>
      </c>
      <c r="J4060" t="str">
        <f t="shared" si="191"/>
        <v>High Risk</v>
      </c>
      <c r="K4060" s="3" t="str">
        <f t="shared" si="189"/>
        <v>0-1 Year</v>
      </c>
    </row>
    <row r="4061" spans="1:11" x14ac:dyDescent="0.3">
      <c r="A4061" t="s">
        <v>4078</v>
      </c>
      <c r="B4061" t="s">
        <v>14</v>
      </c>
      <c r="C4061" t="s">
        <v>15</v>
      </c>
      <c r="D4061" t="s">
        <v>20</v>
      </c>
      <c r="E4061">
        <v>64.650000000000006</v>
      </c>
      <c r="F4061">
        <v>56</v>
      </c>
      <c r="G4061">
        <v>3620.4</v>
      </c>
      <c r="H4061" t="s">
        <v>12</v>
      </c>
      <c r="I4061" t="str">
        <f t="shared" si="190"/>
        <v>Medium Value</v>
      </c>
      <c r="J4061" t="str">
        <f t="shared" si="191"/>
        <v>Low Risk</v>
      </c>
      <c r="K4061" s="3" t="str">
        <f t="shared" si="189"/>
        <v>4+ Years</v>
      </c>
    </row>
    <row r="4062" spans="1:11" x14ac:dyDescent="0.3">
      <c r="A4062" t="s">
        <v>4079</v>
      </c>
      <c r="B4062" t="s">
        <v>9</v>
      </c>
      <c r="C4062" t="s">
        <v>30</v>
      </c>
      <c r="D4062" t="s">
        <v>20</v>
      </c>
      <c r="E4062">
        <v>79.599999999999994</v>
      </c>
      <c r="F4062">
        <v>68</v>
      </c>
      <c r="G4062">
        <v>5412.7999999999902</v>
      </c>
      <c r="H4062" t="s">
        <v>12</v>
      </c>
      <c r="I4062" t="str">
        <f t="shared" si="190"/>
        <v>High Value</v>
      </c>
      <c r="J4062" t="str">
        <f t="shared" si="191"/>
        <v>Low Risk</v>
      </c>
      <c r="K4062" s="3" t="str">
        <f t="shared" si="189"/>
        <v>4+ Years</v>
      </c>
    </row>
    <row r="4063" spans="1:11" x14ac:dyDescent="0.3">
      <c r="A4063" t="s">
        <v>4080</v>
      </c>
      <c r="B4063" t="s">
        <v>9</v>
      </c>
      <c r="C4063" t="s">
        <v>15</v>
      </c>
      <c r="D4063" t="s">
        <v>16</v>
      </c>
      <c r="E4063">
        <v>19.5</v>
      </c>
      <c r="F4063">
        <v>14</v>
      </c>
      <c r="G4063">
        <v>273</v>
      </c>
      <c r="H4063" t="s">
        <v>12</v>
      </c>
      <c r="I4063" t="str">
        <f t="shared" si="190"/>
        <v>Low Value</v>
      </c>
      <c r="J4063" t="str">
        <f t="shared" si="191"/>
        <v>Medium Risk</v>
      </c>
      <c r="K4063" s="3" t="str">
        <f t="shared" si="189"/>
        <v>1-2 Years</v>
      </c>
    </row>
    <row r="4064" spans="1:11" x14ac:dyDescent="0.3">
      <c r="A4064" t="s">
        <v>4081</v>
      </c>
      <c r="B4064" t="s">
        <v>14</v>
      </c>
      <c r="C4064" t="s">
        <v>30</v>
      </c>
      <c r="D4064" t="s">
        <v>11</v>
      </c>
      <c r="E4064">
        <v>99.55</v>
      </c>
      <c r="F4064">
        <v>68</v>
      </c>
      <c r="G4064">
        <v>6769.4</v>
      </c>
      <c r="H4064" t="s">
        <v>12</v>
      </c>
      <c r="I4064" t="str">
        <f t="shared" si="190"/>
        <v>High Value</v>
      </c>
      <c r="J4064" t="str">
        <f t="shared" si="191"/>
        <v>Low Risk</v>
      </c>
      <c r="K4064" s="3" t="str">
        <f t="shared" si="189"/>
        <v>4+ Years</v>
      </c>
    </row>
    <row r="4065" spans="1:11" x14ac:dyDescent="0.3">
      <c r="A4065" t="s">
        <v>4082</v>
      </c>
      <c r="B4065" t="s">
        <v>14</v>
      </c>
      <c r="C4065" t="s">
        <v>10</v>
      </c>
      <c r="D4065" t="s">
        <v>11</v>
      </c>
      <c r="E4065">
        <v>74</v>
      </c>
      <c r="F4065">
        <v>55</v>
      </c>
      <c r="G4065">
        <v>4070</v>
      </c>
      <c r="H4065" t="s">
        <v>12</v>
      </c>
      <c r="I4065" t="str">
        <f t="shared" si="190"/>
        <v>Medium Value</v>
      </c>
      <c r="J4065" t="str">
        <f t="shared" si="191"/>
        <v>Low Risk</v>
      </c>
      <c r="K4065" s="3" t="str">
        <f t="shared" si="189"/>
        <v>4+ Years</v>
      </c>
    </row>
    <row r="4066" spans="1:11" x14ac:dyDescent="0.3">
      <c r="A4066" t="s">
        <v>4083</v>
      </c>
      <c r="B4066" t="s">
        <v>9</v>
      </c>
      <c r="C4066" t="s">
        <v>10</v>
      </c>
      <c r="D4066" t="s">
        <v>11</v>
      </c>
      <c r="E4066">
        <v>38.9</v>
      </c>
      <c r="F4066">
        <v>16</v>
      </c>
      <c r="G4066">
        <v>622.4</v>
      </c>
      <c r="H4066" t="s">
        <v>12</v>
      </c>
      <c r="I4066" t="str">
        <f t="shared" si="190"/>
        <v>Low Value</v>
      </c>
      <c r="J4066" t="str">
        <f t="shared" si="191"/>
        <v>Medium Risk</v>
      </c>
      <c r="K4066" s="3" t="str">
        <f t="shared" si="189"/>
        <v>1-2 Years</v>
      </c>
    </row>
    <row r="4067" spans="1:11" x14ac:dyDescent="0.3">
      <c r="A4067" t="s">
        <v>4084</v>
      </c>
      <c r="B4067" t="s">
        <v>14</v>
      </c>
      <c r="C4067" t="s">
        <v>10</v>
      </c>
      <c r="D4067" t="s">
        <v>11</v>
      </c>
      <c r="E4067">
        <v>79.55</v>
      </c>
      <c r="F4067">
        <v>9</v>
      </c>
      <c r="G4067">
        <v>715.94999999999902</v>
      </c>
      <c r="H4067" t="s">
        <v>12</v>
      </c>
      <c r="I4067" t="str">
        <f t="shared" si="190"/>
        <v>Low Value</v>
      </c>
      <c r="J4067" t="str">
        <f t="shared" si="191"/>
        <v>High Risk</v>
      </c>
      <c r="K4067" s="3" t="str">
        <f t="shared" si="189"/>
        <v>0-1 Year</v>
      </c>
    </row>
    <row r="4068" spans="1:11" x14ac:dyDescent="0.3">
      <c r="A4068" t="s">
        <v>4085</v>
      </c>
      <c r="B4068" t="s">
        <v>14</v>
      </c>
      <c r="C4068" t="s">
        <v>10</v>
      </c>
      <c r="D4068" t="s">
        <v>11</v>
      </c>
      <c r="E4068">
        <v>65.45</v>
      </c>
      <c r="F4068">
        <v>14</v>
      </c>
      <c r="G4068">
        <v>916.3</v>
      </c>
      <c r="H4068" t="s">
        <v>18</v>
      </c>
      <c r="I4068" t="str">
        <f t="shared" si="190"/>
        <v>Low Value</v>
      </c>
      <c r="J4068" t="str">
        <f t="shared" si="191"/>
        <v>Medium Risk</v>
      </c>
      <c r="K4068" s="3" t="str">
        <f t="shared" si="189"/>
        <v>1-2 Years</v>
      </c>
    </row>
    <row r="4069" spans="1:11" x14ac:dyDescent="0.3">
      <c r="A4069" t="s">
        <v>4086</v>
      </c>
      <c r="B4069" t="s">
        <v>14</v>
      </c>
      <c r="C4069" t="s">
        <v>10</v>
      </c>
      <c r="D4069" t="s">
        <v>11</v>
      </c>
      <c r="E4069">
        <v>98.7</v>
      </c>
      <c r="F4069">
        <v>58</v>
      </c>
      <c r="G4069">
        <v>5724.6</v>
      </c>
      <c r="H4069" t="s">
        <v>18</v>
      </c>
      <c r="I4069" t="str">
        <f t="shared" si="190"/>
        <v>High Value</v>
      </c>
      <c r="J4069" t="str">
        <f t="shared" si="191"/>
        <v>Low Risk</v>
      </c>
      <c r="K4069" s="3" t="str">
        <f t="shared" si="189"/>
        <v>4+ Years</v>
      </c>
    </row>
    <row r="4070" spans="1:11" x14ac:dyDescent="0.3">
      <c r="A4070" t="s">
        <v>4087</v>
      </c>
      <c r="B4070" t="s">
        <v>14</v>
      </c>
      <c r="C4070" t="s">
        <v>10</v>
      </c>
      <c r="D4070" t="s">
        <v>20</v>
      </c>
      <c r="E4070">
        <v>46.3</v>
      </c>
      <c r="F4070">
        <v>53</v>
      </c>
      <c r="G4070">
        <v>2453.8999999999901</v>
      </c>
      <c r="H4070" t="s">
        <v>12</v>
      </c>
      <c r="I4070" t="str">
        <f t="shared" si="190"/>
        <v>Medium Value</v>
      </c>
      <c r="J4070" t="str">
        <f t="shared" si="191"/>
        <v>Low Risk</v>
      </c>
      <c r="K4070" s="3" t="str">
        <f t="shared" si="189"/>
        <v>4+ Years</v>
      </c>
    </row>
    <row r="4071" spans="1:11" x14ac:dyDescent="0.3">
      <c r="A4071" t="s">
        <v>4088</v>
      </c>
      <c r="B4071" t="s">
        <v>14</v>
      </c>
      <c r="C4071" t="s">
        <v>30</v>
      </c>
      <c r="D4071" t="s">
        <v>24</v>
      </c>
      <c r="E4071">
        <v>99.35</v>
      </c>
      <c r="F4071">
        <v>70</v>
      </c>
      <c r="G4071">
        <v>6954.5</v>
      </c>
      <c r="H4071" t="s">
        <v>12</v>
      </c>
      <c r="I4071" t="str">
        <f t="shared" si="190"/>
        <v>High Value</v>
      </c>
      <c r="J4071" t="str">
        <f t="shared" si="191"/>
        <v>Low Risk</v>
      </c>
      <c r="K4071" s="3" t="str">
        <f t="shared" si="189"/>
        <v>4+ Years</v>
      </c>
    </row>
    <row r="4072" spans="1:11" x14ac:dyDescent="0.3">
      <c r="A4072" t="s">
        <v>4089</v>
      </c>
      <c r="B4072" t="s">
        <v>9</v>
      </c>
      <c r="C4072" t="s">
        <v>10</v>
      </c>
      <c r="D4072" t="s">
        <v>11</v>
      </c>
      <c r="E4072">
        <v>95.8</v>
      </c>
      <c r="F4072">
        <v>14</v>
      </c>
      <c r="G4072">
        <v>1341.2</v>
      </c>
      <c r="H4072" t="s">
        <v>12</v>
      </c>
      <c r="I4072" t="str">
        <f t="shared" si="190"/>
        <v>Low Value</v>
      </c>
      <c r="J4072" t="str">
        <f t="shared" si="191"/>
        <v>Medium Risk</v>
      </c>
      <c r="K4072" s="3" t="str">
        <f t="shared" si="189"/>
        <v>1-2 Years</v>
      </c>
    </row>
    <row r="4073" spans="1:11" x14ac:dyDescent="0.3">
      <c r="A4073" t="s">
        <v>4090</v>
      </c>
      <c r="B4073" t="s">
        <v>14</v>
      </c>
      <c r="C4073" t="s">
        <v>15</v>
      </c>
      <c r="D4073" t="s">
        <v>20</v>
      </c>
      <c r="E4073">
        <v>67.5</v>
      </c>
      <c r="F4073">
        <v>22</v>
      </c>
      <c r="G4073">
        <v>1485</v>
      </c>
      <c r="H4073" t="s">
        <v>18</v>
      </c>
      <c r="I4073" t="str">
        <f t="shared" si="190"/>
        <v>Low Value</v>
      </c>
      <c r="J4073" t="str">
        <f t="shared" si="191"/>
        <v>Medium Risk</v>
      </c>
      <c r="K4073" s="3" t="str">
        <f t="shared" si="189"/>
        <v>1-2 Years</v>
      </c>
    </row>
    <row r="4074" spans="1:11" x14ac:dyDescent="0.3">
      <c r="A4074" t="s">
        <v>4091</v>
      </c>
      <c r="B4074" t="s">
        <v>9</v>
      </c>
      <c r="C4074" t="s">
        <v>10</v>
      </c>
      <c r="D4074" t="s">
        <v>24</v>
      </c>
      <c r="E4074">
        <v>78.150000000000006</v>
      </c>
      <c r="F4074">
        <v>10</v>
      </c>
      <c r="G4074">
        <v>781.5</v>
      </c>
      <c r="H4074" t="s">
        <v>12</v>
      </c>
      <c r="I4074" t="str">
        <f t="shared" si="190"/>
        <v>Low Value</v>
      </c>
      <c r="J4074" t="str">
        <f t="shared" si="191"/>
        <v>High Risk</v>
      </c>
      <c r="K4074" s="3" t="str">
        <f t="shared" si="189"/>
        <v>0-1 Year</v>
      </c>
    </row>
    <row r="4075" spans="1:11" x14ac:dyDescent="0.3">
      <c r="A4075" t="s">
        <v>4092</v>
      </c>
      <c r="B4075" t="s">
        <v>9</v>
      </c>
      <c r="C4075" t="s">
        <v>30</v>
      </c>
      <c r="D4075" t="s">
        <v>16</v>
      </c>
      <c r="E4075">
        <v>26.1</v>
      </c>
      <c r="F4075">
        <v>29</v>
      </c>
      <c r="G4075">
        <v>756.9</v>
      </c>
      <c r="H4075" t="s">
        <v>12</v>
      </c>
      <c r="I4075" t="str">
        <f t="shared" si="190"/>
        <v>Low Value</v>
      </c>
      <c r="J4075" t="str">
        <f t="shared" si="191"/>
        <v>Low Risk</v>
      </c>
      <c r="K4075" s="3" t="str">
        <f t="shared" si="189"/>
        <v>2-4 Years</v>
      </c>
    </row>
    <row r="4076" spans="1:11" x14ac:dyDescent="0.3">
      <c r="A4076" t="s">
        <v>4093</v>
      </c>
      <c r="B4076" t="s">
        <v>9</v>
      </c>
      <c r="C4076" t="s">
        <v>10</v>
      </c>
      <c r="D4076" t="s">
        <v>11</v>
      </c>
      <c r="E4076">
        <v>69.599999999999994</v>
      </c>
      <c r="F4076">
        <v>1</v>
      </c>
      <c r="G4076">
        <v>69.599999999999994</v>
      </c>
      <c r="H4076" t="s">
        <v>18</v>
      </c>
      <c r="I4076" t="str">
        <f t="shared" si="190"/>
        <v>Low Value</v>
      </c>
      <c r="J4076" t="str">
        <f t="shared" si="191"/>
        <v>High Risk</v>
      </c>
      <c r="K4076" s="3" t="str">
        <f t="shared" si="189"/>
        <v>0-1 Year</v>
      </c>
    </row>
    <row r="4077" spans="1:11" x14ac:dyDescent="0.3">
      <c r="A4077" t="s">
        <v>4094</v>
      </c>
      <c r="B4077" t="s">
        <v>14</v>
      </c>
      <c r="C4077" t="s">
        <v>15</v>
      </c>
      <c r="D4077" t="s">
        <v>11</v>
      </c>
      <c r="E4077">
        <v>84.35</v>
      </c>
      <c r="F4077">
        <v>49</v>
      </c>
      <c r="G4077">
        <v>4133.1499999999996</v>
      </c>
      <c r="H4077" t="s">
        <v>18</v>
      </c>
      <c r="I4077" t="str">
        <f t="shared" si="190"/>
        <v>Medium Value</v>
      </c>
      <c r="J4077" t="str">
        <f t="shared" si="191"/>
        <v>Low Risk</v>
      </c>
      <c r="K4077" s="3" t="str">
        <f t="shared" si="189"/>
        <v>4+ Years</v>
      </c>
    </row>
    <row r="4078" spans="1:11" x14ac:dyDescent="0.3">
      <c r="A4078" t="s">
        <v>4095</v>
      </c>
      <c r="B4078" t="s">
        <v>9</v>
      </c>
      <c r="C4078" t="s">
        <v>10</v>
      </c>
      <c r="D4078" t="s">
        <v>11</v>
      </c>
      <c r="E4078">
        <v>100.2</v>
      </c>
      <c r="F4078">
        <v>68</v>
      </c>
      <c r="G4078">
        <v>6813.6</v>
      </c>
      <c r="H4078" t="s">
        <v>18</v>
      </c>
      <c r="I4078" t="str">
        <f t="shared" si="190"/>
        <v>High Value</v>
      </c>
      <c r="J4078" t="str">
        <f t="shared" si="191"/>
        <v>Low Risk</v>
      </c>
      <c r="K4078" s="3" t="str">
        <f t="shared" si="189"/>
        <v>4+ Years</v>
      </c>
    </row>
    <row r="4079" spans="1:11" x14ac:dyDescent="0.3">
      <c r="A4079" t="s">
        <v>4096</v>
      </c>
      <c r="B4079" t="s">
        <v>9</v>
      </c>
      <c r="C4079" t="s">
        <v>10</v>
      </c>
      <c r="D4079" t="s">
        <v>11</v>
      </c>
      <c r="E4079">
        <v>78.05</v>
      </c>
      <c r="F4079">
        <v>1</v>
      </c>
      <c r="G4079">
        <v>78.05</v>
      </c>
      <c r="H4079" t="s">
        <v>18</v>
      </c>
      <c r="I4079" t="str">
        <f t="shared" si="190"/>
        <v>Low Value</v>
      </c>
      <c r="J4079" t="str">
        <f t="shared" si="191"/>
        <v>High Risk</v>
      </c>
      <c r="K4079" s="3" t="str">
        <f t="shared" si="189"/>
        <v>0-1 Year</v>
      </c>
    </row>
    <row r="4080" spans="1:11" x14ac:dyDescent="0.3">
      <c r="A4080" t="s">
        <v>4097</v>
      </c>
      <c r="B4080" t="s">
        <v>9</v>
      </c>
      <c r="C4080" t="s">
        <v>15</v>
      </c>
      <c r="D4080" t="s">
        <v>24</v>
      </c>
      <c r="E4080">
        <v>40.35</v>
      </c>
      <c r="F4080">
        <v>30</v>
      </c>
      <c r="G4080">
        <v>1210.5</v>
      </c>
      <c r="H4080" t="s">
        <v>12</v>
      </c>
      <c r="I4080" t="str">
        <f t="shared" si="190"/>
        <v>Low Value</v>
      </c>
      <c r="J4080" t="str">
        <f t="shared" si="191"/>
        <v>Low Risk</v>
      </c>
      <c r="K4080" s="3" t="str">
        <f t="shared" si="189"/>
        <v>2-4 Years</v>
      </c>
    </row>
    <row r="4081" spans="1:11" x14ac:dyDescent="0.3">
      <c r="A4081" t="s">
        <v>4098</v>
      </c>
      <c r="B4081" t="s">
        <v>9</v>
      </c>
      <c r="C4081" t="s">
        <v>30</v>
      </c>
      <c r="D4081" t="s">
        <v>24</v>
      </c>
      <c r="E4081">
        <v>79.2</v>
      </c>
      <c r="F4081">
        <v>72</v>
      </c>
      <c r="G4081">
        <v>5702.4</v>
      </c>
      <c r="H4081" t="s">
        <v>12</v>
      </c>
      <c r="I4081" t="str">
        <f t="shared" si="190"/>
        <v>High Value</v>
      </c>
      <c r="J4081" t="str">
        <f t="shared" si="191"/>
        <v>Low Risk</v>
      </c>
      <c r="K4081" s="3" t="str">
        <f t="shared" si="189"/>
        <v>4+ Years</v>
      </c>
    </row>
    <row r="4082" spans="1:11" x14ac:dyDescent="0.3">
      <c r="A4082" t="s">
        <v>4099</v>
      </c>
      <c r="B4082" t="s">
        <v>9</v>
      </c>
      <c r="C4082" t="s">
        <v>10</v>
      </c>
      <c r="D4082" t="s">
        <v>16</v>
      </c>
      <c r="E4082">
        <v>20.9</v>
      </c>
      <c r="F4082">
        <v>10</v>
      </c>
      <c r="G4082">
        <v>209</v>
      </c>
      <c r="H4082" t="s">
        <v>12</v>
      </c>
      <c r="I4082" t="str">
        <f t="shared" si="190"/>
        <v>Low Value</v>
      </c>
      <c r="J4082" t="str">
        <f t="shared" si="191"/>
        <v>High Risk</v>
      </c>
      <c r="K4082" s="3" t="str">
        <f t="shared" si="189"/>
        <v>0-1 Year</v>
      </c>
    </row>
    <row r="4083" spans="1:11" x14ac:dyDescent="0.3">
      <c r="A4083" t="s">
        <v>4100</v>
      </c>
      <c r="B4083" t="s">
        <v>14</v>
      </c>
      <c r="C4083" t="s">
        <v>10</v>
      </c>
      <c r="D4083" t="s">
        <v>11</v>
      </c>
      <c r="E4083">
        <v>73.599999999999994</v>
      </c>
      <c r="F4083">
        <v>7</v>
      </c>
      <c r="G4083">
        <v>515.19999999999902</v>
      </c>
      <c r="H4083" t="s">
        <v>18</v>
      </c>
      <c r="I4083" t="str">
        <f t="shared" si="190"/>
        <v>Low Value</v>
      </c>
      <c r="J4083" t="str">
        <f t="shared" si="191"/>
        <v>High Risk</v>
      </c>
      <c r="K4083" s="3" t="str">
        <f t="shared" si="189"/>
        <v>0-1 Year</v>
      </c>
    </row>
    <row r="4084" spans="1:11" x14ac:dyDescent="0.3">
      <c r="A4084" t="s">
        <v>4101</v>
      </c>
      <c r="B4084" t="s">
        <v>9</v>
      </c>
      <c r="C4084" t="s">
        <v>10</v>
      </c>
      <c r="D4084" t="s">
        <v>11</v>
      </c>
      <c r="E4084">
        <v>74.75</v>
      </c>
      <c r="F4084">
        <v>9</v>
      </c>
      <c r="G4084">
        <v>672.75</v>
      </c>
      <c r="H4084" t="s">
        <v>18</v>
      </c>
      <c r="I4084" t="str">
        <f t="shared" si="190"/>
        <v>Low Value</v>
      </c>
      <c r="J4084" t="str">
        <f t="shared" si="191"/>
        <v>High Risk</v>
      </c>
      <c r="K4084" s="3" t="str">
        <f t="shared" si="189"/>
        <v>0-1 Year</v>
      </c>
    </row>
    <row r="4085" spans="1:11" x14ac:dyDescent="0.3">
      <c r="A4085" t="s">
        <v>4102</v>
      </c>
      <c r="B4085" t="s">
        <v>9</v>
      </c>
      <c r="C4085" t="s">
        <v>10</v>
      </c>
      <c r="D4085" t="s">
        <v>16</v>
      </c>
      <c r="E4085">
        <v>49.9</v>
      </c>
      <c r="F4085">
        <v>1</v>
      </c>
      <c r="G4085">
        <v>49.9</v>
      </c>
      <c r="H4085" t="s">
        <v>12</v>
      </c>
      <c r="I4085" t="str">
        <f t="shared" si="190"/>
        <v>Low Value</v>
      </c>
      <c r="J4085" t="str">
        <f t="shared" si="191"/>
        <v>High Risk</v>
      </c>
      <c r="K4085" s="3" t="str">
        <f t="shared" si="189"/>
        <v>0-1 Year</v>
      </c>
    </row>
    <row r="4086" spans="1:11" x14ac:dyDescent="0.3">
      <c r="A4086" t="s">
        <v>4103</v>
      </c>
      <c r="B4086" t="s">
        <v>9</v>
      </c>
      <c r="C4086" t="s">
        <v>10</v>
      </c>
      <c r="D4086" t="s">
        <v>24</v>
      </c>
      <c r="E4086">
        <v>68.900000000000006</v>
      </c>
      <c r="F4086">
        <v>20</v>
      </c>
      <c r="G4086">
        <v>1378</v>
      </c>
      <c r="H4086" t="s">
        <v>12</v>
      </c>
      <c r="I4086" t="str">
        <f t="shared" si="190"/>
        <v>Low Value</v>
      </c>
      <c r="J4086" t="str">
        <f t="shared" si="191"/>
        <v>Medium Risk</v>
      </c>
      <c r="K4086" s="3" t="str">
        <f t="shared" si="189"/>
        <v>1-2 Years</v>
      </c>
    </row>
    <row r="4087" spans="1:11" x14ac:dyDescent="0.3">
      <c r="A4087" t="s">
        <v>4104</v>
      </c>
      <c r="B4087" t="s">
        <v>9</v>
      </c>
      <c r="C4087" t="s">
        <v>10</v>
      </c>
      <c r="D4087" t="s">
        <v>16</v>
      </c>
      <c r="E4087">
        <v>20.25</v>
      </c>
      <c r="F4087">
        <v>1</v>
      </c>
      <c r="G4087">
        <v>20.25</v>
      </c>
      <c r="H4087" t="s">
        <v>12</v>
      </c>
      <c r="I4087" t="str">
        <f t="shared" si="190"/>
        <v>Low Value</v>
      </c>
      <c r="J4087" t="str">
        <f t="shared" si="191"/>
        <v>High Risk</v>
      </c>
      <c r="K4087" s="3" t="str">
        <f t="shared" si="189"/>
        <v>0-1 Year</v>
      </c>
    </row>
    <row r="4088" spans="1:11" x14ac:dyDescent="0.3">
      <c r="A4088" t="s">
        <v>4105</v>
      </c>
      <c r="B4088" t="s">
        <v>9</v>
      </c>
      <c r="C4088" t="s">
        <v>10</v>
      </c>
      <c r="D4088" t="s">
        <v>24</v>
      </c>
      <c r="E4088">
        <v>76</v>
      </c>
      <c r="F4088">
        <v>29</v>
      </c>
      <c r="G4088">
        <v>2204</v>
      </c>
      <c r="H4088" t="s">
        <v>12</v>
      </c>
      <c r="I4088" t="str">
        <f t="shared" si="190"/>
        <v>Medium Value</v>
      </c>
      <c r="J4088" t="str">
        <f t="shared" si="191"/>
        <v>Low Risk</v>
      </c>
      <c r="K4088" s="3" t="str">
        <f t="shared" si="189"/>
        <v>2-4 Years</v>
      </c>
    </row>
    <row r="4089" spans="1:11" x14ac:dyDescent="0.3">
      <c r="A4089" t="s">
        <v>4106</v>
      </c>
      <c r="B4089" t="s">
        <v>14</v>
      </c>
      <c r="C4089" t="s">
        <v>10</v>
      </c>
      <c r="D4089" t="s">
        <v>11</v>
      </c>
      <c r="E4089">
        <v>74</v>
      </c>
      <c r="F4089">
        <v>1</v>
      </c>
      <c r="G4089">
        <v>74</v>
      </c>
      <c r="H4089" t="s">
        <v>12</v>
      </c>
      <c r="I4089" t="str">
        <f t="shared" si="190"/>
        <v>Low Value</v>
      </c>
      <c r="J4089" t="str">
        <f t="shared" si="191"/>
        <v>High Risk</v>
      </c>
      <c r="K4089" s="3" t="str">
        <f t="shared" si="189"/>
        <v>0-1 Year</v>
      </c>
    </row>
    <row r="4090" spans="1:11" x14ac:dyDescent="0.3">
      <c r="A4090" t="s">
        <v>4107</v>
      </c>
      <c r="B4090" t="s">
        <v>14</v>
      </c>
      <c r="C4090" t="s">
        <v>10</v>
      </c>
      <c r="D4090" t="s">
        <v>16</v>
      </c>
      <c r="E4090">
        <v>82.3</v>
      </c>
      <c r="F4090">
        <v>3</v>
      </c>
      <c r="G4090">
        <v>246.89999999999901</v>
      </c>
      <c r="H4090" t="s">
        <v>12</v>
      </c>
      <c r="I4090" t="str">
        <f t="shared" si="190"/>
        <v>Low Value</v>
      </c>
      <c r="J4090" t="str">
        <f t="shared" si="191"/>
        <v>High Risk</v>
      </c>
      <c r="K4090" s="3" t="str">
        <f t="shared" si="189"/>
        <v>0-1 Year</v>
      </c>
    </row>
    <row r="4091" spans="1:11" x14ac:dyDescent="0.3">
      <c r="A4091" t="s">
        <v>4108</v>
      </c>
      <c r="B4091" t="s">
        <v>9</v>
      </c>
      <c r="C4091" t="s">
        <v>10</v>
      </c>
      <c r="D4091" t="s">
        <v>20</v>
      </c>
      <c r="E4091">
        <v>89.4</v>
      </c>
      <c r="F4091">
        <v>20</v>
      </c>
      <c r="G4091">
        <v>1788</v>
      </c>
      <c r="H4091" t="s">
        <v>12</v>
      </c>
      <c r="I4091" t="str">
        <f t="shared" si="190"/>
        <v>Low Value</v>
      </c>
      <c r="J4091" t="str">
        <f t="shared" si="191"/>
        <v>Medium Risk</v>
      </c>
      <c r="K4091" s="3" t="str">
        <f t="shared" si="189"/>
        <v>1-2 Years</v>
      </c>
    </row>
    <row r="4092" spans="1:11" x14ac:dyDescent="0.3">
      <c r="A4092" t="s">
        <v>4109</v>
      </c>
      <c r="B4092" t="s">
        <v>14</v>
      </c>
      <c r="C4092" t="s">
        <v>10</v>
      </c>
      <c r="D4092" t="s">
        <v>24</v>
      </c>
      <c r="E4092">
        <v>99.15</v>
      </c>
      <c r="F4092">
        <v>64</v>
      </c>
      <c r="G4092">
        <v>6345.6</v>
      </c>
      <c r="H4092" t="s">
        <v>12</v>
      </c>
      <c r="I4092" t="str">
        <f t="shared" si="190"/>
        <v>High Value</v>
      </c>
      <c r="J4092" t="str">
        <f t="shared" si="191"/>
        <v>Low Risk</v>
      </c>
      <c r="K4092" s="3" t="str">
        <f t="shared" si="189"/>
        <v>4+ Years</v>
      </c>
    </row>
    <row r="4093" spans="1:11" x14ac:dyDescent="0.3">
      <c r="A4093" t="s">
        <v>4110</v>
      </c>
      <c r="B4093" t="s">
        <v>14</v>
      </c>
      <c r="C4093" t="s">
        <v>10</v>
      </c>
      <c r="D4093" t="s">
        <v>16</v>
      </c>
      <c r="E4093">
        <v>20.2</v>
      </c>
      <c r="F4093">
        <v>1</v>
      </c>
      <c r="G4093">
        <v>20.2</v>
      </c>
      <c r="H4093" t="s">
        <v>18</v>
      </c>
      <c r="I4093" t="str">
        <f t="shared" si="190"/>
        <v>Low Value</v>
      </c>
      <c r="J4093" t="str">
        <f t="shared" si="191"/>
        <v>High Risk</v>
      </c>
      <c r="K4093" s="3" t="str">
        <f t="shared" si="189"/>
        <v>0-1 Year</v>
      </c>
    </row>
    <row r="4094" spans="1:11" x14ac:dyDescent="0.3">
      <c r="A4094" t="s">
        <v>4111</v>
      </c>
      <c r="B4094" t="s">
        <v>9</v>
      </c>
      <c r="C4094" t="s">
        <v>10</v>
      </c>
      <c r="D4094" t="s">
        <v>20</v>
      </c>
      <c r="E4094">
        <v>29.45</v>
      </c>
      <c r="F4094">
        <v>6</v>
      </c>
      <c r="G4094">
        <v>176.7</v>
      </c>
      <c r="H4094" t="s">
        <v>12</v>
      </c>
      <c r="I4094" t="str">
        <f t="shared" si="190"/>
        <v>Low Value</v>
      </c>
      <c r="J4094" t="str">
        <f t="shared" si="191"/>
        <v>High Risk</v>
      </c>
      <c r="K4094" s="3" t="str">
        <f t="shared" si="189"/>
        <v>0-1 Year</v>
      </c>
    </row>
    <row r="4095" spans="1:11" x14ac:dyDescent="0.3">
      <c r="A4095" t="s">
        <v>4112</v>
      </c>
      <c r="B4095" t="s">
        <v>14</v>
      </c>
      <c r="C4095" t="s">
        <v>30</v>
      </c>
      <c r="D4095" t="s">
        <v>11</v>
      </c>
      <c r="E4095">
        <v>19.8</v>
      </c>
      <c r="F4095">
        <v>50</v>
      </c>
      <c r="G4095">
        <v>990</v>
      </c>
      <c r="H4095" t="s">
        <v>12</v>
      </c>
      <c r="I4095" t="str">
        <f t="shared" si="190"/>
        <v>Low Value</v>
      </c>
      <c r="J4095" t="str">
        <f t="shared" si="191"/>
        <v>Low Risk</v>
      </c>
      <c r="K4095" s="3" t="str">
        <f t="shared" si="189"/>
        <v>4+ Years</v>
      </c>
    </row>
    <row r="4096" spans="1:11" x14ac:dyDescent="0.3">
      <c r="A4096" t="s">
        <v>4113</v>
      </c>
      <c r="B4096" t="s">
        <v>14</v>
      </c>
      <c r="C4096" t="s">
        <v>10</v>
      </c>
      <c r="D4096" t="s">
        <v>20</v>
      </c>
      <c r="E4096">
        <v>59.15</v>
      </c>
      <c r="F4096">
        <v>6</v>
      </c>
      <c r="G4096">
        <v>354.9</v>
      </c>
      <c r="H4096" t="s">
        <v>12</v>
      </c>
      <c r="I4096" t="str">
        <f t="shared" si="190"/>
        <v>Low Value</v>
      </c>
      <c r="J4096" t="str">
        <f t="shared" si="191"/>
        <v>High Risk</v>
      </c>
      <c r="K4096" s="3" t="str">
        <f t="shared" si="189"/>
        <v>0-1 Year</v>
      </c>
    </row>
    <row r="4097" spans="1:11" x14ac:dyDescent="0.3">
      <c r="A4097" t="s">
        <v>4114</v>
      </c>
      <c r="B4097" t="s">
        <v>14</v>
      </c>
      <c r="C4097" t="s">
        <v>10</v>
      </c>
      <c r="D4097" t="s">
        <v>11</v>
      </c>
      <c r="E4097">
        <v>44.75</v>
      </c>
      <c r="F4097">
        <v>7</v>
      </c>
      <c r="G4097">
        <v>313.25</v>
      </c>
      <c r="H4097" t="s">
        <v>12</v>
      </c>
      <c r="I4097" t="str">
        <f t="shared" si="190"/>
        <v>Low Value</v>
      </c>
      <c r="J4097" t="str">
        <f t="shared" si="191"/>
        <v>High Risk</v>
      </c>
      <c r="K4097" s="3" t="str">
        <f t="shared" si="189"/>
        <v>0-1 Year</v>
      </c>
    </row>
    <row r="4098" spans="1:11" x14ac:dyDescent="0.3">
      <c r="A4098" t="s">
        <v>4115</v>
      </c>
      <c r="B4098" t="s">
        <v>14</v>
      </c>
      <c r="C4098" t="s">
        <v>30</v>
      </c>
      <c r="D4098" t="s">
        <v>24</v>
      </c>
      <c r="E4098">
        <v>90.8</v>
      </c>
      <c r="F4098">
        <v>72</v>
      </c>
      <c r="G4098">
        <v>6537.5999999999904</v>
      </c>
      <c r="H4098" t="s">
        <v>12</v>
      </c>
      <c r="I4098" t="str">
        <f t="shared" si="190"/>
        <v>High Value</v>
      </c>
      <c r="J4098" t="str">
        <f t="shared" si="191"/>
        <v>Low Risk</v>
      </c>
      <c r="K4098" s="3" t="str">
        <f t="shared" si="189"/>
        <v>4+ Years</v>
      </c>
    </row>
    <row r="4099" spans="1:11" x14ac:dyDescent="0.3">
      <c r="A4099" t="s">
        <v>4116</v>
      </c>
      <c r="B4099" t="s">
        <v>14</v>
      </c>
      <c r="C4099" t="s">
        <v>10</v>
      </c>
      <c r="D4099" t="s">
        <v>20</v>
      </c>
      <c r="E4099">
        <v>49.55</v>
      </c>
      <c r="F4099">
        <v>8</v>
      </c>
      <c r="G4099">
        <v>396.4</v>
      </c>
      <c r="H4099" t="s">
        <v>12</v>
      </c>
      <c r="I4099" t="str">
        <f t="shared" si="190"/>
        <v>Low Value</v>
      </c>
      <c r="J4099" t="str">
        <f t="shared" si="191"/>
        <v>High Risk</v>
      </c>
      <c r="K4099" s="3" t="str">
        <f t="shared" ref="K4099:K4162" si="192">IF(F4099&lt;=12,"0-1 Year",
IF(F4099&lt;=24,"1-2 Years",
IF(F4099&lt;=48,"2-4 Years","4+ Years")))</f>
        <v>0-1 Year</v>
      </c>
    </row>
    <row r="4100" spans="1:11" x14ac:dyDescent="0.3">
      <c r="A4100" t="s">
        <v>4117</v>
      </c>
      <c r="B4100" t="s">
        <v>9</v>
      </c>
      <c r="C4100" t="s">
        <v>30</v>
      </c>
      <c r="D4100" t="s">
        <v>24</v>
      </c>
      <c r="E4100">
        <v>106.7</v>
      </c>
      <c r="F4100">
        <v>67</v>
      </c>
      <c r="G4100">
        <v>7148.9</v>
      </c>
      <c r="H4100" t="s">
        <v>12</v>
      </c>
      <c r="I4100" t="str">
        <f t="shared" ref="I4100:I4163" si="193">IF(G4100&gt;5000,"High Value",
IF(G4100&gt;2000,"Medium Value","Low Value"))</f>
        <v>High Value</v>
      </c>
      <c r="J4100" t="str">
        <f t="shared" ref="J4100:J4163" si="194">IF(F4100&lt;12,"High Risk",
IF(F4100&lt;24,"Medium Risk","Low Risk"))</f>
        <v>Low Risk</v>
      </c>
      <c r="K4100" s="3" t="str">
        <f t="shared" si="192"/>
        <v>4+ Years</v>
      </c>
    </row>
    <row r="4101" spans="1:11" x14ac:dyDescent="0.3">
      <c r="A4101" t="s">
        <v>4118</v>
      </c>
      <c r="B4101" t="s">
        <v>9</v>
      </c>
      <c r="C4101" t="s">
        <v>10</v>
      </c>
      <c r="D4101" t="s">
        <v>11</v>
      </c>
      <c r="E4101">
        <v>93.55</v>
      </c>
      <c r="F4101">
        <v>24</v>
      </c>
      <c r="G4101">
        <v>2245.1999999999998</v>
      </c>
      <c r="H4101" t="s">
        <v>18</v>
      </c>
      <c r="I4101" t="str">
        <f t="shared" si="193"/>
        <v>Medium Value</v>
      </c>
      <c r="J4101" t="str">
        <f t="shared" si="194"/>
        <v>Low Risk</v>
      </c>
      <c r="K4101" s="3" t="str">
        <f t="shared" si="192"/>
        <v>1-2 Years</v>
      </c>
    </row>
    <row r="4102" spans="1:11" x14ac:dyDescent="0.3">
      <c r="A4102" t="s">
        <v>4119</v>
      </c>
      <c r="B4102" t="s">
        <v>9</v>
      </c>
      <c r="C4102" t="s">
        <v>30</v>
      </c>
      <c r="D4102" t="s">
        <v>24</v>
      </c>
      <c r="E4102">
        <v>94.45</v>
      </c>
      <c r="F4102">
        <v>72</v>
      </c>
      <c r="G4102">
        <v>6800.4</v>
      </c>
      <c r="H4102" t="s">
        <v>12</v>
      </c>
      <c r="I4102" t="str">
        <f t="shared" si="193"/>
        <v>High Value</v>
      </c>
      <c r="J4102" t="str">
        <f t="shared" si="194"/>
        <v>Low Risk</v>
      </c>
      <c r="K4102" s="3" t="str">
        <f t="shared" si="192"/>
        <v>4+ Years</v>
      </c>
    </row>
    <row r="4103" spans="1:11" x14ac:dyDescent="0.3">
      <c r="A4103" t="s">
        <v>4120</v>
      </c>
      <c r="B4103" t="s">
        <v>14</v>
      </c>
      <c r="C4103" t="s">
        <v>15</v>
      </c>
      <c r="D4103" t="s">
        <v>20</v>
      </c>
      <c r="E4103">
        <v>19.45</v>
      </c>
      <c r="F4103">
        <v>33</v>
      </c>
      <c r="G4103">
        <v>641.85</v>
      </c>
      <c r="H4103" t="s">
        <v>12</v>
      </c>
      <c r="I4103" t="str">
        <f t="shared" si="193"/>
        <v>Low Value</v>
      </c>
      <c r="J4103" t="str">
        <f t="shared" si="194"/>
        <v>Low Risk</v>
      </c>
      <c r="K4103" s="3" t="str">
        <f t="shared" si="192"/>
        <v>2-4 Years</v>
      </c>
    </row>
    <row r="4104" spans="1:11" x14ac:dyDescent="0.3">
      <c r="A4104" t="s">
        <v>4121</v>
      </c>
      <c r="B4104" t="s">
        <v>14</v>
      </c>
      <c r="C4104" t="s">
        <v>10</v>
      </c>
      <c r="D4104" t="s">
        <v>11</v>
      </c>
      <c r="E4104">
        <v>25.05</v>
      </c>
      <c r="F4104">
        <v>2</v>
      </c>
      <c r="G4104">
        <v>50.1</v>
      </c>
      <c r="H4104" t="s">
        <v>18</v>
      </c>
      <c r="I4104" t="str">
        <f t="shared" si="193"/>
        <v>Low Value</v>
      </c>
      <c r="J4104" t="str">
        <f t="shared" si="194"/>
        <v>High Risk</v>
      </c>
      <c r="K4104" s="3" t="str">
        <f t="shared" si="192"/>
        <v>0-1 Year</v>
      </c>
    </row>
    <row r="4105" spans="1:11" x14ac:dyDescent="0.3">
      <c r="A4105" t="s">
        <v>4122</v>
      </c>
      <c r="B4105" t="s">
        <v>14</v>
      </c>
      <c r="C4105" t="s">
        <v>30</v>
      </c>
      <c r="D4105" t="s">
        <v>16</v>
      </c>
      <c r="E4105">
        <v>67.95</v>
      </c>
      <c r="F4105">
        <v>70</v>
      </c>
      <c r="G4105">
        <v>4756.5</v>
      </c>
      <c r="H4105" t="s">
        <v>12</v>
      </c>
      <c r="I4105" t="str">
        <f t="shared" si="193"/>
        <v>Medium Value</v>
      </c>
      <c r="J4105" t="str">
        <f t="shared" si="194"/>
        <v>Low Risk</v>
      </c>
      <c r="K4105" s="3" t="str">
        <f t="shared" si="192"/>
        <v>4+ Years</v>
      </c>
    </row>
    <row r="4106" spans="1:11" x14ac:dyDescent="0.3">
      <c r="A4106" t="s">
        <v>4123</v>
      </c>
      <c r="B4106" t="s">
        <v>9</v>
      </c>
      <c r="C4106" t="s">
        <v>15</v>
      </c>
      <c r="D4106" t="s">
        <v>20</v>
      </c>
      <c r="E4106">
        <v>65.25</v>
      </c>
      <c r="F4106">
        <v>22</v>
      </c>
      <c r="G4106">
        <v>1435.5</v>
      </c>
      <c r="H4106" t="s">
        <v>12</v>
      </c>
      <c r="I4106" t="str">
        <f t="shared" si="193"/>
        <v>Low Value</v>
      </c>
      <c r="J4106" t="str">
        <f t="shared" si="194"/>
        <v>Medium Risk</v>
      </c>
      <c r="K4106" s="3" t="str">
        <f t="shared" si="192"/>
        <v>1-2 Years</v>
      </c>
    </row>
    <row r="4107" spans="1:11" x14ac:dyDescent="0.3">
      <c r="A4107" t="s">
        <v>4124</v>
      </c>
      <c r="B4107" t="s">
        <v>9</v>
      </c>
      <c r="C4107" t="s">
        <v>10</v>
      </c>
      <c r="D4107" t="s">
        <v>20</v>
      </c>
      <c r="E4107">
        <v>99.45</v>
      </c>
      <c r="F4107">
        <v>59</v>
      </c>
      <c r="G4107">
        <v>5867.55</v>
      </c>
      <c r="H4107" t="s">
        <v>12</v>
      </c>
      <c r="I4107" t="str">
        <f t="shared" si="193"/>
        <v>High Value</v>
      </c>
      <c r="J4107" t="str">
        <f t="shared" si="194"/>
        <v>Low Risk</v>
      </c>
      <c r="K4107" s="3" t="str">
        <f t="shared" si="192"/>
        <v>4+ Years</v>
      </c>
    </row>
    <row r="4108" spans="1:11" x14ac:dyDescent="0.3">
      <c r="A4108" t="s">
        <v>4125</v>
      </c>
      <c r="B4108" t="s">
        <v>14</v>
      </c>
      <c r="C4108" t="s">
        <v>15</v>
      </c>
      <c r="D4108" t="s">
        <v>24</v>
      </c>
      <c r="E4108">
        <v>20.350000000000001</v>
      </c>
      <c r="F4108">
        <v>36</v>
      </c>
      <c r="G4108">
        <v>732.6</v>
      </c>
      <c r="H4108" t="s">
        <v>12</v>
      </c>
      <c r="I4108" t="str">
        <f t="shared" si="193"/>
        <v>Low Value</v>
      </c>
      <c r="J4108" t="str">
        <f t="shared" si="194"/>
        <v>Low Risk</v>
      </c>
      <c r="K4108" s="3" t="str">
        <f t="shared" si="192"/>
        <v>2-4 Years</v>
      </c>
    </row>
    <row r="4109" spans="1:11" x14ac:dyDescent="0.3">
      <c r="A4109" t="s">
        <v>4126</v>
      </c>
      <c r="B4109" t="s">
        <v>9</v>
      </c>
      <c r="C4109" t="s">
        <v>30</v>
      </c>
      <c r="D4109" t="s">
        <v>16</v>
      </c>
      <c r="E4109">
        <v>19.95</v>
      </c>
      <c r="F4109">
        <v>51</v>
      </c>
      <c r="G4109">
        <v>1017.44999999999</v>
      </c>
      <c r="H4109" t="s">
        <v>12</v>
      </c>
      <c r="I4109" t="str">
        <f t="shared" si="193"/>
        <v>Low Value</v>
      </c>
      <c r="J4109" t="str">
        <f t="shared" si="194"/>
        <v>Low Risk</v>
      </c>
      <c r="K4109" s="3" t="str">
        <f t="shared" si="192"/>
        <v>4+ Years</v>
      </c>
    </row>
    <row r="4110" spans="1:11" x14ac:dyDescent="0.3">
      <c r="A4110" t="s">
        <v>4127</v>
      </c>
      <c r="B4110" t="s">
        <v>14</v>
      </c>
      <c r="C4110" t="s">
        <v>15</v>
      </c>
      <c r="D4110" t="s">
        <v>20</v>
      </c>
      <c r="E4110">
        <v>77.400000000000006</v>
      </c>
      <c r="F4110">
        <v>53</v>
      </c>
      <c r="G4110">
        <v>4102.2</v>
      </c>
      <c r="H4110" t="s">
        <v>12</v>
      </c>
      <c r="I4110" t="str">
        <f t="shared" si="193"/>
        <v>Medium Value</v>
      </c>
      <c r="J4110" t="str">
        <f t="shared" si="194"/>
        <v>Low Risk</v>
      </c>
      <c r="K4110" s="3" t="str">
        <f t="shared" si="192"/>
        <v>4+ Years</v>
      </c>
    </row>
    <row r="4111" spans="1:11" x14ac:dyDescent="0.3">
      <c r="A4111" t="s">
        <v>4128</v>
      </c>
      <c r="B4111" t="s">
        <v>9</v>
      </c>
      <c r="C4111" t="s">
        <v>15</v>
      </c>
      <c r="D4111" t="s">
        <v>20</v>
      </c>
      <c r="E4111">
        <v>19.7</v>
      </c>
      <c r="F4111">
        <v>20</v>
      </c>
      <c r="G4111">
        <v>394</v>
      </c>
      <c r="H4111" t="s">
        <v>12</v>
      </c>
      <c r="I4111" t="str">
        <f t="shared" si="193"/>
        <v>Low Value</v>
      </c>
      <c r="J4111" t="str">
        <f t="shared" si="194"/>
        <v>Medium Risk</v>
      </c>
      <c r="K4111" s="3" t="str">
        <f t="shared" si="192"/>
        <v>1-2 Years</v>
      </c>
    </row>
    <row r="4112" spans="1:11" x14ac:dyDescent="0.3">
      <c r="A4112" t="s">
        <v>4129</v>
      </c>
      <c r="B4112" t="s">
        <v>14</v>
      </c>
      <c r="C4112" t="s">
        <v>30</v>
      </c>
      <c r="D4112" t="s">
        <v>24</v>
      </c>
      <c r="E4112">
        <v>99.7</v>
      </c>
      <c r="F4112">
        <v>63</v>
      </c>
      <c r="G4112">
        <v>6281.1</v>
      </c>
      <c r="H4112" t="s">
        <v>12</v>
      </c>
      <c r="I4112" t="str">
        <f t="shared" si="193"/>
        <v>High Value</v>
      </c>
      <c r="J4112" t="str">
        <f t="shared" si="194"/>
        <v>Low Risk</v>
      </c>
      <c r="K4112" s="3" t="str">
        <f t="shared" si="192"/>
        <v>4+ Years</v>
      </c>
    </row>
    <row r="4113" spans="1:11" x14ac:dyDescent="0.3">
      <c r="A4113" t="s">
        <v>4130</v>
      </c>
      <c r="B4113" t="s">
        <v>9</v>
      </c>
      <c r="C4113" t="s">
        <v>10</v>
      </c>
      <c r="D4113" t="s">
        <v>24</v>
      </c>
      <c r="E4113">
        <v>74.8</v>
      </c>
      <c r="F4113">
        <v>40</v>
      </c>
      <c r="G4113">
        <v>2992</v>
      </c>
      <c r="H4113" t="s">
        <v>12</v>
      </c>
      <c r="I4113" t="str">
        <f t="shared" si="193"/>
        <v>Medium Value</v>
      </c>
      <c r="J4113" t="str">
        <f t="shared" si="194"/>
        <v>Low Risk</v>
      </c>
      <c r="K4113" s="3" t="str">
        <f t="shared" si="192"/>
        <v>2-4 Years</v>
      </c>
    </row>
    <row r="4114" spans="1:11" x14ac:dyDescent="0.3">
      <c r="A4114" t="s">
        <v>4131</v>
      </c>
      <c r="B4114" t="s">
        <v>14</v>
      </c>
      <c r="C4114" t="s">
        <v>15</v>
      </c>
      <c r="D4114" t="s">
        <v>16</v>
      </c>
      <c r="E4114">
        <v>19.149999999999999</v>
      </c>
      <c r="F4114">
        <v>35</v>
      </c>
      <c r="G4114">
        <v>670.25</v>
      </c>
      <c r="H4114" t="s">
        <v>12</v>
      </c>
      <c r="I4114" t="str">
        <f t="shared" si="193"/>
        <v>Low Value</v>
      </c>
      <c r="J4114" t="str">
        <f t="shared" si="194"/>
        <v>Low Risk</v>
      </c>
      <c r="K4114" s="3" t="str">
        <f t="shared" si="192"/>
        <v>2-4 Years</v>
      </c>
    </row>
    <row r="4115" spans="1:11" x14ac:dyDescent="0.3">
      <c r="A4115" t="s">
        <v>4132</v>
      </c>
      <c r="B4115" t="s">
        <v>14</v>
      </c>
      <c r="C4115" t="s">
        <v>15</v>
      </c>
      <c r="D4115" t="s">
        <v>20</v>
      </c>
      <c r="E4115">
        <v>78.95</v>
      </c>
      <c r="F4115">
        <v>26</v>
      </c>
      <c r="G4115">
        <v>2052.6999999999998</v>
      </c>
      <c r="H4115" t="s">
        <v>12</v>
      </c>
      <c r="I4115" t="str">
        <f t="shared" si="193"/>
        <v>Medium Value</v>
      </c>
      <c r="J4115" t="str">
        <f t="shared" si="194"/>
        <v>Low Risk</v>
      </c>
      <c r="K4115" s="3" t="str">
        <f t="shared" si="192"/>
        <v>2-4 Years</v>
      </c>
    </row>
    <row r="4116" spans="1:11" x14ac:dyDescent="0.3">
      <c r="A4116" t="s">
        <v>4133</v>
      </c>
      <c r="B4116" t="s">
        <v>14</v>
      </c>
      <c r="C4116" t="s">
        <v>10</v>
      </c>
      <c r="D4116" t="s">
        <v>11</v>
      </c>
      <c r="E4116">
        <v>95.55</v>
      </c>
      <c r="F4116">
        <v>27</v>
      </c>
      <c r="G4116">
        <v>2579.85</v>
      </c>
      <c r="H4116" t="s">
        <v>18</v>
      </c>
      <c r="I4116" t="str">
        <f t="shared" si="193"/>
        <v>Medium Value</v>
      </c>
      <c r="J4116" t="str">
        <f t="shared" si="194"/>
        <v>Low Risk</v>
      </c>
      <c r="K4116" s="3" t="str">
        <f t="shared" si="192"/>
        <v>2-4 Years</v>
      </c>
    </row>
    <row r="4117" spans="1:11" x14ac:dyDescent="0.3">
      <c r="A4117" t="s">
        <v>4134</v>
      </c>
      <c r="B4117" t="s">
        <v>14</v>
      </c>
      <c r="C4117" t="s">
        <v>15</v>
      </c>
      <c r="D4117" t="s">
        <v>24</v>
      </c>
      <c r="E4117">
        <v>62.85</v>
      </c>
      <c r="F4117">
        <v>53</v>
      </c>
      <c r="G4117">
        <v>3331.05</v>
      </c>
      <c r="H4117" t="s">
        <v>12</v>
      </c>
      <c r="I4117" t="str">
        <f t="shared" si="193"/>
        <v>Medium Value</v>
      </c>
      <c r="J4117" t="str">
        <f t="shared" si="194"/>
        <v>Low Risk</v>
      </c>
      <c r="K4117" s="3" t="str">
        <f t="shared" si="192"/>
        <v>4+ Years</v>
      </c>
    </row>
    <row r="4118" spans="1:11" x14ac:dyDescent="0.3">
      <c r="A4118" t="s">
        <v>4135</v>
      </c>
      <c r="B4118" t="s">
        <v>14</v>
      </c>
      <c r="C4118" t="s">
        <v>10</v>
      </c>
      <c r="D4118" t="s">
        <v>24</v>
      </c>
      <c r="E4118">
        <v>71.55</v>
      </c>
      <c r="F4118">
        <v>34</v>
      </c>
      <c r="G4118">
        <v>2432.6999999999998</v>
      </c>
      <c r="H4118" t="s">
        <v>12</v>
      </c>
      <c r="I4118" t="str">
        <f t="shared" si="193"/>
        <v>Medium Value</v>
      </c>
      <c r="J4118" t="str">
        <f t="shared" si="194"/>
        <v>Low Risk</v>
      </c>
      <c r="K4118" s="3" t="str">
        <f t="shared" si="192"/>
        <v>2-4 Years</v>
      </c>
    </row>
    <row r="4119" spans="1:11" x14ac:dyDescent="0.3">
      <c r="A4119" t="s">
        <v>4136</v>
      </c>
      <c r="B4119" t="s">
        <v>9</v>
      </c>
      <c r="C4119" t="s">
        <v>10</v>
      </c>
      <c r="D4119" t="s">
        <v>11</v>
      </c>
      <c r="E4119">
        <v>94.95</v>
      </c>
      <c r="F4119">
        <v>19</v>
      </c>
      <c r="G4119">
        <v>1804.05</v>
      </c>
      <c r="H4119" t="s">
        <v>12</v>
      </c>
      <c r="I4119" t="str">
        <f t="shared" si="193"/>
        <v>Low Value</v>
      </c>
      <c r="J4119" t="str">
        <f t="shared" si="194"/>
        <v>Medium Risk</v>
      </c>
      <c r="K4119" s="3" t="str">
        <f t="shared" si="192"/>
        <v>1-2 Years</v>
      </c>
    </row>
    <row r="4120" spans="1:11" x14ac:dyDescent="0.3">
      <c r="A4120" t="s">
        <v>4137</v>
      </c>
      <c r="B4120" t="s">
        <v>14</v>
      </c>
      <c r="C4120" t="s">
        <v>10</v>
      </c>
      <c r="D4120" t="s">
        <v>24</v>
      </c>
      <c r="E4120">
        <v>86.1</v>
      </c>
      <c r="F4120">
        <v>43</v>
      </c>
      <c r="G4120">
        <v>3702.2999999999902</v>
      </c>
      <c r="H4120" t="s">
        <v>12</v>
      </c>
      <c r="I4120" t="str">
        <f t="shared" si="193"/>
        <v>Medium Value</v>
      </c>
      <c r="J4120" t="str">
        <f t="shared" si="194"/>
        <v>Low Risk</v>
      </c>
      <c r="K4120" s="3" t="str">
        <f t="shared" si="192"/>
        <v>2-4 Years</v>
      </c>
    </row>
    <row r="4121" spans="1:11" x14ac:dyDescent="0.3">
      <c r="A4121" t="s">
        <v>4138</v>
      </c>
      <c r="B4121" t="s">
        <v>14</v>
      </c>
      <c r="C4121" t="s">
        <v>10</v>
      </c>
      <c r="D4121" t="s">
        <v>16</v>
      </c>
      <c r="E4121">
        <v>19.55</v>
      </c>
      <c r="F4121">
        <v>6</v>
      </c>
      <c r="G4121">
        <v>117.3</v>
      </c>
      <c r="H4121" t="s">
        <v>12</v>
      </c>
      <c r="I4121" t="str">
        <f t="shared" si="193"/>
        <v>Low Value</v>
      </c>
      <c r="J4121" t="str">
        <f t="shared" si="194"/>
        <v>High Risk</v>
      </c>
      <c r="K4121" s="3" t="str">
        <f t="shared" si="192"/>
        <v>0-1 Year</v>
      </c>
    </row>
    <row r="4122" spans="1:11" x14ac:dyDescent="0.3">
      <c r="A4122" t="s">
        <v>4139</v>
      </c>
      <c r="B4122" t="s">
        <v>14</v>
      </c>
      <c r="C4122" t="s">
        <v>30</v>
      </c>
      <c r="D4122" t="s">
        <v>16</v>
      </c>
      <c r="E4122">
        <v>24.8</v>
      </c>
      <c r="F4122">
        <v>56</v>
      </c>
      <c r="G4122">
        <v>1388.8</v>
      </c>
      <c r="H4122" t="s">
        <v>12</v>
      </c>
      <c r="I4122" t="str">
        <f t="shared" si="193"/>
        <v>Low Value</v>
      </c>
      <c r="J4122" t="str">
        <f t="shared" si="194"/>
        <v>Low Risk</v>
      </c>
      <c r="K4122" s="3" t="str">
        <f t="shared" si="192"/>
        <v>4+ Years</v>
      </c>
    </row>
    <row r="4123" spans="1:11" x14ac:dyDescent="0.3">
      <c r="A4123" t="s">
        <v>4140</v>
      </c>
      <c r="B4123" t="s">
        <v>14</v>
      </c>
      <c r="C4123" t="s">
        <v>10</v>
      </c>
      <c r="D4123" t="s">
        <v>11</v>
      </c>
      <c r="E4123">
        <v>39.299999999999997</v>
      </c>
      <c r="F4123">
        <v>57</v>
      </c>
      <c r="G4123">
        <v>2240.1</v>
      </c>
      <c r="H4123" t="s">
        <v>18</v>
      </c>
      <c r="I4123" t="str">
        <f t="shared" si="193"/>
        <v>Medium Value</v>
      </c>
      <c r="J4123" t="str">
        <f t="shared" si="194"/>
        <v>Low Risk</v>
      </c>
      <c r="K4123" s="3" t="str">
        <f t="shared" si="192"/>
        <v>4+ Years</v>
      </c>
    </row>
    <row r="4124" spans="1:11" x14ac:dyDescent="0.3">
      <c r="A4124" t="s">
        <v>4141</v>
      </c>
      <c r="B4124" t="s">
        <v>14</v>
      </c>
      <c r="C4124" t="s">
        <v>10</v>
      </c>
      <c r="D4124" t="s">
        <v>16</v>
      </c>
      <c r="E4124">
        <v>84.05</v>
      </c>
      <c r="F4124">
        <v>34</v>
      </c>
      <c r="G4124">
        <v>2857.7</v>
      </c>
      <c r="H4124" t="s">
        <v>12</v>
      </c>
      <c r="I4124" t="str">
        <f t="shared" si="193"/>
        <v>Medium Value</v>
      </c>
      <c r="J4124" t="str">
        <f t="shared" si="194"/>
        <v>Low Risk</v>
      </c>
      <c r="K4124" s="3" t="str">
        <f t="shared" si="192"/>
        <v>2-4 Years</v>
      </c>
    </row>
    <row r="4125" spans="1:11" x14ac:dyDescent="0.3">
      <c r="A4125" t="s">
        <v>4142</v>
      </c>
      <c r="B4125" t="s">
        <v>9</v>
      </c>
      <c r="C4125" t="s">
        <v>10</v>
      </c>
      <c r="D4125" t="s">
        <v>11</v>
      </c>
      <c r="E4125">
        <v>36.25</v>
      </c>
      <c r="F4125">
        <v>10</v>
      </c>
      <c r="G4125">
        <v>362.5</v>
      </c>
      <c r="H4125" t="s">
        <v>12</v>
      </c>
      <c r="I4125" t="str">
        <f t="shared" si="193"/>
        <v>Low Value</v>
      </c>
      <c r="J4125" t="str">
        <f t="shared" si="194"/>
        <v>High Risk</v>
      </c>
      <c r="K4125" s="3" t="str">
        <f t="shared" si="192"/>
        <v>0-1 Year</v>
      </c>
    </row>
    <row r="4126" spans="1:11" x14ac:dyDescent="0.3">
      <c r="A4126" t="s">
        <v>4143</v>
      </c>
      <c r="B4126" t="s">
        <v>9</v>
      </c>
      <c r="C4126" t="s">
        <v>10</v>
      </c>
      <c r="D4126" t="s">
        <v>16</v>
      </c>
      <c r="E4126">
        <v>20.25</v>
      </c>
      <c r="F4126">
        <v>1</v>
      </c>
      <c r="G4126">
        <v>20.25</v>
      </c>
      <c r="H4126" t="s">
        <v>18</v>
      </c>
      <c r="I4126" t="str">
        <f t="shared" si="193"/>
        <v>Low Value</v>
      </c>
      <c r="J4126" t="str">
        <f t="shared" si="194"/>
        <v>High Risk</v>
      </c>
      <c r="K4126" s="3" t="str">
        <f t="shared" si="192"/>
        <v>0-1 Year</v>
      </c>
    </row>
    <row r="4127" spans="1:11" x14ac:dyDescent="0.3">
      <c r="A4127" t="s">
        <v>4144</v>
      </c>
      <c r="B4127" t="s">
        <v>9</v>
      </c>
      <c r="C4127" t="s">
        <v>10</v>
      </c>
      <c r="D4127" t="s">
        <v>11</v>
      </c>
      <c r="E4127">
        <v>23.9</v>
      </c>
      <c r="F4127">
        <v>13</v>
      </c>
      <c r="G4127">
        <v>310.7</v>
      </c>
      <c r="H4127" t="s">
        <v>18</v>
      </c>
      <c r="I4127" t="str">
        <f t="shared" si="193"/>
        <v>Low Value</v>
      </c>
      <c r="J4127" t="str">
        <f t="shared" si="194"/>
        <v>Medium Risk</v>
      </c>
      <c r="K4127" s="3" t="str">
        <f t="shared" si="192"/>
        <v>1-2 Years</v>
      </c>
    </row>
    <row r="4128" spans="1:11" x14ac:dyDescent="0.3">
      <c r="A4128" t="s">
        <v>4145</v>
      </c>
      <c r="B4128" t="s">
        <v>14</v>
      </c>
      <c r="C4128" t="s">
        <v>10</v>
      </c>
      <c r="D4128" t="s">
        <v>11</v>
      </c>
      <c r="E4128">
        <v>98.6</v>
      </c>
      <c r="F4128">
        <v>56</v>
      </c>
      <c r="G4128">
        <v>5521.5999999999904</v>
      </c>
      <c r="H4128" t="s">
        <v>12</v>
      </c>
      <c r="I4128" t="str">
        <f t="shared" si="193"/>
        <v>High Value</v>
      </c>
      <c r="J4128" t="str">
        <f t="shared" si="194"/>
        <v>Low Risk</v>
      </c>
      <c r="K4128" s="3" t="str">
        <f t="shared" si="192"/>
        <v>4+ Years</v>
      </c>
    </row>
    <row r="4129" spans="1:11" x14ac:dyDescent="0.3">
      <c r="A4129" t="s">
        <v>4146</v>
      </c>
      <c r="B4129" t="s">
        <v>9</v>
      </c>
      <c r="C4129" t="s">
        <v>10</v>
      </c>
      <c r="D4129" t="s">
        <v>24</v>
      </c>
      <c r="E4129">
        <v>103.65</v>
      </c>
      <c r="F4129">
        <v>55</v>
      </c>
      <c r="G4129">
        <v>5700.75</v>
      </c>
      <c r="H4129" t="s">
        <v>12</v>
      </c>
      <c r="I4129" t="str">
        <f t="shared" si="193"/>
        <v>High Value</v>
      </c>
      <c r="J4129" t="str">
        <f t="shared" si="194"/>
        <v>Low Risk</v>
      </c>
      <c r="K4129" s="3" t="str">
        <f t="shared" si="192"/>
        <v>4+ Years</v>
      </c>
    </row>
    <row r="4130" spans="1:11" x14ac:dyDescent="0.3">
      <c r="A4130" t="s">
        <v>4147</v>
      </c>
      <c r="B4130" t="s">
        <v>9</v>
      </c>
      <c r="C4130" t="s">
        <v>30</v>
      </c>
      <c r="D4130" t="s">
        <v>24</v>
      </c>
      <c r="E4130">
        <v>92.9</v>
      </c>
      <c r="F4130">
        <v>36</v>
      </c>
      <c r="G4130">
        <v>3344.4</v>
      </c>
      <c r="H4130" t="s">
        <v>12</v>
      </c>
      <c r="I4130" t="str">
        <f t="shared" si="193"/>
        <v>Medium Value</v>
      </c>
      <c r="J4130" t="str">
        <f t="shared" si="194"/>
        <v>Low Risk</v>
      </c>
      <c r="K4130" s="3" t="str">
        <f t="shared" si="192"/>
        <v>2-4 Years</v>
      </c>
    </row>
    <row r="4131" spans="1:11" x14ac:dyDescent="0.3">
      <c r="A4131" t="s">
        <v>4148</v>
      </c>
      <c r="B4131" t="s">
        <v>14</v>
      </c>
      <c r="C4131" t="s">
        <v>15</v>
      </c>
      <c r="D4131" t="s">
        <v>20</v>
      </c>
      <c r="E4131">
        <v>19.899999999999999</v>
      </c>
      <c r="F4131">
        <v>47</v>
      </c>
      <c r="G4131">
        <v>935.3</v>
      </c>
      <c r="H4131" t="s">
        <v>12</v>
      </c>
      <c r="I4131" t="str">
        <f t="shared" si="193"/>
        <v>Low Value</v>
      </c>
      <c r="J4131" t="str">
        <f t="shared" si="194"/>
        <v>Low Risk</v>
      </c>
      <c r="K4131" s="3" t="str">
        <f t="shared" si="192"/>
        <v>2-4 Years</v>
      </c>
    </row>
    <row r="4132" spans="1:11" x14ac:dyDescent="0.3">
      <c r="A4132" t="s">
        <v>4149</v>
      </c>
      <c r="B4132" t="s">
        <v>9</v>
      </c>
      <c r="C4132" t="s">
        <v>10</v>
      </c>
      <c r="D4132" t="s">
        <v>24</v>
      </c>
      <c r="E4132">
        <v>20.100000000000001</v>
      </c>
      <c r="F4132">
        <v>12</v>
      </c>
      <c r="G4132">
        <v>241.2</v>
      </c>
      <c r="H4132" t="s">
        <v>12</v>
      </c>
      <c r="I4132" t="str">
        <f t="shared" si="193"/>
        <v>Low Value</v>
      </c>
      <c r="J4132" t="str">
        <f t="shared" si="194"/>
        <v>Medium Risk</v>
      </c>
      <c r="K4132" s="3" t="str">
        <f t="shared" si="192"/>
        <v>0-1 Year</v>
      </c>
    </row>
    <row r="4133" spans="1:11" x14ac:dyDescent="0.3">
      <c r="A4133" t="s">
        <v>4150</v>
      </c>
      <c r="B4133" t="s">
        <v>9</v>
      </c>
      <c r="C4133" t="s">
        <v>10</v>
      </c>
      <c r="D4133" t="s">
        <v>11</v>
      </c>
      <c r="E4133">
        <v>85.45</v>
      </c>
      <c r="F4133">
        <v>1</v>
      </c>
      <c r="G4133">
        <v>85.45</v>
      </c>
      <c r="H4133" t="s">
        <v>18</v>
      </c>
      <c r="I4133" t="str">
        <f t="shared" si="193"/>
        <v>Low Value</v>
      </c>
      <c r="J4133" t="str">
        <f t="shared" si="194"/>
        <v>High Risk</v>
      </c>
      <c r="K4133" s="3" t="str">
        <f t="shared" si="192"/>
        <v>0-1 Year</v>
      </c>
    </row>
    <row r="4134" spans="1:11" x14ac:dyDescent="0.3">
      <c r="A4134" t="s">
        <v>4151</v>
      </c>
      <c r="B4134" t="s">
        <v>14</v>
      </c>
      <c r="C4134" t="s">
        <v>10</v>
      </c>
      <c r="D4134" t="s">
        <v>11</v>
      </c>
      <c r="E4134">
        <v>80.5</v>
      </c>
      <c r="F4134">
        <v>24</v>
      </c>
      <c r="G4134">
        <v>1932</v>
      </c>
      <c r="H4134" t="s">
        <v>12</v>
      </c>
      <c r="I4134" t="str">
        <f t="shared" si="193"/>
        <v>Low Value</v>
      </c>
      <c r="J4134" t="str">
        <f t="shared" si="194"/>
        <v>Low Risk</v>
      </c>
      <c r="K4134" s="3" t="str">
        <f t="shared" si="192"/>
        <v>1-2 Years</v>
      </c>
    </row>
    <row r="4135" spans="1:11" x14ac:dyDescent="0.3">
      <c r="A4135" t="s">
        <v>4152</v>
      </c>
      <c r="B4135" t="s">
        <v>9</v>
      </c>
      <c r="C4135" t="s">
        <v>15</v>
      </c>
      <c r="D4135" t="s">
        <v>20</v>
      </c>
      <c r="E4135">
        <v>99.9</v>
      </c>
      <c r="F4135">
        <v>63</v>
      </c>
      <c r="G4135">
        <v>6293.7</v>
      </c>
      <c r="H4135" t="s">
        <v>18</v>
      </c>
      <c r="I4135" t="str">
        <f t="shared" si="193"/>
        <v>High Value</v>
      </c>
      <c r="J4135" t="str">
        <f t="shared" si="194"/>
        <v>Low Risk</v>
      </c>
      <c r="K4135" s="3" t="str">
        <f t="shared" si="192"/>
        <v>4+ Years</v>
      </c>
    </row>
    <row r="4136" spans="1:11" x14ac:dyDescent="0.3">
      <c r="A4136" t="s">
        <v>4153</v>
      </c>
      <c r="B4136" t="s">
        <v>9</v>
      </c>
      <c r="C4136" t="s">
        <v>10</v>
      </c>
      <c r="D4136" t="s">
        <v>11</v>
      </c>
      <c r="E4136">
        <v>39.85</v>
      </c>
      <c r="F4136">
        <v>35</v>
      </c>
      <c r="G4136">
        <v>1394.75</v>
      </c>
      <c r="H4136" t="s">
        <v>12</v>
      </c>
      <c r="I4136" t="str">
        <f t="shared" si="193"/>
        <v>Low Value</v>
      </c>
      <c r="J4136" t="str">
        <f t="shared" si="194"/>
        <v>Low Risk</v>
      </c>
      <c r="K4136" s="3" t="str">
        <f t="shared" si="192"/>
        <v>2-4 Years</v>
      </c>
    </row>
    <row r="4137" spans="1:11" x14ac:dyDescent="0.3">
      <c r="A4137" t="s">
        <v>4154</v>
      </c>
      <c r="B4137" t="s">
        <v>9</v>
      </c>
      <c r="C4137" t="s">
        <v>15</v>
      </c>
      <c r="D4137" t="s">
        <v>24</v>
      </c>
      <c r="E4137">
        <v>60.5</v>
      </c>
      <c r="F4137">
        <v>67</v>
      </c>
      <c r="G4137">
        <v>4053.5</v>
      </c>
      <c r="H4137" t="s">
        <v>12</v>
      </c>
      <c r="I4137" t="str">
        <f t="shared" si="193"/>
        <v>Medium Value</v>
      </c>
      <c r="J4137" t="str">
        <f t="shared" si="194"/>
        <v>Low Risk</v>
      </c>
      <c r="K4137" s="3" t="str">
        <f t="shared" si="192"/>
        <v>4+ Years</v>
      </c>
    </row>
    <row r="4138" spans="1:11" x14ac:dyDescent="0.3">
      <c r="A4138" t="s">
        <v>4155</v>
      </c>
      <c r="B4138" t="s">
        <v>14</v>
      </c>
      <c r="C4138" t="s">
        <v>10</v>
      </c>
      <c r="D4138" t="s">
        <v>11</v>
      </c>
      <c r="E4138">
        <v>84.8</v>
      </c>
      <c r="F4138">
        <v>25</v>
      </c>
      <c r="G4138">
        <v>2120</v>
      </c>
      <c r="H4138" t="s">
        <v>18</v>
      </c>
      <c r="I4138" t="str">
        <f t="shared" si="193"/>
        <v>Medium Value</v>
      </c>
      <c r="J4138" t="str">
        <f t="shared" si="194"/>
        <v>Low Risk</v>
      </c>
      <c r="K4138" s="3" t="str">
        <f t="shared" si="192"/>
        <v>2-4 Years</v>
      </c>
    </row>
    <row r="4139" spans="1:11" x14ac:dyDescent="0.3">
      <c r="A4139" t="s">
        <v>4156</v>
      </c>
      <c r="B4139" t="s">
        <v>14</v>
      </c>
      <c r="C4139" t="s">
        <v>10</v>
      </c>
      <c r="D4139" t="s">
        <v>16</v>
      </c>
      <c r="E4139">
        <v>103.85</v>
      </c>
      <c r="F4139">
        <v>21</v>
      </c>
      <c r="G4139">
        <v>2180.85</v>
      </c>
      <c r="H4139" t="s">
        <v>12</v>
      </c>
      <c r="I4139" t="str">
        <f t="shared" si="193"/>
        <v>Medium Value</v>
      </c>
      <c r="J4139" t="str">
        <f t="shared" si="194"/>
        <v>Medium Risk</v>
      </c>
      <c r="K4139" s="3" t="str">
        <f t="shared" si="192"/>
        <v>1-2 Years</v>
      </c>
    </row>
    <row r="4140" spans="1:11" x14ac:dyDescent="0.3">
      <c r="A4140" t="s">
        <v>4157</v>
      </c>
      <c r="B4140" t="s">
        <v>9</v>
      </c>
      <c r="C4140" t="s">
        <v>10</v>
      </c>
      <c r="D4140" t="s">
        <v>20</v>
      </c>
      <c r="E4140">
        <v>67.8</v>
      </c>
      <c r="F4140">
        <v>13</v>
      </c>
      <c r="G4140">
        <v>881.4</v>
      </c>
      <c r="H4140" t="s">
        <v>12</v>
      </c>
      <c r="I4140" t="str">
        <f t="shared" si="193"/>
        <v>Low Value</v>
      </c>
      <c r="J4140" t="str">
        <f t="shared" si="194"/>
        <v>Medium Risk</v>
      </c>
      <c r="K4140" s="3" t="str">
        <f t="shared" si="192"/>
        <v>1-2 Years</v>
      </c>
    </row>
    <row r="4141" spans="1:11" x14ac:dyDescent="0.3">
      <c r="A4141" t="s">
        <v>4158</v>
      </c>
      <c r="B4141" t="s">
        <v>14</v>
      </c>
      <c r="C4141" t="s">
        <v>10</v>
      </c>
      <c r="D4141" t="s">
        <v>11</v>
      </c>
      <c r="E4141">
        <v>75.2</v>
      </c>
      <c r="F4141">
        <v>35</v>
      </c>
      <c r="G4141">
        <v>2632</v>
      </c>
      <c r="H4141" t="s">
        <v>18</v>
      </c>
      <c r="I4141" t="str">
        <f t="shared" si="193"/>
        <v>Medium Value</v>
      </c>
      <c r="J4141" t="str">
        <f t="shared" si="194"/>
        <v>Low Risk</v>
      </c>
      <c r="K4141" s="3" t="str">
        <f t="shared" si="192"/>
        <v>2-4 Years</v>
      </c>
    </row>
    <row r="4142" spans="1:11" x14ac:dyDescent="0.3">
      <c r="A4142" t="s">
        <v>4159</v>
      </c>
      <c r="B4142" t="s">
        <v>14</v>
      </c>
      <c r="C4142" t="s">
        <v>30</v>
      </c>
      <c r="D4142" t="s">
        <v>20</v>
      </c>
      <c r="E4142">
        <v>24.85</v>
      </c>
      <c r="F4142">
        <v>71</v>
      </c>
      <c r="G4142">
        <v>1764.35</v>
      </c>
      <c r="H4142" t="s">
        <v>12</v>
      </c>
      <c r="I4142" t="str">
        <f t="shared" si="193"/>
        <v>Low Value</v>
      </c>
      <c r="J4142" t="str">
        <f t="shared" si="194"/>
        <v>Low Risk</v>
      </c>
      <c r="K4142" s="3" t="str">
        <f t="shared" si="192"/>
        <v>4+ Years</v>
      </c>
    </row>
    <row r="4143" spans="1:11" x14ac:dyDescent="0.3">
      <c r="A4143" t="s">
        <v>4160</v>
      </c>
      <c r="B4143" t="s">
        <v>9</v>
      </c>
      <c r="C4143" t="s">
        <v>10</v>
      </c>
      <c r="D4143" t="s">
        <v>24</v>
      </c>
      <c r="E4143">
        <v>19.350000000000001</v>
      </c>
      <c r="F4143">
        <v>29</v>
      </c>
      <c r="G4143">
        <v>561.15</v>
      </c>
      <c r="H4143" t="s">
        <v>12</v>
      </c>
      <c r="I4143" t="str">
        <f t="shared" si="193"/>
        <v>Low Value</v>
      </c>
      <c r="J4143" t="str">
        <f t="shared" si="194"/>
        <v>Low Risk</v>
      </c>
      <c r="K4143" s="3" t="str">
        <f t="shared" si="192"/>
        <v>2-4 Years</v>
      </c>
    </row>
    <row r="4144" spans="1:11" x14ac:dyDescent="0.3">
      <c r="A4144" t="s">
        <v>4161</v>
      </c>
      <c r="B4144" t="s">
        <v>14</v>
      </c>
      <c r="C4144" t="s">
        <v>30</v>
      </c>
      <c r="D4144" t="s">
        <v>11</v>
      </c>
      <c r="E4144">
        <v>49.35</v>
      </c>
      <c r="F4144">
        <v>71</v>
      </c>
      <c r="G4144">
        <v>3503.85</v>
      </c>
      <c r="H4144" t="s">
        <v>18</v>
      </c>
      <c r="I4144" t="str">
        <f t="shared" si="193"/>
        <v>Medium Value</v>
      </c>
      <c r="J4144" t="str">
        <f t="shared" si="194"/>
        <v>Low Risk</v>
      </c>
      <c r="K4144" s="3" t="str">
        <f t="shared" si="192"/>
        <v>4+ Years</v>
      </c>
    </row>
    <row r="4145" spans="1:11" x14ac:dyDescent="0.3">
      <c r="A4145" t="s">
        <v>4162</v>
      </c>
      <c r="B4145" t="s">
        <v>14</v>
      </c>
      <c r="C4145" t="s">
        <v>10</v>
      </c>
      <c r="D4145" t="s">
        <v>11</v>
      </c>
      <c r="E4145">
        <v>89</v>
      </c>
      <c r="F4145">
        <v>7</v>
      </c>
      <c r="G4145">
        <v>623</v>
      </c>
      <c r="H4145" t="s">
        <v>12</v>
      </c>
      <c r="I4145" t="str">
        <f t="shared" si="193"/>
        <v>Low Value</v>
      </c>
      <c r="J4145" t="str">
        <f t="shared" si="194"/>
        <v>High Risk</v>
      </c>
      <c r="K4145" s="3" t="str">
        <f t="shared" si="192"/>
        <v>0-1 Year</v>
      </c>
    </row>
    <row r="4146" spans="1:11" x14ac:dyDescent="0.3">
      <c r="A4146" t="s">
        <v>4163</v>
      </c>
      <c r="B4146" t="s">
        <v>9</v>
      </c>
      <c r="C4146" t="s">
        <v>10</v>
      </c>
      <c r="D4146" t="s">
        <v>11</v>
      </c>
      <c r="E4146">
        <v>55</v>
      </c>
      <c r="F4146">
        <v>57</v>
      </c>
      <c r="G4146">
        <v>3135</v>
      </c>
      <c r="H4146" t="s">
        <v>12</v>
      </c>
      <c r="I4146" t="str">
        <f t="shared" si="193"/>
        <v>Medium Value</v>
      </c>
      <c r="J4146" t="str">
        <f t="shared" si="194"/>
        <v>Low Risk</v>
      </c>
      <c r="K4146" s="3" t="str">
        <f t="shared" si="192"/>
        <v>4+ Years</v>
      </c>
    </row>
    <row r="4147" spans="1:11" x14ac:dyDescent="0.3">
      <c r="A4147" t="s">
        <v>4164</v>
      </c>
      <c r="B4147" t="s">
        <v>14</v>
      </c>
      <c r="C4147" t="s">
        <v>30</v>
      </c>
      <c r="D4147" t="s">
        <v>20</v>
      </c>
      <c r="E4147">
        <v>76.150000000000006</v>
      </c>
      <c r="F4147">
        <v>65</v>
      </c>
      <c r="G4147">
        <v>4949.75</v>
      </c>
      <c r="H4147" t="s">
        <v>12</v>
      </c>
      <c r="I4147" t="str">
        <f t="shared" si="193"/>
        <v>Medium Value</v>
      </c>
      <c r="J4147" t="str">
        <f t="shared" si="194"/>
        <v>Low Risk</v>
      </c>
      <c r="K4147" s="3" t="str">
        <f t="shared" si="192"/>
        <v>4+ Years</v>
      </c>
    </row>
    <row r="4148" spans="1:11" x14ac:dyDescent="0.3">
      <c r="A4148" t="s">
        <v>4165</v>
      </c>
      <c r="B4148" t="s">
        <v>14</v>
      </c>
      <c r="C4148" t="s">
        <v>15</v>
      </c>
      <c r="D4148" t="s">
        <v>16</v>
      </c>
      <c r="E4148">
        <v>20.3</v>
      </c>
      <c r="F4148">
        <v>27</v>
      </c>
      <c r="G4148">
        <v>548.1</v>
      </c>
      <c r="H4148" t="s">
        <v>12</v>
      </c>
      <c r="I4148" t="str">
        <f t="shared" si="193"/>
        <v>Low Value</v>
      </c>
      <c r="J4148" t="str">
        <f t="shared" si="194"/>
        <v>Low Risk</v>
      </c>
      <c r="K4148" s="3" t="str">
        <f t="shared" si="192"/>
        <v>2-4 Years</v>
      </c>
    </row>
    <row r="4149" spans="1:11" x14ac:dyDescent="0.3">
      <c r="A4149" t="s">
        <v>4166</v>
      </c>
      <c r="B4149" t="s">
        <v>14</v>
      </c>
      <c r="C4149" t="s">
        <v>10</v>
      </c>
      <c r="D4149" t="s">
        <v>11</v>
      </c>
      <c r="E4149">
        <v>74.900000000000006</v>
      </c>
      <c r="F4149">
        <v>6</v>
      </c>
      <c r="G4149">
        <v>449.4</v>
      </c>
      <c r="H4149" t="s">
        <v>18</v>
      </c>
      <c r="I4149" t="str">
        <f t="shared" si="193"/>
        <v>Low Value</v>
      </c>
      <c r="J4149" t="str">
        <f t="shared" si="194"/>
        <v>High Risk</v>
      </c>
      <c r="K4149" s="3" t="str">
        <f t="shared" si="192"/>
        <v>0-1 Year</v>
      </c>
    </row>
    <row r="4150" spans="1:11" x14ac:dyDescent="0.3">
      <c r="A4150" t="s">
        <v>4167</v>
      </c>
      <c r="B4150" t="s">
        <v>9</v>
      </c>
      <c r="C4150" t="s">
        <v>30</v>
      </c>
      <c r="D4150" t="s">
        <v>24</v>
      </c>
      <c r="E4150">
        <v>117.35</v>
      </c>
      <c r="F4150">
        <v>72</v>
      </c>
      <c r="G4150">
        <v>8449.1999999999898</v>
      </c>
      <c r="H4150" t="s">
        <v>12</v>
      </c>
      <c r="I4150" t="str">
        <f t="shared" si="193"/>
        <v>High Value</v>
      </c>
      <c r="J4150" t="str">
        <f t="shared" si="194"/>
        <v>Low Risk</v>
      </c>
      <c r="K4150" s="3" t="str">
        <f t="shared" si="192"/>
        <v>4+ Years</v>
      </c>
    </row>
    <row r="4151" spans="1:11" x14ac:dyDescent="0.3">
      <c r="A4151" t="s">
        <v>4168</v>
      </c>
      <c r="B4151" t="s">
        <v>14</v>
      </c>
      <c r="C4151" t="s">
        <v>10</v>
      </c>
      <c r="D4151" t="s">
        <v>16</v>
      </c>
      <c r="E4151">
        <v>19.75</v>
      </c>
      <c r="F4151">
        <v>1</v>
      </c>
      <c r="G4151">
        <v>19.75</v>
      </c>
      <c r="H4151" t="s">
        <v>12</v>
      </c>
      <c r="I4151" t="str">
        <f t="shared" si="193"/>
        <v>Low Value</v>
      </c>
      <c r="J4151" t="str">
        <f t="shared" si="194"/>
        <v>High Risk</v>
      </c>
      <c r="K4151" s="3" t="str">
        <f t="shared" si="192"/>
        <v>0-1 Year</v>
      </c>
    </row>
    <row r="4152" spans="1:11" x14ac:dyDescent="0.3">
      <c r="A4152" t="s">
        <v>4169</v>
      </c>
      <c r="B4152" t="s">
        <v>14</v>
      </c>
      <c r="C4152" t="s">
        <v>10</v>
      </c>
      <c r="D4152" t="s">
        <v>24</v>
      </c>
      <c r="E4152">
        <v>45.2</v>
      </c>
      <c r="F4152">
        <v>11</v>
      </c>
      <c r="G4152">
        <v>497.2</v>
      </c>
      <c r="H4152" t="s">
        <v>12</v>
      </c>
      <c r="I4152" t="str">
        <f t="shared" si="193"/>
        <v>Low Value</v>
      </c>
      <c r="J4152" t="str">
        <f t="shared" si="194"/>
        <v>High Risk</v>
      </c>
      <c r="K4152" s="3" t="str">
        <f t="shared" si="192"/>
        <v>0-1 Year</v>
      </c>
    </row>
    <row r="4153" spans="1:11" x14ac:dyDescent="0.3">
      <c r="A4153" t="s">
        <v>4170</v>
      </c>
      <c r="B4153" t="s">
        <v>14</v>
      </c>
      <c r="C4153" t="s">
        <v>30</v>
      </c>
      <c r="D4153" t="s">
        <v>16</v>
      </c>
      <c r="E4153">
        <v>25.2</v>
      </c>
      <c r="F4153">
        <v>39</v>
      </c>
      <c r="G4153">
        <v>982.8</v>
      </c>
      <c r="H4153" t="s">
        <v>12</v>
      </c>
      <c r="I4153" t="str">
        <f t="shared" si="193"/>
        <v>Low Value</v>
      </c>
      <c r="J4153" t="str">
        <f t="shared" si="194"/>
        <v>Low Risk</v>
      </c>
      <c r="K4153" s="3" t="str">
        <f t="shared" si="192"/>
        <v>2-4 Years</v>
      </c>
    </row>
    <row r="4154" spans="1:11" x14ac:dyDescent="0.3">
      <c r="A4154" t="s">
        <v>4171</v>
      </c>
      <c r="B4154" t="s">
        <v>9</v>
      </c>
      <c r="C4154" t="s">
        <v>10</v>
      </c>
      <c r="D4154" t="s">
        <v>11</v>
      </c>
      <c r="E4154">
        <v>89.75</v>
      </c>
      <c r="F4154">
        <v>59</v>
      </c>
      <c r="G4154">
        <v>5295.25</v>
      </c>
      <c r="H4154" t="s">
        <v>12</v>
      </c>
      <c r="I4154" t="str">
        <f t="shared" si="193"/>
        <v>High Value</v>
      </c>
      <c r="J4154" t="str">
        <f t="shared" si="194"/>
        <v>Low Risk</v>
      </c>
      <c r="K4154" s="3" t="str">
        <f t="shared" si="192"/>
        <v>4+ Years</v>
      </c>
    </row>
    <row r="4155" spans="1:11" x14ac:dyDescent="0.3">
      <c r="A4155" t="s">
        <v>4172</v>
      </c>
      <c r="B4155" t="s">
        <v>14</v>
      </c>
      <c r="C4155" t="s">
        <v>15</v>
      </c>
      <c r="D4155" t="s">
        <v>20</v>
      </c>
      <c r="E4155">
        <v>75</v>
      </c>
      <c r="F4155">
        <v>26</v>
      </c>
      <c r="G4155">
        <v>1950</v>
      </c>
      <c r="H4155" t="s">
        <v>12</v>
      </c>
      <c r="I4155" t="str">
        <f t="shared" si="193"/>
        <v>Low Value</v>
      </c>
      <c r="J4155" t="str">
        <f t="shared" si="194"/>
        <v>Low Risk</v>
      </c>
      <c r="K4155" s="3" t="str">
        <f t="shared" si="192"/>
        <v>2-4 Years</v>
      </c>
    </row>
    <row r="4156" spans="1:11" x14ac:dyDescent="0.3">
      <c r="A4156" t="s">
        <v>4173</v>
      </c>
      <c r="B4156" t="s">
        <v>14</v>
      </c>
      <c r="C4156" t="s">
        <v>10</v>
      </c>
      <c r="D4156" t="s">
        <v>16</v>
      </c>
      <c r="E4156">
        <v>49.95</v>
      </c>
      <c r="F4156">
        <v>2</v>
      </c>
      <c r="G4156">
        <v>99.9</v>
      </c>
      <c r="H4156" t="s">
        <v>12</v>
      </c>
      <c r="I4156" t="str">
        <f t="shared" si="193"/>
        <v>Low Value</v>
      </c>
      <c r="J4156" t="str">
        <f t="shared" si="194"/>
        <v>High Risk</v>
      </c>
      <c r="K4156" s="3" t="str">
        <f t="shared" si="192"/>
        <v>0-1 Year</v>
      </c>
    </row>
    <row r="4157" spans="1:11" x14ac:dyDescent="0.3">
      <c r="A4157" t="s">
        <v>4174</v>
      </c>
      <c r="B4157" t="s">
        <v>9</v>
      </c>
      <c r="C4157" t="s">
        <v>30</v>
      </c>
      <c r="D4157" t="s">
        <v>20</v>
      </c>
      <c r="E4157">
        <v>65.7</v>
      </c>
      <c r="F4157">
        <v>72</v>
      </c>
      <c r="G4157">
        <v>4730.3999999999996</v>
      </c>
      <c r="H4157" t="s">
        <v>12</v>
      </c>
      <c r="I4157" t="str">
        <f t="shared" si="193"/>
        <v>Medium Value</v>
      </c>
      <c r="J4157" t="str">
        <f t="shared" si="194"/>
        <v>Low Risk</v>
      </c>
      <c r="K4157" s="3" t="str">
        <f t="shared" si="192"/>
        <v>4+ Years</v>
      </c>
    </row>
    <row r="4158" spans="1:11" x14ac:dyDescent="0.3">
      <c r="A4158" t="s">
        <v>4175</v>
      </c>
      <c r="B4158" t="s">
        <v>14</v>
      </c>
      <c r="C4158" t="s">
        <v>15</v>
      </c>
      <c r="D4158" t="s">
        <v>24</v>
      </c>
      <c r="E4158">
        <v>67.05</v>
      </c>
      <c r="F4158">
        <v>65</v>
      </c>
      <c r="G4158">
        <v>4358.25</v>
      </c>
      <c r="H4158" t="s">
        <v>12</v>
      </c>
      <c r="I4158" t="str">
        <f t="shared" si="193"/>
        <v>Medium Value</v>
      </c>
      <c r="J4158" t="str">
        <f t="shared" si="194"/>
        <v>Low Risk</v>
      </c>
      <c r="K4158" s="3" t="str">
        <f t="shared" si="192"/>
        <v>4+ Years</v>
      </c>
    </row>
    <row r="4159" spans="1:11" x14ac:dyDescent="0.3">
      <c r="A4159" t="s">
        <v>4176</v>
      </c>
      <c r="B4159" t="s">
        <v>14</v>
      </c>
      <c r="C4159" t="s">
        <v>30</v>
      </c>
      <c r="D4159" t="s">
        <v>24</v>
      </c>
      <c r="E4159">
        <v>110.9</v>
      </c>
      <c r="F4159">
        <v>72</v>
      </c>
      <c r="G4159">
        <v>7984.8</v>
      </c>
      <c r="H4159" t="s">
        <v>12</v>
      </c>
      <c r="I4159" t="str">
        <f t="shared" si="193"/>
        <v>High Value</v>
      </c>
      <c r="J4159" t="str">
        <f t="shared" si="194"/>
        <v>Low Risk</v>
      </c>
      <c r="K4159" s="3" t="str">
        <f t="shared" si="192"/>
        <v>4+ Years</v>
      </c>
    </row>
    <row r="4160" spans="1:11" x14ac:dyDescent="0.3">
      <c r="A4160" t="s">
        <v>4177</v>
      </c>
      <c r="B4160" t="s">
        <v>14</v>
      </c>
      <c r="C4160" t="s">
        <v>10</v>
      </c>
      <c r="D4160" t="s">
        <v>20</v>
      </c>
      <c r="E4160">
        <v>87.95</v>
      </c>
      <c r="F4160">
        <v>6</v>
      </c>
      <c r="G4160">
        <v>527.70000000000005</v>
      </c>
      <c r="H4160" t="s">
        <v>12</v>
      </c>
      <c r="I4160" t="str">
        <f t="shared" si="193"/>
        <v>Low Value</v>
      </c>
      <c r="J4160" t="str">
        <f t="shared" si="194"/>
        <v>High Risk</v>
      </c>
      <c r="K4160" s="3" t="str">
        <f t="shared" si="192"/>
        <v>0-1 Year</v>
      </c>
    </row>
    <row r="4161" spans="1:11" x14ac:dyDescent="0.3">
      <c r="A4161" t="s">
        <v>4178</v>
      </c>
      <c r="B4161" t="s">
        <v>14</v>
      </c>
      <c r="C4161" t="s">
        <v>15</v>
      </c>
      <c r="D4161" t="s">
        <v>24</v>
      </c>
      <c r="E4161">
        <v>19.8</v>
      </c>
      <c r="F4161">
        <v>32</v>
      </c>
      <c r="G4161">
        <v>633.6</v>
      </c>
      <c r="H4161" t="s">
        <v>12</v>
      </c>
      <c r="I4161" t="str">
        <f t="shared" si="193"/>
        <v>Low Value</v>
      </c>
      <c r="J4161" t="str">
        <f t="shared" si="194"/>
        <v>Low Risk</v>
      </c>
      <c r="K4161" s="3" t="str">
        <f t="shared" si="192"/>
        <v>2-4 Years</v>
      </c>
    </row>
    <row r="4162" spans="1:11" x14ac:dyDescent="0.3">
      <c r="A4162" t="s">
        <v>4179</v>
      </c>
      <c r="B4162" t="s">
        <v>9</v>
      </c>
      <c r="C4162" t="s">
        <v>15</v>
      </c>
      <c r="D4162" t="s">
        <v>20</v>
      </c>
      <c r="E4162">
        <v>75.7</v>
      </c>
      <c r="F4162">
        <v>50</v>
      </c>
      <c r="G4162">
        <v>3785</v>
      </c>
      <c r="H4162" t="s">
        <v>12</v>
      </c>
      <c r="I4162" t="str">
        <f t="shared" si="193"/>
        <v>Medium Value</v>
      </c>
      <c r="J4162" t="str">
        <f t="shared" si="194"/>
        <v>Low Risk</v>
      </c>
      <c r="K4162" s="3" t="str">
        <f t="shared" si="192"/>
        <v>4+ Years</v>
      </c>
    </row>
    <row r="4163" spans="1:11" x14ac:dyDescent="0.3">
      <c r="A4163" t="s">
        <v>4180</v>
      </c>
      <c r="B4163" t="s">
        <v>14</v>
      </c>
      <c r="C4163" t="s">
        <v>30</v>
      </c>
      <c r="D4163" t="s">
        <v>16</v>
      </c>
      <c r="E4163">
        <v>62.15</v>
      </c>
      <c r="F4163">
        <v>61</v>
      </c>
      <c r="G4163">
        <v>3791.15</v>
      </c>
      <c r="H4163" t="s">
        <v>12</v>
      </c>
      <c r="I4163" t="str">
        <f t="shared" si="193"/>
        <v>Medium Value</v>
      </c>
      <c r="J4163" t="str">
        <f t="shared" si="194"/>
        <v>Low Risk</v>
      </c>
      <c r="K4163" s="3" t="str">
        <f t="shared" ref="K4163:K4226" si="195">IF(F4163&lt;=12,"0-1 Year",
IF(F4163&lt;=24,"1-2 Years",
IF(F4163&lt;=48,"2-4 Years","4+ Years")))</f>
        <v>4+ Years</v>
      </c>
    </row>
    <row r="4164" spans="1:11" x14ac:dyDescent="0.3">
      <c r="A4164" t="s">
        <v>4181</v>
      </c>
      <c r="B4164" t="s">
        <v>9</v>
      </c>
      <c r="C4164" t="s">
        <v>10</v>
      </c>
      <c r="D4164" t="s">
        <v>11</v>
      </c>
      <c r="E4164">
        <v>101.25</v>
      </c>
      <c r="F4164">
        <v>15</v>
      </c>
      <c r="G4164">
        <v>1518.75</v>
      </c>
      <c r="H4164" t="s">
        <v>18</v>
      </c>
      <c r="I4164" t="str">
        <f t="shared" ref="I4164:I4227" si="196">IF(G4164&gt;5000,"High Value",
IF(G4164&gt;2000,"Medium Value","Low Value"))</f>
        <v>Low Value</v>
      </c>
      <c r="J4164" t="str">
        <f t="shared" ref="J4164:J4227" si="197">IF(F4164&lt;12,"High Risk",
IF(F4164&lt;24,"Medium Risk","Low Risk"))</f>
        <v>Medium Risk</v>
      </c>
      <c r="K4164" s="3" t="str">
        <f t="shared" si="195"/>
        <v>1-2 Years</v>
      </c>
    </row>
    <row r="4165" spans="1:11" x14ac:dyDescent="0.3">
      <c r="A4165" t="s">
        <v>4182</v>
      </c>
      <c r="B4165" t="s">
        <v>14</v>
      </c>
      <c r="C4165" t="s">
        <v>30</v>
      </c>
      <c r="D4165" t="s">
        <v>20</v>
      </c>
      <c r="E4165">
        <v>115.15</v>
      </c>
      <c r="F4165">
        <v>72</v>
      </c>
      <c r="G4165">
        <v>8290.7999999999993</v>
      </c>
      <c r="H4165" t="s">
        <v>12</v>
      </c>
      <c r="I4165" t="str">
        <f t="shared" si="196"/>
        <v>High Value</v>
      </c>
      <c r="J4165" t="str">
        <f t="shared" si="197"/>
        <v>Low Risk</v>
      </c>
      <c r="K4165" s="3" t="str">
        <f t="shared" si="195"/>
        <v>4+ Years</v>
      </c>
    </row>
    <row r="4166" spans="1:11" x14ac:dyDescent="0.3">
      <c r="A4166" t="s">
        <v>4183</v>
      </c>
      <c r="B4166" t="s">
        <v>14</v>
      </c>
      <c r="C4166" t="s">
        <v>10</v>
      </c>
      <c r="D4166" t="s">
        <v>16</v>
      </c>
      <c r="E4166">
        <v>18.95</v>
      </c>
      <c r="F4166">
        <v>9</v>
      </c>
      <c r="G4166">
        <v>170.54999999999899</v>
      </c>
      <c r="H4166" t="s">
        <v>18</v>
      </c>
      <c r="I4166" t="str">
        <f t="shared" si="196"/>
        <v>Low Value</v>
      </c>
      <c r="J4166" t="str">
        <f t="shared" si="197"/>
        <v>High Risk</v>
      </c>
      <c r="K4166" s="3" t="str">
        <f t="shared" si="195"/>
        <v>0-1 Year</v>
      </c>
    </row>
    <row r="4167" spans="1:11" x14ac:dyDescent="0.3">
      <c r="A4167" t="s">
        <v>4184</v>
      </c>
      <c r="B4167" t="s">
        <v>9</v>
      </c>
      <c r="C4167" t="s">
        <v>10</v>
      </c>
      <c r="D4167" t="s">
        <v>16</v>
      </c>
      <c r="E4167">
        <v>19.5</v>
      </c>
      <c r="F4167">
        <v>1</v>
      </c>
      <c r="G4167">
        <v>19.5</v>
      </c>
      <c r="H4167" t="s">
        <v>12</v>
      </c>
      <c r="I4167" t="str">
        <f t="shared" si="196"/>
        <v>Low Value</v>
      </c>
      <c r="J4167" t="str">
        <f t="shared" si="197"/>
        <v>High Risk</v>
      </c>
      <c r="K4167" s="3" t="str">
        <f t="shared" si="195"/>
        <v>0-1 Year</v>
      </c>
    </row>
    <row r="4168" spans="1:11" x14ac:dyDescent="0.3">
      <c r="A4168" t="s">
        <v>4185</v>
      </c>
      <c r="B4168" t="s">
        <v>9</v>
      </c>
      <c r="C4168" t="s">
        <v>10</v>
      </c>
      <c r="D4168" t="s">
        <v>11</v>
      </c>
      <c r="E4168">
        <v>86.55</v>
      </c>
      <c r="F4168">
        <v>12</v>
      </c>
      <c r="G4168">
        <v>1038.5999999999999</v>
      </c>
      <c r="H4168" t="s">
        <v>12</v>
      </c>
      <c r="I4168" t="str">
        <f t="shared" si="196"/>
        <v>Low Value</v>
      </c>
      <c r="J4168" t="str">
        <f t="shared" si="197"/>
        <v>Medium Risk</v>
      </c>
      <c r="K4168" s="3" t="str">
        <f t="shared" si="195"/>
        <v>0-1 Year</v>
      </c>
    </row>
    <row r="4169" spans="1:11" x14ac:dyDescent="0.3">
      <c r="A4169" t="s">
        <v>4186</v>
      </c>
      <c r="B4169" t="s">
        <v>9</v>
      </c>
      <c r="C4169" t="s">
        <v>10</v>
      </c>
      <c r="D4169" t="s">
        <v>24</v>
      </c>
      <c r="E4169">
        <v>28.6</v>
      </c>
      <c r="F4169">
        <v>37</v>
      </c>
      <c r="G4169">
        <v>1058.2</v>
      </c>
      <c r="H4169" t="s">
        <v>18</v>
      </c>
      <c r="I4169" t="str">
        <f t="shared" si="196"/>
        <v>Low Value</v>
      </c>
      <c r="J4169" t="str">
        <f t="shared" si="197"/>
        <v>Low Risk</v>
      </c>
      <c r="K4169" s="3" t="str">
        <f t="shared" si="195"/>
        <v>2-4 Years</v>
      </c>
    </row>
    <row r="4170" spans="1:11" x14ac:dyDescent="0.3">
      <c r="A4170" t="s">
        <v>4187</v>
      </c>
      <c r="B4170" t="s">
        <v>14</v>
      </c>
      <c r="C4170" t="s">
        <v>15</v>
      </c>
      <c r="D4170" t="s">
        <v>16</v>
      </c>
      <c r="E4170">
        <v>20.399999999999999</v>
      </c>
      <c r="F4170">
        <v>61</v>
      </c>
      <c r="G4170">
        <v>1244.3999999999901</v>
      </c>
      <c r="H4170" t="s">
        <v>12</v>
      </c>
      <c r="I4170" t="str">
        <f t="shared" si="196"/>
        <v>Low Value</v>
      </c>
      <c r="J4170" t="str">
        <f t="shared" si="197"/>
        <v>Low Risk</v>
      </c>
      <c r="K4170" s="3" t="str">
        <f t="shared" si="195"/>
        <v>4+ Years</v>
      </c>
    </row>
    <row r="4171" spans="1:11" x14ac:dyDescent="0.3">
      <c r="A4171" t="s">
        <v>4188</v>
      </c>
      <c r="B4171" t="s">
        <v>14</v>
      </c>
      <c r="C4171" t="s">
        <v>15</v>
      </c>
      <c r="D4171" t="s">
        <v>20</v>
      </c>
      <c r="E4171">
        <v>19.8</v>
      </c>
      <c r="F4171">
        <v>18</v>
      </c>
      <c r="G4171">
        <v>356.4</v>
      </c>
      <c r="H4171" t="s">
        <v>12</v>
      </c>
      <c r="I4171" t="str">
        <f t="shared" si="196"/>
        <v>Low Value</v>
      </c>
      <c r="J4171" t="str">
        <f t="shared" si="197"/>
        <v>Medium Risk</v>
      </c>
      <c r="K4171" s="3" t="str">
        <f t="shared" si="195"/>
        <v>1-2 Years</v>
      </c>
    </row>
    <row r="4172" spans="1:11" x14ac:dyDescent="0.3">
      <c r="A4172" t="s">
        <v>4189</v>
      </c>
      <c r="B4172" t="s">
        <v>14</v>
      </c>
      <c r="C4172" t="s">
        <v>10</v>
      </c>
      <c r="D4172" t="s">
        <v>16</v>
      </c>
      <c r="E4172">
        <v>45.65</v>
      </c>
      <c r="F4172">
        <v>21</v>
      </c>
      <c r="G4172">
        <v>958.65</v>
      </c>
      <c r="H4172" t="s">
        <v>12</v>
      </c>
      <c r="I4172" t="str">
        <f t="shared" si="196"/>
        <v>Low Value</v>
      </c>
      <c r="J4172" t="str">
        <f t="shared" si="197"/>
        <v>Medium Risk</v>
      </c>
      <c r="K4172" s="3" t="str">
        <f t="shared" si="195"/>
        <v>1-2 Years</v>
      </c>
    </row>
    <row r="4173" spans="1:11" x14ac:dyDescent="0.3">
      <c r="A4173" t="s">
        <v>4190</v>
      </c>
      <c r="B4173" t="s">
        <v>14</v>
      </c>
      <c r="C4173" t="s">
        <v>30</v>
      </c>
      <c r="D4173" t="s">
        <v>16</v>
      </c>
      <c r="E4173">
        <v>56.4</v>
      </c>
      <c r="F4173">
        <v>68</v>
      </c>
      <c r="G4173">
        <v>3835.2</v>
      </c>
      <c r="H4173" t="s">
        <v>12</v>
      </c>
      <c r="I4173" t="str">
        <f t="shared" si="196"/>
        <v>Medium Value</v>
      </c>
      <c r="J4173" t="str">
        <f t="shared" si="197"/>
        <v>Low Risk</v>
      </c>
      <c r="K4173" s="3" t="str">
        <f t="shared" si="195"/>
        <v>4+ Years</v>
      </c>
    </row>
    <row r="4174" spans="1:11" x14ac:dyDescent="0.3">
      <c r="A4174" t="s">
        <v>4191</v>
      </c>
      <c r="B4174" t="s">
        <v>14</v>
      </c>
      <c r="C4174" t="s">
        <v>10</v>
      </c>
      <c r="D4174" t="s">
        <v>24</v>
      </c>
      <c r="E4174">
        <v>73.3</v>
      </c>
      <c r="F4174">
        <v>12</v>
      </c>
      <c r="G4174">
        <v>879.599999999999</v>
      </c>
      <c r="H4174" t="s">
        <v>12</v>
      </c>
      <c r="I4174" t="str">
        <f t="shared" si="196"/>
        <v>Low Value</v>
      </c>
      <c r="J4174" t="str">
        <f t="shared" si="197"/>
        <v>Medium Risk</v>
      </c>
      <c r="K4174" s="3" t="str">
        <f t="shared" si="195"/>
        <v>0-1 Year</v>
      </c>
    </row>
    <row r="4175" spans="1:11" x14ac:dyDescent="0.3">
      <c r="A4175" t="s">
        <v>4192</v>
      </c>
      <c r="B4175" t="s">
        <v>9</v>
      </c>
      <c r="C4175" t="s">
        <v>10</v>
      </c>
      <c r="D4175" t="s">
        <v>11</v>
      </c>
      <c r="E4175">
        <v>24.35</v>
      </c>
      <c r="F4175">
        <v>2</v>
      </c>
      <c r="G4175">
        <v>48.7</v>
      </c>
      <c r="H4175" t="s">
        <v>18</v>
      </c>
      <c r="I4175" t="str">
        <f t="shared" si="196"/>
        <v>Low Value</v>
      </c>
      <c r="J4175" t="str">
        <f t="shared" si="197"/>
        <v>High Risk</v>
      </c>
      <c r="K4175" s="3" t="str">
        <f t="shared" si="195"/>
        <v>0-1 Year</v>
      </c>
    </row>
    <row r="4176" spans="1:11" x14ac:dyDescent="0.3">
      <c r="A4176" t="s">
        <v>4193</v>
      </c>
      <c r="B4176" t="s">
        <v>9</v>
      </c>
      <c r="C4176" t="s">
        <v>10</v>
      </c>
      <c r="D4176" t="s">
        <v>11</v>
      </c>
      <c r="E4176">
        <v>101.35</v>
      </c>
      <c r="F4176">
        <v>62</v>
      </c>
      <c r="G4176">
        <v>6283.7</v>
      </c>
      <c r="H4176" t="s">
        <v>12</v>
      </c>
      <c r="I4176" t="str">
        <f t="shared" si="196"/>
        <v>High Value</v>
      </c>
      <c r="J4176" t="str">
        <f t="shared" si="197"/>
        <v>Low Risk</v>
      </c>
      <c r="K4176" s="3" t="str">
        <f t="shared" si="195"/>
        <v>4+ Years</v>
      </c>
    </row>
    <row r="4177" spans="1:11" x14ac:dyDescent="0.3">
      <c r="A4177" t="s">
        <v>4194</v>
      </c>
      <c r="B4177" t="s">
        <v>9</v>
      </c>
      <c r="C4177" t="s">
        <v>10</v>
      </c>
      <c r="D4177" t="s">
        <v>11</v>
      </c>
      <c r="E4177">
        <v>98.65</v>
      </c>
      <c r="F4177">
        <v>29</v>
      </c>
      <c r="G4177">
        <v>2860.85</v>
      </c>
      <c r="H4177" t="s">
        <v>18</v>
      </c>
      <c r="I4177" t="str">
        <f t="shared" si="196"/>
        <v>Medium Value</v>
      </c>
      <c r="J4177" t="str">
        <f t="shared" si="197"/>
        <v>Low Risk</v>
      </c>
      <c r="K4177" s="3" t="str">
        <f t="shared" si="195"/>
        <v>2-4 Years</v>
      </c>
    </row>
    <row r="4178" spans="1:11" x14ac:dyDescent="0.3">
      <c r="A4178" t="s">
        <v>4195</v>
      </c>
      <c r="B4178" t="s">
        <v>14</v>
      </c>
      <c r="C4178" t="s">
        <v>10</v>
      </c>
      <c r="D4178" t="s">
        <v>16</v>
      </c>
      <c r="E4178">
        <v>33.6</v>
      </c>
      <c r="F4178">
        <v>1</v>
      </c>
      <c r="G4178">
        <v>33.6</v>
      </c>
      <c r="H4178" t="s">
        <v>12</v>
      </c>
      <c r="I4178" t="str">
        <f t="shared" si="196"/>
        <v>Low Value</v>
      </c>
      <c r="J4178" t="str">
        <f t="shared" si="197"/>
        <v>High Risk</v>
      </c>
      <c r="K4178" s="3" t="str">
        <f t="shared" si="195"/>
        <v>0-1 Year</v>
      </c>
    </row>
    <row r="4179" spans="1:11" x14ac:dyDescent="0.3">
      <c r="A4179" t="s">
        <v>4196</v>
      </c>
      <c r="B4179" t="s">
        <v>14</v>
      </c>
      <c r="C4179" t="s">
        <v>10</v>
      </c>
      <c r="D4179" t="s">
        <v>20</v>
      </c>
      <c r="E4179">
        <v>79.900000000000006</v>
      </c>
      <c r="F4179">
        <v>5</v>
      </c>
      <c r="G4179">
        <v>399.5</v>
      </c>
      <c r="H4179" t="s">
        <v>18</v>
      </c>
      <c r="I4179" t="str">
        <f t="shared" si="196"/>
        <v>Low Value</v>
      </c>
      <c r="J4179" t="str">
        <f t="shared" si="197"/>
        <v>High Risk</v>
      </c>
      <c r="K4179" s="3" t="str">
        <f t="shared" si="195"/>
        <v>0-1 Year</v>
      </c>
    </row>
    <row r="4180" spans="1:11" x14ac:dyDescent="0.3">
      <c r="A4180" t="s">
        <v>4197</v>
      </c>
      <c r="B4180" t="s">
        <v>9</v>
      </c>
      <c r="C4180" t="s">
        <v>10</v>
      </c>
      <c r="D4180" t="s">
        <v>11</v>
      </c>
      <c r="E4180">
        <v>20.7</v>
      </c>
      <c r="F4180">
        <v>1</v>
      </c>
      <c r="G4180">
        <v>20.7</v>
      </c>
      <c r="H4180" t="s">
        <v>12</v>
      </c>
      <c r="I4180" t="str">
        <f t="shared" si="196"/>
        <v>Low Value</v>
      </c>
      <c r="J4180" t="str">
        <f t="shared" si="197"/>
        <v>High Risk</v>
      </c>
      <c r="K4180" s="3" t="str">
        <f t="shared" si="195"/>
        <v>0-1 Year</v>
      </c>
    </row>
    <row r="4181" spans="1:11" x14ac:dyDescent="0.3">
      <c r="A4181" t="s">
        <v>4198</v>
      </c>
      <c r="B4181" t="s">
        <v>14</v>
      </c>
      <c r="C4181" t="s">
        <v>30</v>
      </c>
      <c r="D4181" t="s">
        <v>11</v>
      </c>
      <c r="E4181">
        <v>104.05</v>
      </c>
      <c r="F4181">
        <v>62</v>
      </c>
      <c r="G4181">
        <v>6451.0999999999904</v>
      </c>
      <c r="H4181" t="s">
        <v>12</v>
      </c>
      <c r="I4181" t="str">
        <f t="shared" si="196"/>
        <v>High Value</v>
      </c>
      <c r="J4181" t="str">
        <f t="shared" si="197"/>
        <v>Low Risk</v>
      </c>
      <c r="K4181" s="3" t="str">
        <f t="shared" si="195"/>
        <v>4+ Years</v>
      </c>
    </row>
    <row r="4182" spans="1:11" x14ac:dyDescent="0.3">
      <c r="A4182" t="s">
        <v>4199</v>
      </c>
      <c r="B4182" t="s">
        <v>9</v>
      </c>
      <c r="C4182" t="s">
        <v>30</v>
      </c>
      <c r="D4182" t="s">
        <v>20</v>
      </c>
      <c r="E4182">
        <v>20.25</v>
      </c>
      <c r="F4182">
        <v>36</v>
      </c>
      <c r="G4182">
        <v>729</v>
      </c>
      <c r="H4182" t="s">
        <v>12</v>
      </c>
      <c r="I4182" t="str">
        <f t="shared" si="196"/>
        <v>Low Value</v>
      </c>
      <c r="J4182" t="str">
        <f t="shared" si="197"/>
        <v>Low Risk</v>
      </c>
      <c r="K4182" s="3" t="str">
        <f t="shared" si="195"/>
        <v>2-4 Years</v>
      </c>
    </row>
    <row r="4183" spans="1:11" x14ac:dyDescent="0.3">
      <c r="A4183" t="s">
        <v>4200</v>
      </c>
      <c r="B4183" t="s">
        <v>9</v>
      </c>
      <c r="C4183" t="s">
        <v>10</v>
      </c>
      <c r="D4183" t="s">
        <v>11</v>
      </c>
      <c r="E4183">
        <v>103.3</v>
      </c>
      <c r="F4183">
        <v>28</v>
      </c>
      <c r="G4183">
        <v>2892.4</v>
      </c>
      <c r="H4183" t="s">
        <v>18</v>
      </c>
      <c r="I4183" t="str">
        <f t="shared" si="196"/>
        <v>Medium Value</v>
      </c>
      <c r="J4183" t="str">
        <f t="shared" si="197"/>
        <v>Low Risk</v>
      </c>
      <c r="K4183" s="3" t="str">
        <f t="shared" si="195"/>
        <v>2-4 Years</v>
      </c>
    </row>
    <row r="4184" spans="1:11" x14ac:dyDescent="0.3">
      <c r="A4184" t="s">
        <v>4201</v>
      </c>
      <c r="B4184" t="s">
        <v>9</v>
      </c>
      <c r="C4184" t="s">
        <v>15</v>
      </c>
      <c r="D4184" t="s">
        <v>24</v>
      </c>
      <c r="E4184">
        <v>73.7</v>
      </c>
      <c r="F4184">
        <v>69</v>
      </c>
      <c r="G4184">
        <v>5085.3</v>
      </c>
      <c r="H4184" t="s">
        <v>12</v>
      </c>
      <c r="I4184" t="str">
        <f t="shared" si="196"/>
        <v>High Value</v>
      </c>
      <c r="J4184" t="str">
        <f t="shared" si="197"/>
        <v>Low Risk</v>
      </c>
      <c r="K4184" s="3" t="str">
        <f t="shared" si="195"/>
        <v>4+ Years</v>
      </c>
    </row>
    <row r="4185" spans="1:11" x14ac:dyDescent="0.3">
      <c r="A4185" t="s">
        <v>4202</v>
      </c>
      <c r="B4185" t="s">
        <v>9</v>
      </c>
      <c r="C4185" t="s">
        <v>10</v>
      </c>
      <c r="D4185" t="s">
        <v>24</v>
      </c>
      <c r="E4185">
        <v>96.2</v>
      </c>
      <c r="F4185">
        <v>11</v>
      </c>
      <c r="G4185">
        <v>1058.2</v>
      </c>
      <c r="H4185" t="s">
        <v>18</v>
      </c>
      <c r="I4185" t="str">
        <f t="shared" si="196"/>
        <v>Low Value</v>
      </c>
      <c r="J4185" t="str">
        <f t="shared" si="197"/>
        <v>High Risk</v>
      </c>
      <c r="K4185" s="3" t="str">
        <f t="shared" si="195"/>
        <v>0-1 Year</v>
      </c>
    </row>
    <row r="4186" spans="1:11" x14ac:dyDescent="0.3">
      <c r="A4186" t="s">
        <v>4203</v>
      </c>
      <c r="B4186" t="s">
        <v>9</v>
      </c>
      <c r="C4186" t="s">
        <v>10</v>
      </c>
      <c r="D4186" t="s">
        <v>11</v>
      </c>
      <c r="E4186">
        <v>108.75</v>
      </c>
      <c r="F4186">
        <v>63</v>
      </c>
      <c r="G4186">
        <v>6851.25</v>
      </c>
      <c r="H4186" t="s">
        <v>12</v>
      </c>
      <c r="I4186" t="str">
        <f t="shared" si="196"/>
        <v>High Value</v>
      </c>
      <c r="J4186" t="str">
        <f t="shared" si="197"/>
        <v>Low Risk</v>
      </c>
      <c r="K4186" s="3" t="str">
        <f t="shared" si="195"/>
        <v>4+ Years</v>
      </c>
    </row>
    <row r="4187" spans="1:11" x14ac:dyDescent="0.3">
      <c r="A4187" t="s">
        <v>4204</v>
      </c>
      <c r="B4187" t="s">
        <v>14</v>
      </c>
      <c r="C4187" t="s">
        <v>15</v>
      </c>
      <c r="D4187" t="s">
        <v>20</v>
      </c>
      <c r="E4187">
        <v>20.149999999999999</v>
      </c>
      <c r="F4187">
        <v>23</v>
      </c>
      <c r="G4187">
        <v>463.45</v>
      </c>
      <c r="H4187" t="s">
        <v>12</v>
      </c>
      <c r="I4187" t="str">
        <f t="shared" si="196"/>
        <v>Low Value</v>
      </c>
      <c r="J4187" t="str">
        <f t="shared" si="197"/>
        <v>Medium Risk</v>
      </c>
      <c r="K4187" s="3" t="str">
        <f t="shared" si="195"/>
        <v>1-2 Years</v>
      </c>
    </row>
    <row r="4188" spans="1:11" x14ac:dyDescent="0.3">
      <c r="A4188" t="s">
        <v>4205</v>
      </c>
      <c r="B4188" t="s">
        <v>14</v>
      </c>
      <c r="C4188" t="s">
        <v>10</v>
      </c>
      <c r="D4188" t="s">
        <v>24</v>
      </c>
      <c r="E4188">
        <v>19.75</v>
      </c>
      <c r="F4188">
        <v>10</v>
      </c>
      <c r="G4188">
        <v>197.5</v>
      </c>
      <c r="H4188" t="s">
        <v>12</v>
      </c>
      <c r="I4188" t="str">
        <f t="shared" si="196"/>
        <v>Low Value</v>
      </c>
      <c r="J4188" t="str">
        <f t="shared" si="197"/>
        <v>High Risk</v>
      </c>
      <c r="K4188" s="3" t="str">
        <f t="shared" si="195"/>
        <v>0-1 Year</v>
      </c>
    </row>
    <row r="4189" spans="1:11" x14ac:dyDescent="0.3">
      <c r="A4189" t="s">
        <v>4206</v>
      </c>
      <c r="B4189" t="s">
        <v>9</v>
      </c>
      <c r="C4189" t="s">
        <v>30</v>
      </c>
      <c r="D4189" t="s">
        <v>24</v>
      </c>
      <c r="E4189">
        <v>25.95</v>
      </c>
      <c r="F4189">
        <v>71</v>
      </c>
      <c r="G4189">
        <v>1842.45</v>
      </c>
      <c r="H4189" t="s">
        <v>12</v>
      </c>
      <c r="I4189" t="str">
        <f t="shared" si="196"/>
        <v>Low Value</v>
      </c>
      <c r="J4189" t="str">
        <f t="shared" si="197"/>
        <v>Low Risk</v>
      </c>
      <c r="K4189" s="3" t="str">
        <f t="shared" si="195"/>
        <v>4+ Years</v>
      </c>
    </row>
    <row r="4190" spans="1:11" x14ac:dyDescent="0.3">
      <c r="A4190" t="s">
        <v>4207</v>
      </c>
      <c r="B4190" t="s">
        <v>9</v>
      </c>
      <c r="C4190" t="s">
        <v>10</v>
      </c>
      <c r="D4190" t="s">
        <v>11</v>
      </c>
      <c r="E4190">
        <v>70.05</v>
      </c>
      <c r="F4190">
        <v>45</v>
      </c>
      <c r="G4190">
        <v>3152.25</v>
      </c>
      <c r="H4190" t="s">
        <v>12</v>
      </c>
      <c r="I4190" t="str">
        <f t="shared" si="196"/>
        <v>Medium Value</v>
      </c>
      <c r="J4190" t="str">
        <f t="shared" si="197"/>
        <v>Low Risk</v>
      </c>
      <c r="K4190" s="3" t="str">
        <f t="shared" si="195"/>
        <v>2-4 Years</v>
      </c>
    </row>
    <row r="4191" spans="1:11" x14ac:dyDescent="0.3">
      <c r="A4191" t="s">
        <v>4208</v>
      </c>
      <c r="B4191" t="s">
        <v>9</v>
      </c>
      <c r="C4191" t="s">
        <v>30</v>
      </c>
      <c r="D4191" t="s">
        <v>16</v>
      </c>
      <c r="E4191">
        <v>24.05</v>
      </c>
      <c r="F4191">
        <v>70</v>
      </c>
      <c r="G4191">
        <v>1683.5</v>
      </c>
      <c r="H4191" t="s">
        <v>12</v>
      </c>
      <c r="I4191" t="str">
        <f t="shared" si="196"/>
        <v>Low Value</v>
      </c>
      <c r="J4191" t="str">
        <f t="shared" si="197"/>
        <v>Low Risk</v>
      </c>
      <c r="K4191" s="3" t="str">
        <f t="shared" si="195"/>
        <v>4+ Years</v>
      </c>
    </row>
    <row r="4192" spans="1:11" x14ac:dyDescent="0.3">
      <c r="A4192" t="s">
        <v>4209</v>
      </c>
      <c r="B4192" t="s">
        <v>9</v>
      </c>
      <c r="C4192" t="s">
        <v>10</v>
      </c>
      <c r="D4192" t="s">
        <v>11</v>
      </c>
      <c r="E4192">
        <v>84.75</v>
      </c>
      <c r="F4192">
        <v>22</v>
      </c>
      <c r="G4192">
        <v>1864.5</v>
      </c>
      <c r="H4192" t="s">
        <v>12</v>
      </c>
      <c r="I4192" t="str">
        <f t="shared" si="196"/>
        <v>Low Value</v>
      </c>
      <c r="J4192" t="str">
        <f t="shared" si="197"/>
        <v>Medium Risk</v>
      </c>
      <c r="K4192" s="3" t="str">
        <f t="shared" si="195"/>
        <v>1-2 Years</v>
      </c>
    </row>
    <row r="4193" spans="1:11" x14ac:dyDescent="0.3">
      <c r="A4193" t="s">
        <v>4210</v>
      </c>
      <c r="B4193" t="s">
        <v>9</v>
      </c>
      <c r="C4193" t="s">
        <v>30</v>
      </c>
      <c r="D4193" t="s">
        <v>16</v>
      </c>
      <c r="E4193">
        <v>23.05</v>
      </c>
      <c r="F4193">
        <v>52</v>
      </c>
      <c r="G4193">
        <v>1198.5999999999999</v>
      </c>
      <c r="H4193" t="s">
        <v>12</v>
      </c>
      <c r="I4193" t="str">
        <f t="shared" si="196"/>
        <v>Low Value</v>
      </c>
      <c r="J4193" t="str">
        <f t="shared" si="197"/>
        <v>Low Risk</v>
      </c>
      <c r="K4193" s="3" t="str">
        <f t="shared" si="195"/>
        <v>4+ Years</v>
      </c>
    </row>
    <row r="4194" spans="1:11" x14ac:dyDescent="0.3">
      <c r="A4194" t="s">
        <v>4211</v>
      </c>
      <c r="B4194" t="s">
        <v>14</v>
      </c>
      <c r="C4194" t="s">
        <v>15</v>
      </c>
      <c r="D4194" t="s">
        <v>11</v>
      </c>
      <c r="E4194">
        <v>104.15</v>
      </c>
      <c r="F4194">
        <v>55</v>
      </c>
      <c r="G4194">
        <v>5728.25</v>
      </c>
      <c r="H4194" t="s">
        <v>18</v>
      </c>
      <c r="I4194" t="str">
        <f t="shared" si="196"/>
        <v>High Value</v>
      </c>
      <c r="J4194" t="str">
        <f t="shared" si="197"/>
        <v>Low Risk</v>
      </c>
      <c r="K4194" s="3" t="str">
        <f t="shared" si="195"/>
        <v>4+ Years</v>
      </c>
    </row>
    <row r="4195" spans="1:11" x14ac:dyDescent="0.3">
      <c r="A4195" t="s">
        <v>4212</v>
      </c>
      <c r="B4195" t="s">
        <v>9</v>
      </c>
      <c r="C4195" t="s">
        <v>30</v>
      </c>
      <c r="D4195" t="s">
        <v>24</v>
      </c>
      <c r="E4195">
        <v>59.95</v>
      </c>
      <c r="F4195">
        <v>65</v>
      </c>
      <c r="G4195">
        <v>3896.75</v>
      </c>
      <c r="H4195" t="s">
        <v>12</v>
      </c>
      <c r="I4195" t="str">
        <f t="shared" si="196"/>
        <v>Medium Value</v>
      </c>
      <c r="J4195" t="str">
        <f t="shared" si="197"/>
        <v>Low Risk</v>
      </c>
      <c r="K4195" s="3" t="str">
        <f t="shared" si="195"/>
        <v>4+ Years</v>
      </c>
    </row>
    <row r="4196" spans="1:11" x14ac:dyDescent="0.3">
      <c r="A4196" t="s">
        <v>4213</v>
      </c>
      <c r="B4196" t="s">
        <v>9</v>
      </c>
      <c r="C4196" t="s">
        <v>30</v>
      </c>
      <c r="D4196" t="s">
        <v>20</v>
      </c>
      <c r="E4196">
        <v>19.55</v>
      </c>
      <c r="F4196">
        <v>72</v>
      </c>
      <c r="G4196">
        <v>1407.6</v>
      </c>
      <c r="H4196" t="s">
        <v>12</v>
      </c>
      <c r="I4196" t="str">
        <f t="shared" si="196"/>
        <v>Low Value</v>
      </c>
      <c r="J4196" t="str">
        <f t="shared" si="197"/>
        <v>Low Risk</v>
      </c>
      <c r="K4196" s="3" t="str">
        <f t="shared" si="195"/>
        <v>4+ Years</v>
      </c>
    </row>
    <row r="4197" spans="1:11" x14ac:dyDescent="0.3">
      <c r="A4197" t="s">
        <v>4214</v>
      </c>
      <c r="B4197" t="s">
        <v>14</v>
      </c>
      <c r="C4197" t="s">
        <v>15</v>
      </c>
      <c r="D4197" t="s">
        <v>20</v>
      </c>
      <c r="E4197">
        <v>19.600000000000001</v>
      </c>
      <c r="F4197">
        <v>10</v>
      </c>
      <c r="G4197">
        <v>196</v>
      </c>
      <c r="H4197" t="s">
        <v>12</v>
      </c>
      <c r="I4197" t="str">
        <f t="shared" si="196"/>
        <v>Low Value</v>
      </c>
      <c r="J4197" t="str">
        <f t="shared" si="197"/>
        <v>High Risk</v>
      </c>
      <c r="K4197" s="3" t="str">
        <f t="shared" si="195"/>
        <v>0-1 Year</v>
      </c>
    </row>
    <row r="4198" spans="1:11" x14ac:dyDescent="0.3">
      <c r="A4198" t="s">
        <v>4215</v>
      </c>
      <c r="B4198" t="s">
        <v>9</v>
      </c>
      <c r="C4198" t="s">
        <v>15</v>
      </c>
      <c r="D4198" t="s">
        <v>16</v>
      </c>
      <c r="E4198">
        <v>20.05</v>
      </c>
      <c r="F4198">
        <v>7</v>
      </c>
      <c r="G4198">
        <v>140.35</v>
      </c>
      <c r="H4198" t="s">
        <v>12</v>
      </c>
      <c r="I4198" t="str">
        <f t="shared" si="196"/>
        <v>Low Value</v>
      </c>
      <c r="J4198" t="str">
        <f t="shared" si="197"/>
        <v>High Risk</v>
      </c>
      <c r="K4198" s="3" t="str">
        <f t="shared" si="195"/>
        <v>0-1 Year</v>
      </c>
    </row>
    <row r="4199" spans="1:11" x14ac:dyDescent="0.3">
      <c r="A4199" t="s">
        <v>4216</v>
      </c>
      <c r="B4199" t="s">
        <v>14</v>
      </c>
      <c r="C4199" t="s">
        <v>10</v>
      </c>
      <c r="D4199" t="s">
        <v>11</v>
      </c>
      <c r="E4199">
        <v>85.55</v>
      </c>
      <c r="F4199">
        <v>5</v>
      </c>
      <c r="G4199">
        <v>427.75</v>
      </c>
      <c r="H4199" t="s">
        <v>12</v>
      </c>
      <c r="I4199" t="str">
        <f t="shared" si="196"/>
        <v>Low Value</v>
      </c>
      <c r="J4199" t="str">
        <f t="shared" si="197"/>
        <v>High Risk</v>
      </c>
      <c r="K4199" s="3" t="str">
        <f t="shared" si="195"/>
        <v>0-1 Year</v>
      </c>
    </row>
    <row r="4200" spans="1:11" x14ac:dyDescent="0.3">
      <c r="A4200" t="s">
        <v>4217</v>
      </c>
      <c r="B4200" t="s">
        <v>9</v>
      </c>
      <c r="C4200" t="s">
        <v>30</v>
      </c>
      <c r="D4200" t="s">
        <v>24</v>
      </c>
      <c r="E4200">
        <v>78.599999999999994</v>
      </c>
      <c r="F4200">
        <v>24</v>
      </c>
      <c r="G4200">
        <v>1886.3999999999901</v>
      </c>
      <c r="H4200" t="s">
        <v>12</v>
      </c>
      <c r="I4200" t="str">
        <f t="shared" si="196"/>
        <v>Low Value</v>
      </c>
      <c r="J4200" t="str">
        <f t="shared" si="197"/>
        <v>Low Risk</v>
      </c>
      <c r="K4200" s="3" t="str">
        <f t="shared" si="195"/>
        <v>1-2 Years</v>
      </c>
    </row>
    <row r="4201" spans="1:11" x14ac:dyDescent="0.3">
      <c r="A4201" t="s">
        <v>4218</v>
      </c>
      <c r="B4201" t="s">
        <v>9</v>
      </c>
      <c r="C4201" t="s">
        <v>30</v>
      </c>
      <c r="D4201" t="s">
        <v>24</v>
      </c>
      <c r="E4201">
        <v>116.8</v>
      </c>
      <c r="F4201">
        <v>72</v>
      </c>
      <c r="G4201">
        <v>8409.6</v>
      </c>
      <c r="H4201" t="s">
        <v>12</v>
      </c>
      <c r="I4201" t="str">
        <f t="shared" si="196"/>
        <v>High Value</v>
      </c>
      <c r="J4201" t="str">
        <f t="shared" si="197"/>
        <v>Low Risk</v>
      </c>
      <c r="K4201" s="3" t="str">
        <f t="shared" si="195"/>
        <v>4+ Years</v>
      </c>
    </row>
    <row r="4202" spans="1:11" x14ac:dyDescent="0.3">
      <c r="A4202" t="s">
        <v>4219</v>
      </c>
      <c r="B4202" t="s">
        <v>14</v>
      </c>
      <c r="C4202" t="s">
        <v>10</v>
      </c>
      <c r="D4202" t="s">
        <v>16</v>
      </c>
      <c r="E4202">
        <v>43.55</v>
      </c>
      <c r="F4202">
        <v>21</v>
      </c>
      <c r="G4202">
        <v>914.55</v>
      </c>
      <c r="H4202" t="s">
        <v>12</v>
      </c>
      <c r="I4202" t="str">
        <f t="shared" si="196"/>
        <v>Low Value</v>
      </c>
      <c r="J4202" t="str">
        <f t="shared" si="197"/>
        <v>Medium Risk</v>
      </c>
      <c r="K4202" s="3" t="str">
        <f t="shared" si="195"/>
        <v>1-2 Years</v>
      </c>
    </row>
    <row r="4203" spans="1:11" x14ac:dyDescent="0.3">
      <c r="A4203" t="s">
        <v>4220</v>
      </c>
      <c r="B4203" t="s">
        <v>14</v>
      </c>
      <c r="C4203" t="s">
        <v>15</v>
      </c>
      <c r="D4203" t="s">
        <v>24</v>
      </c>
      <c r="E4203">
        <v>60.8</v>
      </c>
      <c r="F4203">
        <v>69</v>
      </c>
      <c r="G4203">
        <v>4195.2</v>
      </c>
      <c r="H4203" t="s">
        <v>12</v>
      </c>
      <c r="I4203" t="str">
        <f t="shared" si="196"/>
        <v>Medium Value</v>
      </c>
      <c r="J4203" t="str">
        <f t="shared" si="197"/>
        <v>Low Risk</v>
      </c>
      <c r="K4203" s="3" t="str">
        <f t="shared" si="195"/>
        <v>4+ Years</v>
      </c>
    </row>
    <row r="4204" spans="1:11" x14ac:dyDescent="0.3">
      <c r="A4204" t="s">
        <v>4221</v>
      </c>
      <c r="B4204" t="s">
        <v>14</v>
      </c>
      <c r="C4204" t="s">
        <v>10</v>
      </c>
      <c r="D4204" t="s">
        <v>20</v>
      </c>
      <c r="E4204">
        <v>54.9</v>
      </c>
      <c r="F4204">
        <v>44</v>
      </c>
      <c r="G4204">
        <v>2415.6</v>
      </c>
      <c r="H4204" t="s">
        <v>12</v>
      </c>
      <c r="I4204" t="str">
        <f t="shared" si="196"/>
        <v>Medium Value</v>
      </c>
      <c r="J4204" t="str">
        <f t="shared" si="197"/>
        <v>Low Risk</v>
      </c>
      <c r="K4204" s="3" t="str">
        <f t="shared" si="195"/>
        <v>2-4 Years</v>
      </c>
    </row>
    <row r="4205" spans="1:11" x14ac:dyDescent="0.3">
      <c r="A4205" t="s">
        <v>4222</v>
      </c>
      <c r="B4205" t="s">
        <v>9</v>
      </c>
      <c r="C4205" t="s">
        <v>15</v>
      </c>
      <c r="D4205" t="s">
        <v>11</v>
      </c>
      <c r="E4205">
        <v>65.2</v>
      </c>
      <c r="F4205">
        <v>61</v>
      </c>
      <c r="G4205">
        <v>3977.2</v>
      </c>
      <c r="H4205" t="s">
        <v>12</v>
      </c>
      <c r="I4205" t="str">
        <f t="shared" si="196"/>
        <v>Medium Value</v>
      </c>
      <c r="J4205" t="str">
        <f t="shared" si="197"/>
        <v>Low Risk</v>
      </c>
      <c r="K4205" s="3" t="str">
        <f t="shared" si="195"/>
        <v>4+ Years</v>
      </c>
    </row>
    <row r="4206" spans="1:11" x14ac:dyDescent="0.3">
      <c r="A4206" t="s">
        <v>4223</v>
      </c>
      <c r="B4206" t="s">
        <v>14</v>
      </c>
      <c r="C4206" t="s">
        <v>10</v>
      </c>
      <c r="D4206" t="s">
        <v>24</v>
      </c>
      <c r="E4206">
        <v>102.95</v>
      </c>
      <c r="F4206">
        <v>24</v>
      </c>
      <c r="G4206">
        <v>2470.8000000000002</v>
      </c>
      <c r="H4206" t="s">
        <v>18</v>
      </c>
      <c r="I4206" t="str">
        <f t="shared" si="196"/>
        <v>Medium Value</v>
      </c>
      <c r="J4206" t="str">
        <f t="shared" si="197"/>
        <v>Low Risk</v>
      </c>
      <c r="K4206" s="3" t="str">
        <f t="shared" si="195"/>
        <v>1-2 Years</v>
      </c>
    </row>
    <row r="4207" spans="1:11" x14ac:dyDescent="0.3">
      <c r="A4207" t="s">
        <v>4224</v>
      </c>
      <c r="B4207" t="s">
        <v>9</v>
      </c>
      <c r="C4207" t="s">
        <v>10</v>
      </c>
      <c r="D4207" t="s">
        <v>11</v>
      </c>
      <c r="E4207">
        <v>90.6</v>
      </c>
      <c r="F4207">
        <v>1</v>
      </c>
      <c r="G4207">
        <v>90.6</v>
      </c>
      <c r="H4207" t="s">
        <v>18</v>
      </c>
      <c r="I4207" t="str">
        <f t="shared" si="196"/>
        <v>Low Value</v>
      </c>
      <c r="J4207" t="str">
        <f t="shared" si="197"/>
        <v>High Risk</v>
      </c>
      <c r="K4207" s="3" t="str">
        <f t="shared" si="195"/>
        <v>0-1 Year</v>
      </c>
    </row>
    <row r="4208" spans="1:11" x14ac:dyDescent="0.3">
      <c r="A4208" t="s">
        <v>4225</v>
      </c>
      <c r="B4208" t="s">
        <v>9</v>
      </c>
      <c r="C4208" t="s">
        <v>10</v>
      </c>
      <c r="D4208" t="s">
        <v>20</v>
      </c>
      <c r="E4208">
        <v>50.8</v>
      </c>
      <c r="F4208">
        <v>6</v>
      </c>
      <c r="G4208">
        <v>304.79999999999899</v>
      </c>
      <c r="H4208" t="s">
        <v>18</v>
      </c>
      <c r="I4208" t="str">
        <f t="shared" si="196"/>
        <v>Low Value</v>
      </c>
      <c r="J4208" t="str">
        <f t="shared" si="197"/>
        <v>High Risk</v>
      </c>
      <c r="K4208" s="3" t="str">
        <f t="shared" si="195"/>
        <v>0-1 Year</v>
      </c>
    </row>
    <row r="4209" spans="1:11" x14ac:dyDescent="0.3">
      <c r="A4209" t="s">
        <v>4226</v>
      </c>
      <c r="B4209" t="s">
        <v>14</v>
      </c>
      <c r="C4209" t="s">
        <v>10</v>
      </c>
      <c r="D4209" t="s">
        <v>11</v>
      </c>
      <c r="E4209">
        <v>90.05</v>
      </c>
      <c r="F4209">
        <v>4</v>
      </c>
      <c r="G4209">
        <v>360.2</v>
      </c>
      <c r="H4209" t="s">
        <v>18</v>
      </c>
      <c r="I4209" t="str">
        <f t="shared" si="196"/>
        <v>Low Value</v>
      </c>
      <c r="J4209" t="str">
        <f t="shared" si="197"/>
        <v>High Risk</v>
      </c>
      <c r="K4209" s="3" t="str">
        <f t="shared" si="195"/>
        <v>0-1 Year</v>
      </c>
    </row>
    <row r="4210" spans="1:11" x14ac:dyDescent="0.3">
      <c r="A4210" t="s">
        <v>4227</v>
      </c>
      <c r="B4210" t="s">
        <v>14</v>
      </c>
      <c r="C4210" t="s">
        <v>30</v>
      </c>
      <c r="D4210" t="s">
        <v>11</v>
      </c>
      <c r="E4210">
        <v>108.2</v>
      </c>
      <c r="F4210">
        <v>72</v>
      </c>
      <c r="G4210">
        <v>7790.4</v>
      </c>
      <c r="H4210" t="s">
        <v>12</v>
      </c>
      <c r="I4210" t="str">
        <f t="shared" si="196"/>
        <v>High Value</v>
      </c>
      <c r="J4210" t="str">
        <f t="shared" si="197"/>
        <v>Low Risk</v>
      </c>
      <c r="K4210" s="3" t="str">
        <f t="shared" si="195"/>
        <v>4+ Years</v>
      </c>
    </row>
    <row r="4211" spans="1:11" x14ac:dyDescent="0.3">
      <c r="A4211" t="s">
        <v>4228</v>
      </c>
      <c r="B4211" t="s">
        <v>14</v>
      </c>
      <c r="C4211" t="s">
        <v>30</v>
      </c>
      <c r="D4211" t="s">
        <v>20</v>
      </c>
      <c r="E4211">
        <v>92</v>
      </c>
      <c r="F4211">
        <v>72</v>
      </c>
      <c r="G4211">
        <v>6624</v>
      </c>
      <c r="H4211" t="s">
        <v>12</v>
      </c>
      <c r="I4211" t="str">
        <f t="shared" si="196"/>
        <v>High Value</v>
      </c>
      <c r="J4211" t="str">
        <f t="shared" si="197"/>
        <v>Low Risk</v>
      </c>
      <c r="K4211" s="3" t="str">
        <f t="shared" si="195"/>
        <v>4+ Years</v>
      </c>
    </row>
    <row r="4212" spans="1:11" x14ac:dyDescent="0.3">
      <c r="A4212" t="s">
        <v>4229</v>
      </c>
      <c r="B4212" t="s">
        <v>14</v>
      </c>
      <c r="C4212" t="s">
        <v>10</v>
      </c>
      <c r="D4212" t="s">
        <v>11</v>
      </c>
      <c r="E4212">
        <v>75.099999999999994</v>
      </c>
      <c r="F4212">
        <v>14</v>
      </c>
      <c r="G4212">
        <v>1051.3999999999901</v>
      </c>
      <c r="H4212" t="s">
        <v>12</v>
      </c>
      <c r="I4212" t="str">
        <f t="shared" si="196"/>
        <v>Low Value</v>
      </c>
      <c r="J4212" t="str">
        <f t="shared" si="197"/>
        <v>Medium Risk</v>
      </c>
      <c r="K4212" s="3" t="str">
        <f t="shared" si="195"/>
        <v>1-2 Years</v>
      </c>
    </row>
    <row r="4213" spans="1:11" x14ac:dyDescent="0.3">
      <c r="A4213" t="s">
        <v>4230</v>
      </c>
      <c r="B4213" t="s">
        <v>14</v>
      </c>
      <c r="C4213" t="s">
        <v>10</v>
      </c>
      <c r="D4213" t="s">
        <v>20</v>
      </c>
      <c r="E4213">
        <v>25.05</v>
      </c>
      <c r="F4213">
        <v>7</v>
      </c>
      <c r="G4213">
        <v>175.35</v>
      </c>
      <c r="H4213" t="s">
        <v>12</v>
      </c>
      <c r="I4213" t="str">
        <f t="shared" si="196"/>
        <v>Low Value</v>
      </c>
      <c r="J4213" t="str">
        <f t="shared" si="197"/>
        <v>High Risk</v>
      </c>
      <c r="K4213" s="3" t="str">
        <f t="shared" si="195"/>
        <v>0-1 Year</v>
      </c>
    </row>
    <row r="4214" spans="1:11" x14ac:dyDescent="0.3">
      <c r="A4214" t="s">
        <v>4231</v>
      </c>
      <c r="B4214" t="s">
        <v>9</v>
      </c>
      <c r="C4214" t="s">
        <v>15</v>
      </c>
      <c r="D4214" t="s">
        <v>11</v>
      </c>
      <c r="E4214">
        <v>75.150000000000006</v>
      </c>
      <c r="F4214">
        <v>48</v>
      </c>
      <c r="G4214">
        <v>3607.2</v>
      </c>
      <c r="H4214" t="s">
        <v>12</v>
      </c>
      <c r="I4214" t="str">
        <f t="shared" si="196"/>
        <v>Medium Value</v>
      </c>
      <c r="J4214" t="str">
        <f t="shared" si="197"/>
        <v>Low Risk</v>
      </c>
      <c r="K4214" s="3" t="str">
        <f t="shared" si="195"/>
        <v>2-4 Years</v>
      </c>
    </row>
    <row r="4215" spans="1:11" x14ac:dyDescent="0.3">
      <c r="A4215" t="s">
        <v>4232</v>
      </c>
      <c r="B4215" t="s">
        <v>14</v>
      </c>
      <c r="C4215" t="s">
        <v>15</v>
      </c>
      <c r="D4215" t="s">
        <v>16</v>
      </c>
      <c r="E4215">
        <v>19.5</v>
      </c>
      <c r="F4215">
        <v>55</v>
      </c>
      <c r="G4215">
        <v>1072.5</v>
      </c>
      <c r="H4215" t="s">
        <v>12</v>
      </c>
      <c r="I4215" t="str">
        <f t="shared" si="196"/>
        <v>Low Value</v>
      </c>
      <c r="J4215" t="str">
        <f t="shared" si="197"/>
        <v>Low Risk</v>
      </c>
      <c r="K4215" s="3" t="str">
        <f t="shared" si="195"/>
        <v>4+ Years</v>
      </c>
    </row>
    <row r="4216" spans="1:11" x14ac:dyDescent="0.3">
      <c r="A4216" t="s">
        <v>4233</v>
      </c>
      <c r="B4216" t="s">
        <v>14</v>
      </c>
      <c r="C4216" t="s">
        <v>10</v>
      </c>
      <c r="D4216" t="s">
        <v>24</v>
      </c>
      <c r="E4216">
        <v>19.3</v>
      </c>
      <c r="F4216">
        <v>1</v>
      </c>
      <c r="G4216">
        <v>19.3</v>
      </c>
      <c r="H4216" t="s">
        <v>12</v>
      </c>
      <c r="I4216" t="str">
        <f t="shared" si="196"/>
        <v>Low Value</v>
      </c>
      <c r="J4216" t="str">
        <f t="shared" si="197"/>
        <v>High Risk</v>
      </c>
      <c r="K4216" s="3" t="str">
        <f t="shared" si="195"/>
        <v>0-1 Year</v>
      </c>
    </row>
    <row r="4217" spans="1:11" x14ac:dyDescent="0.3">
      <c r="A4217" t="s">
        <v>4234</v>
      </c>
      <c r="B4217" t="s">
        <v>14</v>
      </c>
      <c r="C4217" t="s">
        <v>15</v>
      </c>
      <c r="D4217" t="s">
        <v>24</v>
      </c>
      <c r="E4217">
        <v>112.2</v>
      </c>
      <c r="F4217">
        <v>45</v>
      </c>
      <c r="G4217">
        <v>5049</v>
      </c>
      <c r="H4217" t="s">
        <v>12</v>
      </c>
      <c r="I4217" t="str">
        <f t="shared" si="196"/>
        <v>High Value</v>
      </c>
      <c r="J4217" t="str">
        <f t="shared" si="197"/>
        <v>Low Risk</v>
      </c>
      <c r="K4217" s="3" t="str">
        <f t="shared" si="195"/>
        <v>2-4 Years</v>
      </c>
    </row>
    <row r="4218" spans="1:11" x14ac:dyDescent="0.3">
      <c r="A4218" t="s">
        <v>4235</v>
      </c>
      <c r="B4218" t="s">
        <v>14</v>
      </c>
      <c r="C4218" t="s">
        <v>10</v>
      </c>
      <c r="D4218" t="s">
        <v>16</v>
      </c>
      <c r="E4218">
        <v>70.3</v>
      </c>
      <c r="F4218">
        <v>3</v>
      </c>
      <c r="G4218">
        <v>210.89999999999901</v>
      </c>
      <c r="H4218" t="s">
        <v>12</v>
      </c>
      <c r="I4218" t="str">
        <f t="shared" si="196"/>
        <v>Low Value</v>
      </c>
      <c r="J4218" t="str">
        <f t="shared" si="197"/>
        <v>High Risk</v>
      </c>
      <c r="K4218" s="3" t="str">
        <f t="shared" si="195"/>
        <v>0-1 Year</v>
      </c>
    </row>
    <row r="4219" spans="1:11" x14ac:dyDescent="0.3">
      <c r="A4219" t="s">
        <v>4236</v>
      </c>
      <c r="B4219" t="s">
        <v>9</v>
      </c>
      <c r="C4219" t="s">
        <v>30</v>
      </c>
      <c r="D4219" t="s">
        <v>16</v>
      </c>
      <c r="E4219">
        <v>19.600000000000001</v>
      </c>
      <c r="F4219">
        <v>71</v>
      </c>
      <c r="G4219">
        <v>1391.6</v>
      </c>
      <c r="H4219" t="s">
        <v>12</v>
      </c>
      <c r="I4219" t="str">
        <f t="shared" si="196"/>
        <v>Low Value</v>
      </c>
      <c r="J4219" t="str">
        <f t="shared" si="197"/>
        <v>Low Risk</v>
      </c>
      <c r="K4219" s="3" t="str">
        <f t="shared" si="195"/>
        <v>4+ Years</v>
      </c>
    </row>
    <row r="4220" spans="1:11" x14ac:dyDescent="0.3">
      <c r="A4220" t="s">
        <v>4237</v>
      </c>
      <c r="B4220" t="s">
        <v>14</v>
      </c>
      <c r="C4220" t="s">
        <v>10</v>
      </c>
      <c r="D4220" t="s">
        <v>16</v>
      </c>
      <c r="E4220">
        <v>20.25</v>
      </c>
      <c r="F4220">
        <v>8</v>
      </c>
      <c r="G4220">
        <v>162</v>
      </c>
      <c r="H4220" t="s">
        <v>12</v>
      </c>
      <c r="I4220" t="str">
        <f t="shared" si="196"/>
        <v>Low Value</v>
      </c>
      <c r="J4220" t="str">
        <f t="shared" si="197"/>
        <v>High Risk</v>
      </c>
      <c r="K4220" s="3" t="str">
        <f t="shared" si="195"/>
        <v>0-1 Year</v>
      </c>
    </row>
    <row r="4221" spans="1:11" x14ac:dyDescent="0.3">
      <c r="A4221" t="s">
        <v>4238</v>
      </c>
      <c r="B4221" t="s">
        <v>9</v>
      </c>
      <c r="C4221" t="s">
        <v>10</v>
      </c>
      <c r="D4221" t="s">
        <v>11</v>
      </c>
      <c r="E4221">
        <v>75.849999999999994</v>
      </c>
      <c r="F4221">
        <v>3</v>
      </c>
      <c r="G4221">
        <v>227.54999999999899</v>
      </c>
      <c r="H4221" t="s">
        <v>18</v>
      </c>
      <c r="I4221" t="str">
        <f t="shared" si="196"/>
        <v>Low Value</v>
      </c>
      <c r="J4221" t="str">
        <f t="shared" si="197"/>
        <v>High Risk</v>
      </c>
      <c r="K4221" s="3" t="str">
        <f t="shared" si="195"/>
        <v>0-1 Year</v>
      </c>
    </row>
    <row r="4222" spans="1:11" x14ac:dyDescent="0.3">
      <c r="A4222" t="s">
        <v>4239</v>
      </c>
      <c r="B4222" t="s">
        <v>14</v>
      </c>
      <c r="C4222" t="s">
        <v>30</v>
      </c>
      <c r="D4222" t="s">
        <v>20</v>
      </c>
      <c r="E4222">
        <v>80.650000000000006</v>
      </c>
      <c r="F4222">
        <v>69</v>
      </c>
      <c r="G4222">
        <v>5564.85</v>
      </c>
      <c r="H4222" t="s">
        <v>12</v>
      </c>
      <c r="I4222" t="str">
        <f t="shared" si="196"/>
        <v>High Value</v>
      </c>
      <c r="J4222" t="str">
        <f t="shared" si="197"/>
        <v>Low Risk</v>
      </c>
      <c r="K4222" s="3" t="str">
        <f t="shared" si="195"/>
        <v>4+ Years</v>
      </c>
    </row>
    <row r="4223" spans="1:11" x14ac:dyDescent="0.3">
      <c r="A4223" t="s">
        <v>4240</v>
      </c>
      <c r="B4223" t="s">
        <v>14</v>
      </c>
      <c r="C4223" t="s">
        <v>10</v>
      </c>
      <c r="D4223" t="s">
        <v>11</v>
      </c>
      <c r="E4223">
        <v>68.5</v>
      </c>
      <c r="F4223">
        <v>1</v>
      </c>
      <c r="G4223">
        <v>68.5</v>
      </c>
      <c r="H4223" t="s">
        <v>18</v>
      </c>
      <c r="I4223" t="str">
        <f t="shared" si="196"/>
        <v>Low Value</v>
      </c>
      <c r="J4223" t="str">
        <f t="shared" si="197"/>
        <v>High Risk</v>
      </c>
      <c r="K4223" s="3" t="str">
        <f t="shared" si="195"/>
        <v>0-1 Year</v>
      </c>
    </row>
    <row r="4224" spans="1:11" x14ac:dyDescent="0.3">
      <c r="A4224" t="s">
        <v>4241</v>
      </c>
      <c r="B4224" t="s">
        <v>9</v>
      </c>
      <c r="C4224" t="s">
        <v>30</v>
      </c>
      <c r="D4224" t="s">
        <v>24</v>
      </c>
      <c r="E4224">
        <v>115.75</v>
      </c>
      <c r="F4224">
        <v>72</v>
      </c>
      <c r="G4224">
        <v>8334</v>
      </c>
      <c r="H4224" t="s">
        <v>12</v>
      </c>
      <c r="I4224" t="str">
        <f t="shared" si="196"/>
        <v>High Value</v>
      </c>
      <c r="J4224" t="str">
        <f t="shared" si="197"/>
        <v>Low Risk</v>
      </c>
      <c r="K4224" s="3" t="str">
        <f t="shared" si="195"/>
        <v>4+ Years</v>
      </c>
    </row>
    <row r="4225" spans="1:11" x14ac:dyDescent="0.3">
      <c r="A4225" t="s">
        <v>4242</v>
      </c>
      <c r="B4225" t="s">
        <v>14</v>
      </c>
      <c r="C4225" t="s">
        <v>10</v>
      </c>
      <c r="D4225" t="s">
        <v>11</v>
      </c>
      <c r="E4225">
        <v>73.5</v>
      </c>
      <c r="F4225">
        <v>11</v>
      </c>
      <c r="G4225">
        <v>808.5</v>
      </c>
      <c r="H4225" t="s">
        <v>18</v>
      </c>
      <c r="I4225" t="str">
        <f t="shared" si="196"/>
        <v>Low Value</v>
      </c>
      <c r="J4225" t="str">
        <f t="shared" si="197"/>
        <v>High Risk</v>
      </c>
      <c r="K4225" s="3" t="str">
        <f t="shared" si="195"/>
        <v>0-1 Year</v>
      </c>
    </row>
    <row r="4226" spans="1:11" x14ac:dyDescent="0.3">
      <c r="A4226" t="s">
        <v>4243</v>
      </c>
      <c r="B4226" t="s">
        <v>14</v>
      </c>
      <c r="C4226" t="s">
        <v>30</v>
      </c>
      <c r="D4226" t="s">
        <v>20</v>
      </c>
      <c r="E4226">
        <v>80.599999999999994</v>
      </c>
      <c r="F4226">
        <v>71</v>
      </c>
      <c r="G4226">
        <v>5722.5999999999904</v>
      </c>
      <c r="H4226" t="s">
        <v>12</v>
      </c>
      <c r="I4226" t="str">
        <f t="shared" si="196"/>
        <v>High Value</v>
      </c>
      <c r="J4226" t="str">
        <f t="shared" si="197"/>
        <v>Low Risk</v>
      </c>
      <c r="K4226" s="3" t="str">
        <f t="shared" si="195"/>
        <v>4+ Years</v>
      </c>
    </row>
    <row r="4227" spans="1:11" x14ac:dyDescent="0.3">
      <c r="A4227" t="s">
        <v>4244</v>
      </c>
      <c r="B4227" t="s">
        <v>9</v>
      </c>
      <c r="C4227" t="s">
        <v>10</v>
      </c>
      <c r="D4227" t="s">
        <v>16</v>
      </c>
      <c r="E4227">
        <v>69.95</v>
      </c>
      <c r="F4227">
        <v>1</v>
      </c>
      <c r="G4227">
        <v>69.95</v>
      </c>
      <c r="H4227" t="s">
        <v>18</v>
      </c>
      <c r="I4227" t="str">
        <f t="shared" si="196"/>
        <v>Low Value</v>
      </c>
      <c r="J4227" t="str">
        <f t="shared" si="197"/>
        <v>High Risk</v>
      </c>
      <c r="K4227" s="3" t="str">
        <f t="shared" ref="K4227:K4290" si="198">IF(F4227&lt;=12,"0-1 Year",
IF(F4227&lt;=24,"1-2 Years",
IF(F4227&lt;=48,"2-4 Years","4+ Years")))</f>
        <v>0-1 Year</v>
      </c>
    </row>
    <row r="4228" spans="1:11" x14ac:dyDescent="0.3">
      <c r="A4228" t="s">
        <v>4245</v>
      </c>
      <c r="B4228" t="s">
        <v>9</v>
      </c>
      <c r="C4228" t="s">
        <v>30</v>
      </c>
      <c r="D4228" t="s">
        <v>20</v>
      </c>
      <c r="E4228">
        <v>59.55</v>
      </c>
      <c r="F4228">
        <v>33</v>
      </c>
      <c r="G4228">
        <v>1965.1499999999901</v>
      </c>
      <c r="H4228" t="s">
        <v>12</v>
      </c>
      <c r="I4228" t="str">
        <f t="shared" ref="I4228:I4291" si="199">IF(G4228&gt;5000,"High Value",
IF(G4228&gt;2000,"Medium Value","Low Value"))</f>
        <v>Low Value</v>
      </c>
      <c r="J4228" t="str">
        <f t="shared" ref="J4228:J4291" si="200">IF(F4228&lt;12,"High Risk",
IF(F4228&lt;24,"Medium Risk","Low Risk"))</f>
        <v>Low Risk</v>
      </c>
      <c r="K4228" s="3" t="str">
        <f t="shared" si="198"/>
        <v>2-4 Years</v>
      </c>
    </row>
    <row r="4229" spans="1:11" x14ac:dyDescent="0.3">
      <c r="A4229" t="s">
        <v>4246</v>
      </c>
      <c r="B4229" t="s">
        <v>9</v>
      </c>
      <c r="C4229" t="s">
        <v>15</v>
      </c>
      <c r="D4229" t="s">
        <v>16</v>
      </c>
      <c r="E4229">
        <v>19.05</v>
      </c>
      <c r="F4229">
        <v>16</v>
      </c>
      <c r="G4229">
        <v>304.8</v>
      </c>
      <c r="H4229" t="s">
        <v>12</v>
      </c>
      <c r="I4229" t="str">
        <f t="shared" si="199"/>
        <v>Low Value</v>
      </c>
      <c r="J4229" t="str">
        <f t="shared" si="200"/>
        <v>Medium Risk</v>
      </c>
      <c r="K4229" s="3" t="str">
        <f t="shared" si="198"/>
        <v>1-2 Years</v>
      </c>
    </row>
    <row r="4230" spans="1:11" x14ac:dyDescent="0.3">
      <c r="A4230" t="s">
        <v>4247</v>
      </c>
      <c r="B4230" t="s">
        <v>9</v>
      </c>
      <c r="C4230" t="s">
        <v>15</v>
      </c>
      <c r="D4230" t="s">
        <v>11</v>
      </c>
      <c r="E4230">
        <v>95.65</v>
      </c>
      <c r="F4230">
        <v>56</v>
      </c>
      <c r="G4230">
        <v>5356.4</v>
      </c>
      <c r="H4230" t="s">
        <v>12</v>
      </c>
      <c r="I4230" t="str">
        <f t="shared" si="199"/>
        <v>High Value</v>
      </c>
      <c r="J4230" t="str">
        <f t="shared" si="200"/>
        <v>Low Risk</v>
      </c>
      <c r="K4230" s="3" t="str">
        <f t="shared" si="198"/>
        <v>4+ Years</v>
      </c>
    </row>
    <row r="4231" spans="1:11" x14ac:dyDescent="0.3">
      <c r="A4231" t="s">
        <v>4248</v>
      </c>
      <c r="B4231" t="s">
        <v>9</v>
      </c>
      <c r="C4231" t="s">
        <v>10</v>
      </c>
      <c r="D4231" t="s">
        <v>24</v>
      </c>
      <c r="E4231">
        <v>19.95</v>
      </c>
      <c r="F4231">
        <v>1</v>
      </c>
      <c r="G4231">
        <v>19.95</v>
      </c>
      <c r="H4231" t="s">
        <v>12</v>
      </c>
      <c r="I4231" t="str">
        <f t="shared" si="199"/>
        <v>Low Value</v>
      </c>
      <c r="J4231" t="str">
        <f t="shared" si="200"/>
        <v>High Risk</v>
      </c>
      <c r="K4231" s="3" t="str">
        <f t="shared" si="198"/>
        <v>0-1 Year</v>
      </c>
    </row>
    <row r="4232" spans="1:11" x14ac:dyDescent="0.3">
      <c r="A4232" t="s">
        <v>4249</v>
      </c>
      <c r="B4232" t="s">
        <v>14</v>
      </c>
      <c r="C4232" t="s">
        <v>10</v>
      </c>
      <c r="D4232" t="s">
        <v>11</v>
      </c>
      <c r="E4232">
        <v>70.05</v>
      </c>
      <c r="F4232">
        <v>5</v>
      </c>
      <c r="G4232">
        <v>350.25</v>
      </c>
      <c r="H4232" t="s">
        <v>18</v>
      </c>
      <c r="I4232" t="str">
        <f t="shared" si="199"/>
        <v>Low Value</v>
      </c>
      <c r="J4232" t="str">
        <f t="shared" si="200"/>
        <v>High Risk</v>
      </c>
      <c r="K4232" s="3" t="str">
        <f t="shared" si="198"/>
        <v>0-1 Year</v>
      </c>
    </row>
    <row r="4233" spans="1:11" x14ac:dyDescent="0.3">
      <c r="A4233" t="s">
        <v>4250</v>
      </c>
      <c r="B4233" t="s">
        <v>14</v>
      </c>
      <c r="C4233" t="s">
        <v>15</v>
      </c>
      <c r="D4233" t="s">
        <v>16</v>
      </c>
      <c r="E4233">
        <v>19.399999999999999</v>
      </c>
      <c r="F4233">
        <v>57</v>
      </c>
      <c r="G4233">
        <v>1105.8</v>
      </c>
      <c r="H4233" t="s">
        <v>12</v>
      </c>
      <c r="I4233" t="str">
        <f t="shared" si="199"/>
        <v>Low Value</v>
      </c>
      <c r="J4233" t="str">
        <f t="shared" si="200"/>
        <v>Low Risk</v>
      </c>
      <c r="K4233" s="3" t="str">
        <f t="shared" si="198"/>
        <v>4+ Years</v>
      </c>
    </row>
    <row r="4234" spans="1:11" x14ac:dyDescent="0.3">
      <c r="A4234" t="s">
        <v>4251</v>
      </c>
      <c r="B4234" t="s">
        <v>14</v>
      </c>
      <c r="C4234" t="s">
        <v>15</v>
      </c>
      <c r="D4234" t="s">
        <v>24</v>
      </c>
      <c r="E4234">
        <v>36.1</v>
      </c>
      <c r="F4234">
        <v>56</v>
      </c>
      <c r="G4234">
        <v>2021.6</v>
      </c>
      <c r="H4234" t="s">
        <v>12</v>
      </c>
      <c r="I4234" t="str">
        <f t="shared" si="199"/>
        <v>Medium Value</v>
      </c>
      <c r="J4234" t="str">
        <f t="shared" si="200"/>
        <v>Low Risk</v>
      </c>
      <c r="K4234" s="3" t="str">
        <f t="shared" si="198"/>
        <v>4+ Years</v>
      </c>
    </row>
    <row r="4235" spans="1:11" x14ac:dyDescent="0.3">
      <c r="A4235" t="s">
        <v>4252</v>
      </c>
      <c r="B4235" t="s">
        <v>14</v>
      </c>
      <c r="C4235" t="s">
        <v>10</v>
      </c>
      <c r="D4235" t="s">
        <v>11</v>
      </c>
      <c r="E4235">
        <v>94</v>
      </c>
      <c r="F4235">
        <v>8</v>
      </c>
      <c r="G4235">
        <v>752</v>
      </c>
      <c r="H4235" t="s">
        <v>18</v>
      </c>
      <c r="I4235" t="str">
        <f t="shared" si="199"/>
        <v>Low Value</v>
      </c>
      <c r="J4235" t="str">
        <f t="shared" si="200"/>
        <v>High Risk</v>
      </c>
      <c r="K4235" s="3" t="str">
        <f t="shared" si="198"/>
        <v>0-1 Year</v>
      </c>
    </row>
    <row r="4236" spans="1:11" x14ac:dyDescent="0.3">
      <c r="A4236" t="s">
        <v>4253</v>
      </c>
      <c r="B4236" t="s">
        <v>9</v>
      </c>
      <c r="C4236" t="s">
        <v>10</v>
      </c>
      <c r="D4236" t="s">
        <v>16</v>
      </c>
      <c r="E4236">
        <v>61.15</v>
      </c>
      <c r="F4236">
        <v>22</v>
      </c>
      <c r="G4236">
        <v>1345.3</v>
      </c>
      <c r="H4236" t="s">
        <v>18</v>
      </c>
      <c r="I4236" t="str">
        <f t="shared" si="199"/>
        <v>Low Value</v>
      </c>
      <c r="J4236" t="str">
        <f t="shared" si="200"/>
        <v>Medium Risk</v>
      </c>
      <c r="K4236" s="3" t="str">
        <f t="shared" si="198"/>
        <v>1-2 Years</v>
      </c>
    </row>
    <row r="4237" spans="1:11" x14ac:dyDescent="0.3">
      <c r="A4237" t="s">
        <v>4254</v>
      </c>
      <c r="B4237" t="s">
        <v>9</v>
      </c>
      <c r="C4237" t="s">
        <v>10</v>
      </c>
      <c r="D4237" t="s">
        <v>16</v>
      </c>
      <c r="E4237">
        <v>19.75</v>
      </c>
      <c r="F4237">
        <v>1</v>
      </c>
      <c r="G4237">
        <v>19.75</v>
      </c>
      <c r="H4237" t="s">
        <v>12</v>
      </c>
      <c r="I4237" t="str">
        <f t="shared" si="199"/>
        <v>Low Value</v>
      </c>
      <c r="J4237" t="str">
        <f t="shared" si="200"/>
        <v>High Risk</v>
      </c>
      <c r="K4237" s="3" t="str">
        <f t="shared" si="198"/>
        <v>0-1 Year</v>
      </c>
    </row>
    <row r="4238" spans="1:11" x14ac:dyDescent="0.3">
      <c r="A4238" t="s">
        <v>4255</v>
      </c>
      <c r="B4238" t="s">
        <v>9</v>
      </c>
      <c r="C4238" t="s">
        <v>10</v>
      </c>
      <c r="D4238" t="s">
        <v>24</v>
      </c>
      <c r="E4238">
        <v>64.099999999999994</v>
      </c>
      <c r="F4238">
        <v>40</v>
      </c>
      <c r="G4238">
        <v>2564</v>
      </c>
      <c r="H4238" t="s">
        <v>12</v>
      </c>
      <c r="I4238" t="str">
        <f t="shared" si="199"/>
        <v>Medium Value</v>
      </c>
      <c r="J4238" t="str">
        <f t="shared" si="200"/>
        <v>Low Risk</v>
      </c>
      <c r="K4238" s="3" t="str">
        <f t="shared" si="198"/>
        <v>2-4 Years</v>
      </c>
    </row>
    <row r="4239" spans="1:11" x14ac:dyDescent="0.3">
      <c r="A4239" t="s">
        <v>4256</v>
      </c>
      <c r="B4239" t="s">
        <v>14</v>
      </c>
      <c r="C4239" t="s">
        <v>30</v>
      </c>
      <c r="D4239" t="s">
        <v>24</v>
      </c>
      <c r="E4239">
        <v>19.75</v>
      </c>
      <c r="F4239">
        <v>46</v>
      </c>
      <c r="G4239">
        <v>908.5</v>
      </c>
      <c r="H4239" t="s">
        <v>12</v>
      </c>
      <c r="I4239" t="str">
        <f t="shared" si="199"/>
        <v>Low Value</v>
      </c>
      <c r="J4239" t="str">
        <f t="shared" si="200"/>
        <v>Low Risk</v>
      </c>
      <c r="K4239" s="3" t="str">
        <f t="shared" si="198"/>
        <v>2-4 Years</v>
      </c>
    </row>
    <row r="4240" spans="1:11" x14ac:dyDescent="0.3">
      <c r="A4240" t="s">
        <v>4257</v>
      </c>
      <c r="B4240" t="s">
        <v>14</v>
      </c>
      <c r="C4240" t="s">
        <v>30</v>
      </c>
      <c r="D4240" t="s">
        <v>16</v>
      </c>
      <c r="E4240">
        <v>19.7</v>
      </c>
      <c r="F4240">
        <v>63</v>
      </c>
      <c r="G4240">
        <v>1241.0999999999999</v>
      </c>
      <c r="H4240" t="s">
        <v>12</v>
      </c>
      <c r="I4240" t="str">
        <f t="shared" si="199"/>
        <v>Low Value</v>
      </c>
      <c r="J4240" t="str">
        <f t="shared" si="200"/>
        <v>Low Risk</v>
      </c>
      <c r="K4240" s="3" t="str">
        <f t="shared" si="198"/>
        <v>4+ Years</v>
      </c>
    </row>
    <row r="4241" spans="1:11" x14ac:dyDescent="0.3">
      <c r="A4241" t="s">
        <v>4258</v>
      </c>
      <c r="B4241" t="s">
        <v>14</v>
      </c>
      <c r="C4241" t="s">
        <v>30</v>
      </c>
      <c r="D4241" t="s">
        <v>11</v>
      </c>
      <c r="E4241">
        <v>110.2</v>
      </c>
      <c r="F4241">
        <v>68</v>
      </c>
      <c r="G4241">
        <v>7493.6</v>
      </c>
      <c r="H4241" t="s">
        <v>12</v>
      </c>
      <c r="I4241" t="str">
        <f t="shared" si="199"/>
        <v>High Value</v>
      </c>
      <c r="J4241" t="str">
        <f t="shared" si="200"/>
        <v>Low Risk</v>
      </c>
      <c r="K4241" s="3" t="str">
        <f t="shared" si="198"/>
        <v>4+ Years</v>
      </c>
    </row>
    <row r="4242" spans="1:11" x14ac:dyDescent="0.3">
      <c r="A4242" t="s">
        <v>4259</v>
      </c>
      <c r="B4242" t="s">
        <v>14</v>
      </c>
      <c r="C4242" t="s">
        <v>30</v>
      </c>
      <c r="D4242" t="s">
        <v>24</v>
      </c>
      <c r="E4242">
        <v>106.35</v>
      </c>
      <c r="F4242">
        <v>69</v>
      </c>
      <c r="G4242">
        <v>7338.15</v>
      </c>
      <c r="H4242" t="s">
        <v>12</v>
      </c>
      <c r="I4242" t="str">
        <f t="shared" si="199"/>
        <v>High Value</v>
      </c>
      <c r="J4242" t="str">
        <f t="shared" si="200"/>
        <v>Low Risk</v>
      </c>
      <c r="K4242" s="3" t="str">
        <f t="shared" si="198"/>
        <v>4+ Years</v>
      </c>
    </row>
    <row r="4243" spans="1:11" x14ac:dyDescent="0.3">
      <c r="A4243" t="s">
        <v>4260</v>
      </c>
      <c r="B4243" t="s">
        <v>9</v>
      </c>
      <c r="C4243" t="s">
        <v>10</v>
      </c>
      <c r="D4243" t="s">
        <v>11</v>
      </c>
      <c r="E4243">
        <v>90.55</v>
      </c>
      <c r="F4243">
        <v>56</v>
      </c>
      <c r="G4243">
        <v>5070.8</v>
      </c>
      <c r="H4243" t="s">
        <v>12</v>
      </c>
      <c r="I4243" t="str">
        <f t="shared" si="199"/>
        <v>High Value</v>
      </c>
      <c r="J4243" t="str">
        <f t="shared" si="200"/>
        <v>Low Risk</v>
      </c>
      <c r="K4243" s="3" t="str">
        <f t="shared" si="198"/>
        <v>4+ Years</v>
      </c>
    </row>
    <row r="4244" spans="1:11" x14ac:dyDescent="0.3">
      <c r="A4244" t="s">
        <v>4261</v>
      </c>
      <c r="B4244" t="s">
        <v>9</v>
      </c>
      <c r="C4244" t="s">
        <v>15</v>
      </c>
      <c r="D4244" t="s">
        <v>16</v>
      </c>
      <c r="E4244">
        <v>65.900000000000006</v>
      </c>
      <c r="F4244">
        <v>10</v>
      </c>
      <c r="G4244">
        <v>659</v>
      </c>
      <c r="H4244" t="s">
        <v>12</v>
      </c>
      <c r="I4244" t="str">
        <f t="shared" si="199"/>
        <v>Low Value</v>
      </c>
      <c r="J4244" t="str">
        <f t="shared" si="200"/>
        <v>High Risk</v>
      </c>
      <c r="K4244" s="3" t="str">
        <f t="shared" si="198"/>
        <v>0-1 Year</v>
      </c>
    </row>
    <row r="4245" spans="1:11" x14ac:dyDescent="0.3">
      <c r="A4245" t="s">
        <v>4262</v>
      </c>
      <c r="B4245" t="s">
        <v>14</v>
      </c>
      <c r="C4245" t="s">
        <v>15</v>
      </c>
      <c r="D4245" t="s">
        <v>24</v>
      </c>
      <c r="E4245">
        <v>104.5</v>
      </c>
      <c r="F4245">
        <v>63</v>
      </c>
      <c r="G4245">
        <v>6583.5</v>
      </c>
      <c r="H4245" t="s">
        <v>12</v>
      </c>
      <c r="I4245" t="str">
        <f t="shared" si="199"/>
        <v>High Value</v>
      </c>
      <c r="J4245" t="str">
        <f t="shared" si="200"/>
        <v>Low Risk</v>
      </c>
      <c r="K4245" s="3" t="str">
        <f t="shared" si="198"/>
        <v>4+ Years</v>
      </c>
    </row>
    <row r="4246" spans="1:11" x14ac:dyDescent="0.3">
      <c r="A4246" t="s">
        <v>4263</v>
      </c>
      <c r="B4246" t="s">
        <v>9</v>
      </c>
      <c r="C4246" t="s">
        <v>30</v>
      </c>
      <c r="D4246" t="s">
        <v>16</v>
      </c>
      <c r="E4246">
        <v>52.5</v>
      </c>
      <c r="F4246">
        <v>24</v>
      </c>
      <c r="G4246">
        <v>1260</v>
      </c>
      <c r="H4246" t="s">
        <v>12</v>
      </c>
      <c r="I4246" t="str">
        <f t="shared" si="199"/>
        <v>Low Value</v>
      </c>
      <c r="J4246" t="str">
        <f t="shared" si="200"/>
        <v>Low Risk</v>
      </c>
      <c r="K4246" s="3" t="str">
        <f t="shared" si="198"/>
        <v>1-2 Years</v>
      </c>
    </row>
    <row r="4247" spans="1:11" x14ac:dyDescent="0.3">
      <c r="A4247" t="s">
        <v>4264</v>
      </c>
      <c r="B4247" t="s">
        <v>9</v>
      </c>
      <c r="C4247" t="s">
        <v>10</v>
      </c>
      <c r="D4247" t="s">
        <v>16</v>
      </c>
      <c r="E4247">
        <v>56.1</v>
      </c>
      <c r="F4247">
        <v>19</v>
      </c>
      <c r="G4247">
        <v>1065.9000000000001</v>
      </c>
      <c r="H4247" t="s">
        <v>12</v>
      </c>
      <c r="I4247" t="str">
        <f t="shared" si="199"/>
        <v>Low Value</v>
      </c>
      <c r="J4247" t="str">
        <f t="shared" si="200"/>
        <v>Medium Risk</v>
      </c>
      <c r="K4247" s="3" t="str">
        <f t="shared" si="198"/>
        <v>1-2 Years</v>
      </c>
    </row>
    <row r="4248" spans="1:11" x14ac:dyDescent="0.3">
      <c r="A4248" t="s">
        <v>4265</v>
      </c>
      <c r="B4248" t="s">
        <v>14</v>
      </c>
      <c r="C4248" t="s">
        <v>10</v>
      </c>
      <c r="D4248" t="s">
        <v>11</v>
      </c>
      <c r="E4248">
        <v>88.75</v>
      </c>
      <c r="F4248">
        <v>22</v>
      </c>
      <c r="G4248">
        <v>1952.5</v>
      </c>
      <c r="H4248" t="s">
        <v>12</v>
      </c>
      <c r="I4248" t="str">
        <f t="shared" si="199"/>
        <v>Low Value</v>
      </c>
      <c r="J4248" t="str">
        <f t="shared" si="200"/>
        <v>Medium Risk</v>
      </c>
      <c r="K4248" s="3" t="str">
        <f t="shared" si="198"/>
        <v>1-2 Years</v>
      </c>
    </row>
    <row r="4249" spans="1:11" x14ac:dyDescent="0.3">
      <c r="A4249" t="s">
        <v>4266</v>
      </c>
      <c r="B4249" t="s">
        <v>14</v>
      </c>
      <c r="C4249" t="s">
        <v>10</v>
      </c>
      <c r="D4249" t="s">
        <v>11</v>
      </c>
      <c r="E4249">
        <v>84.45</v>
      </c>
      <c r="F4249">
        <v>29</v>
      </c>
      <c r="G4249">
        <v>2449.0500000000002</v>
      </c>
      <c r="H4249" t="s">
        <v>18</v>
      </c>
      <c r="I4249" t="str">
        <f t="shared" si="199"/>
        <v>Medium Value</v>
      </c>
      <c r="J4249" t="str">
        <f t="shared" si="200"/>
        <v>Low Risk</v>
      </c>
      <c r="K4249" s="3" t="str">
        <f t="shared" si="198"/>
        <v>2-4 Years</v>
      </c>
    </row>
    <row r="4250" spans="1:11" x14ac:dyDescent="0.3">
      <c r="A4250" t="s">
        <v>4267</v>
      </c>
      <c r="B4250" t="s">
        <v>14</v>
      </c>
      <c r="C4250" t="s">
        <v>15</v>
      </c>
      <c r="D4250" t="s">
        <v>16</v>
      </c>
      <c r="E4250">
        <v>75.3</v>
      </c>
      <c r="F4250">
        <v>13</v>
      </c>
      <c r="G4250">
        <v>978.9</v>
      </c>
      <c r="H4250" t="s">
        <v>18</v>
      </c>
      <c r="I4250" t="str">
        <f t="shared" si="199"/>
        <v>Low Value</v>
      </c>
      <c r="J4250" t="str">
        <f t="shared" si="200"/>
        <v>Medium Risk</v>
      </c>
      <c r="K4250" s="3" t="str">
        <f t="shared" si="198"/>
        <v>1-2 Years</v>
      </c>
    </row>
    <row r="4251" spans="1:11" x14ac:dyDescent="0.3">
      <c r="A4251" t="s">
        <v>4268</v>
      </c>
      <c r="B4251" t="s">
        <v>9</v>
      </c>
      <c r="C4251" t="s">
        <v>30</v>
      </c>
      <c r="D4251" t="s">
        <v>20</v>
      </c>
      <c r="E4251">
        <v>26</v>
      </c>
      <c r="F4251">
        <v>70</v>
      </c>
      <c r="G4251">
        <v>1820</v>
      </c>
      <c r="H4251" t="s">
        <v>12</v>
      </c>
      <c r="I4251" t="str">
        <f t="shared" si="199"/>
        <v>Low Value</v>
      </c>
      <c r="J4251" t="str">
        <f t="shared" si="200"/>
        <v>Low Risk</v>
      </c>
      <c r="K4251" s="3" t="str">
        <f t="shared" si="198"/>
        <v>4+ Years</v>
      </c>
    </row>
    <row r="4252" spans="1:11" x14ac:dyDescent="0.3">
      <c r="A4252" t="s">
        <v>4269</v>
      </c>
      <c r="B4252" t="s">
        <v>9</v>
      </c>
      <c r="C4252" t="s">
        <v>10</v>
      </c>
      <c r="D4252" t="s">
        <v>11</v>
      </c>
      <c r="E4252">
        <v>99.4</v>
      </c>
      <c r="F4252">
        <v>49</v>
      </c>
      <c r="G4252">
        <v>4870.6000000000004</v>
      </c>
      <c r="H4252" t="s">
        <v>12</v>
      </c>
      <c r="I4252" t="str">
        <f t="shared" si="199"/>
        <v>Medium Value</v>
      </c>
      <c r="J4252" t="str">
        <f t="shared" si="200"/>
        <v>Low Risk</v>
      </c>
      <c r="K4252" s="3" t="str">
        <f t="shared" si="198"/>
        <v>4+ Years</v>
      </c>
    </row>
    <row r="4253" spans="1:11" x14ac:dyDescent="0.3">
      <c r="A4253" t="s">
        <v>4270</v>
      </c>
      <c r="B4253" t="s">
        <v>9</v>
      </c>
      <c r="C4253" t="s">
        <v>15</v>
      </c>
      <c r="D4253" t="s">
        <v>16</v>
      </c>
      <c r="E4253">
        <v>109.55</v>
      </c>
      <c r="F4253">
        <v>43</v>
      </c>
      <c r="G4253">
        <v>4710.6499999999996</v>
      </c>
      <c r="H4253" t="s">
        <v>18</v>
      </c>
      <c r="I4253" t="str">
        <f t="shared" si="199"/>
        <v>Medium Value</v>
      </c>
      <c r="J4253" t="str">
        <f t="shared" si="200"/>
        <v>Low Risk</v>
      </c>
      <c r="K4253" s="3" t="str">
        <f t="shared" si="198"/>
        <v>2-4 Years</v>
      </c>
    </row>
    <row r="4254" spans="1:11" x14ac:dyDescent="0.3">
      <c r="A4254" t="s">
        <v>4271</v>
      </c>
      <c r="B4254" t="s">
        <v>9</v>
      </c>
      <c r="C4254" t="s">
        <v>10</v>
      </c>
      <c r="D4254" t="s">
        <v>16</v>
      </c>
      <c r="E4254">
        <v>19.600000000000001</v>
      </c>
      <c r="F4254">
        <v>3</v>
      </c>
      <c r="G4254">
        <v>58.8</v>
      </c>
      <c r="H4254" t="s">
        <v>18</v>
      </c>
      <c r="I4254" t="str">
        <f t="shared" si="199"/>
        <v>Low Value</v>
      </c>
      <c r="J4254" t="str">
        <f t="shared" si="200"/>
        <v>High Risk</v>
      </c>
      <c r="K4254" s="3" t="str">
        <f t="shared" si="198"/>
        <v>0-1 Year</v>
      </c>
    </row>
    <row r="4255" spans="1:11" x14ac:dyDescent="0.3">
      <c r="A4255" t="s">
        <v>4272</v>
      </c>
      <c r="B4255" t="s">
        <v>14</v>
      </c>
      <c r="C4255" t="s">
        <v>15</v>
      </c>
      <c r="D4255" t="s">
        <v>11</v>
      </c>
      <c r="E4255">
        <v>73.150000000000006</v>
      </c>
      <c r="F4255">
        <v>42</v>
      </c>
      <c r="G4255">
        <v>3072.3</v>
      </c>
      <c r="H4255" t="s">
        <v>12</v>
      </c>
      <c r="I4255" t="str">
        <f t="shared" si="199"/>
        <v>Medium Value</v>
      </c>
      <c r="J4255" t="str">
        <f t="shared" si="200"/>
        <v>Low Risk</v>
      </c>
      <c r="K4255" s="3" t="str">
        <f t="shared" si="198"/>
        <v>2-4 Years</v>
      </c>
    </row>
    <row r="4256" spans="1:11" x14ac:dyDescent="0.3">
      <c r="A4256" t="s">
        <v>4273</v>
      </c>
      <c r="B4256" t="s">
        <v>14</v>
      </c>
      <c r="C4256" t="s">
        <v>15</v>
      </c>
      <c r="D4256" t="s">
        <v>16</v>
      </c>
      <c r="E4256">
        <v>54.65</v>
      </c>
      <c r="F4256">
        <v>57</v>
      </c>
      <c r="G4256">
        <v>3115.0499999999902</v>
      </c>
      <c r="H4256" t="s">
        <v>12</v>
      </c>
      <c r="I4256" t="str">
        <f t="shared" si="199"/>
        <v>Medium Value</v>
      </c>
      <c r="J4256" t="str">
        <f t="shared" si="200"/>
        <v>Low Risk</v>
      </c>
      <c r="K4256" s="3" t="str">
        <f t="shared" si="198"/>
        <v>4+ Years</v>
      </c>
    </row>
    <row r="4257" spans="1:11" x14ac:dyDescent="0.3">
      <c r="A4257" t="s">
        <v>4274</v>
      </c>
      <c r="B4257" t="s">
        <v>14</v>
      </c>
      <c r="C4257" t="s">
        <v>10</v>
      </c>
      <c r="D4257" t="s">
        <v>20</v>
      </c>
      <c r="E4257">
        <v>66.400000000000006</v>
      </c>
      <c r="F4257">
        <v>2</v>
      </c>
      <c r="G4257">
        <v>132.80000000000001</v>
      </c>
      <c r="H4257" t="s">
        <v>18</v>
      </c>
      <c r="I4257" t="str">
        <f t="shared" si="199"/>
        <v>Low Value</v>
      </c>
      <c r="J4257" t="str">
        <f t="shared" si="200"/>
        <v>High Risk</v>
      </c>
      <c r="K4257" s="3" t="str">
        <f t="shared" si="198"/>
        <v>0-1 Year</v>
      </c>
    </row>
    <row r="4258" spans="1:11" x14ac:dyDescent="0.3">
      <c r="A4258" t="s">
        <v>4275</v>
      </c>
      <c r="B4258" t="s">
        <v>9</v>
      </c>
      <c r="C4258" t="s">
        <v>30</v>
      </c>
      <c r="D4258" t="s">
        <v>24</v>
      </c>
      <c r="E4258">
        <v>115.55</v>
      </c>
      <c r="F4258">
        <v>72</v>
      </c>
      <c r="G4258">
        <v>8319.6</v>
      </c>
      <c r="H4258" t="s">
        <v>12</v>
      </c>
      <c r="I4258" t="str">
        <f t="shared" si="199"/>
        <v>High Value</v>
      </c>
      <c r="J4258" t="str">
        <f t="shared" si="200"/>
        <v>Low Risk</v>
      </c>
      <c r="K4258" s="3" t="str">
        <f t="shared" si="198"/>
        <v>4+ Years</v>
      </c>
    </row>
    <row r="4259" spans="1:11" x14ac:dyDescent="0.3">
      <c r="A4259" t="s">
        <v>4276</v>
      </c>
      <c r="B4259" t="s">
        <v>9</v>
      </c>
      <c r="C4259" t="s">
        <v>10</v>
      </c>
      <c r="D4259" t="s">
        <v>11</v>
      </c>
      <c r="E4259">
        <v>104.45</v>
      </c>
      <c r="F4259">
        <v>46</v>
      </c>
      <c r="G4259">
        <v>4804.7</v>
      </c>
      <c r="H4259" t="s">
        <v>12</v>
      </c>
      <c r="I4259" t="str">
        <f t="shared" si="199"/>
        <v>Medium Value</v>
      </c>
      <c r="J4259" t="str">
        <f t="shared" si="200"/>
        <v>Low Risk</v>
      </c>
      <c r="K4259" s="3" t="str">
        <f t="shared" si="198"/>
        <v>2-4 Years</v>
      </c>
    </row>
    <row r="4260" spans="1:11" x14ac:dyDescent="0.3">
      <c r="A4260" t="s">
        <v>4277</v>
      </c>
      <c r="B4260" t="s">
        <v>14</v>
      </c>
      <c r="C4260" t="s">
        <v>10</v>
      </c>
      <c r="D4260" t="s">
        <v>24</v>
      </c>
      <c r="E4260">
        <v>100.05</v>
      </c>
      <c r="F4260">
        <v>66</v>
      </c>
      <c r="G4260">
        <v>6603.3</v>
      </c>
      <c r="H4260" t="s">
        <v>18</v>
      </c>
      <c r="I4260" t="str">
        <f t="shared" si="199"/>
        <v>High Value</v>
      </c>
      <c r="J4260" t="str">
        <f t="shared" si="200"/>
        <v>Low Risk</v>
      </c>
      <c r="K4260" s="3" t="str">
        <f t="shared" si="198"/>
        <v>4+ Years</v>
      </c>
    </row>
    <row r="4261" spans="1:11" x14ac:dyDescent="0.3">
      <c r="A4261" t="s">
        <v>4278</v>
      </c>
      <c r="B4261" t="s">
        <v>14</v>
      </c>
      <c r="C4261" t="s">
        <v>15</v>
      </c>
      <c r="D4261" t="s">
        <v>11</v>
      </c>
      <c r="E4261">
        <v>102</v>
      </c>
      <c r="F4261">
        <v>62</v>
      </c>
      <c r="G4261">
        <v>6324</v>
      </c>
      <c r="H4261" t="s">
        <v>18</v>
      </c>
      <c r="I4261" t="str">
        <f t="shared" si="199"/>
        <v>High Value</v>
      </c>
      <c r="J4261" t="str">
        <f t="shared" si="200"/>
        <v>Low Risk</v>
      </c>
      <c r="K4261" s="3" t="str">
        <f t="shared" si="198"/>
        <v>4+ Years</v>
      </c>
    </row>
    <row r="4262" spans="1:11" x14ac:dyDescent="0.3">
      <c r="A4262" t="s">
        <v>4279</v>
      </c>
      <c r="B4262" t="s">
        <v>9</v>
      </c>
      <c r="C4262" t="s">
        <v>30</v>
      </c>
      <c r="D4262" t="s">
        <v>20</v>
      </c>
      <c r="E4262">
        <v>91.15</v>
      </c>
      <c r="F4262">
        <v>72</v>
      </c>
      <c r="G4262">
        <v>6562.8</v>
      </c>
      <c r="H4262" t="s">
        <v>12</v>
      </c>
      <c r="I4262" t="str">
        <f t="shared" si="199"/>
        <v>High Value</v>
      </c>
      <c r="J4262" t="str">
        <f t="shared" si="200"/>
        <v>Low Risk</v>
      </c>
      <c r="K4262" s="3" t="str">
        <f t="shared" si="198"/>
        <v>4+ Years</v>
      </c>
    </row>
    <row r="4263" spans="1:11" x14ac:dyDescent="0.3">
      <c r="A4263" t="s">
        <v>4280</v>
      </c>
      <c r="B4263" t="s">
        <v>14</v>
      </c>
      <c r="C4263" t="s">
        <v>15</v>
      </c>
      <c r="D4263" t="s">
        <v>11</v>
      </c>
      <c r="E4263">
        <v>89.7</v>
      </c>
      <c r="F4263">
        <v>35</v>
      </c>
      <c r="G4263">
        <v>3139.5</v>
      </c>
      <c r="H4263" t="s">
        <v>12</v>
      </c>
      <c r="I4263" t="str">
        <f t="shared" si="199"/>
        <v>Medium Value</v>
      </c>
      <c r="J4263" t="str">
        <f t="shared" si="200"/>
        <v>Low Risk</v>
      </c>
      <c r="K4263" s="3" t="str">
        <f t="shared" si="198"/>
        <v>2-4 Years</v>
      </c>
    </row>
    <row r="4264" spans="1:11" x14ac:dyDescent="0.3">
      <c r="A4264" t="s">
        <v>4281</v>
      </c>
      <c r="B4264" t="s">
        <v>14</v>
      </c>
      <c r="C4264" t="s">
        <v>10</v>
      </c>
      <c r="D4264" t="s">
        <v>24</v>
      </c>
      <c r="E4264">
        <v>90.2</v>
      </c>
      <c r="F4264">
        <v>17</v>
      </c>
      <c r="G4264">
        <v>1533.4</v>
      </c>
      <c r="H4264" t="s">
        <v>18</v>
      </c>
      <c r="I4264" t="str">
        <f t="shared" si="199"/>
        <v>Low Value</v>
      </c>
      <c r="J4264" t="str">
        <f t="shared" si="200"/>
        <v>Medium Risk</v>
      </c>
      <c r="K4264" s="3" t="str">
        <f t="shared" si="198"/>
        <v>1-2 Years</v>
      </c>
    </row>
    <row r="4265" spans="1:11" x14ac:dyDescent="0.3">
      <c r="A4265" t="s">
        <v>4282</v>
      </c>
      <c r="B4265" t="s">
        <v>9</v>
      </c>
      <c r="C4265" t="s">
        <v>30</v>
      </c>
      <c r="D4265" t="s">
        <v>11</v>
      </c>
      <c r="E4265">
        <v>92.4</v>
      </c>
      <c r="F4265">
        <v>72</v>
      </c>
      <c r="G4265">
        <v>6652.8</v>
      </c>
      <c r="H4265" t="s">
        <v>12</v>
      </c>
      <c r="I4265" t="str">
        <f t="shared" si="199"/>
        <v>High Value</v>
      </c>
      <c r="J4265" t="str">
        <f t="shared" si="200"/>
        <v>Low Risk</v>
      </c>
      <c r="K4265" s="3" t="str">
        <f t="shared" si="198"/>
        <v>4+ Years</v>
      </c>
    </row>
    <row r="4266" spans="1:11" x14ac:dyDescent="0.3">
      <c r="A4266" t="s">
        <v>4283</v>
      </c>
      <c r="B4266" t="s">
        <v>9</v>
      </c>
      <c r="C4266" t="s">
        <v>15</v>
      </c>
      <c r="D4266" t="s">
        <v>16</v>
      </c>
      <c r="E4266">
        <v>19.899999999999999</v>
      </c>
      <c r="F4266">
        <v>28</v>
      </c>
      <c r="G4266">
        <v>557.19999999999902</v>
      </c>
      <c r="H4266" t="s">
        <v>12</v>
      </c>
      <c r="I4266" t="str">
        <f t="shared" si="199"/>
        <v>Low Value</v>
      </c>
      <c r="J4266" t="str">
        <f t="shared" si="200"/>
        <v>Low Risk</v>
      </c>
      <c r="K4266" s="3" t="str">
        <f t="shared" si="198"/>
        <v>2-4 Years</v>
      </c>
    </row>
    <row r="4267" spans="1:11" x14ac:dyDescent="0.3">
      <c r="A4267" t="s">
        <v>4284</v>
      </c>
      <c r="B4267" t="s">
        <v>14</v>
      </c>
      <c r="C4267" t="s">
        <v>30</v>
      </c>
      <c r="D4267" t="s">
        <v>24</v>
      </c>
      <c r="E4267">
        <v>25.15</v>
      </c>
      <c r="F4267">
        <v>56</v>
      </c>
      <c r="G4267">
        <v>1408.3999999999901</v>
      </c>
      <c r="H4267" t="s">
        <v>18</v>
      </c>
      <c r="I4267" t="str">
        <f t="shared" si="199"/>
        <v>Low Value</v>
      </c>
      <c r="J4267" t="str">
        <f t="shared" si="200"/>
        <v>Low Risk</v>
      </c>
      <c r="K4267" s="3" t="str">
        <f t="shared" si="198"/>
        <v>4+ Years</v>
      </c>
    </row>
    <row r="4268" spans="1:11" x14ac:dyDescent="0.3">
      <c r="A4268" t="s">
        <v>4285</v>
      </c>
      <c r="B4268" t="s">
        <v>9</v>
      </c>
      <c r="C4268" t="s">
        <v>10</v>
      </c>
      <c r="D4268" t="s">
        <v>24</v>
      </c>
      <c r="E4268">
        <v>79.849999999999994</v>
      </c>
      <c r="F4268">
        <v>31</v>
      </c>
      <c r="G4268">
        <v>2475.35</v>
      </c>
      <c r="H4268" t="s">
        <v>18</v>
      </c>
      <c r="I4268" t="str">
        <f t="shared" si="199"/>
        <v>Medium Value</v>
      </c>
      <c r="J4268" t="str">
        <f t="shared" si="200"/>
        <v>Low Risk</v>
      </c>
      <c r="K4268" s="3" t="str">
        <f t="shared" si="198"/>
        <v>2-4 Years</v>
      </c>
    </row>
    <row r="4269" spans="1:11" x14ac:dyDescent="0.3">
      <c r="A4269" t="s">
        <v>4286</v>
      </c>
      <c r="B4269" t="s">
        <v>14</v>
      </c>
      <c r="C4269" t="s">
        <v>15</v>
      </c>
      <c r="D4269" t="s">
        <v>20</v>
      </c>
      <c r="E4269">
        <v>18.850000000000001</v>
      </c>
      <c r="F4269">
        <v>45</v>
      </c>
      <c r="G4269">
        <v>848.25</v>
      </c>
      <c r="H4269" t="s">
        <v>12</v>
      </c>
      <c r="I4269" t="str">
        <f t="shared" si="199"/>
        <v>Low Value</v>
      </c>
      <c r="J4269" t="str">
        <f t="shared" si="200"/>
        <v>Low Risk</v>
      </c>
      <c r="K4269" s="3" t="str">
        <f t="shared" si="198"/>
        <v>2-4 Years</v>
      </c>
    </row>
    <row r="4270" spans="1:11" x14ac:dyDescent="0.3">
      <c r="A4270" t="s">
        <v>4287</v>
      </c>
      <c r="B4270" t="s">
        <v>9</v>
      </c>
      <c r="C4270" t="s">
        <v>10</v>
      </c>
      <c r="D4270" t="s">
        <v>16</v>
      </c>
      <c r="E4270">
        <v>25.75</v>
      </c>
      <c r="F4270">
        <v>1</v>
      </c>
      <c r="G4270">
        <v>25.75</v>
      </c>
      <c r="H4270" t="s">
        <v>12</v>
      </c>
      <c r="I4270" t="str">
        <f t="shared" si="199"/>
        <v>Low Value</v>
      </c>
      <c r="J4270" t="str">
        <f t="shared" si="200"/>
        <v>High Risk</v>
      </c>
      <c r="K4270" s="3" t="str">
        <f t="shared" si="198"/>
        <v>0-1 Year</v>
      </c>
    </row>
    <row r="4271" spans="1:11" x14ac:dyDescent="0.3">
      <c r="A4271" t="s">
        <v>4288</v>
      </c>
      <c r="B4271" t="s">
        <v>9</v>
      </c>
      <c r="C4271" t="s">
        <v>10</v>
      </c>
      <c r="D4271" t="s">
        <v>16</v>
      </c>
      <c r="E4271">
        <v>49.6</v>
      </c>
      <c r="F4271">
        <v>2</v>
      </c>
      <c r="G4271">
        <v>99.2</v>
      </c>
      <c r="H4271" t="s">
        <v>18</v>
      </c>
      <c r="I4271" t="str">
        <f t="shared" si="199"/>
        <v>Low Value</v>
      </c>
      <c r="J4271" t="str">
        <f t="shared" si="200"/>
        <v>High Risk</v>
      </c>
      <c r="K4271" s="3" t="str">
        <f t="shared" si="198"/>
        <v>0-1 Year</v>
      </c>
    </row>
    <row r="4272" spans="1:11" x14ac:dyDescent="0.3">
      <c r="A4272" t="s">
        <v>4289</v>
      </c>
      <c r="B4272" t="s">
        <v>9</v>
      </c>
      <c r="C4272" t="s">
        <v>10</v>
      </c>
      <c r="D4272" t="s">
        <v>16</v>
      </c>
      <c r="E4272">
        <v>20.95</v>
      </c>
      <c r="F4272">
        <v>6</v>
      </c>
      <c r="G4272">
        <v>125.69999999999899</v>
      </c>
      <c r="H4272" t="s">
        <v>12</v>
      </c>
      <c r="I4272" t="str">
        <f t="shared" si="199"/>
        <v>Low Value</v>
      </c>
      <c r="J4272" t="str">
        <f t="shared" si="200"/>
        <v>High Risk</v>
      </c>
      <c r="K4272" s="3" t="str">
        <f t="shared" si="198"/>
        <v>0-1 Year</v>
      </c>
    </row>
    <row r="4273" spans="1:11" x14ac:dyDescent="0.3">
      <c r="A4273" t="s">
        <v>4290</v>
      </c>
      <c r="B4273" t="s">
        <v>9</v>
      </c>
      <c r="C4273" t="s">
        <v>15</v>
      </c>
      <c r="D4273" t="s">
        <v>11</v>
      </c>
      <c r="E4273">
        <v>97.05</v>
      </c>
      <c r="F4273">
        <v>48</v>
      </c>
      <c r="G4273">
        <v>4658.3999999999996</v>
      </c>
      <c r="H4273" t="s">
        <v>12</v>
      </c>
      <c r="I4273" t="str">
        <f t="shared" si="199"/>
        <v>Medium Value</v>
      </c>
      <c r="J4273" t="str">
        <f t="shared" si="200"/>
        <v>Low Risk</v>
      </c>
      <c r="K4273" s="3" t="str">
        <f t="shared" si="198"/>
        <v>2-4 Years</v>
      </c>
    </row>
    <row r="4274" spans="1:11" x14ac:dyDescent="0.3">
      <c r="A4274" t="s">
        <v>4291</v>
      </c>
      <c r="B4274" t="s">
        <v>14</v>
      </c>
      <c r="C4274" t="s">
        <v>10</v>
      </c>
      <c r="D4274" t="s">
        <v>20</v>
      </c>
      <c r="E4274">
        <v>25.4</v>
      </c>
      <c r="F4274">
        <v>25</v>
      </c>
      <c r="G4274">
        <v>635</v>
      </c>
      <c r="H4274" t="s">
        <v>12</v>
      </c>
      <c r="I4274" t="str">
        <f t="shared" si="199"/>
        <v>Low Value</v>
      </c>
      <c r="J4274" t="str">
        <f t="shared" si="200"/>
        <v>Low Risk</v>
      </c>
      <c r="K4274" s="3" t="str">
        <f t="shared" si="198"/>
        <v>2-4 Years</v>
      </c>
    </row>
    <row r="4275" spans="1:11" x14ac:dyDescent="0.3">
      <c r="A4275" t="s">
        <v>4292</v>
      </c>
      <c r="B4275" t="s">
        <v>14</v>
      </c>
      <c r="C4275" t="s">
        <v>30</v>
      </c>
      <c r="D4275" t="s">
        <v>20</v>
      </c>
      <c r="E4275">
        <v>19.7</v>
      </c>
      <c r="F4275">
        <v>64</v>
      </c>
      <c r="G4275">
        <v>1260.8</v>
      </c>
      <c r="H4275" t="s">
        <v>12</v>
      </c>
      <c r="I4275" t="str">
        <f t="shared" si="199"/>
        <v>Low Value</v>
      </c>
      <c r="J4275" t="str">
        <f t="shared" si="200"/>
        <v>Low Risk</v>
      </c>
      <c r="K4275" s="3" t="str">
        <f t="shared" si="198"/>
        <v>4+ Years</v>
      </c>
    </row>
    <row r="4276" spans="1:11" x14ac:dyDescent="0.3">
      <c r="A4276" t="s">
        <v>4293</v>
      </c>
      <c r="B4276" t="s">
        <v>14</v>
      </c>
      <c r="C4276" t="s">
        <v>10</v>
      </c>
      <c r="D4276" t="s">
        <v>16</v>
      </c>
      <c r="E4276">
        <v>35</v>
      </c>
      <c r="F4276">
        <v>50</v>
      </c>
      <c r="G4276">
        <v>1750</v>
      </c>
      <c r="H4276" t="s">
        <v>12</v>
      </c>
      <c r="I4276" t="str">
        <f t="shared" si="199"/>
        <v>Low Value</v>
      </c>
      <c r="J4276" t="str">
        <f t="shared" si="200"/>
        <v>Low Risk</v>
      </c>
      <c r="K4276" s="3" t="str">
        <f t="shared" si="198"/>
        <v>4+ Years</v>
      </c>
    </row>
    <row r="4277" spans="1:11" x14ac:dyDescent="0.3">
      <c r="A4277" t="s">
        <v>4294</v>
      </c>
      <c r="B4277" t="s">
        <v>9</v>
      </c>
      <c r="C4277" t="s">
        <v>15</v>
      </c>
      <c r="D4277" t="s">
        <v>20</v>
      </c>
      <c r="E4277">
        <v>101.25</v>
      </c>
      <c r="F4277">
        <v>52</v>
      </c>
      <c r="G4277">
        <v>5265</v>
      </c>
      <c r="H4277" t="s">
        <v>12</v>
      </c>
      <c r="I4277" t="str">
        <f t="shared" si="199"/>
        <v>High Value</v>
      </c>
      <c r="J4277" t="str">
        <f t="shared" si="200"/>
        <v>Low Risk</v>
      </c>
      <c r="K4277" s="3" t="str">
        <f t="shared" si="198"/>
        <v>4+ Years</v>
      </c>
    </row>
    <row r="4278" spans="1:11" x14ac:dyDescent="0.3">
      <c r="A4278" t="s">
        <v>4295</v>
      </c>
      <c r="B4278" t="s">
        <v>14</v>
      </c>
      <c r="C4278" t="s">
        <v>10</v>
      </c>
      <c r="D4278" t="s">
        <v>11</v>
      </c>
      <c r="E4278">
        <v>70.2</v>
      </c>
      <c r="F4278">
        <v>4</v>
      </c>
      <c r="G4278">
        <v>280.8</v>
      </c>
      <c r="H4278" t="s">
        <v>12</v>
      </c>
      <c r="I4278" t="str">
        <f t="shared" si="199"/>
        <v>Low Value</v>
      </c>
      <c r="J4278" t="str">
        <f t="shared" si="200"/>
        <v>High Risk</v>
      </c>
      <c r="K4278" s="3" t="str">
        <f t="shared" si="198"/>
        <v>0-1 Year</v>
      </c>
    </row>
    <row r="4279" spans="1:11" x14ac:dyDescent="0.3">
      <c r="A4279" t="s">
        <v>4296</v>
      </c>
      <c r="B4279" t="s">
        <v>9</v>
      </c>
      <c r="C4279" t="s">
        <v>10</v>
      </c>
      <c r="D4279" t="s">
        <v>11</v>
      </c>
      <c r="E4279">
        <v>90.95</v>
      </c>
      <c r="F4279">
        <v>32</v>
      </c>
      <c r="G4279">
        <v>2910.4</v>
      </c>
      <c r="H4279" t="s">
        <v>12</v>
      </c>
      <c r="I4279" t="str">
        <f t="shared" si="199"/>
        <v>Medium Value</v>
      </c>
      <c r="J4279" t="str">
        <f t="shared" si="200"/>
        <v>Low Risk</v>
      </c>
      <c r="K4279" s="3" t="str">
        <f t="shared" si="198"/>
        <v>2-4 Years</v>
      </c>
    </row>
    <row r="4280" spans="1:11" x14ac:dyDescent="0.3">
      <c r="A4280" t="s">
        <v>4297</v>
      </c>
      <c r="B4280" t="s">
        <v>14</v>
      </c>
      <c r="C4280" t="s">
        <v>30</v>
      </c>
      <c r="D4280" t="s">
        <v>24</v>
      </c>
      <c r="E4280">
        <v>73.849999999999994</v>
      </c>
      <c r="F4280">
        <v>45</v>
      </c>
      <c r="G4280">
        <v>3323.24999999999</v>
      </c>
      <c r="H4280" t="s">
        <v>12</v>
      </c>
      <c r="I4280" t="str">
        <f t="shared" si="199"/>
        <v>Medium Value</v>
      </c>
      <c r="J4280" t="str">
        <f t="shared" si="200"/>
        <v>Low Risk</v>
      </c>
      <c r="K4280" s="3" t="str">
        <f t="shared" si="198"/>
        <v>2-4 Years</v>
      </c>
    </row>
    <row r="4281" spans="1:11" x14ac:dyDescent="0.3">
      <c r="A4281" t="s">
        <v>4298</v>
      </c>
      <c r="B4281" t="s">
        <v>14</v>
      </c>
      <c r="C4281" t="s">
        <v>10</v>
      </c>
      <c r="D4281" t="s">
        <v>11</v>
      </c>
      <c r="E4281">
        <v>88.05</v>
      </c>
      <c r="F4281">
        <v>9</v>
      </c>
      <c r="G4281">
        <v>792.44999999999902</v>
      </c>
      <c r="H4281" t="s">
        <v>12</v>
      </c>
      <c r="I4281" t="str">
        <f t="shared" si="199"/>
        <v>Low Value</v>
      </c>
      <c r="J4281" t="str">
        <f t="shared" si="200"/>
        <v>High Risk</v>
      </c>
      <c r="K4281" s="3" t="str">
        <f t="shared" si="198"/>
        <v>0-1 Year</v>
      </c>
    </row>
    <row r="4282" spans="1:11" x14ac:dyDescent="0.3">
      <c r="A4282" t="s">
        <v>4299</v>
      </c>
      <c r="B4282" t="s">
        <v>9</v>
      </c>
      <c r="C4282" t="s">
        <v>15</v>
      </c>
      <c r="D4282" t="s">
        <v>24</v>
      </c>
      <c r="E4282">
        <v>105.95</v>
      </c>
      <c r="F4282">
        <v>66</v>
      </c>
      <c r="G4282">
        <v>6992.7</v>
      </c>
      <c r="H4282" t="s">
        <v>18</v>
      </c>
      <c r="I4282" t="str">
        <f t="shared" si="199"/>
        <v>High Value</v>
      </c>
      <c r="J4282" t="str">
        <f t="shared" si="200"/>
        <v>Low Risk</v>
      </c>
      <c r="K4282" s="3" t="str">
        <f t="shared" si="198"/>
        <v>4+ Years</v>
      </c>
    </row>
    <row r="4283" spans="1:11" x14ac:dyDescent="0.3">
      <c r="A4283" t="s">
        <v>4300</v>
      </c>
      <c r="B4283" t="s">
        <v>14</v>
      </c>
      <c r="C4283" t="s">
        <v>10</v>
      </c>
      <c r="D4283" t="s">
        <v>11</v>
      </c>
      <c r="E4283">
        <v>91.85</v>
      </c>
      <c r="F4283">
        <v>3</v>
      </c>
      <c r="G4283">
        <v>275.54999999999899</v>
      </c>
      <c r="H4283" t="s">
        <v>18</v>
      </c>
      <c r="I4283" t="str">
        <f t="shared" si="199"/>
        <v>Low Value</v>
      </c>
      <c r="J4283" t="str">
        <f t="shared" si="200"/>
        <v>High Risk</v>
      </c>
      <c r="K4283" s="3" t="str">
        <f t="shared" si="198"/>
        <v>0-1 Year</v>
      </c>
    </row>
    <row r="4284" spans="1:11" x14ac:dyDescent="0.3">
      <c r="A4284" t="s">
        <v>4301</v>
      </c>
      <c r="B4284" t="s">
        <v>9</v>
      </c>
      <c r="C4284" t="s">
        <v>30</v>
      </c>
      <c r="D4284" t="s">
        <v>16</v>
      </c>
      <c r="E4284">
        <v>20.100000000000001</v>
      </c>
      <c r="F4284">
        <v>54</v>
      </c>
      <c r="G4284">
        <v>1085.4000000000001</v>
      </c>
      <c r="H4284" t="s">
        <v>12</v>
      </c>
      <c r="I4284" t="str">
        <f t="shared" si="199"/>
        <v>Low Value</v>
      </c>
      <c r="J4284" t="str">
        <f t="shared" si="200"/>
        <v>Low Risk</v>
      </c>
      <c r="K4284" s="3" t="str">
        <f t="shared" si="198"/>
        <v>4+ Years</v>
      </c>
    </row>
    <row r="4285" spans="1:11" x14ac:dyDescent="0.3">
      <c r="A4285" t="s">
        <v>4302</v>
      </c>
      <c r="B4285" t="s">
        <v>9</v>
      </c>
      <c r="C4285" t="s">
        <v>10</v>
      </c>
      <c r="D4285" t="s">
        <v>11</v>
      </c>
      <c r="E4285">
        <v>40.1</v>
      </c>
      <c r="F4285">
        <v>1</v>
      </c>
      <c r="G4285">
        <v>40.1</v>
      </c>
      <c r="H4285" t="s">
        <v>18</v>
      </c>
      <c r="I4285" t="str">
        <f t="shared" si="199"/>
        <v>Low Value</v>
      </c>
      <c r="J4285" t="str">
        <f t="shared" si="200"/>
        <v>High Risk</v>
      </c>
      <c r="K4285" s="3" t="str">
        <f t="shared" si="198"/>
        <v>0-1 Year</v>
      </c>
    </row>
    <row r="4286" spans="1:11" x14ac:dyDescent="0.3">
      <c r="A4286" t="s">
        <v>4303</v>
      </c>
      <c r="B4286" t="s">
        <v>9</v>
      </c>
      <c r="C4286" t="s">
        <v>30</v>
      </c>
      <c r="D4286" t="s">
        <v>20</v>
      </c>
      <c r="E4286">
        <v>110.3</v>
      </c>
      <c r="F4286">
        <v>64</v>
      </c>
      <c r="G4286">
        <v>7059.2</v>
      </c>
      <c r="H4286" t="s">
        <v>12</v>
      </c>
      <c r="I4286" t="str">
        <f t="shared" si="199"/>
        <v>High Value</v>
      </c>
      <c r="J4286" t="str">
        <f t="shared" si="200"/>
        <v>Low Risk</v>
      </c>
      <c r="K4286" s="3" t="str">
        <f t="shared" si="198"/>
        <v>4+ Years</v>
      </c>
    </row>
    <row r="4287" spans="1:11" x14ac:dyDescent="0.3">
      <c r="A4287" t="s">
        <v>4304</v>
      </c>
      <c r="B4287" t="s">
        <v>9</v>
      </c>
      <c r="C4287" t="s">
        <v>10</v>
      </c>
      <c r="D4287" t="s">
        <v>11</v>
      </c>
      <c r="E4287">
        <v>73.900000000000006</v>
      </c>
      <c r="F4287">
        <v>31</v>
      </c>
      <c r="G4287">
        <v>2290.9</v>
      </c>
      <c r="H4287" t="s">
        <v>18</v>
      </c>
      <c r="I4287" t="str">
        <f t="shared" si="199"/>
        <v>Medium Value</v>
      </c>
      <c r="J4287" t="str">
        <f t="shared" si="200"/>
        <v>Low Risk</v>
      </c>
      <c r="K4287" s="3" t="str">
        <f t="shared" si="198"/>
        <v>2-4 Years</v>
      </c>
    </row>
    <row r="4288" spans="1:11" x14ac:dyDescent="0.3">
      <c r="A4288" t="s">
        <v>4305</v>
      </c>
      <c r="B4288" t="s">
        <v>9</v>
      </c>
      <c r="C4288" t="s">
        <v>10</v>
      </c>
      <c r="D4288" t="s">
        <v>16</v>
      </c>
      <c r="E4288">
        <v>89.8</v>
      </c>
      <c r="F4288">
        <v>14</v>
      </c>
      <c r="G4288">
        <v>1257.2</v>
      </c>
      <c r="H4288" t="s">
        <v>18</v>
      </c>
      <c r="I4288" t="str">
        <f t="shared" si="199"/>
        <v>Low Value</v>
      </c>
      <c r="J4288" t="str">
        <f t="shared" si="200"/>
        <v>Medium Risk</v>
      </c>
      <c r="K4288" s="3" t="str">
        <f t="shared" si="198"/>
        <v>1-2 Years</v>
      </c>
    </row>
    <row r="4289" spans="1:11" x14ac:dyDescent="0.3">
      <c r="A4289" t="s">
        <v>4306</v>
      </c>
      <c r="B4289" t="s">
        <v>9</v>
      </c>
      <c r="C4289" t="s">
        <v>15</v>
      </c>
      <c r="D4289" t="s">
        <v>24</v>
      </c>
      <c r="E4289">
        <v>85.15</v>
      </c>
      <c r="F4289">
        <v>12</v>
      </c>
      <c r="G4289">
        <v>1021.8</v>
      </c>
      <c r="H4289" t="s">
        <v>12</v>
      </c>
      <c r="I4289" t="str">
        <f t="shared" si="199"/>
        <v>Low Value</v>
      </c>
      <c r="J4289" t="str">
        <f t="shared" si="200"/>
        <v>Medium Risk</v>
      </c>
      <c r="K4289" s="3" t="str">
        <f t="shared" si="198"/>
        <v>0-1 Year</v>
      </c>
    </row>
    <row r="4290" spans="1:11" x14ac:dyDescent="0.3">
      <c r="A4290" t="s">
        <v>4307</v>
      </c>
      <c r="B4290" t="s">
        <v>14</v>
      </c>
      <c r="C4290" t="s">
        <v>15</v>
      </c>
      <c r="D4290" t="s">
        <v>20</v>
      </c>
      <c r="E4290">
        <v>60.95</v>
      </c>
      <c r="F4290">
        <v>67</v>
      </c>
      <c r="G4290">
        <v>4083.65</v>
      </c>
      <c r="H4290" t="s">
        <v>12</v>
      </c>
      <c r="I4290" t="str">
        <f t="shared" si="199"/>
        <v>Medium Value</v>
      </c>
      <c r="J4290" t="str">
        <f t="shared" si="200"/>
        <v>Low Risk</v>
      </c>
      <c r="K4290" s="3" t="str">
        <f t="shared" si="198"/>
        <v>4+ Years</v>
      </c>
    </row>
    <row r="4291" spans="1:11" x14ac:dyDescent="0.3">
      <c r="A4291" t="s">
        <v>4308</v>
      </c>
      <c r="B4291" t="s">
        <v>9</v>
      </c>
      <c r="C4291" t="s">
        <v>10</v>
      </c>
      <c r="D4291" t="s">
        <v>11</v>
      </c>
      <c r="E4291">
        <v>72.25</v>
      </c>
      <c r="F4291">
        <v>35</v>
      </c>
      <c r="G4291">
        <v>2528.75</v>
      </c>
      <c r="H4291" t="s">
        <v>18</v>
      </c>
      <c r="I4291" t="str">
        <f t="shared" si="199"/>
        <v>Medium Value</v>
      </c>
      <c r="J4291" t="str">
        <f t="shared" si="200"/>
        <v>Low Risk</v>
      </c>
      <c r="K4291" s="3" t="str">
        <f t="shared" ref="K4291:K4354" si="201">IF(F4291&lt;=12,"0-1 Year",
IF(F4291&lt;=24,"1-2 Years",
IF(F4291&lt;=48,"2-4 Years","4+ Years")))</f>
        <v>2-4 Years</v>
      </c>
    </row>
    <row r="4292" spans="1:11" x14ac:dyDescent="0.3">
      <c r="A4292" t="s">
        <v>4309</v>
      </c>
      <c r="B4292" t="s">
        <v>9</v>
      </c>
      <c r="C4292" t="s">
        <v>30</v>
      </c>
      <c r="D4292" t="s">
        <v>16</v>
      </c>
      <c r="E4292">
        <v>73.55</v>
      </c>
      <c r="F4292">
        <v>45</v>
      </c>
      <c r="G4292">
        <v>3309.75</v>
      </c>
      <c r="H4292" t="s">
        <v>12</v>
      </c>
      <c r="I4292" t="str">
        <f t="shared" ref="I4292:I4355" si="202">IF(G4292&gt;5000,"High Value",
IF(G4292&gt;2000,"Medium Value","Low Value"))</f>
        <v>Medium Value</v>
      </c>
      <c r="J4292" t="str">
        <f t="shared" ref="J4292:J4355" si="203">IF(F4292&lt;12,"High Risk",
IF(F4292&lt;24,"Medium Risk","Low Risk"))</f>
        <v>Low Risk</v>
      </c>
      <c r="K4292" s="3" t="str">
        <f t="shared" si="201"/>
        <v>2-4 Years</v>
      </c>
    </row>
    <row r="4293" spans="1:11" x14ac:dyDescent="0.3">
      <c r="A4293" t="s">
        <v>4310</v>
      </c>
      <c r="B4293" t="s">
        <v>14</v>
      </c>
      <c r="C4293" t="s">
        <v>10</v>
      </c>
      <c r="D4293" t="s">
        <v>16</v>
      </c>
      <c r="E4293">
        <v>46</v>
      </c>
      <c r="F4293">
        <v>10</v>
      </c>
      <c r="G4293">
        <v>460</v>
      </c>
      <c r="H4293" t="s">
        <v>12</v>
      </c>
      <c r="I4293" t="str">
        <f t="shared" si="202"/>
        <v>Low Value</v>
      </c>
      <c r="J4293" t="str">
        <f t="shared" si="203"/>
        <v>High Risk</v>
      </c>
      <c r="K4293" s="3" t="str">
        <f t="shared" si="201"/>
        <v>0-1 Year</v>
      </c>
    </row>
    <row r="4294" spans="1:11" x14ac:dyDescent="0.3">
      <c r="A4294" t="s">
        <v>4311</v>
      </c>
      <c r="B4294" t="s">
        <v>9</v>
      </c>
      <c r="C4294" t="s">
        <v>10</v>
      </c>
      <c r="D4294" t="s">
        <v>20</v>
      </c>
      <c r="E4294">
        <v>58.55</v>
      </c>
      <c r="F4294">
        <v>29</v>
      </c>
      <c r="G4294">
        <v>1697.94999999999</v>
      </c>
      <c r="H4294" t="s">
        <v>12</v>
      </c>
      <c r="I4294" t="str">
        <f t="shared" si="202"/>
        <v>Low Value</v>
      </c>
      <c r="J4294" t="str">
        <f t="shared" si="203"/>
        <v>Low Risk</v>
      </c>
      <c r="K4294" s="3" t="str">
        <f t="shared" si="201"/>
        <v>2-4 Years</v>
      </c>
    </row>
    <row r="4295" spans="1:11" x14ac:dyDescent="0.3">
      <c r="A4295" t="s">
        <v>4312</v>
      </c>
      <c r="B4295" t="s">
        <v>9</v>
      </c>
      <c r="C4295" t="s">
        <v>15</v>
      </c>
      <c r="D4295" t="s">
        <v>20</v>
      </c>
      <c r="E4295">
        <v>24.6</v>
      </c>
      <c r="F4295">
        <v>24</v>
      </c>
      <c r="G4295">
        <v>590.4</v>
      </c>
      <c r="H4295" t="s">
        <v>12</v>
      </c>
      <c r="I4295" t="str">
        <f t="shared" si="202"/>
        <v>Low Value</v>
      </c>
      <c r="J4295" t="str">
        <f t="shared" si="203"/>
        <v>Low Risk</v>
      </c>
      <c r="K4295" s="3" t="str">
        <f t="shared" si="201"/>
        <v>1-2 Years</v>
      </c>
    </row>
    <row r="4296" spans="1:11" x14ac:dyDescent="0.3">
      <c r="A4296" t="s">
        <v>4313</v>
      </c>
      <c r="B4296" t="s">
        <v>14</v>
      </c>
      <c r="C4296" t="s">
        <v>30</v>
      </c>
      <c r="D4296" t="s">
        <v>16</v>
      </c>
      <c r="E4296">
        <v>19.75</v>
      </c>
      <c r="F4296">
        <v>66</v>
      </c>
      <c r="G4296">
        <v>1303.5</v>
      </c>
      <c r="H4296" t="s">
        <v>12</v>
      </c>
      <c r="I4296" t="str">
        <f t="shared" si="202"/>
        <v>Low Value</v>
      </c>
      <c r="J4296" t="str">
        <f t="shared" si="203"/>
        <v>Low Risk</v>
      </c>
      <c r="K4296" s="3" t="str">
        <f t="shared" si="201"/>
        <v>4+ Years</v>
      </c>
    </row>
    <row r="4297" spans="1:11" x14ac:dyDescent="0.3">
      <c r="A4297" t="s">
        <v>4314</v>
      </c>
      <c r="B4297" t="s">
        <v>14</v>
      </c>
      <c r="C4297" t="s">
        <v>15</v>
      </c>
      <c r="D4297" t="s">
        <v>16</v>
      </c>
      <c r="E4297">
        <v>86.35</v>
      </c>
      <c r="F4297">
        <v>51</v>
      </c>
      <c r="G4297">
        <v>4403.8499999999904</v>
      </c>
      <c r="H4297" t="s">
        <v>12</v>
      </c>
      <c r="I4297" t="str">
        <f t="shared" si="202"/>
        <v>Medium Value</v>
      </c>
      <c r="J4297" t="str">
        <f t="shared" si="203"/>
        <v>Low Risk</v>
      </c>
      <c r="K4297" s="3" t="str">
        <f t="shared" si="201"/>
        <v>4+ Years</v>
      </c>
    </row>
    <row r="4298" spans="1:11" x14ac:dyDescent="0.3">
      <c r="A4298" t="s">
        <v>4315</v>
      </c>
      <c r="B4298" t="s">
        <v>9</v>
      </c>
      <c r="C4298" t="s">
        <v>30</v>
      </c>
      <c r="D4298" t="s">
        <v>16</v>
      </c>
      <c r="E4298">
        <v>25.5</v>
      </c>
      <c r="F4298">
        <v>45</v>
      </c>
      <c r="G4298">
        <v>1147.5</v>
      </c>
      <c r="H4298" t="s">
        <v>12</v>
      </c>
      <c r="I4298" t="str">
        <f t="shared" si="202"/>
        <v>Low Value</v>
      </c>
      <c r="J4298" t="str">
        <f t="shared" si="203"/>
        <v>Low Risk</v>
      </c>
      <c r="K4298" s="3" t="str">
        <f t="shared" si="201"/>
        <v>2-4 Years</v>
      </c>
    </row>
    <row r="4299" spans="1:11" x14ac:dyDescent="0.3">
      <c r="A4299" t="s">
        <v>4316</v>
      </c>
      <c r="B4299" t="s">
        <v>9</v>
      </c>
      <c r="C4299" t="s">
        <v>15</v>
      </c>
      <c r="D4299" t="s">
        <v>24</v>
      </c>
      <c r="E4299">
        <v>19</v>
      </c>
      <c r="F4299">
        <v>49</v>
      </c>
      <c r="G4299">
        <v>931</v>
      </c>
      <c r="H4299" t="s">
        <v>12</v>
      </c>
      <c r="I4299" t="str">
        <f t="shared" si="202"/>
        <v>Low Value</v>
      </c>
      <c r="J4299" t="str">
        <f t="shared" si="203"/>
        <v>Low Risk</v>
      </c>
      <c r="K4299" s="3" t="str">
        <f t="shared" si="201"/>
        <v>4+ Years</v>
      </c>
    </row>
    <row r="4300" spans="1:11" x14ac:dyDescent="0.3">
      <c r="A4300" t="s">
        <v>4317</v>
      </c>
      <c r="B4300" t="s">
        <v>9</v>
      </c>
      <c r="C4300" t="s">
        <v>30</v>
      </c>
      <c r="D4300" t="s">
        <v>16</v>
      </c>
      <c r="E4300">
        <v>19.55</v>
      </c>
      <c r="F4300">
        <v>29</v>
      </c>
      <c r="G4300">
        <v>566.95000000000005</v>
      </c>
      <c r="H4300" t="s">
        <v>12</v>
      </c>
      <c r="I4300" t="str">
        <f t="shared" si="202"/>
        <v>Low Value</v>
      </c>
      <c r="J4300" t="str">
        <f t="shared" si="203"/>
        <v>Low Risk</v>
      </c>
      <c r="K4300" s="3" t="str">
        <f t="shared" si="201"/>
        <v>2-4 Years</v>
      </c>
    </row>
    <row r="4301" spans="1:11" x14ac:dyDescent="0.3">
      <c r="A4301" t="s">
        <v>4318</v>
      </c>
      <c r="B4301" t="s">
        <v>14</v>
      </c>
      <c r="C4301" t="s">
        <v>10</v>
      </c>
      <c r="D4301" t="s">
        <v>24</v>
      </c>
      <c r="E4301">
        <v>110.1</v>
      </c>
      <c r="F4301">
        <v>40</v>
      </c>
      <c r="G4301">
        <v>4404</v>
      </c>
      <c r="H4301" t="s">
        <v>12</v>
      </c>
      <c r="I4301" t="str">
        <f t="shared" si="202"/>
        <v>Medium Value</v>
      </c>
      <c r="J4301" t="str">
        <f t="shared" si="203"/>
        <v>Low Risk</v>
      </c>
      <c r="K4301" s="3" t="str">
        <f t="shared" si="201"/>
        <v>2-4 Years</v>
      </c>
    </row>
    <row r="4302" spans="1:11" x14ac:dyDescent="0.3">
      <c r="A4302" t="s">
        <v>4319</v>
      </c>
      <c r="B4302" t="s">
        <v>9</v>
      </c>
      <c r="C4302" t="s">
        <v>10</v>
      </c>
      <c r="D4302" t="s">
        <v>11</v>
      </c>
      <c r="E4302">
        <v>96.55</v>
      </c>
      <c r="F4302">
        <v>37</v>
      </c>
      <c r="G4302">
        <v>3572.35</v>
      </c>
      <c r="H4302" t="s">
        <v>18</v>
      </c>
      <c r="I4302" t="str">
        <f t="shared" si="202"/>
        <v>Medium Value</v>
      </c>
      <c r="J4302" t="str">
        <f t="shared" si="203"/>
        <v>Low Risk</v>
      </c>
      <c r="K4302" s="3" t="str">
        <f t="shared" si="201"/>
        <v>2-4 Years</v>
      </c>
    </row>
    <row r="4303" spans="1:11" x14ac:dyDescent="0.3">
      <c r="A4303" t="s">
        <v>4320</v>
      </c>
      <c r="B4303" t="s">
        <v>14</v>
      </c>
      <c r="C4303" t="s">
        <v>10</v>
      </c>
      <c r="D4303" t="s">
        <v>11</v>
      </c>
      <c r="E4303">
        <v>69.75</v>
      </c>
      <c r="F4303">
        <v>25</v>
      </c>
      <c r="G4303">
        <v>1743.75</v>
      </c>
      <c r="H4303" t="s">
        <v>12</v>
      </c>
      <c r="I4303" t="str">
        <f t="shared" si="202"/>
        <v>Low Value</v>
      </c>
      <c r="J4303" t="str">
        <f t="shared" si="203"/>
        <v>Low Risk</v>
      </c>
      <c r="K4303" s="3" t="str">
        <f t="shared" si="201"/>
        <v>2-4 Years</v>
      </c>
    </row>
    <row r="4304" spans="1:11" x14ac:dyDescent="0.3">
      <c r="A4304" t="s">
        <v>4321</v>
      </c>
      <c r="B4304" t="s">
        <v>9</v>
      </c>
      <c r="C4304" t="s">
        <v>10</v>
      </c>
      <c r="D4304" t="s">
        <v>11</v>
      </c>
      <c r="E4304">
        <v>50.6</v>
      </c>
      <c r="F4304">
        <v>22</v>
      </c>
      <c r="G4304">
        <v>1113.2</v>
      </c>
      <c r="H4304" t="s">
        <v>12</v>
      </c>
      <c r="I4304" t="str">
        <f t="shared" si="202"/>
        <v>Low Value</v>
      </c>
      <c r="J4304" t="str">
        <f t="shared" si="203"/>
        <v>Medium Risk</v>
      </c>
      <c r="K4304" s="3" t="str">
        <f t="shared" si="201"/>
        <v>1-2 Years</v>
      </c>
    </row>
    <row r="4305" spans="1:11" x14ac:dyDescent="0.3">
      <c r="A4305" t="s">
        <v>4322</v>
      </c>
      <c r="B4305" t="s">
        <v>14</v>
      </c>
      <c r="C4305" t="s">
        <v>30</v>
      </c>
      <c r="D4305" t="s">
        <v>20</v>
      </c>
      <c r="E4305">
        <v>65.599999999999994</v>
      </c>
      <c r="F4305">
        <v>72</v>
      </c>
      <c r="G4305">
        <v>4723.2</v>
      </c>
      <c r="H4305" t="s">
        <v>12</v>
      </c>
      <c r="I4305" t="str">
        <f t="shared" si="202"/>
        <v>Medium Value</v>
      </c>
      <c r="J4305" t="str">
        <f t="shared" si="203"/>
        <v>Low Risk</v>
      </c>
      <c r="K4305" s="3" t="str">
        <f t="shared" si="201"/>
        <v>4+ Years</v>
      </c>
    </row>
    <row r="4306" spans="1:11" x14ac:dyDescent="0.3">
      <c r="A4306" t="s">
        <v>4323</v>
      </c>
      <c r="B4306" t="s">
        <v>9</v>
      </c>
      <c r="C4306" t="s">
        <v>10</v>
      </c>
      <c r="D4306" t="s">
        <v>24</v>
      </c>
      <c r="E4306">
        <v>40.1</v>
      </c>
      <c r="F4306">
        <v>7</v>
      </c>
      <c r="G4306">
        <v>280.7</v>
      </c>
      <c r="H4306" t="s">
        <v>18</v>
      </c>
      <c r="I4306" t="str">
        <f t="shared" si="202"/>
        <v>Low Value</v>
      </c>
      <c r="J4306" t="str">
        <f t="shared" si="203"/>
        <v>High Risk</v>
      </c>
      <c r="K4306" s="3" t="str">
        <f t="shared" si="201"/>
        <v>0-1 Year</v>
      </c>
    </row>
    <row r="4307" spans="1:11" x14ac:dyDescent="0.3">
      <c r="A4307" t="s">
        <v>4324</v>
      </c>
      <c r="B4307" t="s">
        <v>14</v>
      </c>
      <c r="C4307" t="s">
        <v>30</v>
      </c>
      <c r="D4307" t="s">
        <v>24</v>
      </c>
      <c r="E4307">
        <v>82.1</v>
      </c>
      <c r="F4307">
        <v>33</v>
      </c>
      <c r="G4307">
        <v>2709.2999999999902</v>
      </c>
      <c r="H4307" t="s">
        <v>12</v>
      </c>
      <c r="I4307" t="str">
        <f t="shared" si="202"/>
        <v>Medium Value</v>
      </c>
      <c r="J4307" t="str">
        <f t="shared" si="203"/>
        <v>Low Risk</v>
      </c>
      <c r="K4307" s="3" t="str">
        <f t="shared" si="201"/>
        <v>2-4 Years</v>
      </c>
    </row>
    <row r="4308" spans="1:11" x14ac:dyDescent="0.3">
      <c r="A4308" t="s">
        <v>4325</v>
      </c>
      <c r="B4308" t="s">
        <v>9</v>
      </c>
      <c r="C4308" t="s">
        <v>10</v>
      </c>
      <c r="D4308" t="s">
        <v>16</v>
      </c>
      <c r="E4308">
        <v>79.099999999999994</v>
      </c>
      <c r="F4308">
        <v>23</v>
      </c>
      <c r="G4308">
        <v>1819.3</v>
      </c>
      <c r="H4308" t="s">
        <v>12</v>
      </c>
      <c r="I4308" t="str">
        <f t="shared" si="202"/>
        <v>Low Value</v>
      </c>
      <c r="J4308" t="str">
        <f t="shared" si="203"/>
        <v>Medium Risk</v>
      </c>
      <c r="K4308" s="3" t="str">
        <f t="shared" si="201"/>
        <v>1-2 Years</v>
      </c>
    </row>
    <row r="4309" spans="1:11" x14ac:dyDescent="0.3">
      <c r="A4309" t="s">
        <v>4326</v>
      </c>
      <c r="B4309" t="s">
        <v>14</v>
      </c>
      <c r="C4309" t="s">
        <v>10</v>
      </c>
      <c r="D4309" t="s">
        <v>11</v>
      </c>
      <c r="E4309">
        <v>101.25</v>
      </c>
      <c r="F4309">
        <v>24</v>
      </c>
      <c r="G4309">
        <v>2430</v>
      </c>
      <c r="H4309" t="s">
        <v>18</v>
      </c>
      <c r="I4309" t="str">
        <f t="shared" si="202"/>
        <v>Medium Value</v>
      </c>
      <c r="J4309" t="str">
        <f t="shared" si="203"/>
        <v>Low Risk</v>
      </c>
      <c r="K4309" s="3" t="str">
        <f t="shared" si="201"/>
        <v>1-2 Years</v>
      </c>
    </row>
    <row r="4310" spans="1:11" x14ac:dyDescent="0.3">
      <c r="A4310" t="s">
        <v>4327</v>
      </c>
      <c r="B4310" t="s">
        <v>9</v>
      </c>
      <c r="C4310" t="s">
        <v>10</v>
      </c>
      <c r="D4310" t="s">
        <v>11</v>
      </c>
      <c r="E4310">
        <v>79.55</v>
      </c>
      <c r="F4310">
        <v>1</v>
      </c>
      <c r="G4310">
        <v>79.55</v>
      </c>
      <c r="H4310" t="s">
        <v>18</v>
      </c>
      <c r="I4310" t="str">
        <f t="shared" si="202"/>
        <v>Low Value</v>
      </c>
      <c r="J4310" t="str">
        <f t="shared" si="203"/>
        <v>High Risk</v>
      </c>
      <c r="K4310" s="3" t="str">
        <f t="shared" si="201"/>
        <v>0-1 Year</v>
      </c>
    </row>
    <row r="4311" spans="1:11" x14ac:dyDescent="0.3">
      <c r="A4311" t="s">
        <v>4328</v>
      </c>
      <c r="B4311" t="s">
        <v>14</v>
      </c>
      <c r="C4311" t="s">
        <v>30</v>
      </c>
      <c r="D4311" t="s">
        <v>16</v>
      </c>
      <c r="E4311">
        <v>90.65</v>
      </c>
      <c r="F4311">
        <v>69</v>
      </c>
      <c r="G4311">
        <v>6254.85</v>
      </c>
      <c r="H4311" t="s">
        <v>12</v>
      </c>
      <c r="I4311" t="str">
        <f t="shared" si="202"/>
        <v>High Value</v>
      </c>
      <c r="J4311" t="str">
        <f t="shared" si="203"/>
        <v>Low Risk</v>
      </c>
      <c r="K4311" s="3" t="str">
        <f t="shared" si="201"/>
        <v>4+ Years</v>
      </c>
    </row>
    <row r="4312" spans="1:11" x14ac:dyDescent="0.3">
      <c r="A4312" t="s">
        <v>4329</v>
      </c>
      <c r="B4312" t="s">
        <v>9</v>
      </c>
      <c r="C4312" t="s">
        <v>15</v>
      </c>
      <c r="D4312" t="s">
        <v>24</v>
      </c>
      <c r="E4312">
        <v>20.55</v>
      </c>
      <c r="F4312">
        <v>3</v>
      </c>
      <c r="G4312">
        <v>61.65</v>
      </c>
      <c r="H4312" t="s">
        <v>12</v>
      </c>
      <c r="I4312" t="str">
        <f t="shared" si="202"/>
        <v>Low Value</v>
      </c>
      <c r="J4312" t="str">
        <f t="shared" si="203"/>
        <v>High Risk</v>
      </c>
      <c r="K4312" s="3" t="str">
        <f t="shared" si="201"/>
        <v>0-1 Year</v>
      </c>
    </row>
    <row r="4313" spans="1:11" x14ac:dyDescent="0.3">
      <c r="A4313" t="s">
        <v>4330</v>
      </c>
      <c r="B4313" t="s">
        <v>14</v>
      </c>
      <c r="C4313" t="s">
        <v>15</v>
      </c>
      <c r="D4313" t="s">
        <v>20</v>
      </c>
      <c r="E4313">
        <v>75.75</v>
      </c>
      <c r="F4313">
        <v>56</v>
      </c>
      <c r="G4313">
        <v>4242</v>
      </c>
      <c r="H4313" t="s">
        <v>12</v>
      </c>
      <c r="I4313" t="str">
        <f t="shared" si="202"/>
        <v>Medium Value</v>
      </c>
      <c r="J4313" t="str">
        <f t="shared" si="203"/>
        <v>Low Risk</v>
      </c>
      <c r="K4313" s="3" t="str">
        <f t="shared" si="201"/>
        <v>4+ Years</v>
      </c>
    </row>
    <row r="4314" spans="1:11" x14ac:dyDescent="0.3">
      <c r="A4314" t="s">
        <v>4331</v>
      </c>
      <c r="B4314" t="s">
        <v>14</v>
      </c>
      <c r="C4314" t="s">
        <v>15</v>
      </c>
      <c r="D4314" t="s">
        <v>24</v>
      </c>
      <c r="E4314">
        <v>110</v>
      </c>
      <c r="F4314">
        <v>65</v>
      </c>
      <c r="G4314">
        <v>7150</v>
      </c>
      <c r="H4314" t="s">
        <v>12</v>
      </c>
      <c r="I4314" t="str">
        <f t="shared" si="202"/>
        <v>High Value</v>
      </c>
      <c r="J4314" t="str">
        <f t="shared" si="203"/>
        <v>Low Risk</v>
      </c>
      <c r="K4314" s="3" t="str">
        <f t="shared" si="201"/>
        <v>4+ Years</v>
      </c>
    </row>
    <row r="4315" spans="1:11" x14ac:dyDescent="0.3">
      <c r="A4315" t="s">
        <v>4332</v>
      </c>
      <c r="B4315" t="s">
        <v>14</v>
      </c>
      <c r="C4315" t="s">
        <v>15</v>
      </c>
      <c r="D4315" t="s">
        <v>11</v>
      </c>
      <c r="E4315">
        <v>20.85</v>
      </c>
      <c r="F4315">
        <v>71</v>
      </c>
      <c r="G4315">
        <v>1480.35</v>
      </c>
      <c r="H4315" t="s">
        <v>12</v>
      </c>
      <c r="I4315" t="str">
        <f t="shared" si="202"/>
        <v>Low Value</v>
      </c>
      <c r="J4315" t="str">
        <f t="shared" si="203"/>
        <v>Low Risk</v>
      </c>
      <c r="K4315" s="3" t="str">
        <f t="shared" si="201"/>
        <v>4+ Years</v>
      </c>
    </row>
    <row r="4316" spans="1:11" x14ac:dyDescent="0.3">
      <c r="A4316" t="s">
        <v>4333</v>
      </c>
      <c r="B4316" t="s">
        <v>9</v>
      </c>
      <c r="C4316" t="s">
        <v>10</v>
      </c>
      <c r="D4316" t="s">
        <v>20</v>
      </c>
      <c r="E4316">
        <v>80.349999999999994</v>
      </c>
      <c r="F4316">
        <v>14</v>
      </c>
      <c r="G4316">
        <v>1124.8999999999901</v>
      </c>
      <c r="H4316" t="s">
        <v>12</v>
      </c>
      <c r="I4316" t="str">
        <f t="shared" si="202"/>
        <v>Low Value</v>
      </c>
      <c r="J4316" t="str">
        <f t="shared" si="203"/>
        <v>Medium Risk</v>
      </c>
      <c r="K4316" s="3" t="str">
        <f t="shared" si="201"/>
        <v>1-2 Years</v>
      </c>
    </row>
    <row r="4317" spans="1:11" x14ac:dyDescent="0.3">
      <c r="A4317" t="s">
        <v>4334</v>
      </c>
      <c r="B4317" t="s">
        <v>9</v>
      </c>
      <c r="C4317" t="s">
        <v>10</v>
      </c>
      <c r="D4317" t="s">
        <v>11</v>
      </c>
      <c r="E4317">
        <v>70.150000000000006</v>
      </c>
      <c r="F4317">
        <v>2</v>
      </c>
      <c r="G4317">
        <v>140.30000000000001</v>
      </c>
      <c r="H4317" t="s">
        <v>12</v>
      </c>
      <c r="I4317" t="str">
        <f t="shared" si="202"/>
        <v>Low Value</v>
      </c>
      <c r="J4317" t="str">
        <f t="shared" si="203"/>
        <v>High Risk</v>
      </c>
      <c r="K4317" s="3" t="str">
        <f t="shared" si="201"/>
        <v>0-1 Year</v>
      </c>
    </row>
    <row r="4318" spans="1:11" x14ac:dyDescent="0.3">
      <c r="A4318" t="s">
        <v>4335</v>
      </c>
      <c r="B4318" t="s">
        <v>9</v>
      </c>
      <c r="C4318" t="s">
        <v>15</v>
      </c>
      <c r="D4318" t="s">
        <v>11</v>
      </c>
      <c r="E4318">
        <v>84.05</v>
      </c>
      <c r="F4318">
        <v>32</v>
      </c>
      <c r="G4318">
        <v>2689.6</v>
      </c>
      <c r="H4318" t="s">
        <v>18</v>
      </c>
      <c r="I4318" t="str">
        <f t="shared" si="202"/>
        <v>Medium Value</v>
      </c>
      <c r="J4318" t="str">
        <f t="shared" si="203"/>
        <v>Low Risk</v>
      </c>
      <c r="K4318" s="3" t="str">
        <f t="shared" si="201"/>
        <v>2-4 Years</v>
      </c>
    </row>
    <row r="4319" spans="1:11" x14ac:dyDescent="0.3">
      <c r="A4319" t="s">
        <v>4336</v>
      </c>
      <c r="B4319" t="s">
        <v>14</v>
      </c>
      <c r="C4319" t="s">
        <v>10</v>
      </c>
      <c r="D4319" t="s">
        <v>11</v>
      </c>
      <c r="E4319">
        <v>67.45</v>
      </c>
      <c r="F4319">
        <v>40</v>
      </c>
      <c r="G4319">
        <v>2698</v>
      </c>
      <c r="H4319" t="s">
        <v>12</v>
      </c>
      <c r="I4319" t="str">
        <f t="shared" si="202"/>
        <v>Medium Value</v>
      </c>
      <c r="J4319" t="str">
        <f t="shared" si="203"/>
        <v>Low Risk</v>
      </c>
      <c r="K4319" s="3" t="str">
        <f t="shared" si="201"/>
        <v>2-4 Years</v>
      </c>
    </row>
    <row r="4320" spans="1:11" x14ac:dyDescent="0.3">
      <c r="A4320" t="s">
        <v>4337</v>
      </c>
      <c r="B4320" t="s">
        <v>14</v>
      </c>
      <c r="C4320" t="s">
        <v>10</v>
      </c>
      <c r="D4320" t="s">
        <v>24</v>
      </c>
      <c r="E4320">
        <v>20.75</v>
      </c>
      <c r="F4320">
        <v>1</v>
      </c>
      <c r="G4320">
        <v>20.75</v>
      </c>
      <c r="H4320" t="s">
        <v>12</v>
      </c>
      <c r="I4320" t="str">
        <f t="shared" si="202"/>
        <v>Low Value</v>
      </c>
      <c r="J4320" t="str">
        <f t="shared" si="203"/>
        <v>High Risk</v>
      </c>
      <c r="K4320" s="3" t="str">
        <f t="shared" si="201"/>
        <v>0-1 Year</v>
      </c>
    </row>
    <row r="4321" spans="1:11" x14ac:dyDescent="0.3">
      <c r="A4321" t="s">
        <v>4338</v>
      </c>
      <c r="B4321" t="s">
        <v>14</v>
      </c>
      <c r="C4321" t="s">
        <v>10</v>
      </c>
      <c r="D4321" t="s">
        <v>11</v>
      </c>
      <c r="E4321">
        <v>89.1</v>
      </c>
      <c r="F4321">
        <v>1</v>
      </c>
      <c r="G4321">
        <v>89.1</v>
      </c>
      <c r="H4321" t="s">
        <v>18</v>
      </c>
      <c r="I4321" t="str">
        <f t="shared" si="202"/>
        <v>Low Value</v>
      </c>
      <c r="J4321" t="str">
        <f t="shared" si="203"/>
        <v>High Risk</v>
      </c>
      <c r="K4321" s="3" t="str">
        <f t="shared" si="201"/>
        <v>0-1 Year</v>
      </c>
    </row>
    <row r="4322" spans="1:11" x14ac:dyDescent="0.3">
      <c r="A4322" t="s">
        <v>4339</v>
      </c>
      <c r="B4322" t="s">
        <v>9</v>
      </c>
      <c r="C4322" t="s">
        <v>10</v>
      </c>
      <c r="D4322" t="s">
        <v>16</v>
      </c>
      <c r="E4322">
        <v>69.900000000000006</v>
      </c>
      <c r="F4322">
        <v>7</v>
      </c>
      <c r="G4322">
        <v>489.3</v>
      </c>
      <c r="H4322" t="s">
        <v>12</v>
      </c>
      <c r="I4322" t="str">
        <f t="shared" si="202"/>
        <v>Low Value</v>
      </c>
      <c r="J4322" t="str">
        <f t="shared" si="203"/>
        <v>High Risk</v>
      </c>
      <c r="K4322" s="3" t="str">
        <f t="shared" si="201"/>
        <v>0-1 Year</v>
      </c>
    </row>
    <row r="4323" spans="1:11" x14ac:dyDescent="0.3">
      <c r="A4323" t="s">
        <v>4340</v>
      </c>
      <c r="B4323" t="s">
        <v>9</v>
      </c>
      <c r="C4323" t="s">
        <v>10</v>
      </c>
      <c r="D4323" t="s">
        <v>11</v>
      </c>
      <c r="E4323">
        <v>51.1</v>
      </c>
      <c r="F4323">
        <v>15</v>
      </c>
      <c r="G4323">
        <v>766.5</v>
      </c>
      <c r="H4323" t="s">
        <v>12</v>
      </c>
      <c r="I4323" t="str">
        <f t="shared" si="202"/>
        <v>Low Value</v>
      </c>
      <c r="J4323" t="str">
        <f t="shared" si="203"/>
        <v>Medium Risk</v>
      </c>
      <c r="K4323" s="3" t="str">
        <f t="shared" si="201"/>
        <v>1-2 Years</v>
      </c>
    </row>
    <row r="4324" spans="1:11" x14ac:dyDescent="0.3">
      <c r="A4324" t="s">
        <v>4341</v>
      </c>
      <c r="B4324" t="s">
        <v>9</v>
      </c>
      <c r="C4324" t="s">
        <v>10</v>
      </c>
      <c r="D4324" t="s">
        <v>11</v>
      </c>
      <c r="E4324">
        <v>94.4</v>
      </c>
      <c r="F4324">
        <v>17</v>
      </c>
      <c r="G4324">
        <v>1604.8</v>
      </c>
      <c r="H4324" t="s">
        <v>18</v>
      </c>
      <c r="I4324" t="str">
        <f t="shared" si="202"/>
        <v>Low Value</v>
      </c>
      <c r="J4324" t="str">
        <f t="shared" si="203"/>
        <v>Medium Risk</v>
      </c>
      <c r="K4324" s="3" t="str">
        <f t="shared" si="201"/>
        <v>1-2 Years</v>
      </c>
    </row>
    <row r="4325" spans="1:11" x14ac:dyDescent="0.3">
      <c r="A4325" t="s">
        <v>4342</v>
      </c>
      <c r="B4325" t="s">
        <v>14</v>
      </c>
      <c r="C4325" t="s">
        <v>10</v>
      </c>
      <c r="D4325" t="s">
        <v>11</v>
      </c>
      <c r="E4325">
        <v>78.25</v>
      </c>
      <c r="F4325">
        <v>19</v>
      </c>
      <c r="G4325">
        <v>1486.75</v>
      </c>
      <c r="H4325" t="s">
        <v>18</v>
      </c>
      <c r="I4325" t="str">
        <f t="shared" si="202"/>
        <v>Low Value</v>
      </c>
      <c r="J4325" t="str">
        <f t="shared" si="203"/>
        <v>Medium Risk</v>
      </c>
      <c r="K4325" s="3" t="str">
        <f t="shared" si="201"/>
        <v>1-2 Years</v>
      </c>
    </row>
    <row r="4326" spans="1:11" x14ac:dyDescent="0.3">
      <c r="A4326" t="s">
        <v>4343</v>
      </c>
      <c r="B4326" t="s">
        <v>14</v>
      </c>
      <c r="C4326" t="s">
        <v>30</v>
      </c>
      <c r="D4326" t="s">
        <v>20</v>
      </c>
      <c r="E4326">
        <v>25.55</v>
      </c>
      <c r="F4326">
        <v>71</v>
      </c>
      <c r="G4326">
        <v>1814.05</v>
      </c>
      <c r="H4326" t="s">
        <v>12</v>
      </c>
      <c r="I4326" t="str">
        <f t="shared" si="202"/>
        <v>Low Value</v>
      </c>
      <c r="J4326" t="str">
        <f t="shared" si="203"/>
        <v>Low Risk</v>
      </c>
      <c r="K4326" s="3" t="str">
        <f t="shared" si="201"/>
        <v>4+ Years</v>
      </c>
    </row>
    <row r="4327" spans="1:11" x14ac:dyDescent="0.3">
      <c r="A4327" t="s">
        <v>4344</v>
      </c>
      <c r="B4327" t="s">
        <v>9</v>
      </c>
      <c r="C4327" t="s">
        <v>30</v>
      </c>
      <c r="D4327" t="s">
        <v>20</v>
      </c>
      <c r="E4327">
        <v>60</v>
      </c>
      <c r="F4327">
        <v>54</v>
      </c>
      <c r="G4327">
        <v>3240</v>
      </c>
      <c r="H4327" t="s">
        <v>12</v>
      </c>
      <c r="I4327" t="str">
        <f t="shared" si="202"/>
        <v>Medium Value</v>
      </c>
      <c r="J4327" t="str">
        <f t="shared" si="203"/>
        <v>Low Risk</v>
      </c>
      <c r="K4327" s="3" t="str">
        <f t="shared" si="201"/>
        <v>4+ Years</v>
      </c>
    </row>
    <row r="4328" spans="1:11" x14ac:dyDescent="0.3">
      <c r="A4328" t="s">
        <v>4345</v>
      </c>
      <c r="B4328" t="s">
        <v>14</v>
      </c>
      <c r="C4328" t="s">
        <v>10</v>
      </c>
      <c r="D4328" t="s">
        <v>24</v>
      </c>
      <c r="E4328">
        <v>90.55</v>
      </c>
      <c r="F4328">
        <v>31</v>
      </c>
      <c r="G4328">
        <v>2807.0499999999902</v>
      </c>
      <c r="H4328" t="s">
        <v>12</v>
      </c>
      <c r="I4328" t="str">
        <f t="shared" si="202"/>
        <v>Medium Value</v>
      </c>
      <c r="J4328" t="str">
        <f t="shared" si="203"/>
        <v>Low Risk</v>
      </c>
      <c r="K4328" s="3" t="str">
        <f t="shared" si="201"/>
        <v>2-4 Years</v>
      </c>
    </row>
    <row r="4329" spans="1:11" x14ac:dyDescent="0.3">
      <c r="A4329" t="s">
        <v>4346</v>
      </c>
      <c r="B4329" t="s">
        <v>9</v>
      </c>
      <c r="C4329" t="s">
        <v>10</v>
      </c>
      <c r="D4329" t="s">
        <v>11</v>
      </c>
      <c r="E4329">
        <v>76.400000000000006</v>
      </c>
      <c r="F4329">
        <v>11</v>
      </c>
      <c r="G4329">
        <v>840.4</v>
      </c>
      <c r="H4329" t="s">
        <v>12</v>
      </c>
      <c r="I4329" t="str">
        <f t="shared" si="202"/>
        <v>Low Value</v>
      </c>
      <c r="J4329" t="str">
        <f t="shared" si="203"/>
        <v>High Risk</v>
      </c>
      <c r="K4329" s="3" t="str">
        <f t="shared" si="201"/>
        <v>0-1 Year</v>
      </c>
    </row>
    <row r="4330" spans="1:11" x14ac:dyDescent="0.3">
      <c r="A4330" t="s">
        <v>4347</v>
      </c>
      <c r="B4330" t="s">
        <v>9</v>
      </c>
      <c r="C4330" t="s">
        <v>10</v>
      </c>
      <c r="D4330" t="s">
        <v>11</v>
      </c>
      <c r="E4330">
        <v>84.95</v>
      </c>
      <c r="F4330">
        <v>18</v>
      </c>
      <c r="G4330">
        <v>1529.1</v>
      </c>
      <c r="H4330" t="s">
        <v>12</v>
      </c>
      <c r="I4330" t="str">
        <f t="shared" si="202"/>
        <v>Low Value</v>
      </c>
      <c r="J4330" t="str">
        <f t="shared" si="203"/>
        <v>Medium Risk</v>
      </c>
      <c r="K4330" s="3" t="str">
        <f t="shared" si="201"/>
        <v>1-2 Years</v>
      </c>
    </row>
    <row r="4331" spans="1:11" x14ac:dyDescent="0.3">
      <c r="A4331" t="s">
        <v>4348</v>
      </c>
      <c r="B4331" t="s">
        <v>9</v>
      </c>
      <c r="C4331" t="s">
        <v>30</v>
      </c>
      <c r="D4331" t="s">
        <v>20</v>
      </c>
      <c r="E4331">
        <v>110.1</v>
      </c>
      <c r="F4331">
        <v>72</v>
      </c>
      <c r="G4331">
        <v>7927.2</v>
      </c>
      <c r="H4331" t="s">
        <v>12</v>
      </c>
      <c r="I4331" t="str">
        <f t="shared" si="202"/>
        <v>High Value</v>
      </c>
      <c r="J4331" t="str">
        <f t="shared" si="203"/>
        <v>Low Risk</v>
      </c>
      <c r="K4331" s="3" t="str">
        <f t="shared" si="201"/>
        <v>4+ Years</v>
      </c>
    </row>
    <row r="4332" spans="1:11" x14ac:dyDescent="0.3">
      <c r="A4332" t="s">
        <v>4349</v>
      </c>
      <c r="B4332" t="s">
        <v>9</v>
      </c>
      <c r="C4332" t="s">
        <v>10</v>
      </c>
      <c r="D4332" t="s">
        <v>24</v>
      </c>
      <c r="E4332">
        <v>99.65</v>
      </c>
      <c r="F4332">
        <v>71</v>
      </c>
      <c r="G4332">
        <v>7075.15</v>
      </c>
      <c r="H4332" t="s">
        <v>12</v>
      </c>
      <c r="I4332" t="str">
        <f t="shared" si="202"/>
        <v>High Value</v>
      </c>
      <c r="J4332" t="str">
        <f t="shared" si="203"/>
        <v>Low Risk</v>
      </c>
      <c r="K4332" s="3" t="str">
        <f t="shared" si="201"/>
        <v>4+ Years</v>
      </c>
    </row>
    <row r="4333" spans="1:11" x14ac:dyDescent="0.3">
      <c r="A4333" t="s">
        <v>4350</v>
      </c>
      <c r="B4333" t="s">
        <v>14</v>
      </c>
      <c r="C4333" t="s">
        <v>10</v>
      </c>
      <c r="D4333" t="s">
        <v>24</v>
      </c>
      <c r="E4333">
        <v>45.4</v>
      </c>
      <c r="F4333">
        <v>5</v>
      </c>
      <c r="G4333">
        <v>227</v>
      </c>
      <c r="H4333" t="s">
        <v>12</v>
      </c>
      <c r="I4333" t="str">
        <f t="shared" si="202"/>
        <v>Low Value</v>
      </c>
      <c r="J4333" t="str">
        <f t="shared" si="203"/>
        <v>High Risk</v>
      </c>
      <c r="K4333" s="3" t="str">
        <f t="shared" si="201"/>
        <v>0-1 Year</v>
      </c>
    </row>
    <row r="4334" spans="1:11" x14ac:dyDescent="0.3">
      <c r="A4334" t="s">
        <v>4351</v>
      </c>
      <c r="B4334" t="s">
        <v>14</v>
      </c>
      <c r="C4334" t="s">
        <v>15</v>
      </c>
      <c r="D4334" t="s">
        <v>24</v>
      </c>
      <c r="E4334">
        <v>69</v>
      </c>
      <c r="F4334">
        <v>38</v>
      </c>
      <c r="G4334">
        <v>2622</v>
      </c>
      <c r="H4334" t="s">
        <v>12</v>
      </c>
      <c r="I4334" t="str">
        <f t="shared" si="202"/>
        <v>Medium Value</v>
      </c>
      <c r="J4334" t="str">
        <f t="shared" si="203"/>
        <v>Low Risk</v>
      </c>
      <c r="K4334" s="3" t="str">
        <f t="shared" si="201"/>
        <v>2-4 Years</v>
      </c>
    </row>
    <row r="4335" spans="1:11" x14ac:dyDescent="0.3">
      <c r="A4335" t="s">
        <v>4352</v>
      </c>
      <c r="B4335" t="s">
        <v>14</v>
      </c>
      <c r="C4335" t="s">
        <v>10</v>
      </c>
      <c r="D4335" t="s">
        <v>20</v>
      </c>
      <c r="E4335">
        <v>48.65</v>
      </c>
      <c r="F4335">
        <v>5</v>
      </c>
      <c r="G4335">
        <v>243.25</v>
      </c>
      <c r="H4335" t="s">
        <v>12</v>
      </c>
      <c r="I4335" t="str">
        <f t="shared" si="202"/>
        <v>Low Value</v>
      </c>
      <c r="J4335" t="str">
        <f t="shared" si="203"/>
        <v>High Risk</v>
      </c>
      <c r="K4335" s="3" t="str">
        <f t="shared" si="201"/>
        <v>0-1 Year</v>
      </c>
    </row>
    <row r="4336" spans="1:11" x14ac:dyDescent="0.3">
      <c r="A4336" t="s">
        <v>4353</v>
      </c>
      <c r="B4336" t="s">
        <v>14</v>
      </c>
      <c r="C4336" t="s">
        <v>10</v>
      </c>
      <c r="D4336" t="s">
        <v>11</v>
      </c>
      <c r="E4336">
        <v>44.15</v>
      </c>
      <c r="F4336">
        <v>2</v>
      </c>
      <c r="G4336">
        <v>88.3</v>
      </c>
      <c r="H4336" t="s">
        <v>18</v>
      </c>
      <c r="I4336" t="str">
        <f t="shared" si="202"/>
        <v>Low Value</v>
      </c>
      <c r="J4336" t="str">
        <f t="shared" si="203"/>
        <v>High Risk</v>
      </c>
      <c r="K4336" s="3" t="str">
        <f t="shared" si="201"/>
        <v>0-1 Year</v>
      </c>
    </row>
    <row r="4337" spans="1:11" x14ac:dyDescent="0.3">
      <c r="A4337" t="s">
        <v>4354</v>
      </c>
      <c r="B4337" t="s">
        <v>9</v>
      </c>
      <c r="C4337" t="s">
        <v>30</v>
      </c>
      <c r="D4337" t="s">
        <v>20</v>
      </c>
      <c r="E4337">
        <v>59.85</v>
      </c>
      <c r="F4337">
        <v>52</v>
      </c>
      <c r="G4337">
        <v>3112.2</v>
      </c>
      <c r="H4337" t="s">
        <v>12</v>
      </c>
      <c r="I4337" t="str">
        <f t="shared" si="202"/>
        <v>Medium Value</v>
      </c>
      <c r="J4337" t="str">
        <f t="shared" si="203"/>
        <v>Low Risk</v>
      </c>
      <c r="K4337" s="3" t="str">
        <f t="shared" si="201"/>
        <v>4+ Years</v>
      </c>
    </row>
    <row r="4338" spans="1:11" x14ac:dyDescent="0.3">
      <c r="A4338" t="s">
        <v>4355</v>
      </c>
      <c r="B4338" t="s">
        <v>9</v>
      </c>
      <c r="C4338" t="s">
        <v>10</v>
      </c>
      <c r="D4338" t="s">
        <v>11</v>
      </c>
      <c r="E4338">
        <v>75.75</v>
      </c>
      <c r="F4338">
        <v>8</v>
      </c>
      <c r="G4338">
        <v>606</v>
      </c>
      <c r="H4338" t="s">
        <v>18</v>
      </c>
      <c r="I4338" t="str">
        <f t="shared" si="202"/>
        <v>Low Value</v>
      </c>
      <c r="J4338" t="str">
        <f t="shared" si="203"/>
        <v>High Risk</v>
      </c>
      <c r="K4338" s="3" t="str">
        <f t="shared" si="201"/>
        <v>0-1 Year</v>
      </c>
    </row>
    <row r="4339" spans="1:11" x14ac:dyDescent="0.3">
      <c r="A4339" t="s">
        <v>4356</v>
      </c>
      <c r="B4339" t="s">
        <v>9</v>
      </c>
      <c r="C4339" t="s">
        <v>30</v>
      </c>
      <c r="D4339" t="s">
        <v>11</v>
      </c>
      <c r="E4339">
        <v>80.650000000000006</v>
      </c>
      <c r="F4339">
        <v>68</v>
      </c>
      <c r="G4339">
        <v>5484.2</v>
      </c>
      <c r="H4339" t="s">
        <v>12</v>
      </c>
      <c r="I4339" t="str">
        <f t="shared" si="202"/>
        <v>High Value</v>
      </c>
      <c r="J4339" t="str">
        <f t="shared" si="203"/>
        <v>Low Risk</v>
      </c>
      <c r="K4339" s="3" t="str">
        <f t="shared" si="201"/>
        <v>4+ Years</v>
      </c>
    </row>
    <row r="4340" spans="1:11" x14ac:dyDescent="0.3">
      <c r="A4340" t="s">
        <v>4357</v>
      </c>
      <c r="B4340" t="s">
        <v>14</v>
      </c>
      <c r="C4340" t="s">
        <v>15</v>
      </c>
      <c r="D4340" t="s">
        <v>24</v>
      </c>
      <c r="E4340">
        <v>20.55</v>
      </c>
      <c r="F4340">
        <v>69</v>
      </c>
      <c r="G4340">
        <v>1417.95</v>
      </c>
      <c r="H4340" t="s">
        <v>12</v>
      </c>
      <c r="I4340" t="str">
        <f t="shared" si="202"/>
        <v>Low Value</v>
      </c>
      <c r="J4340" t="str">
        <f t="shared" si="203"/>
        <v>Low Risk</v>
      </c>
      <c r="K4340" s="3" t="str">
        <f t="shared" si="201"/>
        <v>4+ Years</v>
      </c>
    </row>
    <row r="4341" spans="1:11" x14ac:dyDescent="0.3">
      <c r="A4341" t="s">
        <v>4358</v>
      </c>
      <c r="B4341" t="s">
        <v>9</v>
      </c>
      <c r="C4341" t="s">
        <v>10</v>
      </c>
      <c r="D4341" t="s">
        <v>24</v>
      </c>
      <c r="E4341">
        <v>66.400000000000006</v>
      </c>
      <c r="F4341">
        <v>42</v>
      </c>
      <c r="G4341">
        <v>2788.8</v>
      </c>
      <c r="H4341" t="s">
        <v>12</v>
      </c>
      <c r="I4341" t="str">
        <f t="shared" si="202"/>
        <v>Medium Value</v>
      </c>
      <c r="J4341" t="str">
        <f t="shared" si="203"/>
        <v>Low Risk</v>
      </c>
      <c r="K4341" s="3" t="str">
        <f t="shared" si="201"/>
        <v>2-4 Years</v>
      </c>
    </row>
    <row r="4342" spans="1:11" x14ac:dyDescent="0.3">
      <c r="A4342" t="s">
        <v>4359</v>
      </c>
      <c r="B4342" t="s">
        <v>9</v>
      </c>
      <c r="C4342" t="s">
        <v>30</v>
      </c>
      <c r="D4342" t="s">
        <v>16</v>
      </c>
      <c r="E4342">
        <v>100.2</v>
      </c>
      <c r="F4342">
        <v>50</v>
      </c>
      <c r="G4342">
        <v>5010</v>
      </c>
      <c r="H4342" t="s">
        <v>12</v>
      </c>
      <c r="I4342" t="str">
        <f t="shared" si="202"/>
        <v>High Value</v>
      </c>
      <c r="J4342" t="str">
        <f t="shared" si="203"/>
        <v>Low Risk</v>
      </c>
      <c r="K4342" s="3" t="str">
        <f t="shared" si="201"/>
        <v>4+ Years</v>
      </c>
    </row>
    <row r="4343" spans="1:11" x14ac:dyDescent="0.3">
      <c r="A4343" t="s">
        <v>4360</v>
      </c>
      <c r="B4343" t="s">
        <v>9</v>
      </c>
      <c r="C4343" t="s">
        <v>10</v>
      </c>
      <c r="D4343" t="s">
        <v>16</v>
      </c>
      <c r="E4343">
        <v>19.100000000000001</v>
      </c>
      <c r="F4343">
        <v>1</v>
      </c>
      <c r="G4343">
        <v>19.100000000000001</v>
      </c>
      <c r="H4343" t="s">
        <v>18</v>
      </c>
      <c r="I4343" t="str">
        <f t="shared" si="202"/>
        <v>Low Value</v>
      </c>
      <c r="J4343" t="str">
        <f t="shared" si="203"/>
        <v>High Risk</v>
      </c>
      <c r="K4343" s="3" t="str">
        <f t="shared" si="201"/>
        <v>0-1 Year</v>
      </c>
    </row>
    <row r="4344" spans="1:11" x14ac:dyDescent="0.3">
      <c r="A4344" t="s">
        <v>4361</v>
      </c>
      <c r="B4344" t="s">
        <v>14</v>
      </c>
      <c r="C4344" t="s">
        <v>10</v>
      </c>
      <c r="D4344" t="s">
        <v>11</v>
      </c>
      <c r="E4344">
        <v>80.3</v>
      </c>
      <c r="F4344">
        <v>1</v>
      </c>
      <c r="G4344">
        <v>80.3</v>
      </c>
      <c r="H4344" t="s">
        <v>18</v>
      </c>
      <c r="I4344" t="str">
        <f t="shared" si="202"/>
        <v>Low Value</v>
      </c>
      <c r="J4344" t="str">
        <f t="shared" si="203"/>
        <v>High Risk</v>
      </c>
      <c r="K4344" s="3" t="str">
        <f t="shared" si="201"/>
        <v>0-1 Year</v>
      </c>
    </row>
    <row r="4345" spans="1:11" x14ac:dyDescent="0.3">
      <c r="A4345" t="s">
        <v>4362</v>
      </c>
      <c r="B4345" t="s">
        <v>14</v>
      </c>
      <c r="C4345" t="s">
        <v>10</v>
      </c>
      <c r="D4345" t="s">
        <v>24</v>
      </c>
      <c r="E4345">
        <v>44.55</v>
      </c>
      <c r="F4345">
        <v>33</v>
      </c>
      <c r="G4345">
        <v>1470.1499999999901</v>
      </c>
      <c r="H4345" t="s">
        <v>12</v>
      </c>
      <c r="I4345" t="str">
        <f t="shared" si="202"/>
        <v>Low Value</v>
      </c>
      <c r="J4345" t="str">
        <f t="shared" si="203"/>
        <v>Low Risk</v>
      </c>
      <c r="K4345" s="3" t="str">
        <f t="shared" si="201"/>
        <v>2-4 Years</v>
      </c>
    </row>
    <row r="4346" spans="1:11" x14ac:dyDescent="0.3">
      <c r="A4346" t="s">
        <v>4363</v>
      </c>
      <c r="B4346" t="s">
        <v>9</v>
      </c>
      <c r="C4346" t="s">
        <v>10</v>
      </c>
      <c r="D4346" t="s">
        <v>16</v>
      </c>
      <c r="E4346">
        <v>20.350000000000001</v>
      </c>
      <c r="F4346">
        <v>7</v>
      </c>
      <c r="G4346">
        <v>142.44999999999999</v>
      </c>
      <c r="H4346" t="s">
        <v>12</v>
      </c>
      <c r="I4346" t="str">
        <f t="shared" si="202"/>
        <v>Low Value</v>
      </c>
      <c r="J4346" t="str">
        <f t="shared" si="203"/>
        <v>High Risk</v>
      </c>
      <c r="K4346" s="3" t="str">
        <f t="shared" si="201"/>
        <v>0-1 Year</v>
      </c>
    </row>
    <row r="4347" spans="1:11" x14ac:dyDescent="0.3">
      <c r="A4347" t="s">
        <v>4364</v>
      </c>
      <c r="B4347" t="s">
        <v>14</v>
      </c>
      <c r="C4347" t="s">
        <v>10</v>
      </c>
      <c r="D4347" t="s">
        <v>11</v>
      </c>
      <c r="E4347">
        <v>91.8</v>
      </c>
      <c r="F4347">
        <v>64</v>
      </c>
      <c r="G4347">
        <v>5875.2</v>
      </c>
      <c r="H4347" t="s">
        <v>12</v>
      </c>
      <c r="I4347" t="str">
        <f t="shared" si="202"/>
        <v>High Value</v>
      </c>
      <c r="J4347" t="str">
        <f t="shared" si="203"/>
        <v>Low Risk</v>
      </c>
      <c r="K4347" s="3" t="str">
        <f t="shared" si="201"/>
        <v>4+ Years</v>
      </c>
    </row>
    <row r="4348" spans="1:11" x14ac:dyDescent="0.3">
      <c r="A4348" t="s">
        <v>4365</v>
      </c>
      <c r="B4348" t="s">
        <v>9</v>
      </c>
      <c r="C4348" t="s">
        <v>10</v>
      </c>
      <c r="D4348" t="s">
        <v>11</v>
      </c>
      <c r="E4348">
        <v>74.900000000000006</v>
      </c>
      <c r="F4348">
        <v>1</v>
      </c>
      <c r="G4348">
        <v>74.900000000000006</v>
      </c>
      <c r="H4348" t="s">
        <v>18</v>
      </c>
      <c r="I4348" t="str">
        <f t="shared" si="202"/>
        <v>Low Value</v>
      </c>
      <c r="J4348" t="str">
        <f t="shared" si="203"/>
        <v>High Risk</v>
      </c>
      <c r="K4348" s="3" t="str">
        <f t="shared" si="201"/>
        <v>0-1 Year</v>
      </c>
    </row>
    <row r="4349" spans="1:11" x14ac:dyDescent="0.3">
      <c r="A4349" t="s">
        <v>4366</v>
      </c>
      <c r="B4349" t="s">
        <v>14</v>
      </c>
      <c r="C4349" t="s">
        <v>30</v>
      </c>
      <c r="D4349" t="s">
        <v>20</v>
      </c>
      <c r="E4349">
        <v>20.2</v>
      </c>
      <c r="F4349">
        <v>59</v>
      </c>
      <c r="G4349">
        <v>1191.8</v>
      </c>
      <c r="H4349" t="s">
        <v>12</v>
      </c>
      <c r="I4349" t="str">
        <f t="shared" si="202"/>
        <v>Low Value</v>
      </c>
      <c r="J4349" t="str">
        <f t="shared" si="203"/>
        <v>Low Risk</v>
      </c>
      <c r="K4349" s="3" t="str">
        <f t="shared" si="201"/>
        <v>4+ Years</v>
      </c>
    </row>
    <row r="4350" spans="1:11" x14ac:dyDescent="0.3">
      <c r="A4350" t="s">
        <v>4367</v>
      </c>
      <c r="B4350" t="s">
        <v>9</v>
      </c>
      <c r="C4350" t="s">
        <v>10</v>
      </c>
      <c r="D4350" t="s">
        <v>11</v>
      </c>
      <c r="E4350">
        <v>50.35</v>
      </c>
      <c r="F4350">
        <v>6</v>
      </c>
      <c r="G4350">
        <v>302.10000000000002</v>
      </c>
      <c r="H4350" t="s">
        <v>12</v>
      </c>
      <c r="I4350" t="str">
        <f t="shared" si="202"/>
        <v>Low Value</v>
      </c>
      <c r="J4350" t="str">
        <f t="shared" si="203"/>
        <v>High Risk</v>
      </c>
      <c r="K4350" s="3" t="str">
        <f t="shared" si="201"/>
        <v>0-1 Year</v>
      </c>
    </row>
    <row r="4351" spans="1:11" x14ac:dyDescent="0.3">
      <c r="A4351" t="s">
        <v>4368</v>
      </c>
      <c r="B4351" t="s">
        <v>9</v>
      </c>
      <c r="C4351" t="s">
        <v>10</v>
      </c>
      <c r="D4351" t="s">
        <v>16</v>
      </c>
      <c r="E4351">
        <v>18.8</v>
      </c>
      <c r="F4351">
        <v>3</v>
      </c>
      <c r="G4351">
        <v>56.4</v>
      </c>
      <c r="H4351" t="s">
        <v>12</v>
      </c>
      <c r="I4351" t="str">
        <f t="shared" si="202"/>
        <v>Low Value</v>
      </c>
      <c r="J4351" t="str">
        <f t="shared" si="203"/>
        <v>High Risk</v>
      </c>
      <c r="K4351" s="3" t="str">
        <f t="shared" si="201"/>
        <v>0-1 Year</v>
      </c>
    </row>
    <row r="4352" spans="1:11" x14ac:dyDescent="0.3">
      <c r="A4352" t="s">
        <v>4369</v>
      </c>
      <c r="B4352" t="s">
        <v>9</v>
      </c>
      <c r="C4352" t="s">
        <v>10</v>
      </c>
      <c r="D4352" t="s">
        <v>24</v>
      </c>
      <c r="E4352">
        <v>20.45</v>
      </c>
      <c r="F4352">
        <v>15</v>
      </c>
      <c r="G4352">
        <v>306.75</v>
      </c>
      <c r="H4352" t="s">
        <v>12</v>
      </c>
      <c r="I4352" t="str">
        <f t="shared" si="202"/>
        <v>Low Value</v>
      </c>
      <c r="J4352" t="str">
        <f t="shared" si="203"/>
        <v>Medium Risk</v>
      </c>
      <c r="K4352" s="3" t="str">
        <f t="shared" si="201"/>
        <v>1-2 Years</v>
      </c>
    </row>
    <row r="4353" spans="1:11" x14ac:dyDescent="0.3">
      <c r="A4353" t="s">
        <v>4370</v>
      </c>
      <c r="B4353" t="s">
        <v>14</v>
      </c>
      <c r="C4353" t="s">
        <v>15</v>
      </c>
      <c r="D4353" t="s">
        <v>11</v>
      </c>
      <c r="E4353">
        <v>64.75</v>
      </c>
      <c r="F4353">
        <v>13</v>
      </c>
      <c r="G4353">
        <v>841.75</v>
      </c>
      <c r="H4353" t="s">
        <v>12</v>
      </c>
      <c r="I4353" t="str">
        <f t="shared" si="202"/>
        <v>Low Value</v>
      </c>
      <c r="J4353" t="str">
        <f t="shared" si="203"/>
        <v>Medium Risk</v>
      </c>
      <c r="K4353" s="3" t="str">
        <f t="shared" si="201"/>
        <v>1-2 Years</v>
      </c>
    </row>
    <row r="4354" spans="1:11" x14ac:dyDescent="0.3">
      <c r="A4354" t="s">
        <v>4371</v>
      </c>
      <c r="B4354" t="s">
        <v>9</v>
      </c>
      <c r="C4354" t="s">
        <v>10</v>
      </c>
      <c r="D4354" t="s">
        <v>24</v>
      </c>
      <c r="E4354">
        <v>98.7</v>
      </c>
      <c r="F4354">
        <v>23</v>
      </c>
      <c r="G4354">
        <v>2270.1</v>
      </c>
      <c r="H4354" t="s">
        <v>12</v>
      </c>
      <c r="I4354" t="str">
        <f t="shared" si="202"/>
        <v>Medium Value</v>
      </c>
      <c r="J4354" t="str">
        <f t="shared" si="203"/>
        <v>Medium Risk</v>
      </c>
      <c r="K4354" s="3" t="str">
        <f t="shared" si="201"/>
        <v>1-2 Years</v>
      </c>
    </row>
    <row r="4355" spans="1:11" x14ac:dyDescent="0.3">
      <c r="A4355" t="s">
        <v>4372</v>
      </c>
      <c r="B4355" t="s">
        <v>14</v>
      </c>
      <c r="C4355" t="s">
        <v>10</v>
      </c>
      <c r="D4355" t="s">
        <v>11</v>
      </c>
      <c r="E4355">
        <v>89.45</v>
      </c>
      <c r="F4355">
        <v>31</v>
      </c>
      <c r="G4355">
        <v>2772.95</v>
      </c>
      <c r="H4355" t="s">
        <v>12</v>
      </c>
      <c r="I4355" t="str">
        <f t="shared" si="202"/>
        <v>Medium Value</v>
      </c>
      <c r="J4355" t="str">
        <f t="shared" si="203"/>
        <v>Low Risk</v>
      </c>
      <c r="K4355" s="3" t="str">
        <f t="shared" ref="K4355:K4418" si="204">IF(F4355&lt;=12,"0-1 Year",
IF(F4355&lt;=24,"1-2 Years",
IF(F4355&lt;=48,"2-4 Years","4+ Years")))</f>
        <v>2-4 Years</v>
      </c>
    </row>
    <row r="4356" spans="1:11" x14ac:dyDescent="0.3">
      <c r="A4356" t="s">
        <v>4373</v>
      </c>
      <c r="B4356" t="s">
        <v>14</v>
      </c>
      <c r="C4356" t="s">
        <v>15</v>
      </c>
      <c r="D4356" t="s">
        <v>11</v>
      </c>
      <c r="E4356">
        <v>58.75</v>
      </c>
      <c r="F4356">
        <v>29</v>
      </c>
      <c r="G4356">
        <v>1703.75</v>
      </c>
      <c r="H4356" t="s">
        <v>12</v>
      </c>
      <c r="I4356" t="str">
        <f t="shared" ref="I4356:I4419" si="205">IF(G4356&gt;5000,"High Value",
IF(G4356&gt;2000,"Medium Value","Low Value"))</f>
        <v>Low Value</v>
      </c>
      <c r="J4356" t="str">
        <f t="shared" ref="J4356:J4419" si="206">IF(F4356&lt;12,"High Risk",
IF(F4356&lt;24,"Medium Risk","Low Risk"))</f>
        <v>Low Risk</v>
      </c>
      <c r="K4356" s="3" t="str">
        <f t="shared" si="204"/>
        <v>2-4 Years</v>
      </c>
    </row>
    <row r="4357" spans="1:11" x14ac:dyDescent="0.3">
      <c r="A4357" t="s">
        <v>4374</v>
      </c>
      <c r="B4357" t="s">
        <v>9</v>
      </c>
      <c r="C4357" t="s">
        <v>15</v>
      </c>
      <c r="D4357" t="s">
        <v>24</v>
      </c>
      <c r="E4357">
        <v>20.7</v>
      </c>
      <c r="F4357">
        <v>49</v>
      </c>
      <c r="G4357">
        <v>1014.3</v>
      </c>
      <c r="H4357" t="s">
        <v>12</v>
      </c>
      <c r="I4357" t="str">
        <f t="shared" si="205"/>
        <v>Low Value</v>
      </c>
      <c r="J4357" t="str">
        <f t="shared" si="206"/>
        <v>Low Risk</v>
      </c>
      <c r="K4357" s="3" t="str">
        <f t="shared" si="204"/>
        <v>4+ Years</v>
      </c>
    </row>
    <row r="4358" spans="1:11" x14ac:dyDescent="0.3">
      <c r="A4358" t="s">
        <v>4375</v>
      </c>
      <c r="B4358" t="s">
        <v>9</v>
      </c>
      <c r="C4358" t="s">
        <v>10</v>
      </c>
      <c r="D4358" t="s">
        <v>20</v>
      </c>
      <c r="E4358">
        <v>85.6</v>
      </c>
      <c r="F4358">
        <v>56</v>
      </c>
      <c r="G4358">
        <v>4793.5999999999904</v>
      </c>
      <c r="H4358" t="s">
        <v>12</v>
      </c>
      <c r="I4358" t="str">
        <f t="shared" si="205"/>
        <v>Medium Value</v>
      </c>
      <c r="J4358" t="str">
        <f t="shared" si="206"/>
        <v>Low Risk</v>
      </c>
      <c r="K4358" s="3" t="str">
        <f t="shared" si="204"/>
        <v>4+ Years</v>
      </c>
    </row>
    <row r="4359" spans="1:11" x14ac:dyDescent="0.3">
      <c r="A4359" t="s">
        <v>4376</v>
      </c>
      <c r="B4359" t="s">
        <v>9</v>
      </c>
      <c r="C4359" t="s">
        <v>30</v>
      </c>
      <c r="D4359" t="s">
        <v>24</v>
      </c>
      <c r="E4359">
        <v>80.3</v>
      </c>
      <c r="F4359">
        <v>63</v>
      </c>
      <c r="G4359">
        <v>5058.8999999999996</v>
      </c>
      <c r="H4359" t="s">
        <v>12</v>
      </c>
      <c r="I4359" t="str">
        <f t="shared" si="205"/>
        <v>High Value</v>
      </c>
      <c r="J4359" t="str">
        <f t="shared" si="206"/>
        <v>Low Risk</v>
      </c>
      <c r="K4359" s="3" t="str">
        <f t="shared" si="204"/>
        <v>4+ Years</v>
      </c>
    </row>
    <row r="4360" spans="1:11" x14ac:dyDescent="0.3">
      <c r="A4360" t="s">
        <v>4377</v>
      </c>
      <c r="B4360" t="s">
        <v>14</v>
      </c>
      <c r="C4360" t="s">
        <v>30</v>
      </c>
      <c r="D4360" t="s">
        <v>24</v>
      </c>
      <c r="E4360">
        <v>79.8</v>
      </c>
      <c r="F4360">
        <v>63</v>
      </c>
      <c r="G4360">
        <v>5027.3999999999996</v>
      </c>
      <c r="H4360" t="s">
        <v>12</v>
      </c>
      <c r="I4360" t="str">
        <f t="shared" si="205"/>
        <v>High Value</v>
      </c>
      <c r="J4360" t="str">
        <f t="shared" si="206"/>
        <v>Low Risk</v>
      </c>
      <c r="K4360" s="3" t="str">
        <f t="shared" si="204"/>
        <v>4+ Years</v>
      </c>
    </row>
    <row r="4361" spans="1:11" x14ac:dyDescent="0.3">
      <c r="A4361" t="s">
        <v>4378</v>
      </c>
      <c r="B4361" t="s">
        <v>14</v>
      </c>
      <c r="C4361" t="s">
        <v>10</v>
      </c>
      <c r="D4361" t="s">
        <v>11</v>
      </c>
      <c r="E4361">
        <v>79.849999999999994</v>
      </c>
      <c r="F4361">
        <v>24</v>
      </c>
      <c r="G4361">
        <v>1916.3999999999901</v>
      </c>
      <c r="H4361" t="s">
        <v>12</v>
      </c>
      <c r="I4361" t="str">
        <f t="shared" si="205"/>
        <v>Low Value</v>
      </c>
      <c r="J4361" t="str">
        <f t="shared" si="206"/>
        <v>Low Risk</v>
      </c>
      <c r="K4361" s="3" t="str">
        <f t="shared" si="204"/>
        <v>1-2 Years</v>
      </c>
    </row>
    <row r="4362" spans="1:11" x14ac:dyDescent="0.3">
      <c r="A4362" t="s">
        <v>4379</v>
      </c>
      <c r="B4362" t="s">
        <v>14</v>
      </c>
      <c r="C4362" t="s">
        <v>15</v>
      </c>
      <c r="D4362" t="s">
        <v>24</v>
      </c>
      <c r="E4362">
        <v>54.1</v>
      </c>
      <c r="F4362">
        <v>36</v>
      </c>
      <c r="G4362">
        <v>1947.6</v>
      </c>
      <c r="H4362" t="s">
        <v>12</v>
      </c>
      <c r="I4362" t="str">
        <f t="shared" si="205"/>
        <v>Low Value</v>
      </c>
      <c r="J4362" t="str">
        <f t="shared" si="206"/>
        <v>Low Risk</v>
      </c>
      <c r="K4362" s="3" t="str">
        <f t="shared" si="204"/>
        <v>2-4 Years</v>
      </c>
    </row>
    <row r="4363" spans="1:11" x14ac:dyDescent="0.3">
      <c r="A4363" t="s">
        <v>4380</v>
      </c>
      <c r="B4363" t="s">
        <v>9</v>
      </c>
      <c r="C4363" t="s">
        <v>10</v>
      </c>
      <c r="D4363" t="s">
        <v>11</v>
      </c>
      <c r="E4363">
        <v>80.849999999999994</v>
      </c>
      <c r="F4363">
        <v>9</v>
      </c>
      <c r="G4363">
        <v>727.65</v>
      </c>
      <c r="H4363" t="s">
        <v>18</v>
      </c>
      <c r="I4363" t="str">
        <f t="shared" si="205"/>
        <v>Low Value</v>
      </c>
      <c r="J4363" t="str">
        <f t="shared" si="206"/>
        <v>High Risk</v>
      </c>
      <c r="K4363" s="3" t="str">
        <f t="shared" si="204"/>
        <v>0-1 Year</v>
      </c>
    </row>
    <row r="4364" spans="1:11" x14ac:dyDescent="0.3">
      <c r="A4364" t="s">
        <v>4381</v>
      </c>
      <c r="B4364" t="s">
        <v>14</v>
      </c>
      <c r="C4364" t="s">
        <v>10</v>
      </c>
      <c r="D4364" t="s">
        <v>11</v>
      </c>
      <c r="E4364">
        <v>24.75</v>
      </c>
      <c r="F4364">
        <v>3</v>
      </c>
      <c r="G4364">
        <v>74.25</v>
      </c>
      <c r="H4364" t="s">
        <v>18</v>
      </c>
      <c r="I4364" t="str">
        <f t="shared" si="205"/>
        <v>Low Value</v>
      </c>
      <c r="J4364" t="str">
        <f t="shared" si="206"/>
        <v>High Risk</v>
      </c>
      <c r="K4364" s="3" t="str">
        <f t="shared" si="204"/>
        <v>0-1 Year</v>
      </c>
    </row>
    <row r="4365" spans="1:11" x14ac:dyDescent="0.3">
      <c r="A4365" t="s">
        <v>4382</v>
      </c>
      <c r="B4365" t="s">
        <v>9</v>
      </c>
      <c r="C4365" t="s">
        <v>15</v>
      </c>
      <c r="D4365" t="s">
        <v>16</v>
      </c>
      <c r="E4365">
        <v>80.900000000000006</v>
      </c>
      <c r="F4365">
        <v>21</v>
      </c>
      <c r="G4365">
        <v>1698.9</v>
      </c>
      <c r="H4365" t="s">
        <v>12</v>
      </c>
      <c r="I4365" t="str">
        <f t="shared" si="205"/>
        <v>Low Value</v>
      </c>
      <c r="J4365" t="str">
        <f t="shared" si="206"/>
        <v>Medium Risk</v>
      </c>
      <c r="K4365" s="3" t="str">
        <f t="shared" si="204"/>
        <v>1-2 Years</v>
      </c>
    </row>
    <row r="4366" spans="1:11" x14ac:dyDescent="0.3">
      <c r="A4366" t="s">
        <v>4383</v>
      </c>
      <c r="B4366" t="s">
        <v>14</v>
      </c>
      <c r="C4366" t="s">
        <v>15</v>
      </c>
      <c r="D4366" t="s">
        <v>20</v>
      </c>
      <c r="E4366">
        <v>24.5</v>
      </c>
      <c r="F4366">
        <v>13</v>
      </c>
      <c r="G4366">
        <v>318.5</v>
      </c>
      <c r="H4366" t="s">
        <v>12</v>
      </c>
      <c r="I4366" t="str">
        <f t="shared" si="205"/>
        <v>Low Value</v>
      </c>
      <c r="J4366" t="str">
        <f t="shared" si="206"/>
        <v>Medium Risk</v>
      </c>
      <c r="K4366" s="3" t="str">
        <f t="shared" si="204"/>
        <v>1-2 Years</v>
      </c>
    </row>
    <row r="4367" spans="1:11" x14ac:dyDescent="0.3">
      <c r="A4367" t="s">
        <v>4384</v>
      </c>
      <c r="B4367" t="s">
        <v>14</v>
      </c>
      <c r="C4367" t="s">
        <v>10</v>
      </c>
      <c r="D4367" t="s">
        <v>20</v>
      </c>
      <c r="E4367">
        <v>20.149999999999999</v>
      </c>
      <c r="F4367">
        <v>1</v>
      </c>
      <c r="G4367">
        <v>20.149999999999999</v>
      </c>
      <c r="H4367" t="s">
        <v>12</v>
      </c>
      <c r="I4367" t="str">
        <f t="shared" si="205"/>
        <v>Low Value</v>
      </c>
      <c r="J4367" t="str">
        <f t="shared" si="206"/>
        <v>High Risk</v>
      </c>
      <c r="K4367" s="3" t="str">
        <f t="shared" si="204"/>
        <v>0-1 Year</v>
      </c>
    </row>
    <row r="4368" spans="1:11" x14ac:dyDescent="0.3">
      <c r="A4368" t="s">
        <v>4385</v>
      </c>
      <c r="B4368" t="s">
        <v>9</v>
      </c>
      <c r="C4368" t="s">
        <v>15</v>
      </c>
      <c r="D4368" t="s">
        <v>16</v>
      </c>
      <c r="E4368">
        <v>20.05</v>
      </c>
      <c r="F4368">
        <v>25</v>
      </c>
      <c r="G4368">
        <v>501.25</v>
      </c>
      <c r="H4368" t="s">
        <v>12</v>
      </c>
      <c r="I4368" t="str">
        <f t="shared" si="205"/>
        <v>Low Value</v>
      </c>
      <c r="J4368" t="str">
        <f t="shared" si="206"/>
        <v>Low Risk</v>
      </c>
      <c r="K4368" s="3" t="str">
        <f t="shared" si="204"/>
        <v>2-4 Years</v>
      </c>
    </row>
    <row r="4369" spans="1:11" x14ac:dyDescent="0.3">
      <c r="A4369" t="s">
        <v>4386</v>
      </c>
      <c r="B4369" t="s">
        <v>14</v>
      </c>
      <c r="C4369" t="s">
        <v>30</v>
      </c>
      <c r="D4369" t="s">
        <v>20</v>
      </c>
      <c r="E4369">
        <v>19.600000000000001</v>
      </c>
      <c r="F4369">
        <v>71</v>
      </c>
      <c r="G4369">
        <v>1391.6</v>
      </c>
      <c r="H4369" t="s">
        <v>12</v>
      </c>
      <c r="I4369" t="str">
        <f t="shared" si="205"/>
        <v>Low Value</v>
      </c>
      <c r="J4369" t="str">
        <f t="shared" si="206"/>
        <v>Low Risk</v>
      </c>
      <c r="K4369" s="3" t="str">
        <f t="shared" si="204"/>
        <v>4+ Years</v>
      </c>
    </row>
    <row r="4370" spans="1:11" x14ac:dyDescent="0.3">
      <c r="A4370" t="s">
        <v>4387</v>
      </c>
      <c r="B4370" t="s">
        <v>14</v>
      </c>
      <c r="C4370" t="s">
        <v>15</v>
      </c>
      <c r="D4370" t="s">
        <v>20</v>
      </c>
      <c r="E4370">
        <v>114.3</v>
      </c>
      <c r="F4370">
        <v>66</v>
      </c>
      <c r="G4370">
        <v>7543.8</v>
      </c>
      <c r="H4370" t="s">
        <v>12</v>
      </c>
      <c r="I4370" t="str">
        <f t="shared" si="205"/>
        <v>High Value</v>
      </c>
      <c r="J4370" t="str">
        <f t="shared" si="206"/>
        <v>Low Risk</v>
      </c>
      <c r="K4370" s="3" t="str">
        <f t="shared" si="204"/>
        <v>4+ Years</v>
      </c>
    </row>
    <row r="4371" spans="1:11" x14ac:dyDescent="0.3">
      <c r="A4371" t="s">
        <v>4388</v>
      </c>
      <c r="B4371" t="s">
        <v>9</v>
      </c>
      <c r="C4371" t="s">
        <v>15</v>
      </c>
      <c r="D4371" t="s">
        <v>11</v>
      </c>
      <c r="E4371">
        <v>100.3</v>
      </c>
      <c r="F4371">
        <v>45</v>
      </c>
      <c r="G4371">
        <v>4513.5</v>
      </c>
      <c r="H4371" t="s">
        <v>12</v>
      </c>
      <c r="I4371" t="str">
        <f t="shared" si="205"/>
        <v>Medium Value</v>
      </c>
      <c r="J4371" t="str">
        <f t="shared" si="206"/>
        <v>Low Risk</v>
      </c>
      <c r="K4371" s="3" t="str">
        <f t="shared" si="204"/>
        <v>2-4 Years</v>
      </c>
    </row>
    <row r="4372" spans="1:11" x14ac:dyDescent="0.3">
      <c r="A4372" t="s">
        <v>4389</v>
      </c>
      <c r="B4372" t="s">
        <v>9</v>
      </c>
      <c r="C4372" t="s">
        <v>10</v>
      </c>
      <c r="D4372" t="s">
        <v>24</v>
      </c>
      <c r="E4372">
        <v>80</v>
      </c>
      <c r="F4372">
        <v>22</v>
      </c>
      <c r="G4372">
        <v>1760</v>
      </c>
      <c r="H4372" t="s">
        <v>12</v>
      </c>
      <c r="I4372" t="str">
        <f t="shared" si="205"/>
        <v>Low Value</v>
      </c>
      <c r="J4372" t="str">
        <f t="shared" si="206"/>
        <v>Medium Risk</v>
      </c>
      <c r="K4372" s="3" t="str">
        <f t="shared" si="204"/>
        <v>1-2 Years</v>
      </c>
    </row>
    <row r="4373" spans="1:11" x14ac:dyDescent="0.3">
      <c r="A4373" t="s">
        <v>4390</v>
      </c>
      <c r="B4373" t="s">
        <v>9</v>
      </c>
      <c r="C4373" t="s">
        <v>15</v>
      </c>
      <c r="D4373" t="s">
        <v>20</v>
      </c>
      <c r="E4373">
        <v>20.85</v>
      </c>
      <c r="F4373">
        <v>67</v>
      </c>
      <c r="G4373">
        <v>1396.95</v>
      </c>
      <c r="H4373" t="s">
        <v>12</v>
      </c>
      <c r="I4373" t="str">
        <f t="shared" si="205"/>
        <v>Low Value</v>
      </c>
      <c r="J4373" t="str">
        <f t="shared" si="206"/>
        <v>Low Risk</v>
      </c>
      <c r="K4373" s="3" t="str">
        <f t="shared" si="204"/>
        <v>4+ Years</v>
      </c>
    </row>
    <row r="4374" spans="1:11" x14ac:dyDescent="0.3">
      <c r="A4374" t="s">
        <v>4391</v>
      </c>
      <c r="B4374" t="s">
        <v>9</v>
      </c>
      <c r="C4374" t="s">
        <v>30</v>
      </c>
      <c r="D4374" t="s">
        <v>20</v>
      </c>
      <c r="E4374">
        <v>89.95</v>
      </c>
      <c r="F4374">
        <v>68</v>
      </c>
      <c r="G4374">
        <v>6116.6</v>
      </c>
      <c r="H4374" t="s">
        <v>12</v>
      </c>
      <c r="I4374" t="str">
        <f t="shared" si="205"/>
        <v>High Value</v>
      </c>
      <c r="J4374" t="str">
        <f t="shared" si="206"/>
        <v>Low Risk</v>
      </c>
      <c r="K4374" s="3" t="str">
        <f t="shared" si="204"/>
        <v>4+ Years</v>
      </c>
    </row>
    <row r="4375" spans="1:11" x14ac:dyDescent="0.3">
      <c r="A4375" t="s">
        <v>4392</v>
      </c>
      <c r="B4375" t="s">
        <v>9</v>
      </c>
      <c r="C4375" t="s">
        <v>10</v>
      </c>
      <c r="D4375" t="s">
        <v>24</v>
      </c>
      <c r="E4375">
        <v>90.85</v>
      </c>
      <c r="F4375">
        <v>49</v>
      </c>
      <c r="G4375">
        <v>4451.6499999999996</v>
      </c>
      <c r="H4375" t="s">
        <v>18</v>
      </c>
      <c r="I4375" t="str">
        <f t="shared" si="205"/>
        <v>Medium Value</v>
      </c>
      <c r="J4375" t="str">
        <f t="shared" si="206"/>
        <v>Low Risk</v>
      </c>
      <c r="K4375" s="3" t="str">
        <f t="shared" si="204"/>
        <v>4+ Years</v>
      </c>
    </row>
    <row r="4376" spans="1:11" x14ac:dyDescent="0.3">
      <c r="A4376" t="s">
        <v>4393</v>
      </c>
      <c r="B4376" t="s">
        <v>9</v>
      </c>
      <c r="C4376" t="s">
        <v>10</v>
      </c>
      <c r="D4376" t="s">
        <v>16</v>
      </c>
      <c r="E4376">
        <v>48.75</v>
      </c>
      <c r="F4376">
        <v>4</v>
      </c>
      <c r="G4376">
        <v>195</v>
      </c>
      <c r="H4376" t="s">
        <v>12</v>
      </c>
      <c r="I4376" t="str">
        <f t="shared" si="205"/>
        <v>Low Value</v>
      </c>
      <c r="J4376" t="str">
        <f t="shared" si="206"/>
        <v>High Risk</v>
      </c>
      <c r="K4376" s="3" t="str">
        <f t="shared" si="204"/>
        <v>0-1 Year</v>
      </c>
    </row>
    <row r="4377" spans="1:11" x14ac:dyDescent="0.3">
      <c r="A4377" t="s">
        <v>4394</v>
      </c>
      <c r="B4377" t="s">
        <v>14</v>
      </c>
      <c r="C4377" t="s">
        <v>15</v>
      </c>
      <c r="D4377" t="s">
        <v>24</v>
      </c>
      <c r="E4377">
        <v>80</v>
      </c>
      <c r="F4377">
        <v>63</v>
      </c>
      <c r="G4377">
        <v>5040</v>
      </c>
      <c r="H4377" t="s">
        <v>12</v>
      </c>
      <c r="I4377" t="str">
        <f t="shared" si="205"/>
        <v>High Value</v>
      </c>
      <c r="J4377" t="str">
        <f t="shared" si="206"/>
        <v>Low Risk</v>
      </c>
      <c r="K4377" s="3" t="str">
        <f t="shared" si="204"/>
        <v>4+ Years</v>
      </c>
    </row>
    <row r="4378" spans="1:11" x14ac:dyDescent="0.3">
      <c r="A4378" t="s">
        <v>4395</v>
      </c>
      <c r="B4378" t="s">
        <v>9</v>
      </c>
      <c r="C4378" t="s">
        <v>10</v>
      </c>
      <c r="D4378" t="s">
        <v>20</v>
      </c>
      <c r="E4378">
        <v>79.7</v>
      </c>
      <c r="F4378">
        <v>2</v>
      </c>
      <c r="G4378">
        <v>159.4</v>
      </c>
      <c r="H4378" t="s">
        <v>18</v>
      </c>
      <c r="I4378" t="str">
        <f t="shared" si="205"/>
        <v>Low Value</v>
      </c>
      <c r="J4378" t="str">
        <f t="shared" si="206"/>
        <v>High Risk</v>
      </c>
      <c r="K4378" s="3" t="str">
        <f t="shared" si="204"/>
        <v>0-1 Year</v>
      </c>
    </row>
    <row r="4379" spans="1:11" x14ac:dyDescent="0.3">
      <c r="A4379" t="s">
        <v>4396</v>
      </c>
      <c r="B4379" t="s">
        <v>14</v>
      </c>
      <c r="C4379" t="s">
        <v>15</v>
      </c>
      <c r="D4379" t="s">
        <v>16</v>
      </c>
      <c r="E4379">
        <v>20.350000000000001</v>
      </c>
      <c r="F4379">
        <v>21</v>
      </c>
      <c r="G4379">
        <v>427.35</v>
      </c>
      <c r="H4379" t="s">
        <v>12</v>
      </c>
      <c r="I4379" t="str">
        <f t="shared" si="205"/>
        <v>Low Value</v>
      </c>
      <c r="J4379" t="str">
        <f t="shared" si="206"/>
        <v>Medium Risk</v>
      </c>
      <c r="K4379" s="3" t="str">
        <f t="shared" si="204"/>
        <v>1-2 Years</v>
      </c>
    </row>
    <row r="4380" spans="1:11" x14ac:dyDescent="0.3">
      <c r="A4380" t="s">
        <v>4397</v>
      </c>
      <c r="B4380" t="s">
        <v>14</v>
      </c>
      <c r="C4380" t="s">
        <v>30</v>
      </c>
      <c r="D4380" t="s">
        <v>20</v>
      </c>
      <c r="E4380">
        <v>57.55</v>
      </c>
      <c r="F4380">
        <v>55</v>
      </c>
      <c r="G4380">
        <v>3165.25</v>
      </c>
      <c r="H4380" t="s">
        <v>18</v>
      </c>
      <c r="I4380" t="str">
        <f t="shared" si="205"/>
        <v>Medium Value</v>
      </c>
      <c r="J4380" t="str">
        <f t="shared" si="206"/>
        <v>Low Risk</v>
      </c>
      <c r="K4380" s="3" t="str">
        <f t="shared" si="204"/>
        <v>4+ Years</v>
      </c>
    </row>
    <row r="4381" spans="1:11" x14ac:dyDescent="0.3">
      <c r="A4381" t="s">
        <v>4398</v>
      </c>
      <c r="B4381" t="s">
        <v>14</v>
      </c>
      <c r="C4381" t="s">
        <v>10</v>
      </c>
      <c r="D4381" t="s">
        <v>16</v>
      </c>
      <c r="E4381">
        <v>20.25</v>
      </c>
      <c r="F4381">
        <v>1</v>
      </c>
      <c r="G4381">
        <v>20.25</v>
      </c>
      <c r="H4381" t="s">
        <v>12</v>
      </c>
      <c r="I4381" t="str">
        <f t="shared" si="205"/>
        <v>Low Value</v>
      </c>
      <c r="J4381" t="str">
        <f t="shared" si="206"/>
        <v>High Risk</v>
      </c>
      <c r="K4381" s="3" t="str">
        <f t="shared" si="204"/>
        <v>0-1 Year</v>
      </c>
    </row>
    <row r="4382" spans="1:11" x14ac:dyDescent="0.3">
      <c r="A4382" t="s">
        <v>4399</v>
      </c>
      <c r="B4382" t="s">
        <v>9</v>
      </c>
      <c r="C4382" t="s">
        <v>30</v>
      </c>
      <c r="D4382" t="s">
        <v>16</v>
      </c>
      <c r="E4382">
        <v>19.399999999999999</v>
      </c>
      <c r="F4382">
        <v>17</v>
      </c>
      <c r="G4382">
        <v>329.79999999999899</v>
      </c>
      <c r="H4382" t="s">
        <v>12</v>
      </c>
      <c r="I4382" t="str">
        <f t="shared" si="205"/>
        <v>Low Value</v>
      </c>
      <c r="J4382" t="str">
        <f t="shared" si="206"/>
        <v>Medium Risk</v>
      </c>
      <c r="K4382" s="3" t="str">
        <f t="shared" si="204"/>
        <v>1-2 Years</v>
      </c>
    </row>
    <row r="4383" spans="1:11" x14ac:dyDescent="0.3">
      <c r="A4383" t="s">
        <v>4400</v>
      </c>
      <c r="B4383" t="s">
        <v>14</v>
      </c>
      <c r="C4383" t="s">
        <v>10</v>
      </c>
      <c r="D4383" t="s">
        <v>20</v>
      </c>
      <c r="E4383">
        <v>100.4</v>
      </c>
      <c r="F4383">
        <v>30</v>
      </c>
      <c r="G4383">
        <v>3012</v>
      </c>
      <c r="H4383" t="s">
        <v>12</v>
      </c>
      <c r="I4383" t="str">
        <f t="shared" si="205"/>
        <v>Medium Value</v>
      </c>
      <c r="J4383" t="str">
        <f t="shared" si="206"/>
        <v>Low Risk</v>
      </c>
      <c r="K4383" s="3" t="str">
        <f t="shared" si="204"/>
        <v>2-4 Years</v>
      </c>
    </row>
    <row r="4384" spans="1:11" x14ac:dyDescent="0.3">
      <c r="A4384" t="s">
        <v>4401</v>
      </c>
      <c r="B4384" t="s">
        <v>14</v>
      </c>
      <c r="C4384" t="s">
        <v>10</v>
      </c>
      <c r="D4384" t="s">
        <v>16</v>
      </c>
      <c r="E4384">
        <v>57.95</v>
      </c>
      <c r="F4384">
        <v>22</v>
      </c>
      <c r="G4384">
        <v>1274.9000000000001</v>
      </c>
      <c r="H4384" t="s">
        <v>12</v>
      </c>
      <c r="I4384" t="str">
        <f t="shared" si="205"/>
        <v>Low Value</v>
      </c>
      <c r="J4384" t="str">
        <f t="shared" si="206"/>
        <v>Medium Risk</v>
      </c>
      <c r="K4384" s="3" t="str">
        <f t="shared" si="204"/>
        <v>1-2 Years</v>
      </c>
    </row>
    <row r="4385" spans="1:11" x14ac:dyDescent="0.3">
      <c r="A4385" t="s">
        <v>4402</v>
      </c>
      <c r="B4385" t="s">
        <v>9</v>
      </c>
      <c r="C4385" t="s">
        <v>10</v>
      </c>
      <c r="D4385" t="s">
        <v>20</v>
      </c>
      <c r="E4385">
        <v>59.5</v>
      </c>
      <c r="F4385">
        <v>9</v>
      </c>
      <c r="G4385">
        <v>535.5</v>
      </c>
      <c r="H4385" t="s">
        <v>12</v>
      </c>
      <c r="I4385" t="str">
        <f t="shared" si="205"/>
        <v>Low Value</v>
      </c>
      <c r="J4385" t="str">
        <f t="shared" si="206"/>
        <v>High Risk</v>
      </c>
      <c r="K4385" s="3" t="str">
        <f t="shared" si="204"/>
        <v>0-1 Year</v>
      </c>
    </row>
    <row r="4386" spans="1:11" x14ac:dyDescent="0.3">
      <c r="A4386" t="s">
        <v>4403</v>
      </c>
      <c r="B4386" t="s">
        <v>14</v>
      </c>
      <c r="C4386" t="s">
        <v>10</v>
      </c>
      <c r="D4386" t="s">
        <v>16</v>
      </c>
      <c r="E4386">
        <v>19.2</v>
      </c>
      <c r="F4386">
        <v>1</v>
      </c>
      <c r="G4386">
        <v>19.2</v>
      </c>
      <c r="H4386" t="s">
        <v>12</v>
      </c>
      <c r="I4386" t="str">
        <f t="shared" si="205"/>
        <v>Low Value</v>
      </c>
      <c r="J4386" t="str">
        <f t="shared" si="206"/>
        <v>High Risk</v>
      </c>
      <c r="K4386" s="3" t="str">
        <f t="shared" si="204"/>
        <v>0-1 Year</v>
      </c>
    </row>
    <row r="4387" spans="1:11" x14ac:dyDescent="0.3">
      <c r="A4387" t="s">
        <v>4404</v>
      </c>
      <c r="B4387" t="s">
        <v>9</v>
      </c>
      <c r="C4387" t="s">
        <v>10</v>
      </c>
      <c r="D4387" t="s">
        <v>11</v>
      </c>
      <c r="E4387">
        <v>86.5</v>
      </c>
      <c r="F4387">
        <v>21</v>
      </c>
      <c r="G4387">
        <v>1816.5</v>
      </c>
      <c r="H4387" t="s">
        <v>18</v>
      </c>
      <c r="I4387" t="str">
        <f t="shared" si="205"/>
        <v>Low Value</v>
      </c>
      <c r="J4387" t="str">
        <f t="shared" si="206"/>
        <v>Medium Risk</v>
      </c>
      <c r="K4387" s="3" t="str">
        <f t="shared" si="204"/>
        <v>1-2 Years</v>
      </c>
    </row>
    <row r="4388" spans="1:11" x14ac:dyDescent="0.3">
      <c r="A4388" t="s">
        <v>4405</v>
      </c>
      <c r="B4388" t="s">
        <v>14</v>
      </c>
      <c r="C4388" t="s">
        <v>10</v>
      </c>
      <c r="D4388" t="s">
        <v>11</v>
      </c>
      <c r="E4388">
        <v>59.55</v>
      </c>
      <c r="F4388">
        <v>19</v>
      </c>
      <c r="G4388">
        <v>1131.45</v>
      </c>
      <c r="H4388" t="s">
        <v>12</v>
      </c>
      <c r="I4388" t="str">
        <f t="shared" si="205"/>
        <v>Low Value</v>
      </c>
      <c r="J4388" t="str">
        <f t="shared" si="206"/>
        <v>Medium Risk</v>
      </c>
      <c r="K4388" s="3" t="str">
        <f t="shared" si="204"/>
        <v>1-2 Years</v>
      </c>
    </row>
    <row r="4389" spans="1:11" x14ac:dyDescent="0.3">
      <c r="A4389" t="s">
        <v>4406</v>
      </c>
      <c r="B4389" t="s">
        <v>9</v>
      </c>
      <c r="C4389" t="s">
        <v>10</v>
      </c>
      <c r="D4389" t="s">
        <v>11</v>
      </c>
      <c r="E4389">
        <v>103.95</v>
      </c>
      <c r="F4389">
        <v>69</v>
      </c>
      <c r="G4389">
        <v>7172.55</v>
      </c>
      <c r="H4389" t="s">
        <v>18</v>
      </c>
      <c r="I4389" t="str">
        <f t="shared" si="205"/>
        <v>High Value</v>
      </c>
      <c r="J4389" t="str">
        <f t="shared" si="206"/>
        <v>Low Risk</v>
      </c>
      <c r="K4389" s="3" t="str">
        <f t="shared" si="204"/>
        <v>4+ Years</v>
      </c>
    </row>
    <row r="4390" spans="1:11" x14ac:dyDescent="0.3">
      <c r="A4390" t="s">
        <v>4407</v>
      </c>
      <c r="B4390" t="s">
        <v>14</v>
      </c>
      <c r="C4390" t="s">
        <v>10</v>
      </c>
      <c r="D4390" t="s">
        <v>11</v>
      </c>
      <c r="E4390">
        <v>25.1</v>
      </c>
      <c r="F4390">
        <v>1</v>
      </c>
      <c r="G4390">
        <v>25.1</v>
      </c>
      <c r="H4390" t="s">
        <v>18</v>
      </c>
      <c r="I4390" t="str">
        <f t="shared" si="205"/>
        <v>Low Value</v>
      </c>
      <c r="J4390" t="str">
        <f t="shared" si="206"/>
        <v>High Risk</v>
      </c>
      <c r="K4390" s="3" t="str">
        <f t="shared" si="204"/>
        <v>0-1 Year</v>
      </c>
    </row>
    <row r="4391" spans="1:11" x14ac:dyDescent="0.3">
      <c r="A4391" t="s">
        <v>4408</v>
      </c>
      <c r="B4391" t="s">
        <v>9</v>
      </c>
      <c r="C4391" t="s">
        <v>30</v>
      </c>
      <c r="D4391" t="s">
        <v>20</v>
      </c>
      <c r="E4391">
        <v>103.95</v>
      </c>
      <c r="F4391">
        <v>72</v>
      </c>
      <c r="G4391">
        <v>7484.4</v>
      </c>
      <c r="H4391" t="s">
        <v>12</v>
      </c>
      <c r="I4391" t="str">
        <f t="shared" si="205"/>
        <v>High Value</v>
      </c>
      <c r="J4391" t="str">
        <f t="shared" si="206"/>
        <v>Low Risk</v>
      </c>
      <c r="K4391" s="3" t="str">
        <f t="shared" si="204"/>
        <v>4+ Years</v>
      </c>
    </row>
    <row r="4392" spans="1:11" x14ac:dyDescent="0.3">
      <c r="A4392" t="s">
        <v>4409</v>
      </c>
      <c r="B4392" t="s">
        <v>14</v>
      </c>
      <c r="C4392" t="s">
        <v>30</v>
      </c>
      <c r="D4392" t="s">
        <v>24</v>
      </c>
      <c r="E4392">
        <v>68.95</v>
      </c>
      <c r="F4392">
        <v>70</v>
      </c>
      <c r="G4392">
        <v>4826.5</v>
      </c>
      <c r="H4392" t="s">
        <v>12</v>
      </c>
      <c r="I4392" t="str">
        <f t="shared" si="205"/>
        <v>Medium Value</v>
      </c>
      <c r="J4392" t="str">
        <f t="shared" si="206"/>
        <v>Low Risk</v>
      </c>
      <c r="K4392" s="3" t="str">
        <f t="shared" si="204"/>
        <v>4+ Years</v>
      </c>
    </row>
    <row r="4393" spans="1:11" x14ac:dyDescent="0.3">
      <c r="A4393" t="s">
        <v>4410</v>
      </c>
      <c r="B4393" t="s">
        <v>9</v>
      </c>
      <c r="C4393" t="s">
        <v>10</v>
      </c>
      <c r="D4393" t="s">
        <v>20</v>
      </c>
      <c r="E4393">
        <v>103.1</v>
      </c>
      <c r="F4393">
        <v>66</v>
      </c>
      <c r="G4393">
        <v>6804.5999999999904</v>
      </c>
      <c r="H4393" t="s">
        <v>12</v>
      </c>
      <c r="I4393" t="str">
        <f t="shared" si="205"/>
        <v>High Value</v>
      </c>
      <c r="J4393" t="str">
        <f t="shared" si="206"/>
        <v>Low Risk</v>
      </c>
      <c r="K4393" s="3" t="str">
        <f t="shared" si="204"/>
        <v>4+ Years</v>
      </c>
    </row>
    <row r="4394" spans="1:11" x14ac:dyDescent="0.3">
      <c r="A4394" t="s">
        <v>4411</v>
      </c>
      <c r="B4394" t="s">
        <v>9</v>
      </c>
      <c r="C4394" t="s">
        <v>10</v>
      </c>
      <c r="D4394" t="s">
        <v>11</v>
      </c>
      <c r="E4394">
        <v>24.7</v>
      </c>
      <c r="F4394">
        <v>7</v>
      </c>
      <c r="G4394">
        <v>172.9</v>
      </c>
      <c r="H4394" t="s">
        <v>12</v>
      </c>
      <c r="I4394" t="str">
        <f t="shared" si="205"/>
        <v>Low Value</v>
      </c>
      <c r="J4394" t="str">
        <f t="shared" si="206"/>
        <v>High Risk</v>
      </c>
      <c r="K4394" s="3" t="str">
        <f t="shared" si="204"/>
        <v>0-1 Year</v>
      </c>
    </row>
    <row r="4395" spans="1:11" x14ac:dyDescent="0.3">
      <c r="A4395" t="s">
        <v>4412</v>
      </c>
      <c r="B4395" t="s">
        <v>9</v>
      </c>
      <c r="C4395" t="s">
        <v>10</v>
      </c>
      <c r="D4395" t="s">
        <v>11</v>
      </c>
      <c r="E4395">
        <v>110.2</v>
      </c>
      <c r="F4395">
        <v>46</v>
      </c>
      <c r="G4395">
        <v>5069.2</v>
      </c>
      <c r="H4395" t="s">
        <v>12</v>
      </c>
      <c r="I4395" t="str">
        <f t="shared" si="205"/>
        <v>High Value</v>
      </c>
      <c r="J4395" t="str">
        <f t="shared" si="206"/>
        <v>Low Risk</v>
      </c>
      <c r="K4395" s="3" t="str">
        <f t="shared" si="204"/>
        <v>2-4 Years</v>
      </c>
    </row>
    <row r="4396" spans="1:11" x14ac:dyDescent="0.3">
      <c r="A4396" t="s">
        <v>4413</v>
      </c>
      <c r="B4396" t="s">
        <v>14</v>
      </c>
      <c r="C4396" t="s">
        <v>10</v>
      </c>
      <c r="D4396" t="s">
        <v>24</v>
      </c>
      <c r="E4396">
        <v>48.95</v>
      </c>
      <c r="F4396">
        <v>39</v>
      </c>
      <c r="G4396">
        <v>1909.05</v>
      </c>
      <c r="H4396" t="s">
        <v>18</v>
      </c>
      <c r="I4396" t="str">
        <f t="shared" si="205"/>
        <v>Low Value</v>
      </c>
      <c r="J4396" t="str">
        <f t="shared" si="206"/>
        <v>Low Risk</v>
      </c>
      <c r="K4396" s="3" t="str">
        <f t="shared" si="204"/>
        <v>2-4 Years</v>
      </c>
    </row>
    <row r="4397" spans="1:11" x14ac:dyDescent="0.3">
      <c r="A4397" t="s">
        <v>4414</v>
      </c>
      <c r="B4397" t="s">
        <v>9</v>
      </c>
      <c r="C4397" t="s">
        <v>10</v>
      </c>
      <c r="D4397" t="s">
        <v>20</v>
      </c>
      <c r="E4397">
        <v>62.45</v>
      </c>
      <c r="F4397">
        <v>32</v>
      </c>
      <c r="G4397">
        <v>1998.4</v>
      </c>
      <c r="H4397" t="s">
        <v>12</v>
      </c>
      <c r="I4397" t="str">
        <f t="shared" si="205"/>
        <v>Low Value</v>
      </c>
      <c r="J4397" t="str">
        <f t="shared" si="206"/>
        <v>Low Risk</v>
      </c>
      <c r="K4397" s="3" t="str">
        <f t="shared" si="204"/>
        <v>2-4 Years</v>
      </c>
    </row>
    <row r="4398" spans="1:11" x14ac:dyDescent="0.3">
      <c r="A4398" t="s">
        <v>4415</v>
      </c>
      <c r="B4398" t="s">
        <v>14</v>
      </c>
      <c r="C4398" t="s">
        <v>10</v>
      </c>
      <c r="D4398" t="s">
        <v>11</v>
      </c>
      <c r="E4398">
        <v>89.55</v>
      </c>
      <c r="F4398">
        <v>24</v>
      </c>
      <c r="G4398">
        <v>2149.1999999999998</v>
      </c>
      <c r="H4398" t="s">
        <v>12</v>
      </c>
      <c r="I4398" t="str">
        <f t="shared" si="205"/>
        <v>Medium Value</v>
      </c>
      <c r="J4398" t="str">
        <f t="shared" si="206"/>
        <v>Low Risk</v>
      </c>
      <c r="K4398" s="3" t="str">
        <f t="shared" si="204"/>
        <v>1-2 Years</v>
      </c>
    </row>
    <row r="4399" spans="1:11" x14ac:dyDescent="0.3">
      <c r="A4399" t="s">
        <v>4416</v>
      </c>
      <c r="B4399" t="s">
        <v>14</v>
      </c>
      <c r="C4399" t="s">
        <v>10</v>
      </c>
      <c r="D4399" t="s">
        <v>24</v>
      </c>
      <c r="E4399">
        <v>83.55</v>
      </c>
      <c r="F4399">
        <v>6</v>
      </c>
      <c r="G4399">
        <v>501.29999999999899</v>
      </c>
      <c r="H4399" t="s">
        <v>18</v>
      </c>
      <c r="I4399" t="str">
        <f t="shared" si="205"/>
        <v>Low Value</v>
      </c>
      <c r="J4399" t="str">
        <f t="shared" si="206"/>
        <v>High Risk</v>
      </c>
      <c r="K4399" s="3" t="str">
        <f t="shared" si="204"/>
        <v>0-1 Year</v>
      </c>
    </row>
    <row r="4400" spans="1:11" x14ac:dyDescent="0.3">
      <c r="A4400" t="s">
        <v>4417</v>
      </c>
      <c r="B4400" t="s">
        <v>9</v>
      </c>
      <c r="C4400" t="s">
        <v>10</v>
      </c>
      <c r="D4400" t="s">
        <v>24</v>
      </c>
      <c r="E4400">
        <v>78.900000000000006</v>
      </c>
      <c r="F4400">
        <v>37</v>
      </c>
      <c r="G4400">
        <v>2919.3</v>
      </c>
      <c r="H4400" t="s">
        <v>12</v>
      </c>
      <c r="I4400" t="str">
        <f t="shared" si="205"/>
        <v>Medium Value</v>
      </c>
      <c r="J4400" t="str">
        <f t="shared" si="206"/>
        <v>Low Risk</v>
      </c>
      <c r="K4400" s="3" t="str">
        <f t="shared" si="204"/>
        <v>2-4 Years</v>
      </c>
    </row>
    <row r="4401" spans="1:11" x14ac:dyDescent="0.3">
      <c r="A4401" t="s">
        <v>4418</v>
      </c>
      <c r="B4401" t="s">
        <v>14</v>
      </c>
      <c r="C4401" t="s">
        <v>10</v>
      </c>
      <c r="D4401" t="s">
        <v>16</v>
      </c>
      <c r="E4401">
        <v>20.350000000000001</v>
      </c>
      <c r="F4401">
        <v>8</v>
      </c>
      <c r="G4401">
        <v>162.80000000000001</v>
      </c>
      <c r="H4401" t="s">
        <v>12</v>
      </c>
      <c r="I4401" t="str">
        <f t="shared" si="205"/>
        <v>Low Value</v>
      </c>
      <c r="J4401" t="str">
        <f t="shared" si="206"/>
        <v>High Risk</v>
      </c>
      <c r="K4401" s="3" t="str">
        <f t="shared" si="204"/>
        <v>0-1 Year</v>
      </c>
    </row>
    <row r="4402" spans="1:11" x14ac:dyDescent="0.3">
      <c r="A4402" t="s">
        <v>4419</v>
      </c>
      <c r="B4402" t="s">
        <v>9</v>
      </c>
      <c r="C4402" t="s">
        <v>30</v>
      </c>
      <c r="D4402" t="s">
        <v>20</v>
      </c>
      <c r="E4402">
        <v>71.45</v>
      </c>
      <c r="F4402">
        <v>72</v>
      </c>
      <c r="G4402">
        <v>5144.3999999999996</v>
      </c>
      <c r="H4402" t="s">
        <v>12</v>
      </c>
      <c r="I4402" t="str">
        <f t="shared" si="205"/>
        <v>High Value</v>
      </c>
      <c r="J4402" t="str">
        <f t="shared" si="206"/>
        <v>Low Risk</v>
      </c>
      <c r="K4402" s="3" t="str">
        <f t="shared" si="204"/>
        <v>4+ Years</v>
      </c>
    </row>
    <row r="4403" spans="1:11" x14ac:dyDescent="0.3">
      <c r="A4403" t="s">
        <v>4420</v>
      </c>
      <c r="B4403" t="s">
        <v>14</v>
      </c>
      <c r="C4403" t="s">
        <v>30</v>
      </c>
      <c r="D4403" t="s">
        <v>24</v>
      </c>
      <c r="E4403">
        <v>46.35</v>
      </c>
      <c r="F4403">
        <v>71</v>
      </c>
      <c r="G4403">
        <v>3290.85</v>
      </c>
      <c r="H4403" t="s">
        <v>12</v>
      </c>
      <c r="I4403" t="str">
        <f t="shared" si="205"/>
        <v>Medium Value</v>
      </c>
      <c r="J4403" t="str">
        <f t="shared" si="206"/>
        <v>Low Risk</v>
      </c>
      <c r="K4403" s="3" t="str">
        <f t="shared" si="204"/>
        <v>4+ Years</v>
      </c>
    </row>
    <row r="4404" spans="1:11" x14ac:dyDescent="0.3">
      <c r="A4404" t="s">
        <v>4421</v>
      </c>
      <c r="B4404" t="s">
        <v>9</v>
      </c>
      <c r="C4404" t="s">
        <v>10</v>
      </c>
      <c r="D4404" t="s">
        <v>20</v>
      </c>
      <c r="E4404">
        <v>94.65</v>
      </c>
      <c r="F4404">
        <v>16</v>
      </c>
      <c r="G4404">
        <v>1514.4</v>
      </c>
      <c r="H4404" t="s">
        <v>12</v>
      </c>
      <c r="I4404" t="str">
        <f t="shared" si="205"/>
        <v>Low Value</v>
      </c>
      <c r="J4404" t="str">
        <f t="shared" si="206"/>
        <v>Medium Risk</v>
      </c>
      <c r="K4404" s="3" t="str">
        <f t="shared" si="204"/>
        <v>1-2 Years</v>
      </c>
    </row>
    <row r="4405" spans="1:11" x14ac:dyDescent="0.3">
      <c r="A4405" t="s">
        <v>4422</v>
      </c>
      <c r="B4405" t="s">
        <v>9</v>
      </c>
      <c r="C4405" t="s">
        <v>10</v>
      </c>
      <c r="D4405" t="s">
        <v>20</v>
      </c>
      <c r="E4405">
        <v>49.9</v>
      </c>
      <c r="F4405">
        <v>57</v>
      </c>
      <c r="G4405">
        <v>2844.2999999999902</v>
      </c>
      <c r="H4405" t="s">
        <v>12</v>
      </c>
      <c r="I4405" t="str">
        <f t="shared" si="205"/>
        <v>Medium Value</v>
      </c>
      <c r="J4405" t="str">
        <f t="shared" si="206"/>
        <v>Low Risk</v>
      </c>
      <c r="K4405" s="3" t="str">
        <f t="shared" si="204"/>
        <v>4+ Years</v>
      </c>
    </row>
    <row r="4406" spans="1:11" x14ac:dyDescent="0.3">
      <c r="A4406" t="s">
        <v>4423</v>
      </c>
      <c r="B4406" t="s">
        <v>14</v>
      </c>
      <c r="C4406" t="s">
        <v>15</v>
      </c>
      <c r="D4406" t="s">
        <v>20</v>
      </c>
      <c r="E4406">
        <v>25.45</v>
      </c>
      <c r="F4406">
        <v>66</v>
      </c>
      <c r="G4406">
        <v>1679.7</v>
      </c>
      <c r="H4406" t="s">
        <v>12</v>
      </c>
      <c r="I4406" t="str">
        <f t="shared" si="205"/>
        <v>Low Value</v>
      </c>
      <c r="J4406" t="str">
        <f t="shared" si="206"/>
        <v>Low Risk</v>
      </c>
      <c r="K4406" s="3" t="str">
        <f t="shared" si="204"/>
        <v>4+ Years</v>
      </c>
    </row>
    <row r="4407" spans="1:11" x14ac:dyDescent="0.3">
      <c r="A4407" t="s">
        <v>4424</v>
      </c>
      <c r="B4407" t="s">
        <v>9</v>
      </c>
      <c r="C4407" t="s">
        <v>10</v>
      </c>
      <c r="D4407" t="s">
        <v>11</v>
      </c>
      <c r="E4407">
        <v>89.15</v>
      </c>
      <c r="F4407">
        <v>17</v>
      </c>
      <c r="G4407">
        <v>1515.55</v>
      </c>
      <c r="H4407" t="s">
        <v>18</v>
      </c>
      <c r="I4407" t="str">
        <f t="shared" si="205"/>
        <v>Low Value</v>
      </c>
      <c r="J4407" t="str">
        <f t="shared" si="206"/>
        <v>Medium Risk</v>
      </c>
      <c r="K4407" s="3" t="str">
        <f t="shared" si="204"/>
        <v>1-2 Years</v>
      </c>
    </row>
    <row r="4408" spans="1:11" x14ac:dyDescent="0.3">
      <c r="A4408" t="s">
        <v>4425</v>
      </c>
      <c r="B4408" t="s">
        <v>9</v>
      </c>
      <c r="C4408" t="s">
        <v>10</v>
      </c>
      <c r="D4408" t="s">
        <v>16</v>
      </c>
      <c r="E4408">
        <v>20.75</v>
      </c>
      <c r="F4408">
        <v>21</v>
      </c>
      <c r="G4408">
        <v>435.75</v>
      </c>
      <c r="H4408" t="s">
        <v>12</v>
      </c>
      <c r="I4408" t="str">
        <f t="shared" si="205"/>
        <v>Low Value</v>
      </c>
      <c r="J4408" t="str">
        <f t="shared" si="206"/>
        <v>Medium Risk</v>
      </c>
      <c r="K4408" s="3" t="str">
        <f t="shared" si="204"/>
        <v>1-2 Years</v>
      </c>
    </row>
    <row r="4409" spans="1:11" x14ac:dyDescent="0.3">
      <c r="A4409" t="s">
        <v>4426</v>
      </c>
      <c r="B4409" t="s">
        <v>14</v>
      </c>
      <c r="C4409" t="s">
        <v>30</v>
      </c>
      <c r="D4409" t="s">
        <v>24</v>
      </c>
      <c r="E4409">
        <v>66.099999999999994</v>
      </c>
      <c r="F4409">
        <v>66</v>
      </c>
      <c r="G4409">
        <v>4362.5999999999904</v>
      </c>
      <c r="H4409" t="s">
        <v>12</v>
      </c>
      <c r="I4409" t="str">
        <f t="shared" si="205"/>
        <v>Medium Value</v>
      </c>
      <c r="J4409" t="str">
        <f t="shared" si="206"/>
        <v>Low Risk</v>
      </c>
      <c r="K4409" s="3" t="str">
        <f t="shared" si="204"/>
        <v>4+ Years</v>
      </c>
    </row>
    <row r="4410" spans="1:11" x14ac:dyDescent="0.3">
      <c r="A4410" t="s">
        <v>4427</v>
      </c>
      <c r="B4410" t="s">
        <v>9</v>
      </c>
      <c r="C4410" t="s">
        <v>10</v>
      </c>
      <c r="D4410" t="s">
        <v>20</v>
      </c>
      <c r="E4410">
        <v>75.400000000000006</v>
      </c>
      <c r="F4410">
        <v>17</v>
      </c>
      <c r="G4410">
        <v>1281.8</v>
      </c>
      <c r="H4410" t="s">
        <v>12</v>
      </c>
      <c r="I4410" t="str">
        <f t="shared" si="205"/>
        <v>Low Value</v>
      </c>
      <c r="J4410" t="str">
        <f t="shared" si="206"/>
        <v>Medium Risk</v>
      </c>
      <c r="K4410" s="3" t="str">
        <f t="shared" si="204"/>
        <v>1-2 Years</v>
      </c>
    </row>
    <row r="4411" spans="1:11" x14ac:dyDescent="0.3">
      <c r="A4411" t="s">
        <v>4428</v>
      </c>
      <c r="B4411" t="s">
        <v>14</v>
      </c>
      <c r="C4411" t="s">
        <v>10</v>
      </c>
      <c r="D4411" t="s">
        <v>16</v>
      </c>
      <c r="E4411">
        <v>70.45</v>
      </c>
      <c r="F4411">
        <v>1</v>
      </c>
      <c r="G4411">
        <v>70.45</v>
      </c>
      <c r="H4411" t="s">
        <v>18</v>
      </c>
      <c r="I4411" t="str">
        <f t="shared" si="205"/>
        <v>Low Value</v>
      </c>
      <c r="J4411" t="str">
        <f t="shared" si="206"/>
        <v>High Risk</v>
      </c>
      <c r="K4411" s="3" t="str">
        <f t="shared" si="204"/>
        <v>0-1 Year</v>
      </c>
    </row>
    <row r="4412" spans="1:11" x14ac:dyDescent="0.3">
      <c r="A4412" t="s">
        <v>4429</v>
      </c>
      <c r="B4412" t="s">
        <v>14</v>
      </c>
      <c r="C4412" t="s">
        <v>15</v>
      </c>
      <c r="D4412" t="s">
        <v>24</v>
      </c>
      <c r="E4412">
        <v>60.3</v>
      </c>
      <c r="F4412">
        <v>58</v>
      </c>
      <c r="G4412">
        <v>3497.3999999999901</v>
      </c>
      <c r="H4412" t="s">
        <v>18</v>
      </c>
      <c r="I4412" t="str">
        <f t="shared" si="205"/>
        <v>Medium Value</v>
      </c>
      <c r="J4412" t="str">
        <f t="shared" si="206"/>
        <v>Low Risk</v>
      </c>
      <c r="K4412" s="3" t="str">
        <f t="shared" si="204"/>
        <v>4+ Years</v>
      </c>
    </row>
    <row r="4413" spans="1:11" x14ac:dyDescent="0.3">
      <c r="A4413" t="s">
        <v>4430</v>
      </c>
      <c r="B4413" t="s">
        <v>9</v>
      </c>
      <c r="C4413" t="s">
        <v>10</v>
      </c>
      <c r="D4413" t="s">
        <v>24</v>
      </c>
      <c r="E4413">
        <v>21.05</v>
      </c>
      <c r="F4413">
        <v>8</v>
      </c>
      <c r="G4413">
        <v>168.4</v>
      </c>
      <c r="H4413" t="s">
        <v>12</v>
      </c>
      <c r="I4413" t="str">
        <f t="shared" si="205"/>
        <v>Low Value</v>
      </c>
      <c r="J4413" t="str">
        <f t="shared" si="206"/>
        <v>High Risk</v>
      </c>
      <c r="K4413" s="3" t="str">
        <f t="shared" si="204"/>
        <v>0-1 Year</v>
      </c>
    </row>
    <row r="4414" spans="1:11" x14ac:dyDescent="0.3">
      <c r="A4414" t="s">
        <v>4431</v>
      </c>
      <c r="B4414" t="s">
        <v>14</v>
      </c>
      <c r="C4414" t="s">
        <v>15</v>
      </c>
      <c r="D4414" t="s">
        <v>24</v>
      </c>
      <c r="E4414">
        <v>69.349999999999994</v>
      </c>
      <c r="F4414">
        <v>27</v>
      </c>
      <c r="G4414">
        <v>1872.44999999999</v>
      </c>
      <c r="H4414" t="s">
        <v>12</v>
      </c>
      <c r="I4414" t="str">
        <f t="shared" si="205"/>
        <v>Low Value</v>
      </c>
      <c r="J4414" t="str">
        <f t="shared" si="206"/>
        <v>Low Risk</v>
      </c>
      <c r="K4414" s="3" t="str">
        <f t="shared" si="204"/>
        <v>2-4 Years</v>
      </c>
    </row>
    <row r="4415" spans="1:11" x14ac:dyDescent="0.3">
      <c r="A4415" t="s">
        <v>4432</v>
      </c>
      <c r="B4415" t="s">
        <v>14</v>
      </c>
      <c r="C4415" t="s">
        <v>10</v>
      </c>
      <c r="D4415" t="s">
        <v>16</v>
      </c>
      <c r="E4415">
        <v>88.85</v>
      </c>
      <c r="F4415">
        <v>34</v>
      </c>
      <c r="G4415">
        <v>3020.8999999999901</v>
      </c>
      <c r="H4415" t="s">
        <v>12</v>
      </c>
      <c r="I4415" t="str">
        <f t="shared" si="205"/>
        <v>Medium Value</v>
      </c>
      <c r="J4415" t="str">
        <f t="shared" si="206"/>
        <v>Low Risk</v>
      </c>
      <c r="K4415" s="3" t="str">
        <f t="shared" si="204"/>
        <v>2-4 Years</v>
      </c>
    </row>
    <row r="4416" spans="1:11" x14ac:dyDescent="0.3">
      <c r="A4416" t="s">
        <v>4433</v>
      </c>
      <c r="B4416" t="s">
        <v>14</v>
      </c>
      <c r="C4416" t="s">
        <v>15</v>
      </c>
      <c r="D4416" t="s">
        <v>20</v>
      </c>
      <c r="E4416">
        <v>97</v>
      </c>
      <c r="F4416">
        <v>30</v>
      </c>
      <c r="G4416">
        <v>2910</v>
      </c>
      <c r="H4416" t="s">
        <v>12</v>
      </c>
      <c r="I4416" t="str">
        <f t="shared" si="205"/>
        <v>Medium Value</v>
      </c>
      <c r="J4416" t="str">
        <f t="shared" si="206"/>
        <v>Low Risk</v>
      </c>
      <c r="K4416" s="3" t="str">
        <f t="shared" si="204"/>
        <v>2-4 Years</v>
      </c>
    </row>
    <row r="4417" spans="1:11" x14ac:dyDescent="0.3">
      <c r="A4417" t="s">
        <v>4434</v>
      </c>
      <c r="B4417" t="s">
        <v>14</v>
      </c>
      <c r="C4417" t="s">
        <v>10</v>
      </c>
      <c r="D4417" t="s">
        <v>24</v>
      </c>
      <c r="E4417">
        <v>66.400000000000006</v>
      </c>
      <c r="F4417">
        <v>33</v>
      </c>
      <c r="G4417">
        <v>2191.1999999999998</v>
      </c>
      <c r="H4417" t="s">
        <v>12</v>
      </c>
      <c r="I4417" t="str">
        <f t="shared" si="205"/>
        <v>Medium Value</v>
      </c>
      <c r="J4417" t="str">
        <f t="shared" si="206"/>
        <v>Low Risk</v>
      </c>
      <c r="K4417" s="3" t="str">
        <f t="shared" si="204"/>
        <v>2-4 Years</v>
      </c>
    </row>
    <row r="4418" spans="1:11" x14ac:dyDescent="0.3">
      <c r="A4418" t="s">
        <v>4435</v>
      </c>
      <c r="B4418" t="s">
        <v>14</v>
      </c>
      <c r="C4418" t="s">
        <v>10</v>
      </c>
      <c r="D4418" t="s">
        <v>11</v>
      </c>
      <c r="E4418">
        <v>24.75</v>
      </c>
      <c r="F4418">
        <v>1</v>
      </c>
      <c r="G4418">
        <v>24.75</v>
      </c>
      <c r="H4418" t="s">
        <v>18</v>
      </c>
      <c r="I4418" t="str">
        <f t="shared" si="205"/>
        <v>Low Value</v>
      </c>
      <c r="J4418" t="str">
        <f t="shared" si="206"/>
        <v>High Risk</v>
      </c>
      <c r="K4418" s="3" t="str">
        <f t="shared" si="204"/>
        <v>0-1 Year</v>
      </c>
    </row>
    <row r="4419" spans="1:11" x14ac:dyDescent="0.3">
      <c r="A4419" t="s">
        <v>4436</v>
      </c>
      <c r="B4419" t="s">
        <v>14</v>
      </c>
      <c r="C4419" t="s">
        <v>10</v>
      </c>
      <c r="D4419" t="s">
        <v>16</v>
      </c>
      <c r="E4419">
        <v>69.2</v>
      </c>
      <c r="F4419">
        <v>14</v>
      </c>
      <c r="G4419">
        <v>968.8</v>
      </c>
      <c r="H4419" t="s">
        <v>12</v>
      </c>
      <c r="I4419" t="str">
        <f t="shared" si="205"/>
        <v>Low Value</v>
      </c>
      <c r="J4419" t="str">
        <f t="shared" si="206"/>
        <v>Medium Risk</v>
      </c>
      <c r="K4419" s="3" t="str">
        <f t="shared" ref="K4419:K4482" si="207">IF(F4419&lt;=12,"0-1 Year",
IF(F4419&lt;=24,"1-2 Years",
IF(F4419&lt;=48,"2-4 Years","4+ Years")))</f>
        <v>1-2 Years</v>
      </c>
    </row>
    <row r="4420" spans="1:11" x14ac:dyDescent="0.3">
      <c r="A4420" t="s">
        <v>4437</v>
      </c>
      <c r="B4420" t="s">
        <v>9</v>
      </c>
      <c r="C4420" t="s">
        <v>15</v>
      </c>
      <c r="D4420" t="s">
        <v>24</v>
      </c>
      <c r="E4420">
        <v>79.5</v>
      </c>
      <c r="F4420">
        <v>16</v>
      </c>
      <c r="G4420">
        <v>1272</v>
      </c>
      <c r="H4420" t="s">
        <v>12</v>
      </c>
      <c r="I4420" t="str">
        <f t="shared" ref="I4420:I4483" si="208">IF(G4420&gt;5000,"High Value",
IF(G4420&gt;2000,"Medium Value","Low Value"))</f>
        <v>Low Value</v>
      </c>
      <c r="J4420" t="str">
        <f t="shared" ref="J4420:J4483" si="209">IF(F4420&lt;12,"High Risk",
IF(F4420&lt;24,"Medium Risk","Low Risk"))</f>
        <v>Medium Risk</v>
      </c>
      <c r="K4420" s="3" t="str">
        <f t="shared" si="207"/>
        <v>1-2 Years</v>
      </c>
    </row>
    <row r="4421" spans="1:11" x14ac:dyDescent="0.3">
      <c r="A4421" t="s">
        <v>4438</v>
      </c>
      <c r="B4421" t="s">
        <v>9</v>
      </c>
      <c r="C4421" t="s">
        <v>30</v>
      </c>
      <c r="D4421" t="s">
        <v>24</v>
      </c>
      <c r="E4421">
        <v>100.65</v>
      </c>
      <c r="F4421">
        <v>49</v>
      </c>
      <c r="G4421">
        <v>4931.8500000000004</v>
      </c>
      <c r="H4421" t="s">
        <v>12</v>
      </c>
      <c r="I4421" t="str">
        <f t="shared" si="208"/>
        <v>Medium Value</v>
      </c>
      <c r="J4421" t="str">
        <f t="shared" si="209"/>
        <v>Low Risk</v>
      </c>
      <c r="K4421" s="3" t="str">
        <f t="shared" si="207"/>
        <v>4+ Years</v>
      </c>
    </row>
    <row r="4422" spans="1:11" x14ac:dyDescent="0.3">
      <c r="A4422" t="s">
        <v>4439</v>
      </c>
      <c r="B4422" t="s">
        <v>14</v>
      </c>
      <c r="C4422" t="s">
        <v>10</v>
      </c>
      <c r="D4422" t="s">
        <v>11</v>
      </c>
      <c r="E4422">
        <v>103.3</v>
      </c>
      <c r="F4422">
        <v>19</v>
      </c>
      <c r="G4422">
        <v>1962.7</v>
      </c>
      <c r="H4422" t="s">
        <v>18</v>
      </c>
      <c r="I4422" t="str">
        <f t="shared" si="208"/>
        <v>Low Value</v>
      </c>
      <c r="J4422" t="str">
        <f t="shared" si="209"/>
        <v>Medium Risk</v>
      </c>
      <c r="K4422" s="3" t="str">
        <f t="shared" si="207"/>
        <v>1-2 Years</v>
      </c>
    </row>
    <row r="4423" spans="1:11" x14ac:dyDescent="0.3">
      <c r="A4423" t="s">
        <v>4440</v>
      </c>
      <c r="B4423" t="s">
        <v>9</v>
      </c>
      <c r="C4423" t="s">
        <v>30</v>
      </c>
      <c r="D4423" t="s">
        <v>20</v>
      </c>
      <c r="E4423">
        <v>79.7</v>
      </c>
      <c r="F4423">
        <v>70</v>
      </c>
      <c r="G4423">
        <v>5579</v>
      </c>
      <c r="H4423" t="s">
        <v>12</v>
      </c>
      <c r="I4423" t="str">
        <f t="shared" si="208"/>
        <v>High Value</v>
      </c>
      <c r="J4423" t="str">
        <f t="shared" si="209"/>
        <v>Low Risk</v>
      </c>
      <c r="K4423" s="3" t="str">
        <f t="shared" si="207"/>
        <v>4+ Years</v>
      </c>
    </row>
    <row r="4424" spans="1:11" x14ac:dyDescent="0.3">
      <c r="A4424" t="s">
        <v>4441</v>
      </c>
      <c r="B4424" t="s">
        <v>9</v>
      </c>
      <c r="C4424" t="s">
        <v>10</v>
      </c>
      <c r="D4424" t="s">
        <v>20</v>
      </c>
      <c r="E4424">
        <v>61.4</v>
      </c>
      <c r="F4424">
        <v>32</v>
      </c>
      <c r="G4424">
        <v>1964.8</v>
      </c>
      <c r="H4424" t="s">
        <v>12</v>
      </c>
      <c r="I4424" t="str">
        <f t="shared" si="208"/>
        <v>Low Value</v>
      </c>
      <c r="J4424" t="str">
        <f t="shared" si="209"/>
        <v>Low Risk</v>
      </c>
      <c r="K4424" s="3" t="str">
        <f t="shared" si="207"/>
        <v>2-4 Years</v>
      </c>
    </row>
    <row r="4425" spans="1:11" x14ac:dyDescent="0.3">
      <c r="A4425" t="s">
        <v>4442</v>
      </c>
      <c r="B4425" t="s">
        <v>9</v>
      </c>
      <c r="C4425" t="s">
        <v>10</v>
      </c>
      <c r="D4425" t="s">
        <v>11</v>
      </c>
      <c r="E4425">
        <v>69.8</v>
      </c>
      <c r="F4425">
        <v>18</v>
      </c>
      <c r="G4425">
        <v>1256.3999999999901</v>
      </c>
      <c r="H4425" t="s">
        <v>12</v>
      </c>
      <c r="I4425" t="str">
        <f t="shared" si="208"/>
        <v>Low Value</v>
      </c>
      <c r="J4425" t="str">
        <f t="shared" si="209"/>
        <v>Medium Risk</v>
      </c>
      <c r="K4425" s="3" t="str">
        <f t="shared" si="207"/>
        <v>1-2 Years</v>
      </c>
    </row>
    <row r="4426" spans="1:11" x14ac:dyDescent="0.3">
      <c r="A4426" t="s">
        <v>4443</v>
      </c>
      <c r="B4426" t="s">
        <v>14</v>
      </c>
      <c r="C4426" t="s">
        <v>30</v>
      </c>
      <c r="D4426" t="s">
        <v>16</v>
      </c>
      <c r="E4426">
        <v>40.549999999999997</v>
      </c>
      <c r="F4426">
        <v>37</v>
      </c>
      <c r="G4426">
        <v>1500.35</v>
      </c>
      <c r="H4426" t="s">
        <v>12</v>
      </c>
      <c r="I4426" t="str">
        <f t="shared" si="208"/>
        <v>Low Value</v>
      </c>
      <c r="J4426" t="str">
        <f t="shared" si="209"/>
        <v>Low Risk</v>
      </c>
      <c r="K4426" s="3" t="str">
        <f t="shared" si="207"/>
        <v>2-4 Years</v>
      </c>
    </row>
    <row r="4427" spans="1:11" x14ac:dyDescent="0.3">
      <c r="A4427" t="s">
        <v>4444</v>
      </c>
      <c r="B4427" t="s">
        <v>9</v>
      </c>
      <c r="C4427" t="s">
        <v>10</v>
      </c>
      <c r="D4427" t="s">
        <v>11</v>
      </c>
      <c r="E4427">
        <v>75.650000000000006</v>
      </c>
      <c r="F4427">
        <v>4</v>
      </c>
      <c r="G4427">
        <v>302.60000000000002</v>
      </c>
      <c r="H4427" t="s">
        <v>12</v>
      </c>
      <c r="I4427" t="str">
        <f t="shared" si="208"/>
        <v>Low Value</v>
      </c>
      <c r="J4427" t="str">
        <f t="shared" si="209"/>
        <v>High Risk</v>
      </c>
      <c r="K4427" s="3" t="str">
        <f t="shared" si="207"/>
        <v>0-1 Year</v>
      </c>
    </row>
    <row r="4428" spans="1:11" x14ac:dyDescent="0.3">
      <c r="A4428" t="s">
        <v>4445</v>
      </c>
      <c r="B4428" t="s">
        <v>9</v>
      </c>
      <c r="C4428" t="s">
        <v>10</v>
      </c>
      <c r="D4428" t="s">
        <v>11</v>
      </c>
      <c r="E4428">
        <v>90.7</v>
      </c>
      <c r="F4428">
        <v>16</v>
      </c>
      <c r="G4428">
        <v>1451.2</v>
      </c>
      <c r="H4428" t="s">
        <v>12</v>
      </c>
      <c r="I4428" t="str">
        <f t="shared" si="208"/>
        <v>Low Value</v>
      </c>
      <c r="J4428" t="str">
        <f t="shared" si="209"/>
        <v>Medium Risk</v>
      </c>
      <c r="K4428" s="3" t="str">
        <f t="shared" si="207"/>
        <v>1-2 Years</v>
      </c>
    </row>
    <row r="4429" spans="1:11" x14ac:dyDescent="0.3">
      <c r="A4429" t="s">
        <v>4446</v>
      </c>
      <c r="B4429" t="s">
        <v>14</v>
      </c>
      <c r="C4429" t="s">
        <v>10</v>
      </c>
      <c r="D4429" t="s">
        <v>20</v>
      </c>
      <c r="E4429">
        <v>80.5</v>
      </c>
      <c r="F4429">
        <v>17</v>
      </c>
      <c r="G4429">
        <v>1368.5</v>
      </c>
      <c r="H4429" t="s">
        <v>12</v>
      </c>
      <c r="I4429" t="str">
        <f t="shared" si="208"/>
        <v>Low Value</v>
      </c>
      <c r="J4429" t="str">
        <f t="shared" si="209"/>
        <v>Medium Risk</v>
      </c>
      <c r="K4429" s="3" t="str">
        <f t="shared" si="207"/>
        <v>1-2 Years</v>
      </c>
    </row>
    <row r="4430" spans="1:11" x14ac:dyDescent="0.3">
      <c r="A4430" t="s">
        <v>4447</v>
      </c>
      <c r="B4430" t="s">
        <v>9</v>
      </c>
      <c r="C4430" t="s">
        <v>10</v>
      </c>
      <c r="D4430" t="s">
        <v>11</v>
      </c>
      <c r="E4430">
        <v>60.6</v>
      </c>
      <c r="F4430">
        <v>19</v>
      </c>
      <c r="G4430">
        <v>1151.4000000000001</v>
      </c>
      <c r="H4430" t="s">
        <v>12</v>
      </c>
      <c r="I4430" t="str">
        <f t="shared" si="208"/>
        <v>Low Value</v>
      </c>
      <c r="J4430" t="str">
        <f t="shared" si="209"/>
        <v>Medium Risk</v>
      </c>
      <c r="K4430" s="3" t="str">
        <f t="shared" si="207"/>
        <v>1-2 Years</v>
      </c>
    </row>
    <row r="4431" spans="1:11" x14ac:dyDescent="0.3">
      <c r="A4431" t="s">
        <v>4448</v>
      </c>
      <c r="B4431" t="s">
        <v>14</v>
      </c>
      <c r="C4431" t="s">
        <v>30</v>
      </c>
      <c r="D4431" t="s">
        <v>24</v>
      </c>
      <c r="E4431">
        <v>101.15</v>
      </c>
      <c r="F4431">
        <v>60</v>
      </c>
      <c r="G4431">
        <v>6069</v>
      </c>
      <c r="H4431" t="s">
        <v>12</v>
      </c>
      <c r="I4431" t="str">
        <f t="shared" si="208"/>
        <v>High Value</v>
      </c>
      <c r="J4431" t="str">
        <f t="shared" si="209"/>
        <v>Low Risk</v>
      </c>
      <c r="K4431" s="3" t="str">
        <f t="shared" si="207"/>
        <v>4+ Years</v>
      </c>
    </row>
    <row r="4432" spans="1:11" x14ac:dyDescent="0.3">
      <c r="A4432" t="s">
        <v>4449</v>
      </c>
      <c r="B4432" t="s">
        <v>14</v>
      </c>
      <c r="C4432" t="s">
        <v>30</v>
      </c>
      <c r="D4432" t="s">
        <v>16</v>
      </c>
      <c r="E4432">
        <v>24.95</v>
      </c>
      <c r="F4432">
        <v>51</v>
      </c>
      <c r="G4432">
        <v>1272.45</v>
      </c>
      <c r="H4432" t="s">
        <v>12</v>
      </c>
      <c r="I4432" t="str">
        <f t="shared" si="208"/>
        <v>Low Value</v>
      </c>
      <c r="J4432" t="str">
        <f t="shared" si="209"/>
        <v>Low Risk</v>
      </c>
      <c r="K4432" s="3" t="str">
        <f t="shared" si="207"/>
        <v>4+ Years</v>
      </c>
    </row>
    <row r="4433" spans="1:11" x14ac:dyDescent="0.3">
      <c r="A4433" t="s">
        <v>4450</v>
      </c>
      <c r="B4433" t="s">
        <v>14</v>
      </c>
      <c r="C4433" t="s">
        <v>30</v>
      </c>
      <c r="D4433" t="s">
        <v>24</v>
      </c>
      <c r="E4433">
        <v>20.3</v>
      </c>
      <c r="F4433">
        <v>28</v>
      </c>
      <c r="G4433">
        <v>568.4</v>
      </c>
      <c r="H4433" t="s">
        <v>12</v>
      </c>
      <c r="I4433" t="str">
        <f t="shared" si="208"/>
        <v>Low Value</v>
      </c>
      <c r="J4433" t="str">
        <f t="shared" si="209"/>
        <v>Low Risk</v>
      </c>
      <c r="K4433" s="3" t="str">
        <f t="shared" si="207"/>
        <v>2-4 Years</v>
      </c>
    </row>
    <row r="4434" spans="1:11" x14ac:dyDescent="0.3">
      <c r="A4434" t="s">
        <v>4451</v>
      </c>
      <c r="B4434" t="s">
        <v>14</v>
      </c>
      <c r="C4434" t="s">
        <v>30</v>
      </c>
      <c r="D4434" t="s">
        <v>11</v>
      </c>
      <c r="E4434">
        <v>60</v>
      </c>
      <c r="F4434">
        <v>43</v>
      </c>
      <c r="G4434">
        <v>2580</v>
      </c>
      <c r="H4434" t="s">
        <v>12</v>
      </c>
      <c r="I4434" t="str">
        <f t="shared" si="208"/>
        <v>Medium Value</v>
      </c>
      <c r="J4434" t="str">
        <f t="shared" si="209"/>
        <v>Low Risk</v>
      </c>
      <c r="K4434" s="3" t="str">
        <f t="shared" si="207"/>
        <v>2-4 Years</v>
      </c>
    </row>
    <row r="4435" spans="1:11" x14ac:dyDescent="0.3">
      <c r="A4435" t="s">
        <v>4452</v>
      </c>
      <c r="B4435" t="s">
        <v>14</v>
      </c>
      <c r="C4435" t="s">
        <v>30</v>
      </c>
      <c r="D4435" t="s">
        <v>11</v>
      </c>
      <c r="E4435">
        <v>20.25</v>
      </c>
      <c r="F4435">
        <v>42</v>
      </c>
      <c r="G4435">
        <v>850.5</v>
      </c>
      <c r="H4435" t="s">
        <v>12</v>
      </c>
      <c r="I4435" t="str">
        <f t="shared" si="208"/>
        <v>Low Value</v>
      </c>
      <c r="J4435" t="str">
        <f t="shared" si="209"/>
        <v>Low Risk</v>
      </c>
      <c r="K4435" s="3" t="str">
        <f t="shared" si="207"/>
        <v>2-4 Years</v>
      </c>
    </row>
    <row r="4436" spans="1:11" x14ac:dyDescent="0.3">
      <c r="A4436" t="s">
        <v>4453</v>
      </c>
      <c r="B4436" t="s">
        <v>14</v>
      </c>
      <c r="C4436" t="s">
        <v>10</v>
      </c>
      <c r="D4436" t="s">
        <v>11</v>
      </c>
      <c r="E4436">
        <v>78.5</v>
      </c>
      <c r="F4436">
        <v>3</v>
      </c>
      <c r="G4436">
        <v>235.5</v>
      </c>
      <c r="H4436" t="s">
        <v>18</v>
      </c>
      <c r="I4436" t="str">
        <f t="shared" si="208"/>
        <v>Low Value</v>
      </c>
      <c r="J4436" t="str">
        <f t="shared" si="209"/>
        <v>High Risk</v>
      </c>
      <c r="K4436" s="3" t="str">
        <f t="shared" si="207"/>
        <v>0-1 Year</v>
      </c>
    </row>
    <row r="4437" spans="1:11" x14ac:dyDescent="0.3">
      <c r="A4437" t="s">
        <v>4454</v>
      </c>
      <c r="B4437" t="s">
        <v>9</v>
      </c>
      <c r="C4437" t="s">
        <v>10</v>
      </c>
      <c r="D4437" t="s">
        <v>16</v>
      </c>
      <c r="E4437">
        <v>44.75</v>
      </c>
      <c r="F4437">
        <v>1</v>
      </c>
      <c r="G4437">
        <v>44.75</v>
      </c>
      <c r="H4437" t="s">
        <v>12</v>
      </c>
      <c r="I4437" t="str">
        <f t="shared" si="208"/>
        <v>Low Value</v>
      </c>
      <c r="J4437" t="str">
        <f t="shared" si="209"/>
        <v>High Risk</v>
      </c>
      <c r="K4437" s="3" t="str">
        <f t="shared" si="207"/>
        <v>0-1 Year</v>
      </c>
    </row>
    <row r="4438" spans="1:11" x14ac:dyDescent="0.3">
      <c r="A4438" t="s">
        <v>4455</v>
      </c>
      <c r="B4438" t="s">
        <v>9</v>
      </c>
      <c r="C4438" t="s">
        <v>10</v>
      </c>
      <c r="D4438" t="s">
        <v>16</v>
      </c>
      <c r="E4438">
        <v>19.850000000000001</v>
      </c>
      <c r="F4438">
        <v>3</v>
      </c>
      <c r="G4438">
        <v>59.55</v>
      </c>
      <c r="H4438" t="s">
        <v>18</v>
      </c>
      <c r="I4438" t="str">
        <f t="shared" si="208"/>
        <v>Low Value</v>
      </c>
      <c r="J4438" t="str">
        <f t="shared" si="209"/>
        <v>High Risk</v>
      </c>
      <c r="K4438" s="3" t="str">
        <f t="shared" si="207"/>
        <v>0-1 Year</v>
      </c>
    </row>
    <row r="4439" spans="1:11" x14ac:dyDescent="0.3">
      <c r="A4439" t="s">
        <v>4456</v>
      </c>
      <c r="B4439" t="s">
        <v>9</v>
      </c>
      <c r="C4439" t="s">
        <v>30</v>
      </c>
      <c r="D4439" t="s">
        <v>24</v>
      </c>
      <c r="E4439">
        <v>98</v>
      </c>
      <c r="F4439">
        <v>63</v>
      </c>
      <c r="G4439">
        <v>6174</v>
      </c>
      <c r="H4439" t="s">
        <v>12</v>
      </c>
      <c r="I4439" t="str">
        <f t="shared" si="208"/>
        <v>High Value</v>
      </c>
      <c r="J4439" t="str">
        <f t="shared" si="209"/>
        <v>Low Risk</v>
      </c>
      <c r="K4439" s="3" t="str">
        <f t="shared" si="207"/>
        <v>4+ Years</v>
      </c>
    </row>
    <row r="4440" spans="1:11" x14ac:dyDescent="0.3">
      <c r="A4440" t="s">
        <v>4457</v>
      </c>
      <c r="B4440" t="s">
        <v>14</v>
      </c>
      <c r="C4440" t="s">
        <v>10</v>
      </c>
      <c r="D4440" t="s">
        <v>11</v>
      </c>
      <c r="E4440">
        <v>79.900000000000006</v>
      </c>
      <c r="F4440">
        <v>3</v>
      </c>
      <c r="G4440">
        <v>239.7</v>
      </c>
      <c r="H4440" t="s">
        <v>18</v>
      </c>
      <c r="I4440" t="str">
        <f t="shared" si="208"/>
        <v>Low Value</v>
      </c>
      <c r="J4440" t="str">
        <f t="shared" si="209"/>
        <v>High Risk</v>
      </c>
      <c r="K4440" s="3" t="str">
        <f t="shared" si="207"/>
        <v>0-1 Year</v>
      </c>
    </row>
    <row r="4441" spans="1:11" x14ac:dyDescent="0.3">
      <c r="A4441" t="s">
        <v>4458</v>
      </c>
      <c r="B4441" t="s">
        <v>14</v>
      </c>
      <c r="C4441" t="s">
        <v>10</v>
      </c>
      <c r="D4441" t="s">
        <v>11</v>
      </c>
      <c r="E4441">
        <v>107.7</v>
      </c>
      <c r="F4441">
        <v>68</v>
      </c>
      <c r="G4441">
        <v>7323.6</v>
      </c>
      <c r="H4441" t="s">
        <v>12</v>
      </c>
      <c r="I4441" t="str">
        <f t="shared" si="208"/>
        <v>High Value</v>
      </c>
      <c r="J4441" t="str">
        <f t="shared" si="209"/>
        <v>Low Risk</v>
      </c>
      <c r="K4441" s="3" t="str">
        <f t="shared" si="207"/>
        <v>4+ Years</v>
      </c>
    </row>
    <row r="4442" spans="1:11" x14ac:dyDescent="0.3">
      <c r="A4442" t="s">
        <v>4459</v>
      </c>
      <c r="B4442" t="s">
        <v>9</v>
      </c>
      <c r="C4442" t="s">
        <v>10</v>
      </c>
      <c r="D4442" t="s">
        <v>11</v>
      </c>
      <c r="E4442">
        <v>99.7</v>
      </c>
      <c r="F4442">
        <v>30</v>
      </c>
      <c r="G4442">
        <v>2991</v>
      </c>
      <c r="H4442" t="s">
        <v>18</v>
      </c>
      <c r="I4442" t="str">
        <f t="shared" si="208"/>
        <v>Medium Value</v>
      </c>
      <c r="J4442" t="str">
        <f t="shared" si="209"/>
        <v>Low Risk</v>
      </c>
      <c r="K4442" s="3" t="str">
        <f t="shared" si="207"/>
        <v>2-4 Years</v>
      </c>
    </row>
    <row r="4443" spans="1:11" x14ac:dyDescent="0.3">
      <c r="A4443" t="s">
        <v>4460</v>
      </c>
      <c r="B4443" t="s">
        <v>9</v>
      </c>
      <c r="C4443" t="s">
        <v>30</v>
      </c>
      <c r="D4443" t="s">
        <v>11</v>
      </c>
      <c r="E4443">
        <v>104.7</v>
      </c>
      <c r="F4443">
        <v>60</v>
      </c>
      <c r="G4443">
        <v>6282</v>
      </c>
      <c r="H4443" t="s">
        <v>12</v>
      </c>
      <c r="I4443" t="str">
        <f t="shared" si="208"/>
        <v>High Value</v>
      </c>
      <c r="J4443" t="str">
        <f t="shared" si="209"/>
        <v>Low Risk</v>
      </c>
      <c r="K4443" s="3" t="str">
        <f t="shared" si="207"/>
        <v>4+ Years</v>
      </c>
    </row>
    <row r="4444" spans="1:11" x14ac:dyDescent="0.3">
      <c r="A4444" t="s">
        <v>4461</v>
      </c>
      <c r="B4444" t="s">
        <v>14</v>
      </c>
      <c r="C4444" t="s">
        <v>10</v>
      </c>
      <c r="D4444" t="s">
        <v>24</v>
      </c>
      <c r="E4444">
        <v>58.6</v>
      </c>
      <c r="F4444">
        <v>15</v>
      </c>
      <c r="G4444">
        <v>879</v>
      </c>
      <c r="H4444" t="s">
        <v>18</v>
      </c>
      <c r="I4444" t="str">
        <f t="shared" si="208"/>
        <v>Low Value</v>
      </c>
      <c r="J4444" t="str">
        <f t="shared" si="209"/>
        <v>Medium Risk</v>
      </c>
      <c r="K4444" s="3" t="str">
        <f t="shared" si="207"/>
        <v>1-2 Years</v>
      </c>
    </row>
    <row r="4445" spans="1:11" x14ac:dyDescent="0.3">
      <c r="A4445" t="s">
        <v>4462</v>
      </c>
      <c r="B4445" t="s">
        <v>14</v>
      </c>
      <c r="C4445" t="s">
        <v>10</v>
      </c>
      <c r="D4445" t="s">
        <v>20</v>
      </c>
      <c r="E4445">
        <v>93.9</v>
      </c>
      <c r="F4445">
        <v>45</v>
      </c>
      <c r="G4445">
        <v>4225.5</v>
      </c>
      <c r="H4445" t="s">
        <v>12</v>
      </c>
      <c r="I4445" t="str">
        <f t="shared" si="208"/>
        <v>Medium Value</v>
      </c>
      <c r="J4445" t="str">
        <f t="shared" si="209"/>
        <v>Low Risk</v>
      </c>
      <c r="K4445" s="3" t="str">
        <f t="shared" si="207"/>
        <v>2-4 Years</v>
      </c>
    </row>
    <row r="4446" spans="1:11" x14ac:dyDescent="0.3">
      <c r="A4446" t="s">
        <v>4463</v>
      </c>
      <c r="B4446" t="s">
        <v>9</v>
      </c>
      <c r="C4446" t="s">
        <v>30</v>
      </c>
      <c r="D4446" t="s">
        <v>24</v>
      </c>
      <c r="E4446">
        <v>86.45</v>
      </c>
      <c r="F4446">
        <v>70</v>
      </c>
      <c r="G4446">
        <v>6051.5</v>
      </c>
      <c r="H4446" t="s">
        <v>12</v>
      </c>
      <c r="I4446" t="str">
        <f t="shared" si="208"/>
        <v>High Value</v>
      </c>
      <c r="J4446" t="str">
        <f t="shared" si="209"/>
        <v>Low Risk</v>
      </c>
      <c r="K4446" s="3" t="str">
        <f t="shared" si="207"/>
        <v>4+ Years</v>
      </c>
    </row>
    <row r="4447" spans="1:11" x14ac:dyDescent="0.3">
      <c r="A4447" t="s">
        <v>4464</v>
      </c>
      <c r="B4447" t="s">
        <v>14</v>
      </c>
      <c r="C4447" t="s">
        <v>10</v>
      </c>
      <c r="D4447" t="s">
        <v>11</v>
      </c>
      <c r="E4447">
        <v>98.5</v>
      </c>
      <c r="F4447">
        <v>10</v>
      </c>
      <c r="G4447">
        <v>985</v>
      </c>
      <c r="H4447" t="s">
        <v>18</v>
      </c>
      <c r="I4447" t="str">
        <f t="shared" si="208"/>
        <v>Low Value</v>
      </c>
      <c r="J4447" t="str">
        <f t="shared" si="209"/>
        <v>High Risk</v>
      </c>
      <c r="K4447" s="3" t="str">
        <f t="shared" si="207"/>
        <v>0-1 Year</v>
      </c>
    </row>
    <row r="4448" spans="1:11" x14ac:dyDescent="0.3">
      <c r="A4448" t="s">
        <v>4465</v>
      </c>
      <c r="B4448" t="s">
        <v>14</v>
      </c>
      <c r="C4448" t="s">
        <v>10</v>
      </c>
      <c r="D4448" t="s">
        <v>16</v>
      </c>
      <c r="E4448">
        <v>19.399999999999999</v>
      </c>
      <c r="F4448">
        <v>4</v>
      </c>
      <c r="G4448">
        <v>77.599999999999994</v>
      </c>
      <c r="H4448" t="s">
        <v>12</v>
      </c>
      <c r="I4448" t="str">
        <f t="shared" si="208"/>
        <v>Low Value</v>
      </c>
      <c r="J4448" t="str">
        <f t="shared" si="209"/>
        <v>High Risk</v>
      </c>
      <c r="K4448" s="3" t="str">
        <f t="shared" si="207"/>
        <v>0-1 Year</v>
      </c>
    </row>
    <row r="4449" spans="1:11" x14ac:dyDescent="0.3">
      <c r="A4449" t="s">
        <v>4466</v>
      </c>
      <c r="B4449" t="s">
        <v>9</v>
      </c>
      <c r="C4449" t="s">
        <v>10</v>
      </c>
      <c r="D4449" t="s">
        <v>16</v>
      </c>
      <c r="E4449">
        <v>50.45</v>
      </c>
      <c r="F4449">
        <v>1</v>
      </c>
      <c r="G4449">
        <v>50.45</v>
      </c>
      <c r="H4449" t="s">
        <v>18</v>
      </c>
      <c r="I4449" t="str">
        <f t="shared" si="208"/>
        <v>Low Value</v>
      </c>
      <c r="J4449" t="str">
        <f t="shared" si="209"/>
        <v>High Risk</v>
      </c>
      <c r="K4449" s="3" t="str">
        <f t="shared" si="207"/>
        <v>0-1 Year</v>
      </c>
    </row>
    <row r="4450" spans="1:11" x14ac:dyDescent="0.3">
      <c r="A4450" t="s">
        <v>4467</v>
      </c>
      <c r="B4450" t="s">
        <v>9</v>
      </c>
      <c r="C4450" t="s">
        <v>30</v>
      </c>
      <c r="D4450" t="s">
        <v>24</v>
      </c>
      <c r="E4450">
        <v>24.95</v>
      </c>
      <c r="F4450">
        <v>68</v>
      </c>
      <c r="G4450">
        <v>1696.6</v>
      </c>
      <c r="H4450" t="s">
        <v>12</v>
      </c>
      <c r="I4450" t="str">
        <f t="shared" si="208"/>
        <v>Low Value</v>
      </c>
      <c r="J4450" t="str">
        <f t="shared" si="209"/>
        <v>Low Risk</v>
      </c>
      <c r="K4450" s="3" t="str">
        <f t="shared" si="207"/>
        <v>4+ Years</v>
      </c>
    </row>
    <row r="4451" spans="1:11" x14ac:dyDescent="0.3">
      <c r="A4451" t="s">
        <v>4468</v>
      </c>
      <c r="B4451" t="s">
        <v>14</v>
      </c>
      <c r="C4451" t="s">
        <v>10</v>
      </c>
      <c r="D4451" t="s">
        <v>20</v>
      </c>
      <c r="E4451">
        <v>75</v>
      </c>
      <c r="F4451">
        <v>22</v>
      </c>
      <c r="G4451">
        <v>1650</v>
      </c>
      <c r="H4451" t="s">
        <v>12</v>
      </c>
      <c r="I4451" t="str">
        <f t="shared" si="208"/>
        <v>Low Value</v>
      </c>
      <c r="J4451" t="str">
        <f t="shared" si="209"/>
        <v>Medium Risk</v>
      </c>
      <c r="K4451" s="3" t="str">
        <f t="shared" si="207"/>
        <v>1-2 Years</v>
      </c>
    </row>
    <row r="4452" spans="1:11" x14ac:dyDescent="0.3">
      <c r="A4452" t="s">
        <v>4469</v>
      </c>
      <c r="B4452" t="s">
        <v>14</v>
      </c>
      <c r="C4452" t="s">
        <v>10</v>
      </c>
      <c r="D4452" t="s">
        <v>11</v>
      </c>
      <c r="E4452">
        <v>94.65</v>
      </c>
      <c r="F4452">
        <v>38</v>
      </c>
      <c r="G4452">
        <v>3596.7</v>
      </c>
      <c r="H4452" t="s">
        <v>18</v>
      </c>
      <c r="I4452" t="str">
        <f t="shared" si="208"/>
        <v>Medium Value</v>
      </c>
      <c r="J4452" t="str">
        <f t="shared" si="209"/>
        <v>Low Risk</v>
      </c>
      <c r="K4452" s="3" t="str">
        <f t="shared" si="207"/>
        <v>2-4 Years</v>
      </c>
    </row>
    <row r="4453" spans="1:11" x14ac:dyDescent="0.3">
      <c r="A4453" t="s">
        <v>4470</v>
      </c>
      <c r="B4453" t="s">
        <v>9</v>
      </c>
      <c r="C4453" t="s">
        <v>10</v>
      </c>
      <c r="D4453" t="s">
        <v>24</v>
      </c>
      <c r="E4453">
        <v>100.25</v>
      </c>
      <c r="F4453">
        <v>1</v>
      </c>
      <c r="G4453">
        <v>100.25</v>
      </c>
      <c r="H4453" t="s">
        <v>18</v>
      </c>
      <c r="I4453" t="str">
        <f t="shared" si="208"/>
        <v>Low Value</v>
      </c>
      <c r="J4453" t="str">
        <f t="shared" si="209"/>
        <v>High Risk</v>
      </c>
      <c r="K4453" s="3" t="str">
        <f t="shared" si="207"/>
        <v>0-1 Year</v>
      </c>
    </row>
    <row r="4454" spans="1:11" x14ac:dyDescent="0.3">
      <c r="A4454" t="s">
        <v>4471</v>
      </c>
      <c r="B4454" t="s">
        <v>14</v>
      </c>
      <c r="C4454" t="s">
        <v>10</v>
      </c>
      <c r="D4454" t="s">
        <v>11</v>
      </c>
      <c r="E4454">
        <v>78.2</v>
      </c>
      <c r="F4454">
        <v>18</v>
      </c>
      <c r="G4454">
        <v>1407.6</v>
      </c>
      <c r="H4454" t="s">
        <v>12</v>
      </c>
      <c r="I4454" t="str">
        <f t="shared" si="208"/>
        <v>Low Value</v>
      </c>
      <c r="J4454" t="str">
        <f t="shared" si="209"/>
        <v>Medium Risk</v>
      </c>
      <c r="K4454" s="3" t="str">
        <f t="shared" si="207"/>
        <v>1-2 Years</v>
      </c>
    </row>
    <row r="4455" spans="1:11" x14ac:dyDescent="0.3">
      <c r="A4455" t="s">
        <v>4472</v>
      </c>
      <c r="B4455" t="s">
        <v>14</v>
      </c>
      <c r="C4455" t="s">
        <v>10</v>
      </c>
      <c r="D4455" t="s">
        <v>11</v>
      </c>
      <c r="E4455">
        <v>94.2</v>
      </c>
      <c r="F4455">
        <v>29</v>
      </c>
      <c r="G4455">
        <v>2731.8</v>
      </c>
      <c r="H4455" t="s">
        <v>12</v>
      </c>
      <c r="I4455" t="str">
        <f t="shared" si="208"/>
        <v>Medium Value</v>
      </c>
      <c r="J4455" t="str">
        <f t="shared" si="209"/>
        <v>Low Risk</v>
      </c>
      <c r="K4455" s="3" t="str">
        <f t="shared" si="207"/>
        <v>2-4 Years</v>
      </c>
    </row>
    <row r="4456" spans="1:11" x14ac:dyDescent="0.3">
      <c r="A4456" t="s">
        <v>4473</v>
      </c>
      <c r="B4456" t="s">
        <v>9</v>
      </c>
      <c r="C4456" t="s">
        <v>10</v>
      </c>
      <c r="D4456" t="s">
        <v>11</v>
      </c>
      <c r="E4456">
        <v>88.45</v>
      </c>
      <c r="F4456">
        <v>16</v>
      </c>
      <c r="G4456">
        <v>1415.2</v>
      </c>
      <c r="H4456" t="s">
        <v>18</v>
      </c>
      <c r="I4456" t="str">
        <f t="shared" si="208"/>
        <v>Low Value</v>
      </c>
      <c r="J4456" t="str">
        <f t="shared" si="209"/>
        <v>Medium Risk</v>
      </c>
      <c r="K4456" s="3" t="str">
        <f t="shared" si="207"/>
        <v>1-2 Years</v>
      </c>
    </row>
    <row r="4457" spans="1:11" x14ac:dyDescent="0.3">
      <c r="A4457" t="s">
        <v>4474</v>
      </c>
      <c r="B4457" t="s">
        <v>14</v>
      </c>
      <c r="C4457" t="s">
        <v>10</v>
      </c>
      <c r="D4457" t="s">
        <v>11</v>
      </c>
      <c r="E4457">
        <v>69.849999999999994</v>
      </c>
      <c r="F4457">
        <v>1</v>
      </c>
      <c r="G4457">
        <v>69.849999999999994</v>
      </c>
      <c r="H4457" t="s">
        <v>18</v>
      </c>
      <c r="I4457" t="str">
        <f t="shared" si="208"/>
        <v>Low Value</v>
      </c>
      <c r="J4457" t="str">
        <f t="shared" si="209"/>
        <v>High Risk</v>
      </c>
      <c r="K4457" s="3" t="str">
        <f t="shared" si="207"/>
        <v>0-1 Year</v>
      </c>
    </row>
    <row r="4458" spans="1:11" x14ac:dyDescent="0.3">
      <c r="A4458" t="s">
        <v>4475</v>
      </c>
      <c r="B4458" t="s">
        <v>14</v>
      </c>
      <c r="C4458" t="s">
        <v>10</v>
      </c>
      <c r="D4458" t="s">
        <v>20</v>
      </c>
      <c r="E4458">
        <v>81.7</v>
      </c>
      <c r="F4458">
        <v>12</v>
      </c>
      <c r="G4458">
        <v>980.4</v>
      </c>
      <c r="H4458" t="s">
        <v>18</v>
      </c>
      <c r="I4458" t="str">
        <f t="shared" si="208"/>
        <v>Low Value</v>
      </c>
      <c r="J4458" t="str">
        <f t="shared" si="209"/>
        <v>Medium Risk</v>
      </c>
      <c r="K4458" s="3" t="str">
        <f t="shared" si="207"/>
        <v>0-1 Year</v>
      </c>
    </row>
    <row r="4459" spans="1:11" x14ac:dyDescent="0.3">
      <c r="A4459" t="s">
        <v>4476</v>
      </c>
      <c r="B4459" t="s">
        <v>14</v>
      </c>
      <c r="C4459" t="s">
        <v>15</v>
      </c>
      <c r="D4459" t="s">
        <v>11</v>
      </c>
      <c r="E4459">
        <v>50.05</v>
      </c>
      <c r="F4459">
        <v>31</v>
      </c>
      <c r="G4459">
        <v>1551.55</v>
      </c>
      <c r="H4459" t="s">
        <v>12</v>
      </c>
      <c r="I4459" t="str">
        <f t="shared" si="208"/>
        <v>Low Value</v>
      </c>
      <c r="J4459" t="str">
        <f t="shared" si="209"/>
        <v>Low Risk</v>
      </c>
      <c r="K4459" s="3" t="str">
        <f t="shared" si="207"/>
        <v>2-4 Years</v>
      </c>
    </row>
    <row r="4460" spans="1:11" x14ac:dyDescent="0.3">
      <c r="A4460" t="s">
        <v>4477</v>
      </c>
      <c r="B4460" t="s">
        <v>14</v>
      </c>
      <c r="C4460" t="s">
        <v>10</v>
      </c>
      <c r="D4460" t="s">
        <v>11</v>
      </c>
      <c r="E4460">
        <v>79.900000000000006</v>
      </c>
      <c r="F4460">
        <v>4</v>
      </c>
      <c r="G4460">
        <v>319.60000000000002</v>
      </c>
      <c r="H4460" t="s">
        <v>18</v>
      </c>
      <c r="I4460" t="str">
        <f t="shared" si="208"/>
        <v>Low Value</v>
      </c>
      <c r="J4460" t="str">
        <f t="shared" si="209"/>
        <v>High Risk</v>
      </c>
      <c r="K4460" s="3" t="str">
        <f t="shared" si="207"/>
        <v>0-1 Year</v>
      </c>
    </row>
    <row r="4461" spans="1:11" x14ac:dyDescent="0.3">
      <c r="A4461" t="s">
        <v>4478</v>
      </c>
      <c r="B4461" t="s">
        <v>9</v>
      </c>
      <c r="C4461" t="s">
        <v>15</v>
      </c>
      <c r="D4461" t="s">
        <v>16</v>
      </c>
      <c r="E4461">
        <v>69.55</v>
      </c>
      <c r="F4461">
        <v>48</v>
      </c>
      <c r="G4461">
        <v>3338.3999999999901</v>
      </c>
      <c r="H4461" t="s">
        <v>12</v>
      </c>
      <c r="I4461" t="str">
        <f t="shared" si="208"/>
        <v>Medium Value</v>
      </c>
      <c r="J4461" t="str">
        <f t="shared" si="209"/>
        <v>Low Risk</v>
      </c>
      <c r="K4461" s="3" t="str">
        <f t="shared" si="207"/>
        <v>2-4 Years</v>
      </c>
    </row>
    <row r="4462" spans="1:11" x14ac:dyDescent="0.3">
      <c r="A4462" t="s">
        <v>4479</v>
      </c>
      <c r="B4462" t="s">
        <v>9</v>
      </c>
      <c r="C4462" t="s">
        <v>10</v>
      </c>
      <c r="D4462" t="s">
        <v>24</v>
      </c>
      <c r="E4462">
        <v>25.4</v>
      </c>
      <c r="F4462">
        <v>15</v>
      </c>
      <c r="G4462">
        <v>381</v>
      </c>
      <c r="H4462" t="s">
        <v>18</v>
      </c>
      <c r="I4462" t="str">
        <f t="shared" si="208"/>
        <v>Low Value</v>
      </c>
      <c r="J4462" t="str">
        <f t="shared" si="209"/>
        <v>Medium Risk</v>
      </c>
      <c r="K4462" s="3" t="str">
        <f t="shared" si="207"/>
        <v>1-2 Years</v>
      </c>
    </row>
    <row r="4463" spans="1:11" x14ac:dyDescent="0.3">
      <c r="A4463" t="s">
        <v>4480</v>
      </c>
      <c r="B4463" t="s">
        <v>14</v>
      </c>
      <c r="C4463" t="s">
        <v>15</v>
      </c>
      <c r="D4463" t="s">
        <v>24</v>
      </c>
      <c r="E4463">
        <v>90.1</v>
      </c>
      <c r="F4463">
        <v>50</v>
      </c>
      <c r="G4463">
        <v>4505</v>
      </c>
      <c r="H4463" t="s">
        <v>12</v>
      </c>
      <c r="I4463" t="str">
        <f t="shared" si="208"/>
        <v>Medium Value</v>
      </c>
      <c r="J4463" t="str">
        <f t="shared" si="209"/>
        <v>Low Risk</v>
      </c>
      <c r="K4463" s="3" t="str">
        <f t="shared" si="207"/>
        <v>4+ Years</v>
      </c>
    </row>
    <row r="4464" spans="1:11" x14ac:dyDescent="0.3">
      <c r="A4464" t="s">
        <v>4481</v>
      </c>
      <c r="B4464" t="s">
        <v>14</v>
      </c>
      <c r="C4464" t="s">
        <v>10</v>
      </c>
      <c r="D4464" t="s">
        <v>20</v>
      </c>
      <c r="E4464">
        <v>44.65</v>
      </c>
      <c r="F4464">
        <v>7</v>
      </c>
      <c r="G4464">
        <v>312.55</v>
      </c>
      <c r="H4464" t="s">
        <v>12</v>
      </c>
      <c r="I4464" t="str">
        <f t="shared" si="208"/>
        <v>Low Value</v>
      </c>
      <c r="J4464" t="str">
        <f t="shared" si="209"/>
        <v>High Risk</v>
      </c>
      <c r="K4464" s="3" t="str">
        <f t="shared" si="207"/>
        <v>0-1 Year</v>
      </c>
    </row>
    <row r="4465" spans="1:11" x14ac:dyDescent="0.3">
      <c r="A4465" t="s">
        <v>4482</v>
      </c>
      <c r="B4465" t="s">
        <v>14</v>
      </c>
      <c r="C4465" t="s">
        <v>10</v>
      </c>
      <c r="D4465" t="s">
        <v>20</v>
      </c>
      <c r="E4465">
        <v>83.75</v>
      </c>
      <c r="F4465">
        <v>41</v>
      </c>
      <c r="G4465">
        <v>3433.75</v>
      </c>
      <c r="H4465" t="s">
        <v>18</v>
      </c>
      <c r="I4465" t="str">
        <f t="shared" si="208"/>
        <v>Medium Value</v>
      </c>
      <c r="J4465" t="str">
        <f t="shared" si="209"/>
        <v>Low Risk</v>
      </c>
      <c r="K4465" s="3" t="str">
        <f t="shared" si="207"/>
        <v>2-4 Years</v>
      </c>
    </row>
    <row r="4466" spans="1:11" x14ac:dyDescent="0.3">
      <c r="A4466" t="s">
        <v>4483</v>
      </c>
      <c r="B4466" t="s">
        <v>14</v>
      </c>
      <c r="C4466" t="s">
        <v>30</v>
      </c>
      <c r="D4466" t="s">
        <v>24</v>
      </c>
      <c r="E4466">
        <v>80.349999999999994</v>
      </c>
      <c r="F4466">
        <v>68</v>
      </c>
      <c r="G4466">
        <v>5463.7999999999902</v>
      </c>
      <c r="H4466" t="s">
        <v>12</v>
      </c>
      <c r="I4466" t="str">
        <f t="shared" si="208"/>
        <v>High Value</v>
      </c>
      <c r="J4466" t="str">
        <f t="shared" si="209"/>
        <v>Low Risk</v>
      </c>
      <c r="K4466" s="3" t="str">
        <f t="shared" si="207"/>
        <v>4+ Years</v>
      </c>
    </row>
    <row r="4467" spans="1:11" x14ac:dyDescent="0.3">
      <c r="A4467" t="s">
        <v>4484</v>
      </c>
      <c r="B4467" t="s">
        <v>9</v>
      </c>
      <c r="C4467" t="s">
        <v>10</v>
      </c>
      <c r="D4467" t="s">
        <v>20</v>
      </c>
      <c r="E4467">
        <v>98.1</v>
      </c>
      <c r="F4467">
        <v>26</v>
      </c>
      <c r="G4467">
        <v>2550.6</v>
      </c>
      <c r="H4467" t="s">
        <v>12</v>
      </c>
      <c r="I4467" t="str">
        <f t="shared" si="208"/>
        <v>Medium Value</v>
      </c>
      <c r="J4467" t="str">
        <f t="shared" si="209"/>
        <v>Low Risk</v>
      </c>
      <c r="K4467" s="3" t="str">
        <f t="shared" si="207"/>
        <v>2-4 Years</v>
      </c>
    </row>
    <row r="4468" spans="1:11" x14ac:dyDescent="0.3">
      <c r="A4468" t="s">
        <v>4485</v>
      </c>
      <c r="B4468" t="s">
        <v>14</v>
      </c>
      <c r="C4468" t="s">
        <v>30</v>
      </c>
      <c r="D4468" t="s">
        <v>24</v>
      </c>
      <c r="E4468">
        <v>53.35</v>
      </c>
      <c r="F4468">
        <v>57</v>
      </c>
      <c r="G4468">
        <v>3040.95</v>
      </c>
      <c r="H4468" t="s">
        <v>12</v>
      </c>
      <c r="I4468" t="str">
        <f t="shared" si="208"/>
        <v>Medium Value</v>
      </c>
      <c r="J4468" t="str">
        <f t="shared" si="209"/>
        <v>Low Risk</v>
      </c>
      <c r="K4468" s="3" t="str">
        <f t="shared" si="207"/>
        <v>4+ Years</v>
      </c>
    </row>
    <row r="4469" spans="1:11" x14ac:dyDescent="0.3">
      <c r="A4469" t="s">
        <v>4486</v>
      </c>
      <c r="B4469" t="s">
        <v>9</v>
      </c>
      <c r="C4469" t="s">
        <v>10</v>
      </c>
      <c r="D4469" t="s">
        <v>11</v>
      </c>
      <c r="E4469">
        <v>19.55</v>
      </c>
      <c r="F4469">
        <v>3</v>
      </c>
      <c r="G4469">
        <v>58.65</v>
      </c>
      <c r="H4469" t="s">
        <v>12</v>
      </c>
      <c r="I4469" t="str">
        <f t="shared" si="208"/>
        <v>Low Value</v>
      </c>
      <c r="J4469" t="str">
        <f t="shared" si="209"/>
        <v>High Risk</v>
      </c>
      <c r="K4469" s="3" t="str">
        <f t="shared" si="207"/>
        <v>0-1 Year</v>
      </c>
    </row>
    <row r="4470" spans="1:11" x14ac:dyDescent="0.3">
      <c r="A4470" t="s">
        <v>4487</v>
      </c>
      <c r="B4470" t="s">
        <v>9</v>
      </c>
      <c r="C4470" t="s">
        <v>10</v>
      </c>
      <c r="D4470" t="s">
        <v>16</v>
      </c>
      <c r="E4470">
        <v>20.9</v>
      </c>
      <c r="F4470">
        <v>1</v>
      </c>
      <c r="G4470">
        <v>20.9</v>
      </c>
      <c r="H4470" t="s">
        <v>18</v>
      </c>
      <c r="I4470" t="str">
        <f t="shared" si="208"/>
        <v>Low Value</v>
      </c>
      <c r="J4470" t="str">
        <f t="shared" si="209"/>
        <v>High Risk</v>
      </c>
      <c r="K4470" s="3" t="str">
        <f t="shared" si="207"/>
        <v>0-1 Year</v>
      </c>
    </row>
    <row r="4471" spans="1:11" x14ac:dyDescent="0.3">
      <c r="A4471" t="s">
        <v>4488</v>
      </c>
      <c r="B4471" t="s">
        <v>14</v>
      </c>
      <c r="C4471" t="s">
        <v>15</v>
      </c>
      <c r="D4471" t="s">
        <v>20</v>
      </c>
      <c r="E4471">
        <v>48.95</v>
      </c>
      <c r="F4471">
        <v>19</v>
      </c>
      <c r="G4471">
        <v>930.05</v>
      </c>
      <c r="H4471" t="s">
        <v>12</v>
      </c>
      <c r="I4471" t="str">
        <f t="shared" si="208"/>
        <v>Low Value</v>
      </c>
      <c r="J4471" t="str">
        <f t="shared" si="209"/>
        <v>Medium Risk</v>
      </c>
      <c r="K4471" s="3" t="str">
        <f t="shared" si="207"/>
        <v>1-2 Years</v>
      </c>
    </row>
    <row r="4472" spans="1:11" x14ac:dyDescent="0.3">
      <c r="A4472" t="s">
        <v>4489</v>
      </c>
      <c r="B4472" t="s">
        <v>9</v>
      </c>
      <c r="C4472" t="s">
        <v>10</v>
      </c>
      <c r="D4472" t="s">
        <v>11</v>
      </c>
      <c r="E4472">
        <v>54.2</v>
      </c>
      <c r="F4472">
        <v>3</v>
      </c>
      <c r="G4472">
        <v>162.6</v>
      </c>
      <c r="H4472" t="s">
        <v>12</v>
      </c>
      <c r="I4472" t="str">
        <f t="shared" si="208"/>
        <v>Low Value</v>
      </c>
      <c r="J4472" t="str">
        <f t="shared" si="209"/>
        <v>High Risk</v>
      </c>
      <c r="K4472" s="3" t="str">
        <f t="shared" si="207"/>
        <v>0-1 Year</v>
      </c>
    </row>
    <row r="4473" spans="1:11" x14ac:dyDescent="0.3">
      <c r="A4473" t="s">
        <v>4490</v>
      </c>
      <c r="B4473" t="s">
        <v>9</v>
      </c>
      <c r="C4473" t="s">
        <v>30</v>
      </c>
      <c r="D4473" t="s">
        <v>11</v>
      </c>
      <c r="E4473">
        <v>24.45</v>
      </c>
      <c r="F4473">
        <v>59</v>
      </c>
      <c r="G4473">
        <v>1442.55</v>
      </c>
      <c r="H4473" t="s">
        <v>12</v>
      </c>
      <c r="I4473" t="str">
        <f t="shared" si="208"/>
        <v>Low Value</v>
      </c>
      <c r="J4473" t="str">
        <f t="shared" si="209"/>
        <v>Low Risk</v>
      </c>
      <c r="K4473" s="3" t="str">
        <f t="shared" si="207"/>
        <v>4+ Years</v>
      </c>
    </row>
    <row r="4474" spans="1:11" x14ac:dyDescent="0.3">
      <c r="A4474" t="s">
        <v>4491</v>
      </c>
      <c r="B4474" t="s">
        <v>9</v>
      </c>
      <c r="C4474" t="s">
        <v>10</v>
      </c>
      <c r="D4474" t="s">
        <v>16</v>
      </c>
      <c r="E4474">
        <v>69.400000000000006</v>
      </c>
      <c r="F4474">
        <v>1</v>
      </c>
      <c r="G4474">
        <v>69.400000000000006</v>
      </c>
      <c r="H4474" t="s">
        <v>18</v>
      </c>
      <c r="I4474" t="str">
        <f t="shared" si="208"/>
        <v>Low Value</v>
      </c>
      <c r="J4474" t="str">
        <f t="shared" si="209"/>
        <v>High Risk</v>
      </c>
      <c r="K4474" s="3" t="str">
        <f t="shared" si="207"/>
        <v>0-1 Year</v>
      </c>
    </row>
    <row r="4475" spans="1:11" x14ac:dyDescent="0.3">
      <c r="A4475" t="s">
        <v>4492</v>
      </c>
      <c r="B4475" t="s">
        <v>14</v>
      </c>
      <c r="C4475" t="s">
        <v>10</v>
      </c>
      <c r="D4475" t="s">
        <v>20</v>
      </c>
      <c r="E4475">
        <v>40.15</v>
      </c>
      <c r="F4475">
        <v>42</v>
      </c>
      <c r="G4475">
        <v>1686.3</v>
      </c>
      <c r="H4475" t="s">
        <v>12</v>
      </c>
      <c r="I4475" t="str">
        <f t="shared" si="208"/>
        <v>Low Value</v>
      </c>
      <c r="J4475" t="str">
        <f t="shared" si="209"/>
        <v>Low Risk</v>
      </c>
      <c r="K4475" s="3" t="str">
        <f t="shared" si="207"/>
        <v>2-4 Years</v>
      </c>
    </row>
    <row r="4476" spans="1:11" x14ac:dyDescent="0.3">
      <c r="A4476" t="s">
        <v>4493</v>
      </c>
      <c r="B4476" t="s">
        <v>9</v>
      </c>
      <c r="C4476" t="s">
        <v>10</v>
      </c>
      <c r="D4476" t="s">
        <v>11</v>
      </c>
      <c r="E4476">
        <v>74.900000000000006</v>
      </c>
      <c r="F4476">
        <v>7</v>
      </c>
      <c r="G4476">
        <v>524.29999999999995</v>
      </c>
      <c r="H4476" t="s">
        <v>18</v>
      </c>
      <c r="I4476" t="str">
        <f t="shared" si="208"/>
        <v>Low Value</v>
      </c>
      <c r="J4476" t="str">
        <f t="shared" si="209"/>
        <v>High Risk</v>
      </c>
      <c r="K4476" s="3" t="str">
        <f t="shared" si="207"/>
        <v>0-1 Year</v>
      </c>
    </row>
    <row r="4477" spans="1:11" x14ac:dyDescent="0.3">
      <c r="A4477" t="s">
        <v>4494</v>
      </c>
      <c r="B4477" t="s">
        <v>14</v>
      </c>
      <c r="C4477" t="s">
        <v>30</v>
      </c>
      <c r="D4477" t="s">
        <v>24</v>
      </c>
      <c r="E4477">
        <v>25.6</v>
      </c>
      <c r="F4477">
        <v>67</v>
      </c>
      <c r="G4477">
        <v>1715.2</v>
      </c>
      <c r="H4477" t="s">
        <v>12</v>
      </c>
      <c r="I4477" t="str">
        <f t="shared" si="208"/>
        <v>Low Value</v>
      </c>
      <c r="J4477" t="str">
        <f t="shared" si="209"/>
        <v>Low Risk</v>
      </c>
      <c r="K4477" s="3" t="str">
        <f t="shared" si="207"/>
        <v>4+ Years</v>
      </c>
    </row>
    <row r="4478" spans="1:11" x14ac:dyDescent="0.3">
      <c r="A4478" t="s">
        <v>4495</v>
      </c>
      <c r="B4478" t="s">
        <v>14</v>
      </c>
      <c r="C4478" t="s">
        <v>10</v>
      </c>
      <c r="D4478" t="s">
        <v>11</v>
      </c>
      <c r="E4478">
        <v>70.349999999999994</v>
      </c>
      <c r="F4478">
        <v>1</v>
      </c>
      <c r="G4478">
        <v>70.349999999999994</v>
      </c>
      <c r="H4478" t="s">
        <v>12</v>
      </c>
      <c r="I4478" t="str">
        <f t="shared" si="208"/>
        <v>Low Value</v>
      </c>
      <c r="J4478" t="str">
        <f t="shared" si="209"/>
        <v>High Risk</v>
      </c>
      <c r="K4478" s="3" t="str">
        <f t="shared" si="207"/>
        <v>0-1 Year</v>
      </c>
    </row>
    <row r="4479" spans="1:11" x14ac:dyDescent="0.3">
      <c r="A4479" t="s">
        <v>4496</v>
      </c>
      <c r="B4479" t="s">
        <v>14</v>
      </c>
      <c r="C4479" t="s">
        <v>30</v>
      </c>
      <c r="D4479" t="s">
        <v>20</v>
      </c>
      <c r="E4479">
        <v>91.7</v>
      </c>
      <c r="F4479">
        <v>66</v>
      </c>
      <c r="G4479">
        <v>6052.2</v>
      </c>
      <c r="H4479" t="s">
        <v>12</v>
      </c>
      <c r="I4479" t="str">
        <f t="shared" si="208"/>
        <v>High Value</v>
      </c>
      <c r="J4479" t="str">
        <f t="shared" si="209"/>
        <v>Low Risk</v>
      </c>
      <c r="K4479" s="3" t="str">
        <f t="shared" si="207"/>
        <v>4+ Years</v>
      </c>
    </row>
    <row r="4480" spans="1:11" x14ac:dyDescent="0.3">
      <c r="A4480" t="s">
        <v>4497</v>
      </c>
      <c r="B4480" t="s">
        <v>9</v>
      </c>
      <c r="C4480" t="s">
        <v>10</v>
      </c>
      <c r="D4480" t="s">
        <v>16</v>
      </c>
      <c r="E4480">
        <v>89.2</v>
      </c>
      <c r="F4480">
        <v>61</v>
      </c>
      <c r="G4480">
        <v>5441.2</v>
      </c>
      <c r="H4480" t="s">
        <v>12</v>
      </c>
      <c r="I4480" t="str">
        <f t="shared" si="208"/>
        <v>High Value</v>
      </c>
      <c r="J4480" t="str">
        <f t="shared" si="209"/>
        <v>Low Risk</v>
      </c>
      <c r="K4480" s="3" t="str">
        <f t="shared" si="207"/>
        <v>4+ Years</v>
      </c>
    </row>
    <row r="4481" spans="1:11" x14ac:dyDescent="0.3">
      <c r="A4481" t="s">
        <v>4498</v>
      </c>
      <c r="B4481" t="s">
        <v>14</v>
      </c>
      <c r="C4481" t="s">
        <v>15</v>
      </c>
      <c r="D4481" t="s">
        <v>24</v>
      </c>
      <c r="E4481">
        <v>24.1</v>
      </c>
      <c r="F4481">
        <v>4</v>
      </c>
      <c r="G4481">
        <v>96.4</v>
      </c>
      <c r="H4481" t="s">
        <v>12</v>
      </c>
      <c r="I4481" t="str">
        <f t="shared" si="208"/>
        <v>Low Value</v>
      </c>
      <c r="J4481" t="str">
        <f t="shared" si="209"/>
        <v>High Risk</v>
      </c>
      <c r="K4481" s="3" t="str">
        <f t="shared" si="207"/>
        <v>0-1 Year</v>
      </c>
    </row>
    <row r="4482" spans="1:11" x14ac:dyDescent="0.3">
      <c r="A4482" t="s">
        <v>4499</v>
      </c>
      <c r="B4482" t="s">
        <v>9</v>
      </c>
      <c r="C4482" t="s">
        <v>10</v>
      </c>
      <c r="D4482" t="s">
        <v>24</v>
      </c>
      <c r="E4482">
        <v>74.150000000000006</v>
      </c>
      <c r="F4482">
        <v>42</v>
      </c>
      <c r="G4482">
        <v>3114.3</v>
      </c>
      <c r="H4482" t="s">
        <v>18</v>
      </c>
      <c r="I4482" t="str">
        <f t="shared" si="208"/>
        <v>Medium Value</v>
      </c>
      <c r="J4482" t="str">
        <f t="shared" si="209"/>
        <v>Low Risk</v>
      </c>
      <c r="K4482" s="3" t="str">
        <f t="shared" si="207"/>
        <v>2-4 Years</v>
      </c>
    </row>
    <row r="4483" spans="1:11" x14ac:dyDescent="0.3">
      <c r="A4483" t="s">
        <v>4500</v>
      </c>
      <c r="B4483" t="s">
        <v>9</v>
      </c>
      <c r="C4483" t="s">
        <v>15</v>
      </c>
      <c r="D4483" t="s">
        <v>20</v>
      </c>
      <c r="E4483">
        <v>53.85</v>
      </c>
      <c r="F4483">
        <v>64</v>
      </c>
      <c r="G4483">
        <v>3446.4</v>
      </c>
      <c r="H4483" t="s">
        <v>12</v>
      </c>
      <c r="I4483" t="str">
        <f t="shared" si="208"/>
        <v>Medium Value</v>
      </c>
      <c r="J4483" t="str">
        <f t="shared" si="209"/>
        <v>Low Risk</v>
      </c>
      <c r="K4483" s="3" t="str">
        <f t="shared" ref="K4483:K4546" si="210">IF(F4483&lt;=12,"0-1 Year",
IF(F4483&lt;=24,"1-2 Years",
IF(F4483&lt;=48,"2-4 Years","4+ Years")))</f>
        <v>4+ Years</v>
      </c>
    </row>
    <row r="4484" spans="1:11" x14ac:dyDescent="0.3">
      <c r="A4484" t="s">
        <v>4501</v>
      </c>
      <c r="B4484" t="s">
        <v>9</v>
      </c>
      <c r="C4484" t="s">
        <v>15</v>
      </c>
      <c r="D4484" t="s">
        <v>20</v>
      </c>
      <c r="E4484">
        <v>115.6</v>
      </c>
      <c r="F4484">
        <v>54</v>
      </c>
      <c r="G4484">
        <v>6242.4</v>
      </c>
      <c r="H4484" t="s">
        <v>12</v>
      </c>
      <c r="I4484" t="str">
        <f t="shared" ref="I4484:I4547" si="211">IF(G4484&gt;5000,"High Value",
IF(G4484&gt;2000,"Medium Value","Low Value"))</f>
        <v>High Value</v>
      </c>
      <c r="J4484" t="str">
        <f t="shared" ref="J4484:J4547" si="212">IF(F4484&lt;12,"High Risk",
IF(F4484&lt;24,"Medium Risk","Low Risk"))</f>
        <v>Low Risk</v>
      </c>
      <c r="K4484" s="3" t="str">
        <f t="shared" si="210"/>
        <v>4+ Years</v>
      </c>
    </row>
    <row r="4485" spans="1:11" x14ac:dyDescent="0.3">
      <c r="A4485" t="s">
        <v>4502</v>
      </c>
      <c r="B4485" t="s">
        <v>14</v>
      </c>
      <c r="C4485" t="s">
        <v>10</v>
      </c>
      <c r="D4485" t="s">
        <v>24</v>
      </c>
      <c r="E4485">
        <v>19.75</v>
      </c>
      <c r="F4485">
        <v>1</v>
      </c>
      <c r="G4485">
        <v>19.75</v>
      </c>
      <c r="H4485" t="s">
        <v>12</v>
      </c>
      <c r="I4485" t="str">
        <f t="shared" si="211"/>
        <v>Low Value</v>
      </c>
      <c r="J4485" t="str">
        <f t="shared" si="212"/>
        <v>High Risk</v>
      </c>
      <c r="K4485" s="3" t="str">
        <f t="shared" si="210"/>
        <v>0-1 Year</v>
      </c>
    </row>
    <row r="4486" spans="1:11" x14ac:dyDescent="0.3">
      <c r="A4486" t="s">
        <v>4503</v>
      </c>
      <c r="B4486" t="s">
        <v>14</v>
      </c>
      <c r="C4486" t="s">
        <v>30</v>
      </c>
      <c r="D4486" t="s">
        <v>20</v>
      </c>
      <c r="E4486">
        <v>24.05</v>
      </c>
      <c r="F4486">
        <v>54</v>
      </c>
      <c r="G4486">
        <v>1298.7</v>
      </c>
      <c r="H4486" t="s">
        <v>12</v>
      </c>
      <c r="I4486" t="str">
        <f t="shared" si="211"/>
        <v>Low Value</v>
      </c>
      <c r="J4486" t="str">
        <f t="shared" si="212"/>
        <v>Low Risk</v>
      </c>
      <c r="K4486" s="3" t="str">
        <f t="shared" si="210"/>
        <v>4+ Years</v>
      </c>
    </row>
    <row r="4487" spans="1:11" x14ac:dyDescent="0.3">
      <c r="A4487" t="s">
        <v>4504</v>
      </c>
      <c r="B4487" t="s">
        <v>9</v>
      </c>
      <c r="C4487" t="s">
        <v>30</v>
      </c>
      <c r="D4487" t="s">
        <v>24</v>
      </c>
      <c r="E4487">
        <v>25.3</v>
      </c>
      <c r="F4487">
        <v>18</v>
      </c>
      <c r="G4487">
        <v>455.4</v>
      </c>
      <c r="H4487" t="s">
        <v>12</v>
      </c>
      <c r="I4487" t="str">
        <f t="shared" si="211"/>
        <v>Low Value</v>
      </c>
      <c r="J4487" t="str">
        <f t="shared" si="212"/>
        <v>Medium Risk</v>
      </c>
      <c r="K4487" s="3" t="str">
        <f t="shared" si="210"/>
        <v>1-2 Years</v>
      </c>
    </row>
    <row r="4488" spans="1:11" x14ac:dyDescent="0.3">
      <c r="A4488" t="s">
        <v>4505</v>
      </c>
      <c r="B4488" t="s">
        <v>14</v>
      </c>
      <c r="C4488" t="s">
        <v>10</v>
      </c>
      <c r="D4488" t="s">
        <v>11</v>
      </c>
      <c r="E4488">
        <v>84.3</v>
      </c>
      <c r="F4488">
        <v>3</v>
      </c>
      <c r="G4488">
        <v>252.89999999999901</v>
      </c>
      <c r="H4488" t="s">
        <v>12</v>
      </c>
      <c r="I4488" t="str">
        <f t="shared" si="211"/>
        <v>Low Value</v>
      </c>
      <c r="J4488" t="str">
        <f t="shared" si="212"/>
        <v>High Risk</v>
      </c>
      <c r="K4488" s="3" t="str">
        <f t="shared" si="210"/>
        <v>0-1 Year</v>
      </c>
    </row>
    <row r="4489" spans="1:11" x14ac:dyDescent="0.3">
      <c r="A4489" t="s">
        <v>4506</v>
      </c>
      <c r="B4489" t="s">
        <v>9</v>
      </c>
      <c r="C4489" t="s">
        <v>10</v>
      </c>
      <c r="D4489" t="s">
        <v>11</v>
      </c>
      <c r="E4489">
        <v>70.099999999999994</v>
      </c>
      <c r="F4489">
        <v>1</v>
      </c>
      <c r="G4489">
        <v>70.099999999999994</v>
      </c>
      <c r="H4489" t="s">
        <v>18</v>
      </c>
      <c r="I4489" t="str">
        <f t="shared" si="211"/>
        <v>Low Value</v>
      </c>
      <c r="J4489" t="str">
        <f t="shared" si="212"/>
        <v>High Risk</v>
      </c>
      <c r="K4489" s="3" t="str">
        <f t="shared" si="210"/>
        <v>0-1 Year</v>
      </c>
    </row>
    <row r="4490" spans="1:11" x14ac:dyDescent="0.3">
      <c r="A4490" t="s">
        <v>4507</v>
      </c>
      <c r="B4490" t="s">
        <v>9</v>
      </c>
      <c r="C4490" t="s">
        <v>30</v>
      </c>
      <c r="D4490" t="s">
        <v>24</v>
      </c>
      <c r="E4490">
        <v>89.75</v>
      </c>
      <c r="F4490">
        <v>72</v>
      </c>
      <c r="G4490">
        <v>6462</v>
      </c>
      <c r="H4490" t="s">
        <v>12</v>
      </c>
      <c r="I4490" t="str">
        <f t="shared" si="211"/>
        <v>High Value</v>
      </c>
      <c r="J4490" t="str">
        <f t="shared" si="212"/>
        <v>Low Risk</v>
      </c>
      <c r="K4490" s="3" t="str">
        <f t="shared" si="210"/>
        <v>4+ Years</v>
      </c>
    </row>
    <row r="4491" spans="1:11" x14ac:dyDescent="0.3">
      <c r="A4491" t="s">
        <v>4508</v>
      </c>
      <c r="B4491" t="s">
        <v>14</v>
      </c>
      <c r="C4491" t="s">
        <v>15</v>
      </c>
      <c r="D4491" t="s">
        <v>11</v>
      </c>
      <c r="E4491">
        <v>97.95</v>
      </c>
      <c r="F4491">
        <v>60</v>
      </c>
      <c r="G4491">
        <v>5877</v>
      </c>
      <c r="H4491" t="s">
        <v>12</v>
      </c>
      <c r="I4491" t="str">
        <f t="shared" si="211"/>
        <v>High Value</v>
      </c>
      <c r="J4491" t="str">
        <f t="shared" si="212"/>
        <v>Low Risk</v>
      </c>
      <c r="K4491" s="3" t="str">
        <f t="shared" si="210"/>
        <v>4+ Years</v>
      </c>
    </row>
    <row r="4492" spans="1:11" x14ac:dyDescent="0.3">
      <c r="A4492" t="s">
        <v>4509</v>
      </c>
      <c r="B4492" t="s">
        <v>9</v>
      </c>
      <c r="C4492" t="s">
        <v>15</v>
      </c>
      <c r="D4492" t="s">
        <v>16</v>
      </c>
      <c r="E4492">
        <v>20</v>
      </c>
      <c r="F4492">
        <v>11</v>
      </c>
      <c r="G4492">
        <v>220</v>
      </c>
      <c r="H4492" t="s">
        <v>12</v>
      </c>
      <c r="I4492" t="str">
        <f t="shared" si="211"/>
        <v>Low Value</v>
      </c>
      <c r="J4492" t="str">
        <f t="shared" si="212"/>
        <v>High Risk</v>
      </c>
      <c r="K4492" s="3" t="str">
        <f t="shared" si="210"/>
        <v>0-1 Year</v>
      </c>
    </row>
    <row r="4493" spans="1:11" x14ac:dyDescent="0.3">
      <c r="A4493" t="s">
        <v>4510</v>
      </c>
      <c r="B4493" t="s">
        <v>9</v>
      </c>
      <c r="C4493" t="s">
        <v>10</v>
      </c>
      <c r="D4493" t="s">
        <v>11</v>
      </c>
      <c r="E4493">
        <v>78.3</v>
      </c>
      <c r="F4493">
        <v>12</v>
      </c>
      <c r="G4493">
        <v>939.599999999999</v>
      </c>
      <c r="H4493" t="s">
        <v>18</v>
      </c>
      <c r="I4493" t="str">
        <f t="shared" si="211"/>
        <v>Low Value</v>
      </c>
      <c r="J4493" t="str">
        <f t="shared" si="212"/>
        <v>Medium Risk</v>
      </c>
      <c r="K4493" s="3" t="str">
        <f t="shared" si="210"/>
        <v>0-1 Year</v>
      </c>
    </row>
    <row r="4494" spans="1:11" x14ac:dyDescent="0.3">
      <c r="A4494" t="s">
        <v>4511</v>
      </c>
      <c r="B4494" t="s">
        <v>14</v>
      </c>
      <c r="C4494" t="s">
        <v>15</v>
      </c>
      <c r="D4494" t="s">
        <v>24</v>
      </c>
      <c r="E4494">
        <v>103.9</v>
      </c>
      <c r="F4494">
        <v>61</v>
      </c>
      <c r="G4494">
        <v>6337.9</v>
      </c>
      <c r="H4494" t="s">
        <v>12</v>
      </c>
      <c r="I4494" t="str">
        <f t="shared" si="211"/>
        <v>High Value</v>
      </c>
      <c r="J4494" t="str">
        <f t="shared" si="212"/>
        <v>Low Risk</v>
      </c>
      <c r="K4494" s="3" t="str">
        <f t="shared" si="210"/>
        <v>4+ Years</v>
      </c>
    </row>
    <row r="4495" spans="1:11" x14ac:dyDescent="0.3">
      <c r="A4495" t="s">
        <v>4512</v>
      </c>
      <c r="B4495" t="s">
        <v>9</v>
      </c>
      <c r="C4495" t="s">
        <v>30</v>
      </c>
      <c r="D4495" t="s">
        <v>24</v>
      </c>
      <c r="E4495">
        <v>20.7</v>
      </c>
      <c r="F4495">
        <v>39</v>
      </c>
      <c r="G4495">
        <v>807.3</v>
      </c>
      <c r="H4495" t="s">
        <v>12</v>
      </c>
      <c r="I4495" t="str">
        <f t="shared" si="211"/>
        <v>Low Value</v>
      </c>
      <c r="J4495" t="str">
        <f t="shared" si="212"/>
        <v>Low Risk</v>
      </c>
      <c r="K4495" s="3" t="str">
        <f t="shared" si="210"/>
        <v>2-4 Years</v>
      </c>
    </row>
    <row r="4496" spans="1:11" x14ac:dyDescent="0.3">
      <c r="A4496" t="s">
        <v>4513</v>
      </c>
      <c r="B4496" t="s">
        <v>14</v>
      </c>
      <c r="C4496" t="s">
        <v>10</v>
      </c>
      <c r="D4496" t="s">
        <v>11</v>
      </c>
      <c r="E4496">
        <v>96.8</v>
      </c>
      <c r="F4496">
        <v>55</v>
      </c>
      <c r="G4496">
        <v>5324</v>
      </c>
      <c r="H4496" t="s">
        <v>18</v>
      </c>
      <c r="I4496" t="str">
        <f t="shared" si="211"/>
        <v>High Value</v>
      </c>
      <c r="J4496" t="str">
        <f t="shared" si="212"/>
        <v>Low Risk</v>
      </c>
      <c r="K4496" s="3" t="str">
        <f t="shared" si="210"/>
        <v>4+ Years</v>
      </c>
    </row>
    <row r="4497" spans="1:11" x14ac:dyDescent="0.3">
      <c r="A4497" t="s">
        <v>4514</v>
      </c>
      <c r="B4497" t="s">
        <v>9</v>
      </c>
      <c r="C4497" t="s">
        <v>10</v>
      </c>
      <c r="D4497" t="s">
        <v>11</v>
      </c>
      <c r="E4497">
        <v>94.4</v>
      </c>
      <c r="F4497">
        <v>17</v>
      </c>
      <c r="G4497">
        <v>1604.8</v>
      </c>
      <c r="H4497" t="s">
        <v>18</v>
      </c>
      <c r="I4497" t="str">
        <f t="shared" si="211"/>
        <v>Low Value</v>
      </c>
      <c r="J4497" t="str">
        <f t="shared" si="212"/>
        <v>Medium Risk</v>
      </c>
      <c r="K4497" s="3" t="str">
        <f t="shared" si="210"/>
        <v>1-2 Years</v>
      </c>
    </row>
    <row r="4498" spans="1:11" x14ac:dyDescent="0.3">
      <c r="A4498" t="s">
        <v>4515</v>
      </c>
      <c r="B4498" t="s">
        <v>14</v>
      </c>
      <c r="C4498" t="s">
        <v>15</v>
      </c>
      <c r="D4498" t="s">
        <v>24</v>
      </c>
      <c r="E4498">
        <v>20.149999999999999</v>
      </c>
      <c r="F4498">
        <v>37</v>
      </c>
      <c r="G4498">
        <v>745.55</v>
      </c>
      <c r="H4498" t="s">
        <v>12</v>
      </c>
      <c r="I4498" t="str">
        <f t="shared" si="211"/>
        <v>Low Value</v>
      </c>
      <c r="J4498" t="str">
        <f t="shared" si="212"/>
        <v>Low Risk</v>
      </c>
      <c r="K4498" s="3" t="str">
        <f t="shared" si="210"/>
        <v>2-4 Years</v>
      </c>
    </row>
    <row r="4499" spans="1:11" x14ac:dyDescent="0.3">
      <c r="A4499" t="s">
        <v>4516</v>
      </c>
      <c r="B4499" t="s">
        <v>9</v>
      </c>
      <c r="C4499" t="s">
        <v>30</v>
      </c>
      <c r="D4499" t="s">
        <v>16</v>
      </c>
      <c r="E4499">
        <v>26</v>
      </c>
      <c r="F4499">
        <v>72</v>
      </c>
      <c r="G4499">
        <v>1872</v>
      </c>
      <c r="H4499" t="s">
        <v>12</v>
      </c>
      <c r="I4499" t="str">
        <f t="shared" si="211"/>
        <v>Low Value</v>
      </c>
      <c r="J4499" t="str">
        <f t="shared" si="212"/>
        <v>Low Risk</v>
      </c>
      <c r="K4499" s="3" t="str">
        <f t="shared" si="210"/>
        <v>4+ Years</v>
      </c>
    </row>
    <row r="4500" spans="1:11" x14ac:dyDescent="0.3">
      <c r="A4500" t="s">
        <v>4517</v>
      </c>
      <c r="B4500" t="s">
        <v>14</v>
      </c>
      <c r="C4500" t="s">
        <v>30</v>
      </c>
      <c r="D4500" t="s">
        <v>24</v>
      </c>
      <c r="E4500">
        <v>77.349999999999994</v>
      </c>
      <c r="F4500">
        <v>72</v>
      </c>
      <c r="G4500">
        <v>5569.2</v>
      </c>
      <c r="H4500" t="s">
        <v>12</v>
      </c>
      <c r="I4500" t="str">
        <f t="shared" si="211"/>
        <v>High Value</v>
      </c>
      <c r="J4500" t="str">
        <f t="shared" si="212"/>
        <v>Low Risk</v>
      </c>
      <c r="K4500" s="3" t="str">
        <f t="shared" si="210"/>
        <v>4+ Years</v>
      </c>
    </row>
    <row r="4501" spans="1:11" x14ac:dyDescent="0.3">
      <c r="A4501" t="s">
        <v>4518</v>
      </c>
      <c r="B4501" t="s">
        <v>9</v>
      </c>
      <c r="C4501" t="s">
        <v>10</v>
      </c>
      <c r="D4501" t="s">
        <v>20</v>
      </c>
      <c r="E4501">
        <v>66.05</v>
      </c>
      <c r="F4501">
        <v>8</v>
      </c>
      <c r="G4501">
        <v>528.4</v>
      </c>
      <c r="H4501" t="s">
        <v>12</v>
      </c>
      <c r="I4501" t="str">
        <f t="shared" si="211"/>
        <v>Low Value</v>
      </c>
      <c r="J4501" t="str">
        <f t="shared" si="212"/>
        <v>High Risk</v>
      </c>
      <c r="K4501" s="3" t="str">
        <f t="shared" si="210"/>
        <v>0-1 Year</v>
      </c>
    </row>
    <row r="4502" spans="1:11" x14ac:dyDescent="0.3">
      <c r="A4502" t="s">
        <v>4519</v>
      </c>
      <c r="B4502" t="s">
        <v>9</v>
      </c>
      <c r="C4502" t="s">
        <v>10</v>
      </c>
      <c r="D4502" t="s">
        <v>16</v>
      </c>
      <c r="E4502">
        <v>19.899999999999999</v>
      </c>
      <c r="F4502">
        <v>22</v>
      </c>
      <c r="G4502">
        <v>437.79999999999899</v>
      </c>
      <c r="H4502" t="s">
        <v>12</v>
      </c>
      <c r="I4502" t="str">
        <f t="shared" si="211"/>
        <v>Low Value</v>
      </c>
      <c r="J4502" t="str">
        <f t="shared" si="212"/>
        <v>Medium Risk</v>
      </c>
      <c r="K4502" s="3" t="str">
        <f t="shared" si="210"/>
        <v>1-2 Years</v>
      </c>
    </row>
    <row r="4503" spans="1:11" x14ac:dyDescent="0.3">
      <c r="A4503" t="s">
        <v>4520</v>
      </c>
      <c r="B4503" t="s">
        <v>9</v>
      </c>
      <c r="C4503" t="s">
        <v>10</v>
      </c>
      <c r="D4503" t="s">
        <v>11</v>
      </c>
      <c r="E4503">
        <v>84.3</v>
      </c>
      <c r="F4503">
        <v>1</v>
      </c>
      <c r="G4503">
        <v>84.3</v>
      </c>
      <c r="H4503" t="s">
        <v>18</v>
      </c>
      <c r="I4503" t="str">
        <f t="shared" si="211"/>
        <v>Low Value</v>
      </c>
      <c r="J4503" t="str">
        <f t="shared" si="212"/>
        <v>High Risk</v>
      </c>
      <c r="K4503" s="3" t="str">
        <f t="shared" si="210"/>
        <v>0-1 Year</v>
      </c>
    </row>
    <row r="4504" spans="1:11" x14ac:dyDescent="0.3">
      <c r="A4504" t="s">
        <v>4521</v>
      </c>
      <c r="B4504" t="s">
        <v>9</v>
      </c>
      <c r="C4504" t="s">
        <v>10</v>
      </c>
      <c r="D4504" t="s">
        <v>24</v>
      </c>
      <c r="E4504">
        <v>68.150000000000006</v>
      </c>
      <c r="F4504">
        <v>38</v>
      </c>
      <c r="G4504">
        <v>2589.6999999999998</v>
      </c>
      <c r="H4504" t="s">
        <v>12</v>
      </c>
      <c r="I4504" t="str">
        <f t="shared" si="211"/>
        <v>Medium Value</v>
      </c>
      <c r="J4504" t="str">
        <f t="shared" si="212"/>
        <v>Low Risk</v>
      </c>
      <c r="K4504" s="3" t="str">
        <f t="shared" si="210"/>
        <v>2-4 Years</v>
      </c>
    </row>
    <row r="4505" spans="1:11" x14ac:dyDescent="0.3">
      <c r="A4505" t="s">
        <v>4522</v>
      </c>
      <c r="B4505" t="s">
        <v>14</v>
      </c>
      <c r="C4505" t="s">
        <v>15</v>
      </c>
      <c r="D4505" t="s">
        <v>11</v>
      </c>
      <c r="E4505">
        <v>80.849999999999994</v>
      </c>
      <c r="F4505">
        <v>17</v>
      </c>
      <c r="G4505">
        <v>1374.44999999999</v>
      </c>
      <c r="H4505" t="s">
        <v>12</v>
      </c>
      <c r="I4505" t="str">
        <f t="shared" si="211"/>
        <v>Low Value</v>
      </c>
      <c r="J4505" t="str">
        <f t="shared" si="212"/>
        <v>Medium Risk</v>
      </c>
      <c r="K4505" s="3" t="str">
        <f t="shared" si="210"/>
        <v>1-2 Years</v>
      </c>
    </row>
    <row r="4506" spans="1:11" x14ac:dyDescent="0.3">
      <c r="A4506" t="s">
        <v>4523</v>
      </c>
      <c r="B4506" t="s">
        <v>9</v>
      </c>
      <c r="C4506" t="s">
        <v>30</v>
      </c>
      <c r="D4506" t="s">
        <v>20</v>
      </c>
      <c r="E4506">
        <v>75.5</v>
      </c>
      <c r="F4506">
        <v>70</v>
      </c>
      <c r="G4506">
        <v>5285</v>
      </c>
      <c r="H4506" t="s">
        <v>12</v>
      </c>
      <c r="I4506" t="str">
        <f t="shared" si="211"/>
        <v>High Value</v>
      </c>
      <c r="J4506" t="str">
        <f t="shared" si="212"/>
        <v>Low Risk</v>
      </c>
      <c r="K4506" s="3" t="str">
        <f t="shared" si="210"/>
        <v>4+ Years</v>
      </c>
    </row>
    <row r="4507" spans="1:11" x14ac:dyDescent="0.3">
      <c r="A4507" t="s">
        <v>4524</v>
      </c>
      <c r="B4507" t="s">
        <v>9</v>
      </c>
      <c r="C4507" t="s">
        <v>30</v>
      </c>
      <c r="D4507" t="s">
        <v>24</v>
      </c>
      <c r="E4507">
        <v>92.45</v>
      </c>
      <c r="F4507">
        <v>72</v>
      </c>
      <c r="G4507">
        <v>6656.4</v>
      </c>
      <c r="H4507" t="s">
        <v>18</v>
      </c>
      <c r="I4507" t="str">
        <f t="shared" si="211"/>
        <v>High Value</v>
      </c>
      <c r="J4507" t="str">
        <f t="shared" si="212"/>
        <v>Low Risk</v>
      </c>
      <c r="K4507" s="3" t="str">
        <f t="shared" si="210"/>
        <v>4+ Years</v>
      </c>
    </row>
    <row r="4508" spans="1:11" x14ac:dyDescent="0.3">
      <c r="A4508" t="s">
        <v>4525</v>
      </c>
      <c r="B4508" t="s">
        <v>9</v>
      </c>
      <c r="C4508" t="s">
        <v>10</v>
      </c>
      <c r="D4508" t="s">
        <v>11</v>
      </c>
      <c r="E4508">
        <v>80.599999999999994</v>
      </c>
      <c r="F4508">
        <v>28</v>
      </c>
      <c r="G4508">
        <v>2256.7999999999902</v>
      </c>
      <c r="H4508" t="s">
        <v>12</v>
      </c>
      <c r="I4508" t="str">
        <f t="shared" si="211"/>
        <v>Medium Value</v>
      </c>
      <c r="J4508" t="str">
        <f t="shared" si="212"/>
        <v>Low Risk</v>
      </c>
      <c r="K4508" s="3" t="str">
        <f t="shared" si="210"/>
        <v>2-4 Years</v>
      </c>
    </row>
    <row r="4509" spans="1:11" x14ac:dyDescent="0.3">
      <c r="A4509" t="s">
        <v>4526</v>
      </c>
      <c r="B4509" t="s">
        <v>9</v>
      </c>
      <c r="C4509" t="s">
        <v>10</v>
      </c>
      <c r="D4509" t="s">
        <v>20</v>
      </c>
      <c r="E4509">
        <v>83.2</v>
      </c>
      <c r="F4509">
        <v>15</v>
      </c>
      <c r="G4509">
        <v>1248</v>
      </c>
      <c r="H4509" t="s">
        <v>12</v>
      </c>
      <c r="I4509" t="str">
        <f t="shared" si="211"/>
        <v>Low Value</v>
      </c>
      <c r="J4509" t="str">
        <f t="shared" si="212"/>
        <v>Medium Risk</v>
      </c>
      <c r="K4509" s="3" t="str">
        <f t="shared" si="210"/>
        <v>1-2 Years</v>
      </c>
    </row>
    <row r="4510" spans="1:11" x14ac:dyDescent="0.3">
      <c r="A4510" t="s">
        <v>4527</v>
      </c>
      <c r="B4510" t="s">
        <v>14</v>
      </c>
      <c r="C4510" t="s">
        <v>30</v>
      </c>
      <c r="D4510" t="s">
        <v>20</v>
      </c>
      <c r="E4510">
        <v>87.55</v>
      </c>
      <c r="F4510">
        <v>72</v>
      </c>
      <c r="G4510">
        <v>6303.5999999999904</v>
      </c>
      <c r="H4510" t="s">
        <v>12</v>
      </c>
      <c r="I4510" t="str">
        <f t="shared" si="211"/>
        <v>High Value</v>
      </c>
      <c r="J4510" t="str">
        <f t="shared" si="212"/>
        <v>Low Risk</v>
      </c>
      <c r="K4510" s="3" t="str">
        <f t="shared" si="210"/>
        <v>4+ Years</v>
      </c>
    </row>
    <row r="4511" spans="1:11" x14ac:dyDescent="0.3">
      <c r="A4511" t="s">
        <v>4528</v>
      </c>
      <c r="B4511" t="s">
        <v>9</v>
      </c>
      <c r="C4511" t="s">
        <v>10</v>
      </c>
      <c r="D4511" t="s">
        <v>11</v>
      </c>
      <c r="E4511">
        <v>99.55</v>
      </c>
      <c r="F4511">
        <v>11</v>
      </c>
      <c r="G4511">
        <v>1095.05</v>
      </c>
      <c r="H4511" t="s">
        <v>18</v>
      </c>
      <c r="I4511" t="str">
        <f t="shared" si="211"/>
        <v>Low Value</v>
      </c>
      <c r="J4511" t="str">
        <f t="shared" si="212"/>
        <v>High Risk</v>
      </c>
      <c r="K4511" s="3" t="str">
        <f t="shared" si="210"/>
        <v>0-1 Year</v>
      </c>
    </row>
    <row r="4512" spans="1:11" x14ac:dyDescent="0.3">
      <c r="A4512" t="s">
        <v>4529</v>
      </c>
      <c r="B4512" t="s">
        <v>14</v>
      </c>
      <c r="C4512" t="s">
        <v>10</v>
      </c>
      <c r="D4512" t="s">
        <v>11</v>
      </c>
      <c r="E4512">
        <v>81.25</v>
      </c>
      <c r="F4512">
        <v>8</v>
      </c>
      <c r="G4512">
        <v>650</v>
      </c>
      <c r="H4512" t="s">
        <v>18</v>
      </c>
      <c r="I4512" t="str">
        <f t="shared" si="211"/>
        <v>Low Value</v>
      </c>
      <c r="J4512" t="str">
        <f t="shared" si="212"/>
        <v>High Risk</v>
      </c>
      <c r="K4512" s="3" t="str">
        <f t="shared" si="210"/>
        <v>0-1 Year</v>
      </c>
    </row>
    <row r="4513" spans="1:11" x14ac:dyDescent="0.3">
      <c r="A4513" t="s">
        <v>4530</v>
      </c>
      <c r="B4513" t="s">
        <v>9</v>
      </c>
      <c r="C4513" t="s">
        <v>15</v>
      </c>
      <c r="D4513" t="s">
        <v>20</v>
      </c>
      <c r="E4513">
        <v>109.4</v>
      </c>
      <c r="F4513">
        <v>57</v>
      </c>
      <c r="G4513">
        <v>6235.8</v>
      </c>
      <c r="H4513" t="s">
        <v>12</v>
      </c>
      <c r="I4513" t="str">
        <f t="shared" si="211"/>
        <v>High Value</v>
      </c>
      <c r="J4513" t="str">
        <f t="shared" si="212"/>
        <v>Low Risk</v>
      </c>
      <c r="K4513" s="3" t="str">
        <f t="shared" si="210"/>
        <v>4+ Years</v>
      </c>
    </row>
    <row r="4514" spans="1:11" x14ac:dyDescent="0.3">
      <c r="A4514" t="s">
        <v>4531</v>
      </c>
      <c r="B4514" t="s">
        <v>14</v>
      </c>
      <c r="C4514" t="s">
        <v>10</v>
      </c>
      <c r="D4514" t="s">
        <v>20</v>
      </c>
      <c r="E4514">
        <v>19.95</v>
      </c>
      <c r="F4514">
        <v>1</v>
      </c>
      <c r="G4514">
        <v>19.95</v>
      </c>
      <c r="H4514" t="s">
        <v>18</v>
      </c>
      <c r="I4514" t="str">
        <f t="shared" si="211"/>
        <v>Low Value</v>
      </c>
      <c r="J4514" t="str">
        <f t="shared" si="212"/>
        <v>High Risk</v>
      </c>
      <c r="K4514" s="3" t="str">
        <f t="shared" si="210"/>
        <v>0-1 Year</v>
      </c>
    </row>
    <row r="4515" spans="1:11" x14ac:dyDescent="0.3">
      <c r="A4515" t="s">
        <v>4532</v>
      </c>
      <c r="B4515" t="s">
        <v>9</v>
      </c>
      <c r="C4515" t="s">
        <v>10</v>
      </c>
      <c r="D4515" t="s">
        <v>11</v>
      </c>
      <c r="E4515">
        <v>45.55</v>
      </c>
      <c r="F4515">
        <v>46</v>
      </c>
      <c r="G4515">
        <v>2095.2999999999902</v>
      </c>
      <c r="H4515" t="s">
        <v>12</v>
      </c>
      <c r="I4515" t="str">
        <f t="shared" si="211"/>
        <v>Medium Value</v>
      </c>
      <c r="J4515" t="str">
        <f t="shared" si="212"/>
        <v>Low Risk</v>
      </c>
      <c r="K4515" s="3" t="str">
        <f t="shared" si="210"/>
        <v>2-4 Years</v>
      </c>
    </row>
    <row r="4516" spans="1:11" x14ac:dyDescent="0.3">
      <c r="A4516" t="s">
        <v>4533</v>
      </c>
      <c r="B4516" t="s">
        <v>14</v>
      </c>
      <c r="C4516" t="s">
        <v>15</v>
      </c>
      <c r="D4516" t="s">
        <v>24</v>
      </c>
      <c r="E4516">
        <v>20.7</v>
      </c>
      <c r="F4516">
        <v>30</v>
      </c>
      <c r="G4516">
        <v>621</v>
      </c>
      <c r="H4516" t="s">
        <v>12</v>
      </c>
      <c r="I4516" t="str">
        <f t="shared" si="211"/>
        <v>Low Value</v>
      </c>
      <c r="J4516" t="str">
        <f t="shared" si="212"/>
        <v>Low Risk</v>
      </c>
      <c r="K4516" s="3" t="str">
        <f t="shared" si="210"/>
        <v>2-4 Years</v>
      </c>
    </row>
    <row r="4517" spans="1:11" x14ac:dyDescent="0.3">
      <c r="A4517" t="s">
        <v>4534</v>
      </c>
      <c r="B4517" t="s">
        <v>14</v>
      </c>
      <c r="C4517" t="s">
        <v>10</v>
      </c>
      <c r="D4517" t="s">
        <v>11</v>
      </c>
      <c r="E4517">
        <v>75.3</v>
      </c>
      <c r="F4517">
        <v>10</v>
      </c>
      <c r="G4517">
        <v>753</v>
      </c>
      <c r="H4517" t="s">
        <v>12</v>
      </c>
      <c r="I4517" t="str">
        <f t="shared" si="211"/>
        <v>Low Value</v>
      </c>
      <c r="J4517" t="str">
        <f t="shared" si="212"/>
        <v>High Risk</v>
      </c>
      <c r="K4517" s="3" t="str">
        <f t="shared" si="210"/>
        <v>0-1 Year</v>
      </c>
    </row>
    <row r="4518" spans="1:11" x14ac:dyDescent="0.3">
      <c r="A4518" t="s">
        <v>4535</v>
      </c>
      <c r="B4518" t="s">
        <v>14</v>
      </c>
      <c r="C4518" t="s">
        <v>10</v>
      </c>
      <c r="D4518" t="s">
        <v>11</v>
      </c>
      <c r="E4518">
        <v>99.25</v>
      </c>
      <c r="F4518">
        <v>23</v>
      </c>
      <c r="G4518">
        <v>2282.75</v>
      </c>
      <c r="H4518" t="s">
        <v>18</v>
      </c>
      <c r="I4518" t="str">
        <f t="shared" si="211"/>
        <v>Medium Value</v>
      </c>
      <c r="J4518" t="str">
        <f t="shared" si="212"/>
        <v>Medium Risk</v>
      </c>
      <c r="K4518" s="3" t="str">
        <f t="shared" si="210"/>
        <v>1-2 Years</v>
      </c>
    </row>
    <row r="4519" spans="1:11" x14ac:dyDescent="0.3">
      <c r="A4519" t="s">
        <v>4536</v>
      </c>
      <c r="B4519" t="s">
        <v>14</v>
      </c>
      <c r="C4519" t="s">
        <v>10</v>
      </c>
      <c r="D4519" t="s">
        <v>24</v>
      </c>
      <c r="E4519">
        <v>93.4</v>
      </c>
      <c r="F4519">
        <v>32</v>
      </c>
      <c r="G4519">
        <v>2988.8</v>
      </c>
      <c r="H4519" t="s">
        <v>12</v>
      </c>
      <c r="I4519" t="str">
        <f t="shared" si="211"/>
        <v>Medium Value</v>
      </c>
      <c r="J4519" t="str">
        <f t="shared" si="212"/>
        <v>Low Risk</v>
      </c>
      <c r="K4519" s="3" t="str">
        <f t="shared" si="210"/>
        <v>2-4 Years</v>
      </c>
    </row>
    <row r="4520" spans="1:11" x14ac:dyDescent="0.3">
      <c r="A4520" t="s">
        <v>4537</v>
      </c>
      <c r="B4520" t="s">
        <v>14</v>
      </c>
      <c r="C4520" t="s">
        <v>10</v>
      </c>
      <c r="D4520" t="s">
        <v>24</v>
      </c>
      <c r="E4520">
        <v>73.75</v>
      </c>
      <c r="F4520">
        <v>13</v>
      </c>
      <c r="G4520">
        <v>958.75</v>
      </c>
      <c r="H4520" t="s">
        <v>12</v>
      </c>
      <c r="I4520" t="str">
        <f t="shared" si="211"/>
        <v>Low Value</v>
      </c>
      <c r="J4520" t="str">
        <f t="shared" si="212"/>
        <v>Medium Risk</v>
      </c>
      <c r="K4520" s="3" t="str">
        <f t="shared" si="210"/>
        <v>1-2 Years</v>
      </c>
    </row>
    <row r="4521" spans="1:11" x14ac:dyDescent="0.3">
      <c r="A4521" t="s">
        <v>4538</v>
      </c>
      <c r="B4521" t="s">
        <v>9</v>
      </c>
      <c r="C4521" t="s">
        <v>30</v>
      </c>
      <c r="D4521" t="s">
        <v>11</v>
      </c>
      <c r="E4521">
        <v>80.45</v>
      </c>
      <c r="F4521">
        <v>39</v>
      </c>
      <c r="G4521">
        <v>3137.55</v>
      </c>
      <c r="H4521" t="s">
        <v>18</v>
      </c>
      <c r="I4521" t="str">
        <f t="shared" si="211"/>
        <v>Medium Value</v>
      </c>
      <c r="J4521" t="str">
        <f t="shared" si="212"/>
        <v>Low Risk</v>
      </c>
      <c r="K4521" s="3" t="str">
        <f t="shared" si="210"/>
        <v>2-4 Years</v>
      </c>
    </row>
    <row r="4522" spans="1:11" x14ac:dyDescent="0.3">
      <c r="A4522" t="s">
        <v>4539</v>
      </c>
      <c r="B4522" t="s">
        <v>9</v>
      </c>
      <c r="C4522" t="s">
        <v>10</v>
      </c>
      <c r="D4522" t="s">
        <v>24</v>
      </c>
      <c r="E4522">
        <v>88.15</v>
      </c>
      <c r="F4522">
        <v>44</v>
      </c>
      <c r="G4522">
        <v>3878.6</v>
      </c>
      <c r="H4522" t="s">
        <v>12</v>
      </c>
      <c r="I4522" t="str">
        <f t="shared" si="211"/>
        <v>Medium Value</v>
      </c>
      <c r="J4522" t="str">
        <f t="shared" si="212"/>
        <v>Low Risk</v>
      </c>
      <c r="K4522" s="3" t="str">
        <f t="shared" si="210"/>
        <v>2-4 Years</v>
      </c>
    </row>
    <row r="4523" spans="1:11" x14ac:dyDescent="0.3">
      <c r="A4523" t="s">
        <v>4540</v>
      </c>
      <c r="B4523" t="s">
        <v>14</v>
      </c>
      <c r="C4523" t="s">
        <v>10</v>
      </c>
      <c r="D4523" t="s">
        <v>16</v>
      </c>
      <c r="E4523">
        <v>49.2</v>
      </c>
      <c r="F4523">
        <v>9</v>
      </c>
      <c r="G4523">
        <v>442.8</v>
      </c>
      <c r="H4523" t="s">
        <v>12</v>
      </c>
      <c r="I4523" t="str">
        <f t="shared" si="211"/>
        <v>Low Value</v>
      </c>
      <c r="J4523" t="str">
        <f t="shared" si="212"/>
        <v>High Risk</v>
      </c>
      <c r="K4523" s="3" t="str">
        <f t="shared" si="210"/>
        <v>0-1 Year</v>
      </c>
    </row>
    <row r="4524" spans="1:11" x14ac:dyDescent="0.3">
      <c r="A4524" t="s">
        <v>4541</v>
      </c>
      <c r="B4524" t="s">
        <v>9</v>
      </c>
      <c r="C4524" t="s">
        <v>30</v>
      </c>
      <c r="D4524" t="s">
        <v>16</v>
      </c>
      <c r="E4524">
        <v>19.649999999999999</v>
      </c>
      <c r="F4524">
        <v>67</v>
      </c>
      <c r="G4524">
        <v>1316.55</v>
      </c>
      <c r="H4524" t="s">
        <v>12</v>
      </c>
      <c r="I4524" t="str">
        <f t="shared" si="211"/>
        <v>Low Value</v>
      </c>
      <c r="J4524" t="str">
        <f t="shared" si="212"/>
        <v>Low Risk</v>
      </c>
      <c r="K4524" s="3" t="str">
        <f t="shared" si="210"/>
        <v>4+ Years</v>
      </c>
    </row>
    <row r="4525" spans="1:11" x14ac:dyDescent="0.3">
      <c r="A4525" t="s">
        <v>4542</v>
      </c>
      <c r="B4525" t="s">
        <v>14</v>
      </c>
      <c r="C4525" t="s">
        <v>10</v>
      </c>
      <c r="D4525" t="s">
        <v>20</v>
      </c>
      <c r="E4525">
        <v>79.349999999999994</v>
      </c>
      <c r="F4525">
        <v>9</v>
      </c>
      <c r="G4525">
        <v>714.15</v>
      </c>
      <c r="H4525" t="s">
        <v>18</v>
      </c>
      <c r="I4525" t="str">
        <f t="shared" si="211"/>
        <v>Low Value</v>
      </c>
      <c r="J4525" t="str">
        <f t="shared" si="212"/>
        <v>High Risk</v>
      </c>
      <c r="K4525" s="3" t="str">
        <f t="shared" si="210"/>
        <v>0-1 Year</v>
      </c>
    </row>
    <row r="4526" spans="1:11" x14ac:dyDescent="0.3">
      <c r="A4526" t="s">
        <v>4543</v>
      </c>
      <c r="B4526" t="s">
        <v>9</v>
      </c>
      <c r="C4526" t="s">
        <v>10</v>
      </c>
      <c r="D4526" t="s">
        <v>11</v>
      </c>
      <c r="E4526">
        <v>79.75</v>
      </c>
      <c r="F4526">
        <v>15</v>
      </c>
      <c r="G4526">
        <v>1196.25</v>
      </c>
      <c r="H4526" t="s">
        <v>18</v>
      </c>
      <c r="I4526" t="str">
        <f t="shared" si="211"/>
        <v>Low Value</v>
      </c>
      <c r="J4526" t="str">
        <f t="shared" si="212"/>
        <v>Medium Risk</v>
      </c>
      <c r="K4526" s="3" t="str">
        <f t="shared" si="210"/>
        <v>1-2 Years</v>
      </c>
    </row>
    <row r="4527" spans="1:11" x14ac:dyDescent="0.3">
      <c r="A4527" t="s">
        <v>4544</v>
      </c>
      <c r="B4527" t="s">
        <v>9</v>
      </c>
      <c r="C4527" t="s">
        <v>30</v>
      </c>
      <c r="D4527" t="s">
        <v>20</v>
      </c>
      <c r="E4527">
        <v>105.15</v>
      </c>
      <c r="F4527">
        <v>71</v>
      </c>
      <c r="G4527">
        <v>7465.65</v>
      </c>
      <c r="H4527" t="s">
        <v>12</v>
      </c>
      <c r="I4527" t="str">
        <f t="shared" si="211"/>
        <v>High Value</v>
      </c>
      <c r="J4527" t="str">
        <f t="shared" si="212"/>
        <v>Low Risk</v>
      </c>
      <c r="K4527" s="3" t="str">
        <f t="shared" si="210"/>
        <v>4+ Years</v>
      </c>
    </row>
    <row r="4528" spans="1:11" x14ac:dyDescent="0.3">
      <c r="A4528" t="s">
        <v>4545</v>
      </c>
      <c r="B4528" t="s">
        <v>14</v>
      </c>
      <c r="C4528" t="s">
        <v>10</v>
      </c>
      <c r="D4528" t="s">
        <v>24</v>
      </c>
      <c r="E4528">
        <v>49</v>
      </c>
      <c r="F4528">
        <v>1</v>
      </c>
      <c r="G4528">
        <v>49</v>
      </c>
      <c r="H4528" t="s">
        <v>12</v>
      </c>
      <c r="I4528" t="str">
        <f t="shared" si="211"/>
        <v>Low Value</v>
      </c>
      <c r="J4528" t="str">
        <f t="shared" si="212"/>
        <v>High Risk</v>
      </c>
      <c r="K4528" s="3" t="str">
        <f t="shared" si="210"/>
        <v>0-1 Year</v>
      </c>
    </row>
    <row r="4529" spans="1:11" x14ac:dyDescent="0.3">
      <c r="A4529" t="s">
        <v>4546</v>
      </c>
      <c r="B4529" t="s">
        <v>9</v>
      </c>
      <c r="C4529" t="s">
        <v>10</v>
      </c>
      <c r="D4529" t="s">
        <v>11</v>
      </c>
      <c r="E4529">
        <v>100.05</v>
      </c>
      <c r="F4529">
        <v>30</v>
      </c>
      <c r="G4529">
        <v>3001.5</v>
      </c>
      <c r="H4529" t="s">
        <v>18</v>
      </c>
      <c r="I4529" t="str">
        <f t="shared" si="211"/>
        <v>Medium Value</v>
      </c>
      <c r="J4529" t="str">
        <f t="shared" si="212"/>
        <v>Low Risk</v>
      </c>
      <c r="K4529" s="3" t="str">
        <f t="shared" si="210"/>
        <v>2-4 Years</v>
      </c>
    </row>
    <row r="4530" spans="1:11" x14ac:dyDescent="0.3">
      <c r="A4530" t="s">
        <v>4547</v>
      </c>
      <c r="B4530" t="s">
        <v>14</v>
      </c>
      <c r="C4530" t="s">
        <v>10</v>
      </c>
      <c r="D4530" t="s">
        <v>11</v>
      </c>
      <c r="E4530">
        <v>69.349999999999994</v>
      </c>
      <c r="F4530">
        <v>1</v>
      </c>
      <c r="G4530">
        <v>69.349999999999994</v>
      </c>
      <c r="H4530" t="s">
        <v>18</v>
      </c>
      <c r="I4530" t="str">
        <f t="shared" si="211"/>
        <v>Low Value</v>
      </c>
      <c r="J4530" t="str">
        <f t="shared" si="212"/>
        <v>High Risk</v>
      </c>
      <c r="K4530" s="3" t="str">
        <f t="shared" si="210"/>
        <v>0-1 Year</v>
      </c>
    </row>
    <row r="4531" spans="1:11" x14ac:dyDescent="0.3">
      <c r="A4531" t="s">
        <v>4548</v>
      </c>
      <c r="B4531" t="s">
        <v>14</v>
      </c>
      <c r="C4531" t="s">
        <v>10</v>
      </c>
      <c r="D4531" t="s">
        <v>16</v>
      </c>
      <c r="E4531">
        <v>49.8</v>
      </c>
      <c r="F4531">
        <v>17</v>
      </c>
      <c r="G4531">
        <v>846.599999999999</v>
      </c>
      <c r="H4531" t="s">
        <v>12</v>
      </c>
      <c r="I4531" t="str">
        <f t="shared" si="211"/>
        <v>Low Value</v>
      </c>
      <c r="J4531" t="str">
        <f t="shared" si="212"/>
        <v>Medium Risk</v>
      </c>
      <c r="K4531" s="3" t="str">
        <f t="shared" si="210"/>
        <v>1-2 Years</v>
      </c>
    </row>
    <row r="4532" spans="1:11" x14ac:dyDescent="0.3">
      <c r="A4532" t="s">
        <v>4549</v>
      </c>
      <c r="B4532" t="s">
        <v>9</v>
      </c>
      <c r="C4532" t="s">
        <v>10</v>
      </c>
      <c r="D4532" t="s">
        <v>11</v>
      </c>
      <c r="E4532">
        <v>85.8</v>
      </c>
      <c r="F4532">
        <v>3</v>
      </c>
      <c r="G4532">
        <v>257.39999999999998</v>
      </c>
      <c r="H4532" t="s">
        <v>18</v>
      </c>
      <c r="I4532" t="str">
        <f t="shared" si="211"/>
        <v>Low Value</v>
      </c>
      <c r="J4532" t="str">
        <f t="shared" si="212"/>
        <v>High Risk</v>
      </c>
      <c r="K4532" s="3" t="str">
        <f t="shared" si="210"/>
        <v>0-1 Year</v>
      </c>
    </row>
    <row r="4533" spans="1:11" x14ac:dyDescent="0.3">
      <c r="A4533" t="s">
        <v>4550</v>
      </c>
      <c r="B4533" t="s">
        <v>14</v>
      </c>
      <c r="C4533" t="s">
        <v>30</v>
      </c>
      <c r="D4533" t="s">
        <v>11</v>
      </c>
      <c r="E4533">
        <v>79.7</v>
      </c>
      <c r="F4533">
        <v>67</v>
      </c>
      <c r="G4533">
        <v>5339.9</v>
      </c>
      <c r="H4533" t="s">
        <v>18</v>
      </c>
      <c r="I4533" t="str">
        <f t="shared" si="211"/>
        <v>High Value</v>
      </c>
      <c r="J4533" t="str">
        <f t="shared" si="212"/>
        <v>Low Risk</v>
      </c>
      <c r="K4533" s="3" t="str">
        <f t="shared" si="210"/>
        <v>4+ Years</v>
      </c>
    </row>
    <row r="4534" spans="1:11" x14ac:dyDescent="0.3">
      <c r="A4534" t="s">
        <v>4551</v>
      </c>
      <c r="B4534" t="s">
        <v>14</v>
      </c>
      <c r="C4534" t="s">
        <v>10</v>
      </c>
      <c r="D4534" t="s">
        <v>20</v>
      </c>
      <c r="E4534">
        <v>20.95</v>
      </c>
      <c r="F4534">
        <v>1</v>
      </c>
      <c r="G4534">
        <v>20.95</v>
      </c>
      <c r="H4534" t="s">
        <v>12</v>
      </c>
      <c r="I4534" t="str">
        <f t="shared" si="211"/>
        <v>Low Value</v>
      </c>
      <c r="J4534" t="str">
        <f t="shared" si="212"/>
        <v>High Risk</v>
      </c>
      <c r="K4534" s="3" t="str">
        <f t="shared" si="210"/>
        <v>0-1 Year</v>
      </c>
    </row>
    <row r="4535" spans="1:11" x14ac:dyDescent="0.3">
      <c r="A4535" t="s">
        <v>4552</v>
      </c>
      <c r="B4535" t="s">
        <v>9</v>
      </c>
      <c r="C4535" t="s">
        <v>10</v>
      </c>
      <c r="D4535" t="s">
        <v>16</v>
      </c>
      <c r="E4535">
        <v>50.55</v>
      </c>
      <c r="F4535">
        <v>1</v>
      </c>
      <c r="G4535">
        <v>50.55</v>
      </c>
      <c r="H4535" t="s">
        <v>18</v>
      </c>
      <c r="I4535" t="str">
        <f t="shared" si="211"/>
        <v>Low Value</v>
      </c>
      <c r="J4535" t="str">
        <f t="shared" si="212"/>
        <v>High Risk</v>
      </c>
      <c r="K4535" s="3" t="str">
        <f t="shared" si="210"/>
        <v>0-1 Year</v>
      </c>
    </row>
    <row r="4536" spans="1:11" x14ac:dyDescent="0.3">
      <c r="A4536" t="s">
        <v>4553</v>
      </c>
      <c r="B4536" t="s">
        <v>9</v>
      </c>
      <c r="C4536" t="s">
        <v>10</v>
      </c>
      <c r="D4536" t="s">
        <v>16</v>
      </c>
      <c r="E4536">
        <v>79.3</v>
      </c>
      <c r="F4536">
        <v>32</v>
      </c>
      <c r="G4536">
        <v>2537.6</v>
      </c>
      <c r="H4536" t="s">
        <v>12</v>
      </c>
      <c r="I4536" t="str">
        <f t="shared" si="211"/>
        <v>Medium Value</v>
      </c>
      <c r="J4536" t="str">
        <f t="shared" si="212"/>
        <v>Low Risk</v>
      </c>
      <c r="K4536" s="3" t="str">
        <f t="shared" si="210"/>
        <v>2-4 Years</v>
      </c>
    </row>
    <row r="4537" spans="1:11" x14ac:dyDescent="0.3">
      <c r="A4537" t="s">
        <v>4554</v>
      </c>
      <c r="B4537" t="s">
        <v>14</v>
      </c>
      <c r="C4537" t="s">
        <v>15</v>
      </c>
      <c r="D4537" t="s">
        <v>20</v>
      </c>
      <c r="E4537">
        <v>19.5</v>
      </c>
      <c r="F4537">
        <v>41</v>
      </c>
      <c r="G4537">
        <v>799.5</v>
      </c>
      <c r="H4537" t="s">
        <v>12</v>
      </c>
      <c r="I4537" t="str">
        <f t="shared" si="211"/>
        <v>Low Value</v>
      </c>
      <c r="J4537" t="str">
        <f t="shared" si="212"/>
        <v>Low Risk</v>
      </c>
      <c r="K4537" s="3" t="str">
        <f t="shared" si="210"/>
        <v>2-4 Years</v>
      </c>
    </row>
    <row r="4538" spans="1:11" x14ac:dyDescent="0.3">
      <c r="A4538" t="s">
        <v>4555</v>
      </c>
      <c r="B4538" t="s">
        <v>14</v>
      </c>
      <c r="C4538" t="s">
        <v>10</v>
      </c>
      <c r="D4538" t="s">
        <v>11</v>
      </c>
      <c r="E4538">
        <v>80.55</v>
      </c>
      <c r="F4538">
        <v>1</v>
      </c>
      <c r="G4538">
        <v>80.55</v>
      </c>
      <c r="H4538" t="s">
        <v>18</v>
      </c>
      <c r="I4538" t="str">
        <f t="shared" si="211"/>
        <v>Low Value</v>
      </c>
      <c r="J4538" t="str">
        <f t="shared" si="212"/>
        <v>High Risk</v>
      </c>
      <c r="K4538" s="3" t="str">
        <f t="shared" si="210"/>
        <v>0-1 Year</v>
      </c>
    </row>
    <row r="4539" spans="1:11" x14ac:dyDescent="0.3">
      <c r="A4539" t="s">
        <v>4556</v>
      </c>
      <c r="B4539" t="s">
        <v>9</v>
      </c>
      <c r="C4539" t="s">
        <v>10</v>
      </c>
      <c r="D4539" t="s">
        <v>20</v>
      </c>
      <c r="E4539">
        <v>44.15</v>
      </c>
      <c r="F4539">
        <v>1</v>
      </c>
      <c r="G4539">
        <v>44.15</v>
      </c>
      <c r="H4539" t="s">
        <v>12</v>
      </c>
      <c r="I4539" t="str">
        <f t="shared" si="211"/>
        <v>Low Value</v>
      </c>
      <c r="J4539" t="str">
        <f t="shared" si="212"/>
        <v>High Risk</v>
      </c>
      <c r="K4539" s="3" t="str">
        <f t="shared" si="210"/>
        <v>0-1 Year</v>
      </c>
    </row>
    <row r="4540" spans="1:11" x14ac:dyDescent="0.3">
      <c r="A4540" t="s">
        <v>4557</v>
      </c>
      <c r="B4540" t="s">
        <v>9</v>
      </c>
      <c r="C4540" t="s">
        <v>10</v>
      </c>
      <c r="D4540" t="s">
        <v>11</v>
      </c>
      <c r="E4540">
        <v>84.5</v>
      </c>
      <c r="F4540">
        <v>12</v>
      </c>
      <c r="G4540">
        <v>1014</v>
      </c>
      <c r="H4540" t="s">
        <v>18</v>
      </c>
      <c r="I4540" t="str">
        <f t="shared" si="211"/>
        <v>Low Value</v>
      </c>
      <c r="J4540" t="str">
        <f t="shared" si="212"/>
        <v>Medium Risk</v>
      </c>
      <c r="K4540" s="3" t="str">
        <f t="shared" si="210"/>
        <v>0-1 Year</v>
      </c>
    </row>
    <row r="4541" spans="1:11" x14ac:dyDescent="0.3">
      <c r="A4541" t="s">
        <v>4558</v>
      </c>
      <c r="B4541" t="s">
        <v>14</v>
      </c>
      <c r="C4541" t="s">
        <v>10</v>
      </c>
      <c r="D4541" t="s">
        <v>11</v>
      </c>
      <c r="E4541">
        <v>105.5</v>
      </c>
      <c r="F4541">
        <v>62</v>
      </c>
      <c r="G4541">
        <v>6541</v>
      </c>
      <c r="H4541" t="s">
        <v>12</v>
      </c>
      <c r="I4541" t="str">
        <f t="shared" si="211"/>
        <v>High Value</v>
      </c>
      <c r="J4541" t="str">
        <f t="shared" si="212"/>
        <v>Low Risk</v>
      </c>
      <c r="K4541" s="3" t="str">
        <f t="shared" si="210"/>
        <v>4+ Years</v>
      </c>
    </row>
    <row r="4542" spans="1:11" x14ac:dyDescent="0.3">
      <c r="A4542" t="s">
        <v>4559</v>
      </c>
      <c r="B4542" t="s">
        <v>9</v>
      </c>
      <c r="C4542" t="s">
        <v>10</v>
      </c>
      <c r="D4542" t="s">
        <v>16</v>
      </c>
      <c r="E4542">
        <v>84.3</v>
      </c>
      <c r="F4542">
        <v>22</v>
      </c>
      <c r="G4542">
        <v>1854.6</v>
      </c>
      <c r="H4542" t="s">
        <v>18</v>
      </c>
      <c r="I4542" t="str">
        <f t="shared" si="211"/>
        <v>Low Value</v>
      </c>
      <c r="J4542" t="str">
        <f t="shared" si="212"/>
        <v>Medium Risk</v>
      </c>
      <c r="K4542" s="3" t="str">
        <f t="shared" si="210"/>
        <v>1-2 Years</v>
      </c>
    </row>
    <row r="4543" spans="1:11" x14ac:dyDescent="0.3">
      <c r="A4543" t="s">
        <v>4560</v>
      </c>
      <c r="B4543" t="s">
        <v>9</v>
      </c>
      <c r="C4543" t="s">
        <v>10</v>
      </c>
      <c r="D4543" t="s">
        <v>24</v>
      </c>
      <c r="E4543">
        <v>92.7</v>
      </c>
      <c r="F4543">
        <v>17</v>
      </c>
      <c r="G4543">
        <v>1575.9</v>
      </c>
      <c r="H4543" t="s">
        <v>12</v>
      </c>
      <c r="I4543" t="str">
        <f t="shared" si="211"/>
        <v>Low Value</v>
      </c>
      <c r="J4543" t="str">
        <f t="shared" si="212"/>
        <v>Medium Risk</v>
      </c>
      <c r="K4543" s="3" t="str">
        <f t="shared" si="210"/>
        <v>1-2 Years</v>
      </c>
    </row>
    <row r="4544" spans="1:11" x14ac:dyDescent="0.3">
      <c r="A4544" t="s">
        <v>4561</v>
      </c>
      <c r="B4544" t="s">
        <v>9</v>
      </c>
      <c r="C4544" t="s">
        <v>30</v>
      </c>
      <c r="D4544" t="s">
        <v>20</v>
      </c>
      <c r="E4544">
        <v>26.25</v>
      </c>
      <c r="F4544">
        <v>72</v>
      </c>
      <c r="G4544">
        <v>1890</v>
      </c>
      <c r="H4544" t="s">
        <v>12</v>
      </c>
      <c r="I4544" t="str">
        <f t="shared" si="211"/>
        <v>Low Value</v>
      </c>
      <c r="J4544" t="str">
        <f t="shared" si="212"/>
        <v>Low Risk</v>
      </c>
      <c r="K4544" s="3" t="str">
        <f t="shared" si="210"/>
        <v>4+ Years</v>
      </c>
    </row>
    <row r="4545" spans="1:11" x14ac:dyDescent="0.3">
      <c r="A4545" t="s">
        <v>4562</v>
      </c>
      <c r="B4545" t="s">
        <v>14</v>
      </c>
      <c r="C4545" t="s">
        <v>10</v>
      </c>
      <c r="D4545" t="s">
        <v>24</v>
      </c>
      <c r="E4545">
        <v>96.95</v>
      </c>
      <c r="F4545">
        <v>56</v>
      </c>
      <c r="G4545">
        <v>5429.2</v>
      </c>
      <c r="H4545" t="s">
        <v>12</v>
      </c>
      <c r="I4545" t="str">
        <f t="shared" si="211"/>
        <v>High Value</v>
      </c>
      <c r="J4545" t="str">
        <f t="shared" si="212"/>
        <v>Low Risk</v>
      </c>
      <c r="K4545" s="3" t="str">
        <f t="shared" si="210"/>
        <v>4+ Years</v>
      </c>
    </row>
    <row r="4546" spans="1:11" x14ac:dyDescent="0.3">
      <c r="A4546" t="s">
        <v>4563</v>
      </c>
      <c r="B4546" t="s">
        <v>9</v>
      </c>
      <c r="C4546" t="s">
        <v>10</v>
      </c>
      <c r="D4546" t="s">
        <v>24</v>
      </c>
      <c r="E4546">
        <v>20.45</v>
      </c>
      <c r="F4546">
        <v>9</v>
      </c>
      <c r="G4546">
        <v>184.04999999999899</v>
      </c>
      <c r="H4546" t="s">
        <v>12</v>
      </c>
      <c r="I4546" t="str">
        <f t="shared" si="211"/>
        <v>Low Value</v>
      </c>
      <c r="J4546" t="str">
        <f t="shared" si="212"/>
        <v>High Risk</v>
      </c>
      <c r="K4546" s="3" t="str">
        <f t="shared" si="210"/>
        <v>0-1 Year</v>
      </c>
    </row>
    <row r="4547" spans="1:11" x14ac:dyDescent="0.3">
      <c r="A4547" t="s">
        <v>4564</v>
      </c>
      <c r="B4547" t="s">
        <v>14</v>
      </c>
      <c r="C4547" t="s">
        <v>30</v>
      </c>
      <c r="D4547" t="s">
        <v>20</v>
      </c>
      <c r="E4547">
        <v>115.8</v>
      </c>
      <c r="F4547">
        <v>72</v>
      </c>
      <c r="G4547">
        <v>8337.6</v>
      </c>
      <c r="H4547" t="s">
        <v>12</v>
      </c>
      <c r="I4547" t="str">
        <f t="shared" si="211"/>
        <v>High Value</v>
      </c>
      <c r="J4547" t="str">
        <f t="shared" si="212"/>
        <v>Low Risk</v>
      </c>
      <c r="K4547" s="3" t="str">
        <f t="shared" ref="K4547:K4610" si="213">IF(F4547&lt;=12,"0-1 Year",
IF(F4547&lt;=24,"1-2 Years",
IF(F4547&lt;=48,"2-4 Years","4+ Years")))</f>
        <v>4+ Years</v>
      </c>
    </row>
    <row r="4548" spans="1:11" x14ac:dyDescent="0.3">
      <c r="A4548" t="s">
        <v>4565</v>
      </c>
      <c r="B4548" t="s">
        <v>14</v>
      </c>
      <c r="C4548" t="s">
        <v>10</v>
      </c>
      <c r="D4548" t="s">
        <v>20</v>
      </c>
      <c r="E4548">
        <v>108.2</v>
      </c>
      <c r="F4548">
        <v>20</v>
      </c>
      <c r="G4548">
        <v>2164</v>
      </c>
      <c r="H4548" t="s">
        <v>12</v>
      </c>
      <c r="I4548" t="str">
        <f t="shared" ref="I4548:I4611" si="214">IF(G4548&gt;5000,"High Value",
IF(G4548&gt;2000,"Medium Value","Low Value"))</f>
        <v>Medium Value</v>
      </c>
      <c r="J4548" t="str">
        <f t="shared" ref="J4548:J4611" si="215">IF(F4548&lt;12,"High Risk",
IF(F4548&lt;24,"Medium Risk","Low Risk"))</f>
        <v>Medium Risk</v>
      </c>
      <c r="K4548" s="3" t="str">
        <f t="shared" si="213"/>
        <v>1-2 Years</v>
      </c>
    </row>
    <row r="4549" spans="1:11" x14ac:dyDescent="0.3">
      <c r="A4549" t="s">
        <v>4566</v>
      </c>
      <c r="B4549" t="s">
        <v>14</v>
      </c>
      <c r="C4549" t="s">
        <v>30</v>
      </c>
      <c r="D4549" t="s">
        <v>16</v>
      </c>
      <c r="E4549">
        <v>20.2</v>
      </c>
      <c r="F4549">
        <v>19</v>
      </c>
      <c r="G4549">
        <v>383.8</v>
      </c>
      <c r="H4549" t="s">
        <v>12</v>
      </c>
      <c r="I4549" t="str">
        <f t="shared" si="214"/>
        <v>Low Value</v>
      </c>
      <c r="J4549" t="str">
        <f t="shared" si="215"/>
        <v>Medium Risk</v>
      </c>
      <c r="K4549" s="3" t="str">
        <f t="shared" si="213"/>
        <v>1-2 Years</v>
      </c>
    </row>
    <row r="4550" spans="1:11" x14ac:dyDescent="0.3">
      <c r="A4550" t="s">
        <v>4567</v>
      </c>
      <c r="B4550" t="s">
        <v>14</v>
      </c>
      <c r="C4550" t="s">
        <v>10</v>
      </c>
      <c r="D4550" t="s">
        <v>11</v>
      </c>
      <c r="E4550">
        <v>67.75</v>
      </c>
      <c r="F4550">
        <v>2</v>
      </c>
      <c r="G4550">
        <v>135.5</v>
      </c>
      <c r="H4550" t="s">
        <v>18</v>
      </c>
      <c r="I4550" t="str">
        <f t="shared" si="214"/>
        <v>Low Value</v>
      </c>
      <c r="J4550" t="str">
        <f t="shared" si="215"/>
        <v>High Risk</v>
      </c>
      <c r="K4550" s="3" t="str">
        <f t="shared" si="213"/>
        <v>0-1 Year</v>
      </c>
    </row>
    <row r="4551" spans="1:11" x14ac:dyDescent="0.3">
      <c r="A4551" t="s">
        <v>4568</v>
      </c>
      <c r="B4551" t="s">
        <v>14</v>
      </c>
      <c r="C4551" t="s">
        <v>15</v>
      </c>
      <c r="D4551" t="s">
        <v>24</v>
      </c>
      <c r="E4551">
        <v>54.9</v>
      </c>
      <c r="F4551">
        <v>53</v>
      </c>
      <c r="G4551">
        <v>2909.7</v>
      </c>
      <c r="H4551" t="s">
        <v>12</v>
      </c>
      <c r="I4551" t="str">
        <f t="shared" si="214"/>
        <v>Medium Value</v>
      </c>
      <c r="J4551" t="str">
        <f t="shared" si="215"/>
        <v>Low Risk</v>
      </c>
      <c r="K4551" s="3" t="str">
        <f t="shared" si="213"/>
        <v>4+ Years</v>
      </c>
    </row>
    <row r="4552" spans="1:11" x14ac:dyDescent="0.3">
      <c r="A4552" t="s">
        <v>4569</v>
      </c>
      <c r="B4552" t="s">
        <v>9</v>
      </c>
      <c r="C4552" t="s">
        <v>10</v>
      </c>
      <c r="D4552" t="s">
        <v>11</v>
      </c>
      <c r="E4552">
        <v>85.25</v>
      </c>
      <c r="F4552">
        <v>27</v>
      </c>
      <c r="G4552">
        <v>2301.75</v>
      </c>
      <c r="H4552" t="s">
        <v>18</v>
      </c>
      <c r="I4552" t="str">
        <f t="shared" si="214"/>
        <v>Medium Value</v>
      </c>
      <c r="J4552" t="str">
        <f t="shared" si="215"/>
        <v>Low Risk</v>
      </c>
      <c r="K4552" s="3" t="str">
        <f t="shared" si="213"/>
        <v>2-4 Years</v>
      </c>
    </row>
    <row r="4553" spans="1:11" x14ac:dyDescent="0.3">
      <c r="A4553" t="s">
        <v>4570</v>
      </c>
      <c r="B4553" t="s">
        <v>14</v>
      </c>
      <c r="C4553" t="s">
        <v>10</v>
      </c>
      <c r="D4553" t="s">
        <v>20</v>
      </c>
      <c r="E4553">
        <v>20.149999999999999</v>
      </c>
      <c r="F4553">
        <v>6</v>
      </c>
      <c r="G4553">
        <v>120.899999999999</v>
      </c>
      <c r="H4553" t="s">
        <v>12</v>
      </c>
      <c r="I4553" t="str">
        <f t="shared" si="214"/>
        <v>Low Value</v>
      </c>
      <c r="J4553" t="str">
        <f t="shared" si="215"/>
        <v>High Risk</v>
      </c>
      <c r="K4553" s="3" t="str">
        <f t="shared" si="213"/>
        <v>0-1 Year</v>
      </c>
    </row>
    <row r="4554" spans="1:11" x14ac:dyDescent="0.3">
      <c r="A4554" t="s">
        <v>4571</v>
      </c>
      <c r="B4554" t="s">
        <v>14</v>
      </c>
      <c r="C4554" t="s">
        <v>15</v>
      </c>
      <c r="D4554" t="s">
        <v>11</v>
      </c>
      <c r="E4554">
        <v>90.35</v>
      </c>
      <c r="F4554">
        <v>9</v>
      </c>
      <c r="G4554">
        <v>813.15</v>
      </c>
      <c r="H4554" t="s">
        <v>12</v>
      </c>
      <c r="I4554" t="str">
        <f t="shared" si="214"/>
        <v>Low Value</v>
      </c>
      <c r="J4554" t="str">
        <f t="shared" si="215"/>
        <v>High Risk</v>
      </c>
      <c r="K4554" s="3" t="str">
        <f t="shared" si="213"/>
        <v>0-1 Year</v>
      </c>
    </row>
    <row r="4555" spans="1:11" x14ac:dyDescent="0.3">
      <c r="A4555" t="s">
        <v>4572</v>
      </c>
      <c r="B4555" t="s">
        <v>9</v>
      </c>
      <c r="C4555" t="s">
        <v>10</v>
      </c>
      <c r="D4555" t="s">
        <v>11</v>
      </c>
      <c r="E4555">
        <v>55.75</v>
      </c>
      <c r="F4555">
        <v>8</v>
      </c>
      <c r="G4555">
        <v>446</v>
      </c>
      <c r="H4555" t="s">
        <v>12</v>
      </c>
      <c r="I4555" t="str">
        <f t="shared" si="214"/>
        <v>Low Value</v>
      </c>
      <c r="J4555" t="str">
        <f t="shared" si="215"/>
        <v>High Risk</v>
      </c>
      <c r="K4555" s="3" t="str">
        <f t="shared" si="213"/>
        <v>0-1 Year</v>
      </c>
    </row>
    <row r="4556" spans="1:11" x14ac:dyDescent="0.3">
      <c r="A4556" t="s">
        <v>4573</v>
      </c>
      <c r="B4556" t="s">
        <v>9</v>
      </c>
      <c r="C4556" t="s">
        <v>30</v>
      </c>
      <c r="D4556" t="s">
        <v>20</v>
      </c>
      <c r="E4556">
        <v>114.6</v>
      </c>
      <c r="F4556">
        <v>71</v>
      </c>
      <c r="G4556">
        <v>8136.5999999999904</v>
      </c>
      <c r="H4556" t="s">
        <v>12</v>
      </c>
      <c r="I4556" t="str">
        <f t="shared" si="214"/>
        <v>High Value</v>
      </c>
      <c r="J4556" t="str">
        <f t="shared" si="215"/>
        <v>Low Risk</v>
      </c>
      <c r="K4556" s="3" t="str">
        <f t="shared" si="213"/>
        <v>4+ Years</v>
      </c>
    </row>
    <row r="4557" spans="1:11" x14ac:dyDescent="0.3">
      <c r="A4557" t="s">
        <v>4574</v>
      </c>
      <c r="B4557" t="s">
        <v>9</v>
      </c>
      <c r="C4557" t="s">
        <v>10</v>
      </c>
      <c r="D4557" t="s">
        <v>20</v>
      </c>
      <c r="E4557">
        <v>80.05</v>
      </c>
      <c r="F4557">
        <v>10</v>
      </c>
      <c r="G4557">
        <v>800.5</v>
      </c>
      <c r="H4557" t="s">
        <v>18</v>
      </c>
      <c r="I4557" t="str">
        <f t="shared" si="214"/>
        <v>Low Value</v>
      </c>
      <c r="J4557" t="str">
        <f t="shared" si="215"/>
        <v>High Risk</v>
      </c>
      <c r="K4557" s="3" t="str">
        <f t="shared" si="213"/>
        <v>0-1 Year</v>
      </c>
    </row>
    <row r="4558" spans="1:11" x14ac:dyDescent="0.3">
      <c r="A4558" t="s">
        <v>4575</v>
      </c>
      <c r="B4558" t="s">
        <v>14</v>
      </c>
      <c r="C4558" t="s">
        <v>10</v>
      </c>
      <c r="D4558" t="s">
        <v>16</v>
      </c>
      <c r="E4558">
        <v>20</v>
      </c>
      <c r="F4558">
        <v>1</v>
      </c>
      <c r="G4558">
        <v>20</v>
      </c>
      <c r="H4558" t="s">
        <v>18</v>
      </c>
      <c r="I4558" t="str">
        <f t="shared" si="214"/>
        <v>Low Value</v>
      </c>
      <c r="J4558" t="str">
        <f t="shared" si="215"/>
        <v>High Risk</v>
      </c>
      <c r="K4558" s="3" t="str">
        <f t="shared" si="213"/>
        <v>0-1 Year</v>
      </c>
    </row>
    <row r="4559" spans="1:11" x14ac:dyDescent="0.3">
      <c r="A4559" t="s">
        <v>4576</v>
      </c>
      <c r="B4559" t="s">
        <v>9</v>
      </c>
      <c r="C4559" t="s">
        <v>15</v>
      </c>
      <c r="D4559" t="s">
        <v>20</v>
      </c>
      <c r="E4559">
        <v>66.8</v>
      </c>
      <c r="F4559">
        <v>71</v>
      </c>
      <c r="G4559">
        <v>4742.8</v>
      </c>
      <c r="H4559" t="s">
        <v>12</v>
      </c>
      <c r="I4559" t="str">
        <f t="shared" si="214"/>
        <v>Medium Value</v>
      </c>
      <c r="J4559" t="str">
        <f t="shared" si="215"/>
        <v>Low Risk</v>
      </c>
      <c r="K4559" s="3" t="str">
        <f t="shared" si="213"/>
        <v>4+ Years</v>
      </c>
    </row>
    <row r="4560" spans="1:11" x14ac:dyDescent="0.3">
      <c r="A4560" t="s">
        <v>4577</v>
      </c>
      <c r="B4560" t="s">
        <v>14</v>
      </c>
      <c r="C4560" t="s">
        <v>15</v>
      </c>
      <c r="D4560" t="s">
        <v>11</v>
      </c>
      <c r="E4560">
        <v>100.3</v>
      </c>
      <c r="F4560">
        <v>68</v>
      </c>
      <c r="G4560">
        <v>6820.4</v>
      </c>
      <c r="H4560" t="s">
        <v>12</v>
      </c>
      <c r="I4560" t="str">
        <f t="shared" si="214"/>
        <v>High Value</v>
      </c>
      <c r="J4560" t="str">
        <f t="shared" si="215"/>
        <v>Low Risk</v>
      </c>
      <c r="K4560" s="3" t="str">
        <f t="shared" si="213"/>
        <v>4+ Years</v>
      </c>
    </row>
    <row r="4561" spans="1:11" x14ac:dyDescent="0.3">
      <c r="A4561" t="s">
        <v>4578</v>
      </c>
      <c r="B4561" t="s">
        <v>14</v>
      </c>
      <c r="C4561" t="s">
        <v>10</v>
      </c>
      <c r="D4561" t="s">
        <v>11</v>
      </c>
      <c r="E4561">
        <v>105.35</v>
      </c>
      <c r="F4561">
        <v>34</v>
      </c>
      <c r="G4561">
        <v>3581.8999999999901</v>
      </c>
      <c r="H4561" t="s">
        <v>12</v>
      </c>
      <c r="I4561" t="str">
        <f t="shared" si="214"/>
        <v>Medium Value</v>
      </c>
      <c r="J4561" t="str">
        <f t="shared" si="215"/>
        <v>Low Risk</v>
      </c>
      <c r="K4561" s="3" t="str">
        <f t="shared" si="213"/>
        <v>2-4 Years</v>
      </c>
    </row>
    <row r="4562" spans="1:11" x14ac:dyDescent="0.3">
      <c r="A4562" t="s">
        <v>4579</v>
      </c>
      <c r="B4562" t="s">
        <v>14</v>
      </c>
      <c r="C4562" t="s">
        <v>15</v>
      </c>
      <c r="D4562" t="s">
        <v>11</v>
      </c>
      <c r="E4562">
        <v>85.2</v>
      </c>
      <c r="F4562">
        <v>26</v>
      </c>
      <c r="G4562">
        <v>2215.1999999999998</v>
      </c>
      <c r="H4562" t="s">
        <v>12</v>
      </c>
      <c r="I4562" t="str">
        <f t="shared" si="214"/>
        <v>Medium Value</v>
      </c>
      <c r="J4562" t="str">
        <f t="shared" si="215"/>
        <v>Low Risk</v>
      </c>
      <c r="K4562" s="3" t="str">
        <f t="shared" si="213"/>
        <v>2-4 Years</v>
      </c>
    </row>
    <row r="4563" spans="1:11" x14ac:dyDescent="0.3">
      <c r="A4563" t="s">
        <v>4580</v>
      </c>
      <c r="B4563" t="s">
        <v>9</v>
      </c>
      <c r="C4563" t="s">
        <v>10</v>
      </c>
      <c r="D4563" t="s">
        <v>24</v>
      </c>
      <c r="E4563">
        <v>48.8</v>
      </c>
      <c r="F4563">
        <v>22</v>
      </c>
      <c r="G4563">
        <v>1073.5999999999999</v>
      </c>
      <c r="H4563" t="s">
        <v>18</v>
      </c>
      <c r="I4563" t="str">
        <f t="shared" si="214"/>
        <v>Low Value</v>
      </c>
      <c r="J4563" t="str">
        <f t="shared" si="215"/>
        <v>Medium Risk</v>
      </c>
      <c r="K4563" s="3" t="str">
        <f t="shared" si="213"/>
        <v>1-2 Years</v>
      </c>
    </row>
    <row r="4564" spans="1:11" x14ac:dyDescent="0.3">
      <c r="A4564" t="s">
        <v>4581</v>
      </c>
      <c r="B4564" t="s">
        <v>14</v>
      </c>
      <c r="C4564" t="s">
        <v>10</v>
      </c>
      <c r="D4564" t="s">
        <v>16</v>
      </c>
      <c r="E4564">
        <v>18.95</v>
      </c>
      <c r="F4564">
        <v>7</v>
      </c>
      <c r="G4564">
        <v>132.65</v>
      </c>
      <c r="H4564" t="s">
        <v>12</v>
      </c>
      <c r="I4564" t="str">
        <f t="shared" si="214"/>
        <v>Low Value</v>
      </c>
      <c r="J4564" t="str">
        <f t="shared" si="215"/>
        <v>High Risk</v>
      </c>
      <c r="K4564" s="3" t="str">
        <f t="shared" si="213"/>
        <v>0-1 Year</v>
      </c>
    </row>
    <row r="4565" spans="1:11" x14ac:dyDescent="0.3">
      <c r="A4565" t="s">
        <v>4582</v>
      </c>
      <c r="B4565" t="s">
        <v>9</v>
      </c>
      <c r="C4565" t="s">
        <v>10</v>
      </c>
      <c r="D4565" t="s">
        <v>20</v>
      </c>
      <c r="E4565">
        <v>69.8</v>
      </c>
      <c r="F4565">
        <v>20</v>
      </c>
      <c r="G4565">
        <v>1396</v>
      </c>
      <c r="H4565" t="s">
        <v>12</v>
      </c>
      <c r="I4565" t="str">
        <f t="shared" si="214"/>
        <v>Low Value</v>
      </c>
      <c r="J4565" t="str">
        <f t="shared" si="215"/>
        <v>Medium Risk</v>
      </c>
      <c r="K4565" s="3" t="str">
        <f t="shared" si="213"/>
        <v>1-2 Years</v>
      </c>
    </row>
    <row r="4566" spans="1:11" x14ac:dyDescent="0.3">
      <c r="A4566" t="s">
        <v>4583</v>
      </c>
      <c r="B4566" t="s">
        <v>9</v>
      </c>
      <c r="C4566" t="s">
        <v>10</v>
      </c>
      <c r="D4566" t="s">
        <v>11</v>
      </c>
      <c r="E4566">
        <v>106.15</v>
      </c>
      <c r="F4566">
        <v>60</v>
      </c>
      <c r="G4566">
        <v>6369</v>
      </c>
      <c r="H4566" t="s">
        <v>12</v>
      </c>
      <c r="I4566" t="str">
        <f t="shared" si="214"/>
        <v>High Value</v>
      </c>
      <c r="J4566" t="str">
        <f t="shared" si="215"/>
        <v>Low Risk</v>
      </c>
      <c r="K4566" s="3" t="str">
        <f t="shared" si="213"/>
        <v>4+ Years</v>
      </c>
    </row>
    <row r="4567" spans="1:11" x14ac:dyDescent="0.3">
      <c r="A4567" t="s">
        <v>4584</v>
      </c>
      <c r="B4567" t="s">
        <v>14</v>
      </c>
      <c r="C4567" t="s">
        <v>30</v>
      </c>
      <c r="D4567" t="s">
        <v>11</v>
      </c>
      <c r="E4567">
        <v>20.55</v>
      </c>
      <c r="F4567">
        <v>72</v>
      </c>
      <c r="G4567">
        <v>1479.6</v>
      </c>
      <c r="H4567" t="s">
        <v>12</v>
      </c>
      <c r="I4567" t="str">
        <f t="shared" si="214"/>
        <v>Low Value</v>
      </c>
      <c r="J4567" t="str">
        <f t="shared" si="215"/>
        <v>Low Risk</v>
      </c>
      <c r="K4567" s="3" t="str">
        <f t="shared" si="213"/>
        <v>4+ Years</v>
      </c>
    </row>
    <row r="4568" spans="1:11" x14ac:dyDescent="0.3">
      <c r="A4568" t="s">
        <v>4585</v>
      </c>
      <c r="B4568" t="s">
        <v>9</v>
      </c>
      <c r="C4568" t="s">
        <v>15</v>
      </c>
      <c r="D4568" t="s">
        <v>24</v>
      </c>
      <c r="E4568">
        <v>105.75</v>
      </c>
      <c r="F4568">
        <v>72</v>
      </c>
      <c r="G4568">
        <v>7614</v>
      </c>
      <c r="H4568" t="s">
        <v>12</v>
      </c>
      <c r="I4568" t="str">
        <f t="shared" si="214"/>
        <v>High Value</v>
      </c>
      <c r="J4568" t="str">
        <f t="shared" si="215"/>
        <v>Low Risk</v>
      </c>
      <c r="K4568" s="3" t="str">
        <f t="shared" si="213"/>
        <v>4+ Years</v>
      </c>
    </row>
    <row r="4569" spans="1:11" x14ac:dyDescent="0.3">
      <c r="A4569" t="s">
        <v>4586</v>
      </c>
      <c r="B4569" t="s">
        <v>14</v>
      </c>
      <c r="C4569" t="s">
        <v>10</v>
      </c>
      <c r="D4569" t="s">
        <v>16</v>
      </c>
      <c r="E4569">
        <v>25.25</v>
      </c>
      <c r="F4569">
        <v>4</v>
      </c>
      <c r="G4569">
        <v>101</v>
      </c>
      <c r="H4569" t="s">
        <v>12</v>
      </c>
      <c r="I4569" t="str">
        <f t="shared" si="214"/>
        <v>Low Value</v>
      </c>
      <c r="J4569" t="str">
        <f t="shared" si="215"/>
        <v>High Risk</v>
      </c>
      <c r="K4569" s="3" t="str">
        <f t="shared" si="213"/>
        <v>0-1 Year</v>
      </c>
    </row>
    <row r="4570" spans="1:11" x14ac:dyDescent="0.3">
      <c r="A4570" t="s">
        <v>4587</v>
      </c>
      <c r="B4570" t="s">
        <v>14</v>
      </c>
      <c r="C4570" t="s">
        <v>10</v>
      </c>
      <c r="D4570" t="s">
        <v>11</v>
      </c>
      <c r="E4570">
        <v>19.75</v>
      </c>
      <c r="F4570">
        <v>16</v>
      </c>
      <c r="G4570">
        <v>316</v>
      </c>
      <c r="H4570" t="s">
        <v>12</v>
      </c>
      <c r="I4570" t="str">
        <f t="shared" si="214"/>
        <v>Low Value</v>
      </c>
      <c r="J4570" t="str">
        <f t="shared" si="215"/>
        <v>Medium Risk</v>
      </c>
      <c r="K4570" s="3" t="str">
        <f t="shared" si="213"/>
        <v>1-2 Years</v>
      </c>
    </row>
    <row r="4571" spans="1:11" x14ac:dyDescent="0.3">
      <c r="A4571" t="s">
        <v>4588</v>
      </c>
      <c r="B4571" t="s">
        <v>9</v>
      </c>
      <c r="C4571" t="s">
        <v>15</v>
      </c>
      <c r="D4571" t="s">
        <v>11</v>
      </c>
      <c r="E4571">
        <v>104.85</v>
      </c>
      <c r="F4571">
        <v>62</v>
      </c>
      <c r="G4571">
        <v>6500.7</v>
      </c>
      <c r="H4571" t="s">
        <v>12</v>
      </c>
      <c r="I4571" t="str">
        <f t="shared" si="214"/>
        <v>High Value</v>
      </c>
      <c r="J4571" t="str">
        <f t="shared" si="215"/>
        <v>Low Risk</v>
      </c>
      <c r="K4571" s="3" t="str">
        <f t="shared" si="213"/>
        <v>4+ Years</v>
      </c>
    </row>
    <row r="4572" spans="1:11" x14ac:dyDescent="0.3">
      <c r="A4572" t="s">
        <v>4589</v>
      </c>
      <c r="B4572" t="s">
        <v>9</v>
      </c>
      <c r="C4572" t="s">
        <v>10</v>
      </c>
      <c r="D4572" t="s">
        <v>16</v>
      </c>
      <c r="E4572">
        <v>60.95</v>
      </c>
      <c r="F4572">
        <v>10</v>
      </c>
      <c r="G4572">
        <v>609.5</v>
      </c>
      <c r="H4572" t="s">
        <v>12</v>
      </c>
      <c r="I4572" t="str">
        <f t="shared" si="214"/>
        <v>Low Value</v>
      </c>
      <c r="J4572" t="str">
        <f t="shared" si="215"/>
        <v>High Risk</v>
      </c>
      <c r="K4572" s="3" t="str">
        <f t="shared" si="213"/>
        <v>0-1 Year</v>
      </c>
    </row>
    <row r="4573" spans="1:11" x14ac:dyDescent="0.3">
      <c r="A4573" t="s">
        <v>4590</v>
      </c>
      <c r="B4573" t="s">
        <v>14</v>
      </c>
      <c r="C4573" t="s">
        <v>10</v>
      </c>
      <c r="D4573" t="s">
        <v>11</v>
      </c>
      <c r="E4573">
        <v>81.150000000000006</v>
      </c>
      <c r="F4573">
        <v>31</v>
      </c>
      <c r="G4573">
        <v>2515.65</v>
      </c>
      <c r="H4573" t="s">
        <v>12</v>
      </c>
      <c r="I4573" t="str">
        <f t="shared" si="214"/>
        <v>Medium Value</v>
      </c>
      <c r="J4573" t="str">
        <f t="shared" si="215"/>
        <v>Low Risk</v>
      </c>
      <c r="K4573" s="3" t="str">
        <f t="shared" si="213"/>
        <v>2-4 Years</v>
      </c>
    </row>
    <row r="4574" spans="1:11" x14ac:dyDescent="0.3">
      <c r="A4574" t="s">
        <v>4591</v>
      </c>
      <c r="B4574" t="s">
        <v>9</v>
      </c>
      <c r="C4574" t="s">
        <v>30</v>
      </c>
      <c r="D4574" t="s">
        <v>24</v>
      </c>
      <c r="E4574">
        <v>19.100000000000001</v>
      </c>
      <c r="F4574">
        <v>71</v>
      </c>
      <c r="G4574">
        <v>1356.1</v>
      </c>
      <c r="H4574" t="s">
        <v>12</v>
      </c>
      <c r="I4574" t="str">
        <f t="shared" si="214"/>
        <v>Low Value</v>
      </c>
      <c r="J4574" t="str">
        <f t="shared" si="215"/>
        <v>Low Risk</v>
      </c>
      <c r="K4574" s="3" t="str">
        <f t="shared" si="213"/>
        <v>4+ Years</v>
      </c>
    </row>
    <row r="4575" spans="1:11" x14ac:dyDescent="0.3">
      <c r="A4575" t="s">
        <v>4592</v>
      </c>
      <c r="B4575" t="s">
        <v>14</v>
      </c>
      <c r="C4575" t="s">
        <v>30</v>
      </c>
      <c r="D4575" t="s">
        <v>16</v>
      </c>
      <c r="E4575">
        <v>20.8</v>
      </c>
      <c r="F4575">
        <v>58</v>
      </c>
      <c r="G4575">
        <v>1206.4000000000001</v>
      </c>
      <c r="H4575" t="s">
        <v>12</v>
      </c>
      <c r="I4575" t="str">
        <f t="shared" si="214"/>
        <v>Low Value</v>
      </c>
      <c r="J4575" t="str">
        <f t="shared" si="215"/>
        <v>Low Risk</v>
      </c>
      <c r="K4575" s="3" t="str">
        <f t="shared" si="213"/>
        <v>4+ Years</v>
      </c>
    </row>
    <row r="4576" spans="1:11" x14ac:dyDescent="0.3">
      <c r="A4576" t="s">
        <v>4593</v>
      </c>
      <c r="B4576" t="s">
        <v>14</v>
      </c>
      <c r="C4576" t="s">
        <v>30</v>
      </c>
      <c r="D4576" t="s">
        <v>24</v>
      </c>
      <c r="E4576">
        <v>90.15</v>
      </c>
      <c r="F4576">
        <v>70</v>
      </c>
      <c r="G4576">
        <v>6310.5</v>
      </c>
      <c r="H4576" t="s">
        <v>12</v>
      </c>
      <c r="I4576" t="str">
        <f t="shared" si="214"/>
        <v>High Value</v>
      </c>
      <c r="J4576" t="str">
        <f t="shared" si="215"/>
        <v>Low Risk</v>
      </c>
      <c r="K4576" s="3" t="str">
        <f t="shared" si="213"/>
        <v>4+ Years</v>
      </c>
    </row>
    <row r="4577" spans="1:11" x14ac:dyDescent="0.3">
      <c r="A4577" t="s">
        <v>4594</v>
      </c>
      <c r="B4577" t="s">
        <v>9</v>
      </c>
      <c r="C4577" t="s">
        <v>30</v>
      </c>
      <c r="D4577" t="s">
        <v>11</v>
      </c>
      <c r="E4577">
        <v>90.1</v>
      </c>
      <c r="F4577">
        <v>71</v>
      </c>
      <c r="G4577">
        <v>6397.0999999999904</v>
      </c>
      <c r="H4577" t="s">
        <v>12</v>
      </c>
      <c r="I4577" t="str">
        <f t="shared" si="214"/>
        <v>High Value</v>
      </c>
      <c r="J4577" t="str">
        <f t="shared" si="215"/>
        <v>Low Risk</v>
      </c>
      <c r="K4577" s="3" t="str">
        <f t="shared" si="213"/>
        <v>4+ Years</v>
      </c>
    </row>
    <row r="4578" spans="1:11" x14ac:dyDescent="0.3">
      <c r="A4578" t="s">
        <v>4595</v>
      </c>
      <c r="B4578" t="s">
        <v>14</v>
      </c>
      <c r="C4578" t="s">
        <v>30</v>
      </c>
      <c r="D4578" t="s">
        <v>24</v>
      </c>
      <c r="E4578">
        <v>74.099999999999994</v>
      </c>
      <c r="F4578">
        <v>69</v>
      </c>
      <c r="G4578">
        <v>5112.8999999999996</v>
      </c>
      <c r="H4578" t="s">
        <v>12</v>
      </c>
      <c r="I4578" t="str">
        <f t="shared" si="214"/>
        <v>High Value</v>
      </c>
      <c r="J4578" t="str">
        <f t="shared" si="215"/>
        <v>Low Risk</v>
      </c>
      <c r="K4578" s="3" t="str">
        <f t="shared" si="213"/>
        <v>4+ Years</v>
      </c>
    </row>
    <row r="4579" spans="1:11" x14ac:dyDescent="0.3">
      <c r="A4579" t="s">
        <v>4596</v>
      </c>
      <c r="B4579" t="s">
        <v>9</v>
      </c>
      <c r="C4579" t="s">
        <v>10</v>
      </c>
      <c r="D4579" t="s">
        <v>11</v>
      </c>
      <c r="E4579">
        <v>85.05</v>
      </c>
      <c r="F4579">
        <v>1</v>
      </c>
      <c r="G4579">
        <v>85.05</v>
      </c>
      <c r="H4579" t="s">
        <v>18</v>
      </c>
      <c r="I4579" t="str">
        <f t="shared" si="214"/>
        <v>Low Value</v>
      </c>
      <c r="J4579" t="str">
        <f t="shared" si="215"/>
        <v>High Risk</v>
      </c>
      <c r="K4579" s="3" t="str">
        <f t="shared" si="213"/>
        <v>0-1 Year</v>
      </c>
    </row>
    <row r="4580" spans="1:11" x14ac:dyDescent="0.3">
      <c r="A4580" t="s">
        <v>4597</v>
      </c>
      <c r="B4580" t="s">
        <v>9</v>
      </c>
      <c r="C4580" t="s">
        <v>30</v>
      </c>
      <c r="D4580" t="s">
        <v>20</v>
      </c>
      <c r="E4580">
        <v>118.75</v>
      </c>
      <c r="F4580">
        <v>72</v>
      </c>
      <c r="G4580">
        <v>8550</v>
      </c>
      <c r="H4580" t="s">
        <v>12</v>
      </c>
      <c r="I4580" t="str">
        <f t="shared" si="214"/>
        <v>High Value</v>
      </c>
      <c r="J4580" t="str">
        <f t="shared" si="215"/>
        <v>Low Risk</v>
      </c>
      <c r="K4580" s="3" t="str">
        <f t="shared" si="213"/>
        <v>4+ Years</v>
      </c>
    </row>
    <row r="4581" spans="1:11" x14ac:dyDescent="0.3">
      <c r="A4581" t="s">
        <v>4598</v>
      </c>
      <c r="B4581" t="s">
        <v>9</v>
      </c>
      <c r="C4581" t="s">
        <v>10</v>
      </c>
      <c r="D4581" t="s">
        <v>24</v>
      </c>
      <c r="E4581">
        <v>85.9</v>
      </c>
      <c r="F4581">
        <v>26</v>
      </c>
      <c r="G4581">
        <v>2233.4</v>
      </c>
      <c r="H4581" t="s">
        <v>12</v>
      </c>
      <c r="I4581" t="str">
        <f t="shared" si="214"/>
        <v>Medium Value</v>
      </c>
      <c r="J4581" t="str">
        <f t="shared" si="215"/>
        <v>Low Risk</v>
      </c>
      <c r="K4581" s="3" t="str">
        <f t="shared" si="213"/>
        <v>2-4 Years</v>
      </c>
    </row>
    <row r="4582" spans="1:11" x14ac:dyDescent="0.3">
      <c r="A4582" t="s">
        <v>4599</v>
      </c>
      <c r="B4582" t="s">
        <v>9</v>
      </c>
      <c r="C4582" t="s">
        <v>10</v>
      </c>
      <c r="D4582" t="s">
        <v>24</v>
      </c>
      <c r="E4582">
        <v>95</v>
      </c>
      <c r="F4582">
        <v>33</v>
      </c>
      <c r="G4582">
        <v>3135</v>
      </c>
      <c r="H4582" t="s">
        <v>12</v>
      </c>
      <c r="I4582" t="str">
        <f t="shared" si="214"/>
        <v>Medium Value</v>
      </c>
      <c r="J4582" t="str">
        <f t="shared" si="215"/>
        <v>Low Risk</v>
      </c>
      <c r="K4582" s="3" t="str">
        <f t="shared" si="213"/>
        <v>2-4 Years</v>
      </c>
    </row>
    <row r="4583" spans="1:11" x14ac:dyDescent="0.3">
      <c r="A4583" t="s">
        <v>4600</v>
      </c>
      <c r="B4583" t="s">
        <v>9</v>
      </c>
      <c r="C4583" t="s">
        <v>30</v>
      </c>
      <c r="D4583" t="s">
        <v>16</v>
      </c>
      <c r="E4583">
        <v>20.149999999999999</v>
      </c>
      <c r="F4583">
        <v>10</v>
      </c>
      <c r="G4583">
        <v>201.5</v>
      </c>
      <c r="H4583" t="s">
        <v>12</v>
      </c>
      <c r="I4583" t="str">
        <f t="shared" si="214"/>
        <v>Low Value</v>
      </c>
      <c r="J4583" t="str">
        <f t="shared" si="215"/>
        <v>High Risk</v>
      </c>
      <c r="K4583" s="3" t="str">
        <f t="shared" si="213"/>
        <v>0-1 Year</v>
      </c>
    </row>
    <row r="4584" spans="1:11" x14ac:dyDescent="0.3">
      <c r="A4584" t="s">
        <v>4601</v>
      </c>
      <c r="B4584" t="s">
        <v>9</v>
      </c>
      <c r="C4584" t="s">
        <v>30</v>
      </c>
      <c r="D4584" t="s">
        <v>24</v>
      </c>
      <c r="E4584">
        <v>101.3</v>
      </c>
      <c r="F4584">
        <v>57</v>
      </c>
      <c r="G4584">
        <v>5774.0999999999904</v>
      </c>
      <c r="H4584" t="s">
        <v>12</v>
      </c>
      <c r="I4584" t="str">
        <f t="shared" si="214"/>
        <v>High Value</v>
      </c>
      <c r="J4584" t="str">
        <f t="shared" si="215"/>
        <v>Low Risk</v>
      </c>
      <c r="K4584" s="3" t="str">
        <f t="shared" si="213"/>
        <v>4+ Years</v>
      </c>
    </row>
    <row r="4585" spans="1:11" x14ac:dyDescent="0.3">
      <c r="A4585" t="s">
        <v>4602</v>
      </c>
      <c r="B4585" t="s">
        <v>9</v>
      </c>
      <c r="C4585" t="s">
        <v>10</v>
      </c>
      <c r="D4585" t="s">
        <v>11</v>
      </c>
      <c r="E4585">
        <v>21.2</v>
      </c>
      <c r="F4585">
        <v>10</v>
      </c>
      <c r="G4585">
        <v>212</v>
      </c>
      <c r="H4585" t="s">
        <v>12</v>
      </c>
      <c r="I4585" t="str">
        <f t="shared" si="214"/>
        <v>Low Value</v>
      </c>
      <c r="J4585" t="str">
        <f t="shared" si="215"/>
        <v>High Risk</v>
      </c>
      <c r="K4585" s="3" t="str">
        <f t="shared" si="213"/>
        <v>0-1 Year</v>
      </c>
    </row>
    <row r="4586" spans="1:11" x14ac:dyDescent="0.3">
      <c r="A4586" t="s">
        <v>4603</v>
      </c>
      <c r="B4586" t="s">
        <v>9</v>
      </c>
      <c r="C4586" t="s">
        <v>15</v>
      </c>
      <c r="D4586" t="s">
        <v>16</v>
      </c>
      <c r="E4586">
        <v>24.2</v>
      </c>
      <c r="F4586">
        <v>39</v>
      </c>
      <c r="G4586">
        <v>943.8</v>
      </c>
      <c r="H4586" t="s">
        <v>12</v>
      </c>
      <c r="I4586" t="str">
        <f t="shared" si="214"/>
        <v>Low Value</v>
      </c>
      <c r="J4586" t="str">
        <f t="shared" si="215"/>
        <v>Low Risk</v>
      </c>
      <c r="K4586" s="3" t="str">
        <f t="shared" si="213"/>
        <v>2-4 Years</v>
      </c>
    </row>
    <row r="4587" spans="1:11" x14ac:dyDescent="0.3">
      <c r="A4587" t="s">
        <v>4604</v>
      </c>
      <c r="B4587" t="s">
        <v>9</v>
      </c>
      <c r="C4587" t="s">
        <v>10</v>
      </c>
      <c r="D4587" t="s">
        <v>20</v>
      </c>
      <c r="E4587">
        <v>20.3</v>
      </c>
      <c r="F4587">
        <v>11</v>
      </c>
      <c r="G4587">
        <v>223.3</v>
      </c>
      <c r="H4587" t="s">
        <v>12</v>
      </c>
      <c r="I4587" t="str">
        <f t="shared" si="214"/>
        <v>Low Value</v>
      </c>
      <c r="J4587" t="str">
        <f t="shared" si="215"/>
        <v>High Risk</v>
      </c>
      <c r="K4587" s="3" t="str">
        <f t="shared" si="213"/>
        <v>0-1 Year</v>
      </c>
    </row>
    <row r="4588" spans="1:11" x14ac:dyDescent="0.3">
      <c r="A4588" t="s">
        <v>4605</v>
      </c>
      <c r="B4588" t="s">
        <v>9</v>
      </c>
      <c r="C4588" t="s">
        <v>10</v>
      </c>
      <c r="D4588" t="s">
        <v>11</v>
      </c>
      <c r="E4588">
        <v>102.8</v>
      </c>
      <c r="F4588">
        <v>21</v>
      </c>
      <c r="G4588">
        <v>2158.7999999999902</v>
      </c>
      <c r="H4588" t="s">
        <v>18</v>
      </c>
      <c r="I4588" t="str">
        <f t="shared" si="214"/>
        <v>Medium Value</v>
      </c>
      <c r="J4588" t="str">
        <f t="shared" si="215"/>
        <v>Medium Risk</v>
      </c>
      <c r="K4588" s="3" t="str">
        <f t="shared" si="213"/>
        <v>1-2 Years</v>
      </c>
    </row>
    <row r="4589" spans="1:11" x14ac:dyDescent="0.3">
      <c r="A4589" t="s">
        <v>4606</v>
      </c>
      <c r="B4589" t="s">
        <v>9</v>
      </c>
      <c r="C4589" t="s">
        <v>30</v>
      </c>
      <c r="D4589" t="s">
        <v>20</v>
      </c>
      <c r="E4589">
        <v>85.3</v>
      </c>
      <c r="F4589">
        <v>68</v>
      </c>
      <c r="G4589">
        <v>5800.4</v>
      </c>
      <c r="H4589" t="s">
        <v>12</v>
      </c>
      <c r="I4589" t="str">
        <f t="shared" si="214"/>
        <v>High Value</v>
      </c>
      <c r="J4589" t="str">
        <f t="shared" si="215"/>
        <v>Low Risk</v>
      </c>
      <c r="K4589" s="3" t="str">
        <f t="shared" si="213"/>
        <v>4+ Years</v>
      </c>
    </row>
    <row r="4590" spans="1:11" x14ac:dyDescent="0.3">
      <c r="A4590" t="s">
        <v>4607</v>
      </c>
      <c r="B4590" t="s">
        <v>14</v>
      </c>
      <c r="C4590" t="s">
        <v>15</v>
      </c>
      <c r="D4590" t="s">
        <v>24</v>
      </c>
      <c r="E4590">
        <v>89.6</v>
      </c>
      <c r="F4590">
        <v>18</v>
      </c>
      <c r="G4590">
        <v>1612.8</v>
      </c>
      <c r="H4590" t="s">
        <v>12</v>
      </c>
      <c r="I4590" t="str">
        <f t="shared" si="214"/>
        <v>Low Value</v>
      </c>
      <c r="J4590" t="str">
        <f t="shared" si="215"/>
        <v>Medium Risk</v>
      </c>
      <c r="K4590" s="3" t="str">
        <f t="shared" si="213"/>
        <v>1-2 Years</v>
      </c>
    </row>
    <row r="4591" spans="1:11" x14ac:dyDescent="0.3">
      <c r="A4591" t="s">
        <v>4608</v>
      </c>
      <c r="B4591" t="s">
        <v>9</v>
      </c>
      <c r="C4591" t="s">
        <v>10</v>
      </c>
      <c r="D4591" t="s">
        <v>16</v>
      </c>
      <c r="E4591">
        <v>99.95</v>
      </c>
      <c r="F4591">
        <v>6</v>
      </c>
      <c r="G4591">
        <v>599.70000000000005</v>
      </c>
      <c r="H4591" t="s">
        <v>18</v>
      </c>
      <c r="I4591" t="str">
        <f t="shared" si="214"/>
        <v>Low Value</v>
      </c>
      <c r="J4591" t="str">
        <f t="shared" si="215"/>
        <v>High Risk</v>
      </c>
      <c r="K4591" s="3" t="str">
        <f t="shared" si="213"/>
        <v>0-1 Year</v>
      </c>
    </row>
    <row r="4592" spans="1:11" x14ac:dyDescent="0.3">
      <c r="A4592" t="s">
        <v>4609</v>
      </c>
      <c r="B4592" t="s">
        <v>14</v>
      </c>
      <c r="C4592" t="s">
        <v>10</v>
      </c>
      <c r="D4592" t="s">
        <v>16</v>
      </c>
      <c r="E4592">
        <v>56.25</v>
      </c>
      <c r="F4592">
        <v>18</v>
      </c>
      <c r="G4592">
        <v>1012.5</v>
      </c>
      <c r="H4592" t="s">
        <v>12</v>
      </c>
      <c r="I4592" t="str">
        <f t="shared" si="214"/>
        <v>Low Value</v>
      </c>
      <c r="J4592" t="str">
        <f t="shared" si="215"/>
        <v>Medium Risk</v>
      </c>
      <c r="K4592" s="3" t="str">
        <f t="shared" si="213"/>
        <v>1-2 Years</v>
      </c>
    </row>
    <row r="4593" spans="1:11" x14ac:dyDescent="0.3">
      <c r="A4593" t="s">
        <v>4610</v>
      </c>
      <c r="B4593" t="s">
        <v>9</v>
      </c>
      <c r="C4593" t="s">
        <v>15</v>
      </c>
      <c r="D4593" t="s">
        <v>20</v>
      </c>
      <c r="E4593">
        <v>50.95</v>
      </c>
      <c r="F4593">
        <v>52</v>
      </c>
      <c r="G4593">
        <v>2649.4</v>
      </c>
      <c r="H4593" t="s">
        <v>12</v>
      </c>
      <c r="I4593" t="str">
        <f t="shared" si="214"/>
        <v>Medium Value</v>
      </c>
      <c r="J4593" t="str">
        <f t="shared" si="215"/>
        <v>Low Risk</v>
      </c>
      <c r="K4593" s="3" t="str">
        <f t="shared" si="213"/>
        <v>4+ Years</v>
      </c>
    </row>
    <row r="4594" spans="1:11" x14ac:dyDescent="0.3">
      <c r="A4594" t="s">
        <v>4611</v>
      </c>
      <c r="B4594" t="s">
        <v>14</v>
      </c>
      <c r="C4594" t="s">
        <v>30</v>
      </c>
      <c r="D4594" t="s">
        <v>16</v>
      </c>
      <c r="E4594">
        <v>115.85</v>
      </c>
      <c r="F4594">
        <v>56</v>
      </c>
      <c r="G4594">
        <v>6487.5999999999904</v>
      </c>
      <c r="H4594" t="s">
        <v>12</v>
      </c>
      <c r="I4594" t="str">
        <f t="shared" si="214"/>
        <v>High Value</v>
      </c>
      <c r="J4594" t="str">
        <f t="shared" si="215"/>
        <v>Low Risk</v>
      </c>
      <c r="K4594" s="3" t="str">
        <f t="shared" si="213"/>
        <v>4+ Years</v>
      </c>
    </row>
    <row r="4595" spans="1:11" x14ac:dyDescent="0.3">
      <c r="A4595" t="s">
        <v>4612</v>
      </c>
      <c r="B4595" t="s">
        <v>14</v>
      </c>
      <c r="C4595" t="s">
        <v>10</v>
      </c>
      <c r="D4595" t="s">
        <v>20</v>
      </c>
      <c r="E4595">
        <v>103.65</v>
      </c>
      <c r="F4595">
        <v>45</v>
      </c>
      <c r="G4595">
        <v>4664.25</v>
      </c>
      <c r="H4595" t="s">
        <v>12</v>
      </c>
      <c r="I4595" t="str">
        <f t="shared" si="214"/>
        <v>Medium Value</v>
      </c>
      <c r="J4595" t="str">
        <f t="shared" si="215"/>
        <v>Low Risk</v>
      </c>
      <c r="K4595" s="3" t="str">
        <f t="shared" si="213"/>
        <v>2-4 Years</v>
      </c>
    </row>
    <row r="4596" spans="1:11" x14ac:dyDescent="0.3">
      <c r="A4596" t="s">
        <v>4613</v>
      </c>
      <c r="B4596" t="s">
        <v>9</v>
      </c>
      <c r="C4596" t="s">
        <v>30</v>
      </c>
      <c r="D4596" t="s">
        <v>16</v>
      </c>
      <c r="E4596">
        <v>26.1</v>
      </c>
      <c r="F4596">
        <v>67</v>
      </c>
      <c r="G4596">
        <v>1748.7</v>
      </c>
      <c r="H4596" t="s">
        <v>12</v>
      </c>
      <c r="I4596" t="str">
        <f t="shared" si="214"/>
        <v>Low Value</v>
      </c>
      <c r="J4596" t="str">
        <f t="shared" si="215"/>
        <v>Low Risk</v>
      </c>
      <c r="K4596" s="3" t="str">
        <f t="shared" si="213"/>
        <v>4+ Years</v>
      </c>
    </row>
    <row r="4597" spans="1:11" x14ac:dyDescent="0.3">
      <c r="A4597" t="s">
        <v>4614</v>
      </c>
      <c r="B4597" t="s">
        <v>14</v>
      </c>
      <c r="C4597" t="s">
        <v>10</v>
      </c>
      <c r="D4597" t="s">
        <v>16</v>
      </c>
      <c r="E4597">
        <v>35.1</v>
      </c>
      <c r="F4597">
        <v>3</v>
      </c>
      <c r="G4597">
        <v>105.3</v>
      </c>
      <c r="H4597" t="s">
        <v>12</v>
      </c>
      <c r="I4597" t="str">
        <f t="shared" si="214"/>
        <v>Low Value</v>
      </c>
      <c r="J4597" t="str">
        <f t="shared" si="215"/>
        <v>High Risk</v>
      </c>
      <c r="K4597" s="3" t="str">
        <f t="shared" si="213"/>
        <v>0-1 Year</v>
      </c>
    </row>
    <row r="4598" spans="1:11" x14ac:dyDescent="0.3">
      <c r="A4598" t="s">
        <v>4615</v>
      </c>
      <c r="B4598" t="s">
        <v>14</v>
      </c>
      <c r="C4598" t="s">
        <v>10</v>
      </c>
      <c r="D4598" t="s">
        <v>20</v>
      </c>
      <c r="E4598">
        <v>99.1</v>
      </c>
      <c r="F4598">
        <v>65</v>
      </c>
      <c r="G4598">
        <v>6441.5</v>
      </c>
      <c r="H4598" t="s">
        <v>12</v>
      </c>
      <c r="I4598" t="str">
        <f t="shared" si="214"/>
        <v>High Value</v>
      </c>
      <c r="J4598" t="str">
        <f t="shared" si="215"/>
        <v>Low Risk</v>
      </c>
      <c r="K4598" s="3" t="str">
        <f t="shared" si="213"/>
        <v>4+ Years</v>
      </c>
    </row>
    <row r="4599" spans="1:11" x14ac:dyDescent="0.3">
      <c r="A4599" t="s">
        <v>4616</v>
      </c>
      <c r="B4599" t="s">
        <v>14</v>
      </c>
      <c r="C4599" t="s">
        <v>30</v>
      </c>
      <c r="D4599" t="s">
        <v>16</v>
      </c>
      <c r="E4599">
        <v>67.25</v>
      </c>
      <c r="F4599">
        <v>63</v>
      </c>
      <c r="G4599">
        <v>4236.75</v>
      </c>
      <c r="H4599" t="s">
        <v>12</v>
      </c>
      <c r="I4599" t="str">
        <f t="shared" si="214"/>
        <v>Medium Value</v>
      </c>
      <c r="J4599" t="str">
        <f t="shared" si="215"/>
        <v>Low Risk</v>
      </c>
      <c r="K4599" s="3" t="str">
        <f t="shared" si="213"/>
        <v>4+ Years</v>
      </c>
    </row>
    <row r="4600" spans="1:11" x14ac:dyDescent="0.3">
      <c r="A4600" t="s">
        <v>4617</v>
      </c>
      <c r="B4600" t="s">
        <v>9</v>
      </c>
      <c r="C4600" t="s">
        <v>30</v>
      </c>
      <c r="D4600" t="s">
        <v>16</v>
      </c>
      <c r="E4600">
        <v>25</v>
      </c>
      <c r="F4600">
        <v>11</v>
      </c>
      <c r="G4600">
        <v>275</v>
      </c>
      <c r="H4600" t="s">
        <v>12</v>
      </c>
      <c r="I4600" t="str">
        <f t="shared" si="214"/>
        <v>Low Value</v>
      </c>
      <c r="J4600" t="str">
        <f t="shared" si="215"/>
        <v>High Risk</v>
      </c>
      <c r="K4600" s="3" t="str">
        <f t="shared" si="213"/>
        <v>0-1 Year</v>
      </c>
    </row>
    <row r="4601" spans="1:11" x14ac:dyDescent="0.3">
      <c r="A4601" t="s">
        <v>4618</v>
      </c>
      <c r="B4601" t="s">
        <v>14</v>
      </c>
      <c r="C4601" t="s">
        <v>10</v>
      </c>
      <c r="D4601" t="s">
        <v>16</v>
      </c>
      <c r="E4601">
        <v>59.55</v>
      </c>
      <c r="F4601">
        <v>1</v>
      </c>
      <c r="G4601">
        <v>59.55</v>
      </c>
      <c r="H4601" t="s">
        <v>12</v>
      </c>
      <c r="I4601" t="str">
        <f t="shared" si="214"/>
        <v>Low Value</v>
      </c>
      <c r="J4601" t="str">
        <f t="shared" si="215"/>
        <v>High Risk</v>
      </c>
      <c r="K4601" s="3" t="str">
        <f t="shared" si="213"/>
        <v>0-1 Year</v>
      </c>
    </row>
    <row r="4602" spans="1:11" x14ac:dyDescent="0.3">
      <c r="A4602" t="s">
        <v>4619</v>
      </c>
      <c r="B4602" t="s">
        <v>14</v>
      </c>
      <c r="C4602" t="s">
        <v>30</v>
      </c>
      <c r="D4602" t="s">
        <v>20</v>
      </c>
      <c r="E4602">
        <v>77.8</v>
      </c>
      <c r="F4602">
        <v>55</v>
      </c>
      <c r="G4602">
        <v>4279</v>
      </c>
      <c r="H4602" t="s">
        <v>12</v>
      </c>
      <c r="I4602" t="str">
        <f t="shared" si="214"/>
        <v>Medium Value</v>
      </c>
      <c r="J4602" t="str">
        <f t="shared" si="215"/>
        <v>Low Risk</v>
      </c>
      <c r="K4602" s="3" t="str">
        <f t="shared" si="213"/>
        <v>4+ Years</v>
      </c>
    </row>
    <row r="4603" spans="1:11" x14ac:dyDescent="0.3">
      <c r="A4603" t="s">
        <v>4620</v>
      </c>
      <c r="B4603" t="s">
        <v>14</v>
      </c>
      <c r="C4603" t="s">
        <v>15</v>
      </c>
      <c r="D4603" t="s">
        <v>16</v>
      </c>
      <c r="E4603">
        <v>55.1</v>
      </c>
      <c r="F4603">
        <v>25</v>
      </c>
      <c r="G4603">
        <v>1377.5</v>
      </c>
      <c r="H4603" t="s">
        <v>12</v>
      </c>
      <c r="I4603" t="str">
        <f t="shared" si="214"/>
        <v>Low Value</v>
      </c>
      <c r="J4603" t="str">
        <f t="shared" si="215"/>
        <v>Low Risk</v>
      </c>
      <c r="K4603" s="3" t="str">
        <f t="shared" si="213"/>
        <v>2-4 Years</v>
      </c>
    </row>
    <row r="4604" spans="1:11" x14ac:dyDescent="0.3">
      <c r="A4604" t="s">
        <v>4621</v>
      </c>
      <c r="B4604" t="s">
        <v>14</v>
      </c>
      <c r="C4604" t="s">
        <v>15</v>
      </c>
      <c r="D4604" t="s">
        <v>20</v>
      </c>
      <c r="E4604">
        <v>117.8</v>
      </c>
      <c r="F4604">
        <v>72</v>
      </c>
      <c r="G4604">
        <v>8481.6</v>
      </c>
      <c r="H4604" t="s">
        <v>18</v>
      </c>
      <c r="I4604" t="str">
        <f t="shared" si="214"/>
        <v>High Value</v>
      </c>
      <c r="J4604" t="str">
        <f t="shared" si="215"/>
        <v>Low Risk</v>
      </c>
      <c r="K4604" s="3" t="str">
        <f t="shared" si="213"/>
        <v>4+ Years</v>
      </c>
    </row>
    <row r="4605" spans="1:11" x14ac:dyDescent="0.3">
      <c r="A4605" t="s">
        <v>4622</v>
      </c>
      <c r="B4605" t="s">
        <v>9</v>
      </c>
      <c r="C4605" t="s">
        <v>30</v>
      </c>
      <c r="D4605" t="s">
        <v>24</v>
      </c>
      <c r="E4605">
        <v>24.15</v>
      </c>
      <c r="F4605">
        <v>72</v>
      </c>
      <c r="G4605">
        <v>1738.8</v>
      </c>
      <c r="H4605" t="s">
        <v>12</v>
      </c>
      <c r="I4605" t="str">
        <f t="shared" si="214"/>
        <v>Low Value</v>
      </c>
      <c r="J4605" t="str">
        <f t="shared" si="215"/>
        <v>Low Risk</v>
      </c>
      <c r="K4605" s="3" t="str">
        <f t="shared" si="213"/>
        <v>4+ Years</v>
      </c>
    </row>
    <row r="4606" spans="1:11" x14ac:dyDescent="0.3">
      <c r="A4606" t="s">
        <v>4623</v>
      </c>
      <c r="B4606" t="s">
        <v>9</v>
      </c>
      <c r="C4606" t="s">
        <v>30</v>
      </c>
      <c r="D4606" t="s">
        <v>16</v>
      </c>
      <c r="E4606">
        <v>45.25</v>
      </c>
      <c r="F4606">
        <v>65</v>
      </c>
      <c r="G4606">
        <v>2941.25</v>
      </c>
      <c r="H4606" t="s">
        <v>12</v>
      </c>
      <c r="I4606" t="str">
        <f t="shared" si="214"/>
        <v>Medium Value</v>
      </c>
      <c r="J4606" t="str">
        <f t="shared" si="215"/>
        <v>Low Risk</v>
      </c>
      <c r="K4606" s="3" t="str">
        <f t="shared" si="213"/>
        <v>4+ Years</v>
      </c>
    </row>
    <row r="4607" spans="1:11" x14ac:dyDescent="0.3">
      <c r="A4607" t="s">
        <v>4624</v>
      </c>
      <c r="B4607" t="s">
        <v>9</v>
      </c>
      <c r="C4607" t="s">
        <v>10</v>
      </c>
      <c r="D4607" t="s">
        <v>11</v>
      </c>
      <c r="E4607">
        <v>79.5</v>
      </c>
      <c r="F4607">
        <v>54</v>
      </c>
      <c r="G4607">
        <v>4293</v>
      </c>
      <c r="H4607" t="s">
        <v>18</v>
      </c>
      <c r="I4607" t="str">
        <f t="shared" si="214"/>
        <v>Medium Value</v>
      </c>
      <c r="J4607" t="str">
        <f t="shared" si="215"/>
        <v>Low Risk</v>
      </c>
      <c r="K4607" s="3" t="str">
        <f t="shared" si="213"/>
        <v>4+ Years</v>
      </c>
    </row>
    <row r="4608" spans="1:11" x14ac:dyDescent="0.3">
      <c r="A4608" t="s">
        <v>4625</v>
      </c>
      <c r="B4608" t="s">
        <v>14</v>
      </c>
      <c r="C4608" t="s">
        <v>10</v>
      </c>
      <c r="D4608" t="s">
        <v>16</v>
      </c>
      <c r="E4608">
        <v>20.25</v>
      </c>
      <c r="F4608">
        <v>7</v>
      </c>
      <c r="G4608">
        <v>141.75</v>
      </c>
      <c r="H4608" t="s">
        <v>12</v>
      </c>
      <c r="I4608" t="str">
        <f t="shared" si="214"/>
        <v>Low Value</v>
      </c>
      <c r="J4608" t="str">
        <f t="shared" si="215"/>
        <v>High Risk</v>
      </c>
      <c r="K4608" s="3" t="str">
        <f t="shared" si="213"/>
        <v>0-1 Year</v>
      </c>
    </row>
    <row r="4609" spans="1:11" x14ac:dyDescent="0.3">
      <c r="A4609" t="s">
        <v>4626</v>
      </c>
      <c r="B4609" t="s">
        <v>9</v>
      </c>
      <c r="C4609" t="s">
        <v>30</v>
      </c>
      <c r="D4609" t="s">
        <v>20</v>
      </c>
      <c r="E4609">
        <v>64.75</v>
      </c>
      <c r="F4609">
        <v>72</v>
      </c>
      <c r="G4609">
        <v>4662</v>
      </c>
      <c r="H4609" t="s">
        <v>12</v>
      </c>
      <c r="I4609" t="str">
        <f t="shared" si="214"/>
        <v>Medium Value</v>
      </c>
      <c r="J4609" t="str">
        <f t="shared" si="215"/>
        <v>Low Risk</v>
      </c>
      <c r="K4609" s="3" t="str">
        <f t="shared" si="213"/>
        <v>4+ Years</v>
      </c>
    </row>
    <row r="4610" spans="1:11" x14ac:dyDescent="0.3">
      <c r="A4610" t="s">
        <v>4627</v>
      </c>
      <c r="B4610" t="s">
        <v>14</v>
      </c>
      <c r="C4610" t="s">
        <v>10</v>
      </c>
      <c r="D4610" t="s">
        <v>20</v>
      </c>
      <c r="E4610">
        <v>54.6</v>
      </c>
      <c r="F4610">
        <v>21</v>
      </c>
      <c r="G4610">
        <v>1146.5999999999999</v>
      </c>
      <c r="H4610" t="s">
        <v>12</v>
      </c>
      <c r="I4610" t="str">
        <f t="shared" si="214"/>
        <v>Low Value</v>
      </c>
      <c r="J4610" t="str">
        <f t="shared" si="215"/>
        <v>Medium Risk</v>
      </c>
      <c r="K4610" s="3" t="str">
        <f t="shared" si="213"/>
        <v>1-2 Years</v>
      </c>
    </row>
    <row r="4611" spans="1:11" x14ac:dyDescent="0.3">
      <c r="A4611" t="s">
        <v>4628</v>
      </c>
      <c r="B4611" t="s">
        <v>9</v>
      </c>
      <c r="C4611" t="s">
        <v>10</v>
      </c>
      <c r="D4611" t="s">
        <v>20</v>
      </c>
      <c r="E4611">
        <v>20.7</v>
      </c>
      <c r="F4611">
        <v>2</v>
      </c>
      <c r="G4611">
        <v>41.4</v>
      </c>
      <c r="H4611" t="s">
        <v>12</v>
      </c>
      <c r="I4611" t="str">
        <f t="shared" si="214"/>
        <v>Low Value</v>
      </c>
      <c r="J4611" t="str">
        <f t="shared" si="215"/>
        <v>High Risk</v>
      </c>
      <c r="K4611" s="3" t="str">
        <f t="shared" ref="K4611:K4674" si="216">IF(F4611&lt;=12,"0-1 Year",
IF(F4611&lt;=24,"1-2 Years",
IF(F4611&lt;=48,"2-4 Years","4+ Years")))</f>
        <v>0-1 Year</v>
      </c>
    </row>
    <row r="4612" spans="1:11" x14ac:dyDescent="0.3">
      <c r="A4612" t="s">
        <v>4629</v>
      </c>
      <c r="B4612" t="s">
        <v>14</v>
      </c>
      <c r="C4612" t="s">
        <v>10</v>
      </c>
      <c r="D4612" t="s">
        <v>11</v>
      </c>
      <c r="E4612">
        <v>94.75</v>
      </c>
      <c r="F4612">
        <v>4</v>
      </c>
      <c r="G4612">
        <v>379</v>
      </c>
      <c r="H4612" t="s">
        <v>12</v>
      </c>
      <c r="I4612" t="str">
        <f t="shared" ref="I4612:I4675" si="217">IF(G4612&gt;5000,"High Value",
IF(G4612&gt;2000,"Medium Value","Low Value"))</f>
        <v>Low Value</v>
      </c>
      <c r="J4612" t="str">
        <f t="shared" ref="J4612:J4675" si="218">IF(F4612&lt;12,"High Risk",
IF(F4612&lt;24,"Medium Risk","Low Risk"))</f>
        <v>High Risk</v>
      </c>
      <c r="K4612" s="3" t="str">
        <f t="shared" si="216"/>
        <v>0-1 Year</v>
      </c>
    </row>
    <row r="4613" spans="1:11" x14ac:dyDescent="0.3">
      <c r="A4613" t="s">
        <v>4630</v>
      </c>
      <c r="B4613" t="s">
        <v>14</v>
      </c>
      <c r="C4613" t="s">
        <v>10</v>
      </c>
      <c r="D4613" t="s">
        <v>20</v>
      </c>
      <c r="E4613">
        <v>79.650000000000006</v>
      </c>
      <c r="F4613">
        <v>3</v>
      </c>
      <c r="G4613">
        <v>238.95</v>
      </c>
      <c r="H4613" t="s">
        <v>18</v>
      </c>
      <c r="I4613" t="str">
        <f t="shared" si="217"/>
        <v>Low Value</v>
      </c>
      <c r="J4613" t="str">
        <f t="shared" si="218"/>
        <v>High Risk</v>
      </c>
      <c r="K4613" s="3" t="str">
        <f t="shared" si="216"/>
        <v>0-1 Year</v>
      </c>
    </row>
    <row r="4614" spans="1:11" x14ac:dyDescent="0.3">
      <c r="A4614" t="s">
        <v>4631</v>
      </c>
      <c r="B4614" t="s">
        <v>14</v>
      </c>
      <c r="C4614" t="s">
        <v>30</v>
      </c>
      <c r="D4614" t="s">
        <v>24</v>
      </c>
      <c r="E4614">
        <v>115.8</v>
      </c>
      <c r="F4614">
        <v>72</v>
      </c>
      <c r="G4614">
        <v>8337.6</v>
      </c>
      <c r="H4614" t="s">
        <v>12</v>
      </c>
      <c r="I4614" t="str">
        <f t="shared" si="217"/>
        <v>High Value</v>
      </c>
      <c r="J4614" t="str">
        <f t="shared" si="218"/>
        <v>Low Risk</v>
      </c>
      <c r="K4614" s="3" t="str">
        <f t="shared" si="216"/>
        <v>4+ Years</v>
      </c>
    </row>
    <row r="4615" spans="1:11" x14ac:dyDescent="0.3">
      <c r="A4615" t="s">
        <v>4632</v>
      </c>
      <c r="B4615" t="s">
        <v>9</v>
      </c>
      <c r="C4615" t="s">
        <v>10</v>
      </c>
      <c r="D4615" t="s">
        <v>11</v>
      </c>
      <c r="E4615">
        <v>49.45</v>
      </c>
      <c r="F4615">
        <v>6</v>
      </c>
      <c r="G4615">
        <v>296.7</v>
      </c>
      <c r="H4615" t="s">
        <v>12</v>
      </c>
      <c r="I4615" t="str">
        <f t="shared" si="217"/>
        <v>Low Value</v>
      </c>
      <c r="J4615" t="str">
        <f t="shared" si="218"/>
        <v>High Risk</v>
      </c>
      <c r="K4615" s="3" t="str">
        <f t="shared" si="216"/>
        <v>0-1 Year</v>
      </c>
    </row>
    <row r="4616" spans="1:11" x14ac:dyDescent="0.3">
      <c r="A4616" t="s">
        <v>4633</v>
      </c>
      <c r="B4616" t="s">
        <v>14</v>
      </c>
      <c r="C4616" t="s">
        <v>10</v>
      </c>
      <c r="D4616" t="s">
        <v>24</v>
      </c>
      <c r="E4616">
        <v>83.8</v>
      </c>
      <c r="F4616">
        <v>52</v>
      </c>
      <c r="G4616">
        <v>4357.5999999999904</v>
      </c>
      <c r="H4616" t="s">
        <v>12</v>
      </c>
      <c r="I4616" t="str">
        <f t="shared" si="217"/>
        <v>Medium Value</v>
      </c>
      <c r="J4616" t="str">
        <f t="shared" si="218"/>
        <v>Low Risk</v>
      </c>
      <c r="K4616" s="3" t="str">
        <f t="shared" si="216"/>
        <v>4+ Years</v>
      </c>
    </row>
    <row r="4617" spans="1:11" x14ac:dyDescent="0.3">
      <c r="A4617" t="s">
        <v>4634</v>
      </c>
      <c r="B4617" t="s">
        <v>14</v>
      </c>
      <c r="C4617" t="s">
        <v>10</v>
      </c>
      <c r="D4617" t="s">
        <v>20</v>
      </c>
      <c r="E4617">
        <v>95.35</v>
      </c>
      <c r="F4617">
        <v>69</v>
      </c>
      <c r="G4617">
        <v>6579.15</v>
      </c>
      <c r="H4617" t="s">
        <v>12</v>
      </c>
      <c r="I4617" t="str">
        <f t="shared" si="217"/>
        <v>High Value</v>
      </c>
      <c r="J4617" t="str">
        <f t="shared" si="218"/>
        <v>Low Risk</v>
      </c>
      <c r="K4617" s="3" t="str">
        <f t="shared" si="216"/>
        <v>4+ Years</v>
      </c>
    </row>
    <row r="4618" spans="1:11" x14ac:dyDescent="0.3">
      <c r="A4618" t="s">
        <v>4635</v>
      </c>
      <c r="B4618" t="s">
        <v>14</v>
      </c>
      <c r="C4618" t="s">
        <v>10</v>
      </c>
      <c r="D4618" t="s">
        <v>11</v>
      </c>
      <c r="E4618">
        <v>94.7</v>
      </c>
      <c r="F4618">
        <v>8</v>
      </c>
      <c r="G4618">
        <v>757.6</v>
      </c>
      <c r="H4618" t="s">
        <v>18</v>
      </c>
      <c r="I4618" t="str">
        <f t="shared" si="217"/>
        <v>Low Value</v>
      </c>
      <c r="J4618" t="str">
        <f t="shared" si="218"/>
        <v>High Risk</v>
      </c>
      <c r="K4618" s="3" t="str">
        <f t="shared" si="216"/>
        <v>0-1 Year</v>
      </c>
    </row>
    <row r="4619" spans="1:11" x14ac:dyDescent="0.3">
      <c r="A4619" t="s">
        <v>4636</v>
      </c>
      <c r="B4619" t="s">
        <v>9</v>
      </c>
      <c r="C4619" t="s">
        <v>10</v>
      </c>
      <c r="D4619" t="s">
        <v>20</v>
      </c>
      <c r="E4619">
        <v>74.05</v>
      </c>
      <c r="F4619">
        <v>8</v>
      </c>
      <c r="G4619">
        <v>592.4</v>
      </c>
      <c r="H4619" t="s">
        <v>12</v>
      </c>
      <c r="I4619" t="str">
        <f t="shared" si="217"/>
        <v>Low Value</v>
      </c>
      <c r="J4619" t="str">
        <f t="shared" si="218"/>
        <v>High Risk</v>
      </c>
      <c r="K4619" s="3" t="str">
        <f t="shared" si="216"/>
        <v>0-1 Year</v>
      </c>
    </row>
    <row r="4620" spans="1:11" x14ac:dyDescent="0.3">
      <c r="A4620" t="s">
        <v>4637</v>
      </c>
      <c r="B4620" t="s">
        <v>9</v>
      </c>
      <c r="C4620" t="s">
        <v>10</v>
      </c>
      <c r="D4620" t="s">
        <v>20</v>
      </c>
      <c r="E4620">
        <v>89.6</v>
      </c>
      <c r="F4620">
        <v>63</v>
      </c>
      <c r="G4620">
        <v>5644.7999999999902</v>
      </c>
      <c r="H4620" t="s">
        <v>12</v>
      </c>
      <c r="I4620" t="str">
        <f t="shared" si="217"/>
        <v>High Value</v>
      </c>
      <c r="J4620" t="str">
        <f t="shared" si="218"/>
        <v>Low Risk</v>
      </c>
      <c r="K4620" s="3" t="str">
        <f t="shared" si="216"/>
        <v>4+ Years</v>
      </c>
    </row>
    <row r="4621" spans="1:11" x14ac:dyDescent="0.3">
      <c r="A4621" t="s">
        <v>4638</v>
      </c>
      <c r="B4621" t="s">
        <v>14</v>
      </c>
      <c r="C4621" t="s">
        <v>15</v>
      </c>
      <c r="D4621" t="s">
        <v>24</v>
      </c>
      <c r="E4621">
        <v>116.6</v>
      </c>
      <c r="F4621">
        <v>60</v>
      </c>
      <c r="G4621">
        <v>6996</v>
      </c>
      <c r="H4621" t="s">
        <v>12</v>
      </c>
      <c r="I4621" t="str">
        <f t="shared" si="217"/>
        <v>High Value</v>
      </c>
      <c r="J4621" t="str">
        <f t="shared" si="218"/>
        <v>Low Risk</v>
      </c>
      <c r="K4621" s="3" t="str">
        <f t="shared" si="216"/>
        <v>4+ Years</v>
      </c>
    </row>
    <row r="4622" spans="1:11" x14ac:dyDescent="0.3">
      <c r="A4622" t="s">
        <v>4639</v>
      </c>
      <c r="B4622" t="s">
        <v>9</v>
      </c>
      <c r="C4622" t="s">
        <v>10</v>
      </c>
      <c r="D4622" t="s">
        <v>20</v>
      </c>
      <c r="E4622">
        <v>54.2</v>
      </c>
      <c r="F4622">
        <v>12</v>
      </c>
      <c r="G4622">
        <v>650.4</v>
      </c>
      <c r="H4622" t="s">
        <v>12</v>
      </c>
      <c r="I4622" t="str">
        <f t="shared" si="217"/>
        <v>Low Value</v>
      </c>
      <c r="J4622" t="str">
        <f t="shared" si="218"/>
        <v>Medium Risk</v>
      </c>
      <c r="K4622" s="3" t="str">
        <f t="shared" si="216"/>
        <v>0-1 Year</v>
      </c>
    </row>
    <row r="4623" spans="1:11" x14ac:dyDescent="0.3">
      <c r="A4623" t="s">
        <v>4640</v>
      </c>
      <c r="B4623" t="s">
        <v>9</v>
      </c>
      <c r="C4623" t="s">
        <v>10</v>
      </c>
      <c r="D4623" t="s">
        <v>16</v>
      </c>
      <c r="E4623">
        <v>19.3</v>
      </c>
      <c r="F4623">
        <v>13</v>
      </c>
      <c r="G4623">
        <v>250.9</v>
      </c>
      <c r="H4623" t="s">
        <v>12</v>
      </c>
      <c r="I4623" t="str">
        <f t="shared" si="217"/>
        <v>Low Value</v>
      </c>
      <c r="J4623" t="str">
        <f t="shared" si="218"/>
        <v>Medium Risk</v>
      </c>
      <c r="K4623" s="3" t="str">
        <f t="shared" si="216"/>
        <v>1-2 Years</v>
      </c>
    </row>
    <row r="4624" spans="1:11" x14ac:dyDescent="0.3">
      <c r="A4624" t="s">
        <v>4641</v>
      </c>
      <c r="B4624" t="s">
        <v>14</v>
      </c>
      <c r="C4624" t="s">
        <v>10</v>
      </c>
      <c r="D4624" t="s">
        <v>16</v>
      </c>
      <c r="E4624">
        <v>65.05</v>
      </c>
      <c r="F4624">
        <v>22</v>
      </c>
      <c r="G4624">
        <v>1431.1</v>
      </c>
      <c r="H4624" t="s">
        <v>12</v>
      </c>
      <c r="I4624" t="str">
        <f t="shared" si="217"/>
        <v>Low Value</v>
      </c>
      <c r="J4624" t="str">
        <f t="shared" si="218"/>
        <v>Medium Risk</v>
      </c>
      <c r="K4624" s="3" t="str">
        <f t="shared" si="216"/>
        <v>1-2 Years</v>
      </c>
    </row>
    <row r="4625" spans="1:11" x14ac:dyDescent="0.3">
      <c r="A4625" t="s">
        <v>4642</v>
      </c>
      <c r="B4625" t="s">
        <v>14</v>
      </c>
      <c r="C4625" t="s">
        <v>10</v>
      </c>
      <c r="D4625" t="s">
        <v>11</v>
      </c>
      <c r="E4625">
        <v>92.5</v>
      </c>
      <c r="F4625">
        <v>5</v>
      </c>
      <c r="G4625">
        <v>462.5</v>
      </c>
      <c r="H4625" t="s">
        <v>18</v>
      </c>
      <c r="I4625" t="str">
        <f t="shared" si="217"/>
        <v>Low Value</v>
      </c>
      <c r="J4625" t="str">
        <f t="shared" si="218"/>
        <v>High Risk</v>
      </c>
      <c r="K4625" s="3" t="str">
        <f t="shared" si="216"/>
        <v>0-1 Year</v>
      </c>
    </row>
    <row r="4626" spans="1:11" x14ac:dyDescent="0.3">
      <c r="A4626" t="s">
        <v>4643</v>
      </c>
      <c r="B4626" t="s">
        <v>9</v>
      </c>
      <c r="C4626" t="s">
        <v>10</v>
      </c>
      <c r="D4626" t="s">
        <v>16</v>
      </c>
      <c r="E4626">
        <v>19.45</v>
      </c>
      <c r="F4626">
        <v>1</v>
      </c>
      <c r="G4626">
        <v>19.45</v>
      </c>
      <c r="H4626" t="s">
        <v>18</v>
      </c>
      <c r="I4626" t="str">
        <f t="shared" si="217"/>
        <v>Low Value</v>
      </c>
      <c r="J4626" t="str">
        <f t="shared" si="218"/>
        <v>High Risk</v>
      </c>
      <c r="K4626" s="3" t="str">
        <f t="shared" si="216"/>
        <v>0-1 Year</v>
      </c>
    </row>
    <row r="4627" spans="1:11" x14ac:dyDescent="0.3">
      <c r="A4627" t="s">
        <v>4644</v>
      </c>
      <c r="B4627" t="s">
        <v>9</v>
      </c>
      <c r="C4627" t="s">
        <v>30</v>
      </c>
      <c r="D4627" t="s">
        <v>20</v>
      </c>
      <c r="E4627">
        <v>24.05</v>
      </c>
      <c r="F4627">
        <v>72</v>
      </c>
      <c r="G4627">
        <v>1731.6</v>
      </c>
      <c r="H4627" t="s">
        <v>12</v>
      </c>
      <c r="I4627" t="str">
        <f t="shared" si="217"/>
        <v>Low Value</v>
      </c>
      <c r="J4627" t="str">
        <f t="shared" si="218"/>
        <v>Low Risk</v>
      </c>
      <c r="K4627" s="3" t="str">
        <f t="shared" si="216"/>
        <v>4+ Years</v>
      </c>
    </row>
    <row r="4628" spans="1:11" x14ac:dyDescent="0.3">
      <c r="A4628" t="s">
        <v>4645</v>
      </c>
      <c r="B4628" t="s">
        <v>9</v>
      </c>
      <c r="C4628" t="s">
        <v>10</v>
      </c>
      <c r="D4628" t="s">
        <v>20</v>
      </c>
      <c r="E4628">
        <v>18.75</v>
      </c>
      <c r="F4628">
        <v>2</v>
      </c>
      <c r="G4628">
        <v>37.5</v>
      </c>
      <c r="H4628" t="s">
        <v>12</v>
      </c>
      <c r="I4628" t="str">
        <f t="shared" si="217"/>
        <v>Low Value</v>
      </c>
      <c r="J4628" t="str">
        <f t="shared" si="218"/>
        <v>High Risk</v>
      </c>
      <c r="K4628" s="3" t="str">
        <f t="shared" si="216"/>
        <v>0-1 Year</v>
      </c>
    </row>
    <row r="4629" spans="1:11" x14ac:dyDescent="0.3">
      <c r="A4629" t="s">
        <v>4646</v>
      </c>
      <c r="B4629" t="s">
        <v>9</v>
      </c>
      <c r="C4629" t="s">
        <v>30</v>
      </c>
      <c r="D4629" t="s">
        <v>20</v>
      </c>
      <c r="E4629">
        <v>20.149999999999999</v>
      </c>
      <c r="F4629">
        <v>40</v>
      </c>
      <c r="G4629">
        <v>806</v>
      </c>
      <c r="H4629" t="s">
        <v>12</v>
      </c>
      <c r="I4629" t="str">
        <f t="shared" si="217"/>
        <v>Low Value</v>
      </c>
      <c r="J4629" t="str">
        <f t="shared" si="218"/>
        <v>Low Risk</v>
      </c>
      <c r="K4629" s="3" t="str">
        <f t="shared" si="216"/>
        <v>2-4 Years</v>
      </c>
    </row>
    <row r="4630" spans="1:11" x14ac:dyDescent="0.3">
      <c r="A4630" t="s">
        <v>4647</v>
      </c>
      <c r="B4630" t="s">
        <v>14</v>
      </c>
      <c r="C4630" t="s">
        <v>15</v>
      </c>
      <c r="D4630" t="s">
        <v>20</v>
      </c>
      <c r="E4630">
        <v>20</v>
      </c>
      <c r="F4630">
        <v>44</v>
      </c>
      <c r="G4630">
        <v>880</v>
      </c>
      <c r="H4630" t="s">
        <v>12</v>
      </c>
      <c r="I4630" t="str">
        <f t="shared" si="217"/>
        <v>Low Value</v>
      </c>
      <c r="J4630" t="str">
        <f t="shared" si="218"/>
        <v>Low Risk</v>
      </c>
      <c r="K4630" s="3" t="str">
        <f t="shared" si="216"/>
        <v>2-4 Years</v>
      </c>
    </row>
    <row r="4631" spans="1:11" x14ac:dyDescent="0.3">
      <c r="A4631" t="s">
        <v>4648</v>
      </c>
      <c r="B4631" t="s">
        <v>14</v>
      </c>
      <c r="C4631" t="s">
        <v>15</v>
      </c>
      <c r="D4631" t="s">
        <v>20</v>
      </c>
      <c r="E4631">
        <v>71</v>
      </c>
      <c r="F4631">
        <v>71</v>
      </c>
      <c r="G4631">
        <v>5041</v>
      </c>
      <c r="H4631" t="s">
        <v>12</v>
      </c>
      <c r="I4631" t="str">
        <f t="shared" si="217"/>
        <v>High Value</v>
      </c>
      <c r="J4631" t="str">
        <f t="shared" si="218"/>
        <v>Low Risk</v>
      </c>
      <c r="K4631" s="3" t="str">
        <f t="shared" si="216"/>
        <v>4+ Years</v>
      </c>
    </row>
    <row r="4632" spans="1:11" x14ac:dyDescent="0.3">
      <c r="A4632" t="s">
        <v>4649</v>
      </c>
      <c r="B4632" t="s">
        <v>9</v>
      </c>
      <c r="C4632" t="s">
        <v>10</v>
      </c>
      <c r="D4632" t="s">
        <v>11</v>
      </c>
      <c r="E4632">
        <v>75.55</v>
      </c>
      <c r="F4632">
        <v>2</v>
      </c>
      <c r="G4632">
        <v>151.1</v>
      </c>
      <c r="H4632" t="s">
        <v>18</v>
      </c>
      <c r="I4632" t="str">
        <f t="shared" si="217"/>
        <v>Low Value</v>
      </c>
      <c r="J4632" t="str">
        <f t="shared" si="218"/>
        <v>High Risk</v>
      </c>
      <c r="K4632" s="3" t="str">
        <f t="shared" si="216"/>
        <v>0-1 Year</v>
      </c>
    </row>
    <row r="4633" spans="1:11" x14ac:dyDescent="0.3">
      <c r="A4633" t="s">
        <v>4650</v>
      </c>
      <c r="B4633" t="s">
        <v>14</v>
      </c>
      <c r="C4633" t="s">
        <v>10</v>
      </c>
      <c r="D4633" t="s">
        <v>11</v>
      </c>
      <c r="E4633">
        <v>93.6</v>
      </c>
      <c r="F4633">
        <v>26</v>
      </c>
      <c r="G4633">
        <v>2433.6</v>
      </c>
      <c r="H4633" t="s">
        <v>12</v>
      </c>
      <c r="I4633" t="str">
        <f t="shared" si="217"/>
        <v>Medium Value</v>
      </c>
      <c r="J4633" t="str">
        <f t="shared" si="218"/>
        <v>Low Risk</v>
      </c>
      <c r="K4633" s="3" t="str">
        <f t="shared" si="216"/>
        <v>2-4 Years</v>
      </c>
    </row>
    <row r="4634" spans="1:11" x14ac:dyDescent="0.3">
      <c r="A4634" t="s">
        <v>4651</v>
      </c>
      <c r="B4634" t="s">
        <v>14</v>
      </c>
      <c r="C4634" t="s">
        <v>10</v>
      </c>
      <c r="D4634" t="s">
        <v>11</v>
      </c>
      <c r="E4634">
        <v>70</v>
      </c>
      <c r="F4634">
        <v>1</v>
      </c>
      <c r="G4634">
        <v>70</v>
      </c>
      <c r="H4634" t="s">
        <v>18</v>
      </c>
      <c r="I4634" t="str">
        <f t="shared" si="217"/>
        <v>Low Value</v>
      </c>
      <c r="J4634" t="str">
        <f t="shared" si="218"/>
        <v>High Risk</v>
      </c>
      <c r="K4634" s="3" t="str">
        <f t="shared" si="216"/>
        <v>0-1 Year</v>
      </c>
    </row>
    <row r="4635" spans="1:11" x14ac:dyDescent="0.3">
      <c r="A4635" t="s">
        <v>4652</v>
      </c>
      <c r="B4635" t="s">
        <v>9</v>
      </c>
      <c r="C4635" t="s">
        <v>10</v>
      </c>
      <c r="D4635" t="s">
        <v>16</v>
      </c>
      <c r="E4635">
        <v>24.4</v>
      </c>
      <c r="F4635">
        <v>1</v>
      </c>
      <c r="G4635">
        <v>24.4</v>
      </c>
      <c r="H4635" t="s">
        <v>12</v>
      </c>
      <c r="I4635" t="str">
        <f t="shared" si="217"/>
        <v>Low Value</v>
      </c>
      <c r="J4635" t="str">
        <f t="shared" si="218"/>
        <v>High Risk</v>
      </c>
      <c r="K4635" s="3" t="str">
        <f t="shared" si="216"/>
        <v>0-1 Year</v>
      </c>
    </row>
    <row r="4636" spans="1:11" x14ac:dyDescent="0.3">
      <c r="A4636" t="s">
        <v>4653</v>
      </c>
      <c r="B4636" t="s">
        <v>14</v>
      </c>
      <c r="C4636" t="s">
        <v>30</v>
      </c>
      <c r="D4636" t="s">
        <v>20</v>
      </c>
      <c r="E4636">
        <v>74.8</v>
      </c>
      <c r="F4636">
        <v>65</v>
      </c>
      <c r="G4636">
        <v>4862</v>
      </c>
      <c r="H4636" t="s">
        <v>18</v>
      </c>
      <c r="I4636" t="str">
        <f t="shared" si="217"/>
        <v>Medium Value</v>
      </c>
      <c r="J4636" t="str">
        <f t="shared" si="218"/>
        <v>Low Risk</v>
      </c>
      <c r="K4636" s="3" t="str">
        <f t="shared" si="216"/>
        <v>4+ Years</v>
      </c>
    </row>
    <row r="4637" spans="1:11" x14ac:dyDescent="0.3">
      <c r="A4637" t="s">
        <v>4654</v>
      </c>
      <c r="B4637" t="s">
        <v>14</v>
      </c>
      <c r="C4637" t="s">
        <v>10</v>
      </c>
      <c r="D4637" t="s">
        <v>16</v>
      </c>
      <c r="E4637">
        <v>65.25</v>
      </c>
      <c r="F4637">
        <v>3</v>
      </c>
      <c r="G4637">
        <v>195.75</v>
      </c>
      <c r="H4637" t="s">
        <v>12</v>
      </c>
      <c r="I4637" t="str">
        <f t="shared" si="217"/>
        <v>Low Value</v>
      </c>
      <c r="J4637" t="str">
        <f t="shared" si="218"/>
        <v>High Risk</v>
      </c>
      <c r="K4637" s="3" t="str">
        <f t="shared" si="216"/>
        <v>0-1 Year</v>
      </c>
    </row>
    <row r="4638" spans="1:11" x14ac:dyDescent="0.3">
      <c r="A4638" t="s">
        <v>4655</v>
      </c>
      <c r="B4638" t="s">
        <v>14</v>
      </c>
      <c r="C4638" t="s">
        <v>10</v>
      </c>
      <c r="D4638" t="s">
        <v>16</v>
      </c>
      <c r="E4638">
        <v>50.55</v>
      </c>
      <c r="F4638">
        <v>13</v>
      </c>
      <c r="G4638">
        <v>657.15</v>
      </c>
      <c r="H4638" t="s">
        <v>12</v>
      </c>
      <c r="I4638" t="str">
        <f t="shared" si="217"/>
        <v>Low Value</v>
      </c>
      <c r="J4638" t="str">
        <f t="shared" si="218"/>
        <v>Medium Risk</v>
      </c>
      <c r="K4638" s="3" t="str">
        <f t="shared" si="216"/>
        <v>1-2 Years</v>
      </c>
    </row>
    <row r="4639" spans="1:11" x14ac:dyDescent="0.3">
      <c r="A4639" t="s">
        <v>4656</v>
      </c>
      <c r="B4639" t="s">
        <v>9</v>
      </c>
      <c r="C4639" t="s">
        <v>10</v>
      </c>
      <c r="D4639" t="s">
        <v>11</v>
      </c>
      <c r="E4639">
        <v>104.4</v>
      </c>
      <c r="F4639">
        <v>33</v>
      </c>
      <c r="G4639">
        <v>3445.2</v>
      </c>
      <c r="H4639" t="s">
        <v>18</v>
      </c>
      <c r="I4639" t="str">
        <f t="shared" si="217"/>
        <v>Medium Value</v>
      </c>
      <c r="J4639" t="str">
        <f t="shared" si="218"/>
        <v>Low Risk</v>
      </c>
      <c r="K4639" s="3" t="str">
        <f t="shared" si="216"/>
        <v>2-4 Years</v>
      </c>
    </row>
    <row r="4640" spans="1:11" x14ac:dyDescent="0.3">
      <c r="A4640" t="s">
        <v>4657</v>
      </c>
      <c r="B4640" t="s">
        <v>9</v>
      </c>
      <c r="C4640" t="s">
        <v>10</v>
      </c>
      <c r="D4640" t="s">
        <v>16</v>
      </c>
      <c r="E4640">
        <v>70.7</v>
      </c>
      <c r="F4640">
        <v>1</v>
      </c>
      <c r="G4640">
        <v>70.7</v>
      </c>
      <c r="H4640" t="s">
        <v>12</v>
      </c>
      <c r="I4640" t="str">
        <f t="shared" si="217"/>
        <v>Low Value</v>
      </c>
      <c r="J4640" t="str">
        <f t="shared" si="218"/>
        <v>High Risk</v>
      </c>
      <c r="K4640" s="3" t="str">
        <f t="shared" si="216"/>
        <v>0-1 Year</v>
      </c>
    </row>
    <row r="4641" spans="1:11" x14ac:dyDescent="0.3">
      <c r="A4641" t="s">
        <v>4658</v>
      </c>
      <c r="B4641" t="s">
        <v>14</v>
      </c>
      <c r="C4641" t="s">
        <v>10</v>
      </c>
      <c r="D4641" t="s">
        <v>16</v>
      </c>
      <c r="E4641">
        <v>45.25</v>
      </c>
      <c r="F4641">
        <v>4</v>
      </c>
      <c r="G4641">
        <v>181</v>
      </c>
      <c r="H4641" t="s">
        <v>12</v>
      </c>
      <c r="I4641" t="str">
        <f t="shared" si="217"/>
        <v>Low Value</v>
      </c>
      <c r="J4641" t="str">
        <f t="shared" si="218"/>
        <v>High Risk</v>
      </c>
      <c r="K4641" s="3" t="str">
        <f t="shared" si="216"/>
        <v>0-1 Year</v>
      </c>
    </row>
    <row r="4642" spans="1:11" x14ac:dyDescent="0.3">
      <c r="A4642" t="s">
        <v>4659</v>
      </c>
      <c r="B4642" t="s">
        <v>14</v>
      </c>
      <c r="C4642" t="s">
        <v>10</v>
      </c>
      <c r="D4642" t="s">
        <v>11</v>
      </c>
      <c r="E4642">
        <v>70.3</v>
      </c>
      <c r="F4642">
        <v>2</v>
      </c>
      <c r="G4642">
        <v>140.6</v>
      </c>
      <c r="H4642" t="s">
        <v>12</v>
      </c>
      <c r="I4642" t="str">
        <f t="shared" si="217"/>
        <v>Low Value</v>
      </c>
      <c r="J4642" t="str">
        <f t="shared" si="218"/>
        <v>High Risk</v>
      </c>
      <c r="K4642" s="3" t="str">
        <f t="shared" si="216"/>
        <v>0-1 Year</v>
      </c>
    </row>
    <row r="4643" spans="1:11" x14ac:dyDescent="0.3">
      <c r="A4643" t="s">
        <v>4660</v>
      </c>
      <c r="B4643" t="s">
        <v>14</v>
      </c>
      <c r="C4643" t="s">
        <v>30</v>
      </c>
      <c r="D4643" t="s">
        <v>24</v>
      </c>
      <c r="E4643">
        <v>108.95</v>
      </c>
      <c r="F4643">
        <v>72</v>
      </c>
      <c r="G4643">
        <v>7844.4</v>
      </c>
      <c r="H4643" t="s">
        <v>12</v>
      </c>
      <c r="I4643" t="str">
        <f t="shared" si="217"/>
        <v>High Value</v>
      </c>
      <c r="J4643" t="str">
        <f t="shared" si="218"/>
        <v>Low Risk</v>
      </c>
      <c r="K4643" s="3" t="str">
        <f t="shared" si="216"/>
        <v>4+ Years</v>
      </c>
    </row>
    <row r="4644" spans="1:11" x14ac:dyDescent="0.3">
      <c r="A4644" t="s">
        <v>4661</v>
      </c>
      <c r="B4644" t="s">
        <v>9</v>
      </c>
      <c r="C4644" t="s">
        <v>10</v>
      </c>
      <c r="D4644" t="s">
        <v>16</v>
      </c>
      <c r="E4644">
        <v>26.45</v>
      </c>
      <c r="F4644">
        <v>37</v>
      </c>
      <c r="G4644">
        <v>978.65</v>
      </c>
      <c r="H4644" t="s">
        <v>12</v>
      </c>
      <c r="I4644" t="str">
        <f t="shared" si="217"/>
        <v>Low Value</v>
      </c>
      <c r="J4644" t="str">
        <f t="shared" si="218"/>
        <v>Low Risk</v>
      </c>
      <c r="K4644" s="3" t="str">
        <f t="shared" si="216"/>
        <v>2-4 Years</v>
      </c>
    </row>
    <row r="4645" spans="1:11" x14ac:dyDescent="0.3">
      <c r="A4645" t="s">
        <v>4662</v>
      </c>
      <c r="B4645" t="s">
        <v>9</v>
      </c>
      <c r="C4645" t="s">
        <v>10</v>
      </c>
      <c r="D4645" t="s">
        <v>11</v>
      </c>
      <c r="E4645">
        <v>86.2</v>
      </c>
      <c r="F4645">
        <v>15</v>
      </c>
      <c r="G4645">
        <v>1293</v>
      </c>
      <c r="H4645" t="s">
        <v>18</v>
      </c>
      <c r="I4645" t="str">
        <f t="shared" si="217"/>
        <v>Low Value</v>
      </c>
      <c r="J4645" t="str">
        <f t="shared" si="218"/>
        <v>Medium Risk</v>
      </c>
      <c r="K4645" s="3" t="str">
        <f t="shared" si="216"/>
        <v>1-2 Years</v>
      </c>
    </row>
    <row r="4646" spans="1:11" x14ac:dyDescent="0.3">
      <c r="A4646" t="s">
        <v>4663</v>
      </c>
      <c r="B4646" t="s">
        <v>9</v>
      </c>
      <c r="C4646" t="s">
        <v>15</v>
      </c>
      <c r="D4646" t="s">
        <v>24</v>
      </c>
      <c r="E4646">
        <v>19.649999999999999</v>
      </c>
      <c r="F4646">
        <v>23</v>
      </c>
      <c r="G4646">
        <v>451.95</v>
      </c>
      <c r="H4646" t="s">
        <v>12</v>
      </c>
      <c r="I4646" t="str">
        <f t="shared" si="217"/>
        <v>Low Value</v>
      </c>
      <c r="J4646" t="str">
        <f t="shared" si="218"/>
        <v>Medium Risk</v>
      </c>
      <c r="K4646" s="3" t="str">
        <f t="shared" si="216"/>
        <v>1-2 Years</v>
      </c>
    </row>
    <row r="4647" spans="1:11" x14ac:dyDescent="0.3">
      <c r="A4647" t="s">
        <v>4664</v>
      </c>
      <c r="B4647" t="s">
        <v>9</v>
      </c>
      <c r="C4647" t="s">
        <v>10</v>
      </c>
      <c r="D4647" t="s">
        <v>24</v>
      </c>
      <c r="E4647">
        <v>51.2</v>
      </c>
      <c r="F4647">
        <v>30</v>
      </c>
      <c r="G4647">
        <v>1536</v>
      </c>
      <c r="H4647" t="s">
        <v>18</v>
      </c>
      <c r="I4647" t="str">
        <f t="shared" si="217"/>
        <v>Low Value</v>
      </c>
      <c r="J4647" t="str">
        <f t="shared" si="218"/>
        <v>Low Risk</v>
      </c>
      <c r="K4647" s="3" t="str">
        <f t="shared" si="216"/>
        <v>2-4 Years</v>
      </c>
    </row>
    <row r="4648" spans="1:11" x14ac:dyDescent="0.3">
      <c r="A4648" t="s">
        <v>4665</v>
      </c>
      <c r="B4648" t="s">
        <v>9</v>
      </c>
      <c r="C4648" t="s">
        <v>15</v>
      </c>
      <c r="D4648" t="s">
        <v>11</v>
      </c>
      <c r="E4648">
        <v>19.05</v>
      </c>
      <c r="F4648">
        <v>42</v>
      </c>
      <c r="G4648">
        <v>800.1</v>
      </c>
      <c r="H4648" t="s">
        <v>12</v>
      </c>
      <c r="I4648" t="str">
        <f t="shared" si="217"/>
        <v>Low Value</v>
      </c>
      <c r="J4648" t="str">
        <f t="shared" si="218"/>
        <v>Low Risk</v>
      </c>
      <c r="K4648" s="3" t="str">
        <f t="shared" si="216"/>
        <v>2-4 Years</v>
      </c>
    </row>
    <row r="4649" spans="1:11" x14ac:dyDescent="0.3">
      <c r="A4649" t="s">
        <v>4666</v>
      </c>
      <c r="B4649" t="s">
        <v>9</v>
      </c>
      <c r="C4649" t="s">
        <v>15</v>
      </c>
      <c r="D4649" t="s">
        <v>16</v>
      </c>
      <c r="E4649">
        <v>74.75</v>
      </c>
      <c r="F4649">
        <v>32</v>
      </c>
      <c r="G4649">
        <v>2392</v>
      </c>
      <c r="H4649" t="s">
        <v>12</v>
      </c>
      <c r="I4649" t="str">
        <f t="shared" si="217"/>
        <v>Medium Value</v>
      </c>
      <c r="J4649" t="str">
        <f t="shared" si="218"/>
        <v>Low Risk</v>
      </c>
      <c r="K4649" s="3" t="str">
        <f t="shared" si="216"/>
        <v>2-4 Years</v>
      </c>
    </row>
    <row r="4650" spans="1:11" x14ac:dyDescent="0.3">
      <c r="A4650" t="s">
        <v>4667</v>
      </c>
      <c r="B4650" t="s">
        <v>9</v>
      </c>
      <c r="C4650" t="s">
        <v>10</v>
      </c>
      <c r="D4650" t="s">
        <v>20</v>
      </c>
      <c r="E4650">
        <v>75.8</v>
      </c>
      <c r="F4650">
        <v>22</v>
      </c>
      <c r="G4650">
        <v>1667.6</v>
      </c>
      <c r="H4650" t="s">
        <v>12</v>
      </c>
      <c r="I4650" t="str">
        <f t="shared" si="217"/>
        <v>Low Value</v>
      </c>
      <c r="J4650" t="str">
        <f t="shared" si="218"/>
        <v>Medium Risk</v>
      </c>
      <c r="K4650" s="3" t="str">
        <f t="shared" si="216"/>
        <v>1-2 Years</v>
      </c>
    </row>
    <row r="4651" spans="1:11" x14ac:dyDescent="0.3">
      <c r="A4651" t="s">
        <v>4668</v>
      </c>
      <c r="B4651" t="s">
        <v>14</v>
      </c>
      <c r="C4651" t="s">
        <v>10</v>
      </c>
      <c r="D4651" t="s">
        <v>24</v>
      </c>
      <c r="E4651">
        <v>25.1</v>
      </c>
      <c r="F4651">
        <v>42</v>
      </c>
      <c r="G4651">
        <v>1054.2</v>
      </c>
      <c r="H4651" t="s">
        <v>12</v>
      </c>
      <c r="I4651" t="str">
        <f t="shared" si="217"/>
        <v>Low Value</v>
      </c>
      <c r="J4651" t="str">
        <f t="shared" si="218"/>
        <v>Low Risk</v>
      </c>
      <c r="K4651" s="3" t="str">
        <f t="shared" si="216"/>
        <v>2-4 Years</v>
      </c>
    </row>
    <row r="4652" spans="1:11" x14ac:dyDescent="0.3">
      <c r="A4652" t="s">
        <v>4669</v>
      </c>
      <c r="B4652" t="s">
        <v>9</v>
      </c>
      <c r="C4652" t="s">
        <v>10</v>
      </c>
      <c r="D4652" t="s">
        <v>16</v>
      </c>
      <c r="E4652">
        <v>44.45</v>
      </c>
      <c r="F4652">
        <v>8</v>
      </c>
      <c r="G4652">
        <v>355.6</v>
      </c>
      <c r="H4652" t="s">
        <v>12</v>
      </c>
      <c r="I4652" t="str">
        <f t="shared" si="217"/>
        <v>Low Value</v>
      </c>
      <c r="J4652" t="str">
        <f t="shared" si="218"/>
        <v>High Risk</v>
      </c>
      <c r="K4652" s="3" t="str">
        <f t="shared" si="216"/>
        <v>0-1 Year</v>
      </c>
    </row>
    <row r="4653" spans="1:11" x14ac:dyDescent="0.3">
      <c r="A4653" t="s">
        <v>4670</v>
      </c>
      <c r="B4653" t="s">
        <v>9</v>
      </c>
      <c r="C4653" t="s">
        <v>30</v>
      </c>
      <c r="D4653" t="s">
        <v>24</v>
      </c>
      <c r="E4653">
        <v>104.3</v>
      </c>
      <c r="F4653">
        <v>65</v>
      </c>
      <c r="G4653">
        <v>6779.5</v>
      </c>
      <c r="H4653" t="s">
        <v>12</v>
      </c>
      <c r="I4653" t="str">
        <f t="shared" si="217"/>
        <v>High Value</v>
      </c>
      <c r="J4653" t="str">
        <f t="shared" si="218"/>
        <v>Low Risk</v>
      </c>
      <c r="K4653" s="3" t="str">
        <f t="shared" si="216"/>
        <v>4+ Years</v>
      </c>
    </row>
    <row r="4654" spans="1:11" x14ac:dyDescent="0.3">
      <c r="A4654" t="s">
        <v>4671</v>
      </c>
      <c r="B4654" t="s">
        <v>9</v>
      </c>
      <c r="C4654" t="s">
        <v>10</v>
      </c>
      <c r="D4654" t="s">
        <v>16</v>
      </c>
      <c r="E4654">
        <v>19.5</v>
      </c>
      <c r="F4654">
        <v>2</v>
      </c>
      <c r="G4654">
        <v>39</v>
      </c>
      <c r="H4654" t="s">
        <v>18</v>
      </c>
      <c r="I4654" t="str">
        <f t="shared" si="217"/>
        <v>Low Value</v>
      </c>
      <c r="J4654" t="str">
        <f t="shared" si="218"/>
        <v>High Risk</v>
      </c>
      <c r="K4654" s="3" t="str">
        <f t="shared" si="216"/>
        <v>0-1 Year</v>
      </c>
    </row>
    <row r="4655" spans="1:11" x14ac:dyDescent="0.3">
      <c r="A4655" t="s">
        <v>4672</v>
      </c>
      <c r="B4655" t="s">
        <v>9</v>
      </c>
      <c r="C4655" t="s">
        <v>30</v>
      </c>
      <c r="D4655" t="s">
        <v>20</v>
      </c>
      <c r="E4655">
        <v>89</v>
      </c>
      <c r="F4655">
        <v>70</v>
      </c>
      <c r="G4655">
        <v>6230</v>
      </c>
      <c r="H4655" t="s">
        <v>12</v>
      </c>
      <c r="I4655" t="str">
        <f t="shared" si="217"/>
        <v>High Value</v>
      </c>
      <c r="J4655" t="str">
        <f t="shared" si="218"/>
        <v>Low Risk</v>
      </c>
      <c r="K4655" s="3" t="str">
        <f t="shared" si="216"/>
        <v>4+ Years</v>
      </c>
    </row>
    <row r="4656" spans="1:11" x14ac:dyDescent="0.3">
      <c r="A4656" t="s">
        <v>4673</v>
      </c>
      <c r="B4656" t="s">
        <v>14</v>
      </c>
      <c r="C4656" t="s">
        <v>10</v>
      </c>
      <c r="D4656" t="s">
        <v>24</v>
      </c>
      <c r="E4656">
        <v>20.149999999999999</v>
      </c>
      <c r="F4656">
        <v>22</v>
      </c>
      <c r="G4656">
        <v>443.29999999999899</v>
      </c>
      <c r="H4656" t="s">
        <v>12</v>
      </c>
      <c r="I4656" t="str">
        <f t="shared" si="217"/>
        <v>Low Value</v>
      </c>
      <c r="J4656" t="str">
        <f t="shared" si="218"/>
        <v>Medium Risk</v>
      </c>
      <c r="K4656" s="3" t="str">
        <f t="shared" si="216"/>
        <v>1-2 Years</v>
      </c>
    </row>
    <row r="4657" spans="1:11" x14ac:dyDescent="0.3">
      <c r="A4657" t="s">
        <v>4674</v>
      </c>
      <c r="B4657" t="s">
        <v>9</v>
      </c>
      <c r="C4657" t="s">
        <v>10</v>
      </c>
      <c r="D4657" t="s">
        <v>11</v>
      </c>
      <c r="E4657">
        <v>74.900000000000006</v>
      </c>
      <c r="F4657">
        <v>4</v>
      </c>
      <c r="G4657">
        <v>299.60000000000002</v>
      </c>
      <c r="H4657" t="s">
        <v>18</v>
      </c>
      <c r="I4657" t="str">
        <f t="shared" si="217"/>
        <v>Low Value</v>
      </c>
      <c r="J4657" t="str">
        <f t="shared" si="218"/>
        <v>High Risk</v>
      </c>
      <c r="K4657" s="3" t="str">
        <f t="shared" si="216"/>
        <v>0-1 Year</v>
      </c>
    </row>
    <row r="4658" spans="1:11" x14ac:dyDescent="0.3">
      <c r="A4658" t="s">
        <v>4675</v>
      </c>
      <c r="B4658" t="s">
        <v>9</v>
      </c>
      <c r="C4658" t="s">
        <v>10</v>
      </c>
      <c r="D4658" t="s">
        <v>24</v>
      </c>
      <c r="E4658">
        <v>74.900000000000006</v>
      </c>
      <c r="F4658">
        <v>2</v>
      </c>
      <c r="G4658">
        <v>149.80000000000001</v>
      </c>
      <c r="H4658" t="s">
        <v>18</v>
      </c>
      <c r="I4658" t="str">
        <f t="shared" si="217"/>
        <v>Low Value</v>
      </c>
      <c r="J4658" t="str">
        <f t="shared" si="218"/>
        <v>High Risk</v>
      </c>
      <c r="K4658" s="3" t="str">
        <f t="shared" si="216"/>
        <v>0-1 Year</v>
      </c>
    </row>
    <row r="4659" spans="1:11" x14ac:dyDescent="0.3">
      <c r="A4659" t="s">
        <v>4676</v>
      </c>
      <c r="B4659" t="s">
        <v>9</v>
      </c>
      <c r="C4659" t="s">
        <v>30</v>
      </c>
      <c r="D4659" t="s">
        <v>20</v>
      </c>
      <c r="E4659">
        <v>36.15</v>
      </c>
      <c r="F4659">
        <v>67</v>
      </c>
      <c r="G4659">
        <v>2422.0499999999902</v>
      </c>
      <c r="H4659" t="s">
        <v>12</v>
      </c>
      <c r="I4659" t="str">
        <f t="shared" si="217"/>
        <v>Medium Value</v>
      </c>
      <c r="J4659" t="str">
        <f t="shared" si="218"/>
        <v>Low Risk</v>
      </c>
      <c r="K4659" s="3" t="str">
        <f t="shared" si="216"/>
        <v>4+ Years</v>
      </c>
    </row>
    <row r="4660" spans="1:11" x14ac:dyDescent="0.3">
      <c r="A4660" t="s">
        <v>4677</v>
      </c>
      <c r="B4660" t="s">
        <v>9</v>
      </c>
      <c r="C4660" t="s">
        <v>10</v>
      </c>
      <c r="D4660" t="s">
        <v>24</v>
      </c>
      <c r="E4660">
        <v>19.2</v>
      </c>
      <c r="F4660">
        <v>25</v>
      </c>
      <c r="G4660">
        <v>480</v>
      </c>
      <c r="H4660" t="s">
        <v>12</v>
      </c>
      <c r="I4660" t="str">
        <f t="shared" si="217"/>
        <v>Low Value</v>
      </c>
      <c r="J4660" t="str">
        <f t="shared" si="218"/>
        <v>Low Risk</v>
      </c>
      <c r="K4660" s="3" t="str">
        <f t="shared" si="216"/>
        <v>2-4 Years</v>
      </c>
    </row>
    <row r="4661" spans="1:11" x14ac:dyDescent="0.3">
      <c r="A4661" t="s">
        <v>4678</v>
      </c>
      <c r="B4661" t="s">
        <v>9</v>
      </c>
      <c r="C4661" t="s">
        <v>10</v>
      </c>
      <c r="D4661" t="s">
        <v>20</v>
      </c>
      <c r="E4661">
        <v>19.25</v>
      </c>
      <c r="F4661">
        <v>20</v>
      </c>
      <c r="G4661">
        <v>385</v>
      </c>
      <c r="H4661" t="s">
        <v>12</v>
      </c>
      <c r="I4661" t="str">
        <f t="shared" si="217"/>
        <v>Low Value</v>
      </c>
      <c r="J4661" t="str">
        <f t="shared" si="218"/>
        <v>Medium Risk</v>
      </c>
      <c r="K4661" s="3" t="str">
        <f t="shared" si="216"/>
        <v>1-2 Years</v>
      </c>
    </row>
    <row r="4662" spans="1:11" x14ac:dyDescent="0.3">
      <c r="A4662" t="s">
        <v>4679</v>
      </c>
      <c r="B4662" t="s">
        <v>9</v>
      </c>
      <c r="C4662" t="s">
        <v>10</v>
      </c>
      <c r="D4662" t="s">
        <v>24</v>
      </c>
      <c r="E4662">
        <v>61.2</v>
      </c>
      <c r="F4662">
        <v>2</v>
      </c>
      <c r="G4662">
        <v>122.4</v>
      </c>
      <c r="H4662" t="s">
        <v>12</v>
      </c>
      <c r="I4662" t="str">
        <f t="shared" si="217"/>
        <v>Low Value</v>
      </c>
      <c r="J4662" t="str">
        <f t="shared" si="218"/>
        <v>High Risk</v>
      </c>
      <c r="K4662" s="3" t="str">
        <f t="shared" si="216"/>
        <v>0-1 Year</v>
      </c>
    </row>
    <row r="4663" spans="1:11" x14ac:dyDescent="0.3">
      <c r="A4663" t="s">
        <v>4680</v>
      </c>
      <c r="B4663" t="s">
        <v>14</v>
      </c>
      <c r="C4663" t="s">
        <v>30</v>
      </c>
      <c r="D4663" t="s">
        <v>16</v>
      </c>
      <c r="E4663">
        <v>20.45</v>
      </c>
      <c r="F4663">
        <v>51</v>
      </c>
      <c r="G4663">
        <v>1042.95</v>
      </c>
      <c r="H4663" t="s">
        <v>12</v>
      </c>
      <c r="I4663" t="str">
        <f t="shared" si="217"/>
        <v>Low Value</v>
      </c>
      <c r="J4663" t="str">
        <f t="shared" si="218"/>
        <v>Low Risk</v>
      </c>
      <c r="K4663" s="3" t="str">
        <f t="shared" si="216"/>
        <v>4+ Years</v>
      </c>
    </row>
    <row r="4664" spans="1:11" x14ac:dyDescent="0.3">
      <c r="A4664" t="s">
        <v>4681</v>
      </c>
      <c r="B4664" t="s">
        <v>9</v>
      </c>
      <c r="C4664" t="s">
        <v>10</v>
      </c>
      <c r="D4664" t="s">
        <v>20</v>
      </c>
      <c r="E4664">
        <v>35.049999999999997</v>
      </c>
      <c r="F4664">
        <v>46</v>
      </c>
      <c r="G4664">
        <v>1612.3</v>
      </c>
      <c r="H4664" t="s">
        <v>12</v>
      </c>
      <c r="I4664" t="str">
        <f t="shared" si="217"/>
        <v>Low Value</v>
      </c>
      <c r="J4664" t="str">
        <f t="shared" si="218"/>
        <v>Low Risk</v>
      </c>
      <c r="K4664" s="3" t="str">
        <f t="shared" si="216"/>
        <v>2-4 Years</v>
      </c>
    </row>
    <row r="4665" spans="1:11" x14ac:dyDescent="0.3">
      <c r="A4665" t="s">
        <v>4682</v>
      </c>
      <c r="B4665" t="s">
        <v>9</v>
      </c>
      <c r="C4665" t="s">
        <v>10</v>
      </c>
      <c r="D4665" t="s">
        <v>11</v>
      </c>
      <c r="E4665">
        <v>100.25</v>
      </c>
      <c r="F4665">
        <v>25</v>
      </c>
      <c r="G4665">
        <v>2506.25</v>
      </c>
      <c r="H4665" t="s">
        <v>18</v>
      </c>
      <c r="I4665" t="str">
        <f t="shared" si="217"/>
        <v>Medium Value</v>
      </c>
      <c r="J4665" t="str">
        <f t="shared" si="218"/>
        <v>Low Risk</v>
      </c>
      <c r="K4665" s="3" t="str">
        <f t="shared" si="216"/>
        <v>2-4 Years</v>
      </c>
    </row>
    <row r="4666" spans="1:11" x14ac:dyDescent="0.3">
      <c r="A4666" t="s">
        <v>4683</v>
      </c>
      <c r="B4666" t="s">
        <v>14</v>
      </c>
      <c r="C4666" t="s">
        <v>10</v>
      </c>
      <c r="D4666" t="s">
        <v>16</v>
      </c>
      <c r="E4666">
        <v>44</v>
      </c>
      <c r="F4666">
        <v>13</v>
      </c>
      <c r="G4666">
        <v>572</v>
      </c>
      <c r="H4666" t="s">
        <v>12</v>
      </c>
      <c r="I4666" t="str">
        <f t="shared" si="217"/>
        <v>Low Value</v>
      </c>
      <c r="J4666" t="str">
        <f t="shared" si="218"/>
        <v>Medium Risk</v>
      </c>
      <c r="K4666" s="3" t="str">
        <f t="shared" si="216"/>
        <v>1-2 Years</v>
      </c>
    </row>
    <row r="4667" spans="1:11" x14ac:dyDescent="0.3">
      <c r="A4667" t="s">
        <v>4684</v>
      </c>
      <c r="B4667" t="s">
        <v>9</v>
      </c>
      <c r="C4667" t="s">
        <v>10</v>
      </c>
      <c r="D4667" t="s">
        <v>16</v>
      </c>
      <c r="E4667">
        <v>102.8</v>
      </c>
      <c r="F4667">
        <v>25</v>
      </c>
      <c r="G4667">
        <v>2570</v>
      </c>
      <c r="H4667" t="s">
        <v>18</v>
      </c>
      <c r="I4667" t="str">
        <f t="shared" si="217"/>
        <v>Medium Value</v>
      </c>
      <c r="J4667" t="str">
        <f t="shared" si="218"/>
        <v>Low Risk</v>
      </c>
      <c r="K4667" s="3" t="str">
        <f t="shared" si="216"/>
        <v>2-4 Years</v>
      </c>
    </row>
    <row r="4668" spans="1:11" x14ac:dyDescent="0.3">
      <c r="A4668" t="s">
        <v>4685</v>
      </c>
      <c r="B4668" t="s">
        <v>14</v>
      </c>
      <c r="C4668" t="s">
        <v>15</v>
      </c>
      <c r="D4668" t="s">
        <v>16</v>
      </c>
      <c r="E4668">
        <v>50.35</v>
      </c>
      <c r="F4668">
        <v>26</v>
      </c>
      <c r="G4668">
        <v>1309.0999999999999</v>
      </c>
      <c r="H4668" t="s">
        <v>12</v>
      </c>
      <c r="I4668" t="str">
        <f t="shared" si="217"/>
        <v>Low Value</v>
      </c>
      <c r="J4668" t="str">
        <f t="shared" si="218"/>
        <v>Low Risk</v>
      </c>
      <c r="K4668" s="3" t="str">
        <f t="shared" si="216"/>
        <v>2-4 Years</v>
      </c>
    </row>
    <row r="4669" spans="1:11" x14ac:dyDescent="0.3">
      <c r="A4669" t="s">
        <v>4686</v>
      </c>
      <c r="B4669" t="s">
        <v>14</v>
      </c>
      <c r="C4669" t="s">
        <v>15</v>
      </c>
      <c r="D4669" t="s">
        <v>11</v>
      </c>
      <c r="E4669">
        <v>100</v>
      </c>
      <c r="F4669">
        <v>43</v>
      </c>
      <c r="G4669">
        <v>4300</v>
      </c>
      <c r="H4669" t="s">
        <v>18</v>
      </c>
      <c r="I4669" t="str">
        <f t="shared" si="217"/>
        <v>Medium Value</v>
      </c>
      <c r="J4669" t="str">
        <f t="shared" si="218"/>
        <v>Low Risk</v>
      </c>
      <c r="K4669" s="3" t="str">
        <f t="shared" si="216"/>
        <v>2-4 Years</v>
      </c>
    </row>
    <row r="4670" spans="1:11" x14ac:dyDescent="0.3">
      <c r="A4670" t="s">
        <v>4687</v>
      </c>
      <c r="B4670" t="s">
        <v>14</v>
      </c>
      <c r="C4670" t="s">
        <v>10</v>
      </c>
      <c r="D4670" t="s">
        <v>11</v>
      </c>
      <c r="E4670">
        <v>20</v>
      </c>
      <c r="F4670">
        <v>19</v>
      </c>
      <c r="G4670">
        <v>380</v>
      </c>
      <c r="H4670" t="s">
        <v>12</v>
      </c>
      <c r="I4670" t="str">
        <f t="shared" si="217"/>
        <v>Low Value</v>
      </c>
      <c r="J4670" t="str">
        <f t="shared" si="218"/>
        <v>Medium Risk</v>
      </c>
      <c r="K4670" s="3" t="str">
        <f t="shared" si="216"/>
        <v>1-2 Years</v>
      </c>
    </row>
    <row r="4671" spans="1:11" x14ac:dyDescent="0.3">
      <c r="A4671" t="s">
        <v>4688</v>
      </c>
      <c r="B4671" t="s">
        <v>14</v>
      </c>
      <c r="C4671" t="s">
        <v>10</v>
      </c>
      <c r="D4671" t="s">
        <v>11</v>
      </c>
      <c r="E4671">
        <v>99.85</v>
      </c>
      <c r="F4671">
        <v>10</v>
      </c>
      <c r="G4671">
        <v>998.5</v>
      </c>
      <c r="H4671" t="s">
        <v>18</v>
      </c>
      <c r="I4671" t="str">
        <f t="shared" si="217"/>
        <v>Low Value</v>
      </c>
      <c r="J4671" t="str">
        <f t="shared" si="218"/>
        <v>High Risk</v>
      </c>
      <c r="K4671" s="3" t="str">
        <f t="shared" si="216"/>
        <v>0-1 Year</v>
      </c>
    </row>
    <row r="4672" spans="1:11" x14ac:dyDescent="0.3">
      <c r="A4672" t="s">
        <v>4689</v>
      </c>
      <c r="B4672" t="s">
        <v>9</v>
      </c>
      <c r="C4672" t="s">
        <v>10</v>
      </c>
      <c r="D4672" t="s">
        <v>20</v>
      </c>
      <c r="E4672">
        <v>94.2</v>
      </c>
      <c r="F4672">
        <v>2</v>
      </c>
      <c r="G4672">
        <v>188.4</v>
      </c>
      <c r="H4672" t="s">
        <v>18</v>
      </c>
      <c r="I4672" t="str">
        <f t="shared" si="217"/>
        <v>Low Value</v>
      </c>
      <c r="J4672" t="str">
        <f t="shared" si="218"/>
        <v>High Risk</v>
      </c>
      <c r="K4672" s="3" t="str">
        <f t="shared" si="216"/>
        <v>0-1 Year</v>
      </c>
    </row>
    <row r="4673" spans="1:11" x14ac:dyDescent="0.3">
      <c r="A4673" t="s">
        <v>4690</v>
      </c>
      <c r="B4673" t="s">
        <v>9</v>
      </c>
      <c r="C4673" t="s">
        <v>30</v>
      </c>
      <c r="D4673" t="s">
        <v>20</v>
      </c>
      <c r="E4673">
        <v>86.4</v>
      </c>
      <c r="F4673">
        <v>72</v>
      </c>
      <c r="G4673">
        <v>6220.8</v>
      </c>
      <c r="H4673" t="s">
        <v>12</v>
      </c>
      <c r="I4673" t="str">
        <f t="shared" si="217"/>
        <v>High Value</v>
      </c>
      <c r="J4673" t="str">
        <f t="shared" si="218"/>
        <v>Low Risk</v>
      </c>
      <c r="K4673" s="3" t="str">
        <f t="shared" si="216"/>
        <v>4+ Years</v>
      </c>
    </row>
    <row r="4674" spans="1:11" x14ac:dyDescent="0.3">
      <c r="A4674" t="s">
        <v>4691</v>
      </c>
      <c r="B4674" t="s">
        <v>14</v>
      </c>
      <c r="C4674" t="s">
        <v>10</v>
      </c>
      <c r="D4674" t="s">
        <v>24</v>
      </c>
      <c r="E4674">
        <v>58.4</v>
      </c>
      <c r="F4674">
        <v>18</v>
      </c>
      <c r="G4674">
        <v>1051.2</v>
      </c>
      <c r="H4674" t="s">
        <v>12</v>
      </c>
      <c r="I4674" t="str">
        <f t="shared" si="217"/>
        <v>Low Value</v>
      </c>
      <c r="J4674" t="str">
        <f t="shared" si="218"/>
        <v>Medium Risk</v>
      </c>
      <c r="K4674" s="3" t="str">
        <f t="shared" si="216"/>
        <v>1-2 Years</v>
      </c>
    </row>
    <row r="4675" spans="1:11" x14ac:dyDescent="0.3">
      <c r="A4675" t="s">
        <v>4692</v>
      </c>
      <c r="B4675" t="s">
        <v>14</v>
      </c>
      <c r="C4675" t="s">
        <v>10</v>
      </c>
      <c r="D4675" t="s">
        <v>11</v>
      </c>
      <c r="E4675">
        <v>83.85</v>
      </c>
      <c r="F4675">
        <v>9</v>
      </c>
      <c r="G4675">
        <v>754.65</v>
      </c>
      <c r="H4675" t="s">
        <v>18</v>
      </c>
      <c r="I4675" t="str">
        <f t="shared" si="217"/>
        <v>Low Value</v>
      </c>
      <c r="J4675" t="str">
        <f t="shared" si="218"/>
        <v>High Risk</v>
      </c>
      <c r="K4675" s="3" t="str">
        <f t="shared" ref="K4675:K4738" si="219">IF(F4675&lt;=12,"0-1 Year",
IF(F4675&lt;=24,"1-2 Years",
IF(F4675&lt;=48,"2-4 Years","4+ Years")))</f>
        <v>0-1 Year</v>
      </c>
    </row>
    <row r="4676" spans="1:11" x14ac:dyDescent="0.3">
      <c r="A4676" t="s">
        <v>4693</v>
      </c>
      <c r="B4676" t="s">
        <v>9</v>
      </c>
      <c r="C4676" t="s">
        <v>10</v>
      </c>
      <c r="D4676" t="s">
        <v>24</v>
      </c>
      <c r="E4676">
        <v>88.3</v>
      </c>
      <c r="F4676">
        <v>27</v>
      </c>
      <c r="G4676">
        <v>2384.1</v>
      </c>
      <c r="H4676" t="s">
        <v>18</v>
      </c>
      <c r="I4676" t="str">
        <f t="shared" ref="I4676:I4739" si="220">IF(G4676&gt;5000,"High Value",
IF(G4676&gt;2000,"Medium Value","Low Value"))</f>
        <v>Medium Value</v>
      </c>
      <c r="J4676" t="str">
        <f t="shared" ref="J4676:J4739" si="221">IF(F4676&lt;12,"High Risk",
IF(F4676&lt;24,"Medium Risk","Low Risk"))</f>
        <v>Low Risk</v>
      </c>
      <c r="K4676" s="3" t="str">
        <f t="shared" si="219"/>
        <v>2-4 Years</v>
      </c>
    </row>
    <row r="4677" spans="1:11" x14ac:dyDescent="0.3">
      <c r="A4677" t="s">
        <v>4694</v>
      </c>
      <c r="B4677" t="s">
        <v>14</v>
      </c>
      <c r="C4677" t="s">
        <v>10</v>
      </c>
      <c r="D4677" t="s">
        <v>11</v>
      </c>
      <c r="E4677">
        <v>94.1</v>
      </c>
      <c r="F4677">
        <v>24</v>
      </c>
      <c r="G4677">
        <v>2258.3999999999901</v>
      </c>
      <c r="H4677" t="s">
        <v>12</v>
      </c>
      <c r="I4677" t="str">
        <f t="shared" si="220"/>
        <v>Medium Value</v>
      </c>
      <c r="J4677" t="str">
        <f t="shared" si="221"/>
        <v>Low Risk</v>
      </c>
      <c r="K4677" s="3" t="str">
        <f t="shared" si="219"/>
        <v>1-2 Years</v>
      </c>
    </row>
    <row r="4678" spans="1:11" x14ac:dyDescent="0.3">
      <c r="A4678" t="s">
        <v>4695</v>
      </c>
      <c r="B4678" t="s">
        <v>14</v>
      </c>
      <c r="C4678" t="s">
        <v>15</v>
      </c>
      <c r="D4678" t="s">
        <v>20</v>
      </c>
      <c r="E4678">
        <v>104.05</v>
      </c>
      <c r="F4678">
        <v>69</v>
      </c>
      <c r="G4678">
        <v>7179.45</v>
      </c>
      <c r="H4678" t="s">
        <v>18</v>
      </c>
      <c r="I4678" t="str">
        <f t="shared" si="220"/>
        <v>High Value</v>
      </c>
      <c r="J4678" t="str">
        <f t="shared" si="221"/>
        <v>Low Risk</v>
      </c>
      <c r="K4678" s="3" t="str">
        <f t="shared" si="219"/>
        <v>4+ Years</v>
      </c>
    </row>
    <row r="4679" spans="1:11" x14ac:dyDescent="0.3">
      <c r="A4679" t="s">
        <v>4696</v>
      </c>
      <c r="B4679" t="s">
        <v>9</v>
      </c>
      <c r="C4679" t="s">
        <v>30</v>
      </c>
      <c r="D4679" t="s">
        <v>24</v>
      </c>
      <c r="E4679">
        <v>108.9</v>
      </c>
      <c r="F4679">
        <v>46</v>
      </c>
      <c r="G4679">
        <v>5009.3999999999996</v>
      </c>
      <c r="H4679" t="s">
        <v>12</v>
      </c>
      <c r="I4679" t="str">
        <f t="shared" si="220"/>
        <v>High Value</v>
      </c>
      <c r="J4679" t="str">
        <f t="shared" si="221"/>
        <v>Low Risk</v>
      </c>
      <c r="K4679" s="3" t="str">
        <f t="shared" si="219"/>
        <v>2-4 Years</v>
      </c>
    </row>
    <row r="4680" spans="1:11" x14ac:dyDescent="0.3">
      <c r="A4680" t="s">
        <v>4697</v>
      </c>
      <c r="B4680" t="s">
        <v>9</v>
      </c>
      <c r="C4680" t="s">
        <v>30</v>
      </c>
      <c r="D4680" t="s">
        <v>20</v>
      </c>
      <c r="E4680">
        <v>107.4</v>
      </c>
      <c r="F4680">
        <v>72</v>
      </c>
      <c r="G4680">
        <v>7732.8</v>
      </c>
      <c r="H4680" t="s">
        <v>12</v>
      </c>
      <c r="I4680" t="str">
        <f t="shared" si="220"/>
        <v>High Value</v>
      </c>
      <c r="J4680" t="str">
        <f t="shared" si="221"/>
        <v>Low Risk</v>
      </c>
      <c r="K4680" s="3" t="str">
        <f t="shared" si="219"/>
        <v>4+ Years</v>
      </c>
    </row>
    <row r="4681" spans="1:11" x14ac:dyDescent="0.3">
      <c r="A4681" t="s">
        <v>4698</v>
      </c>
      <c r="B4681" t="s">
        <v>14</v>
      </c>
      <c r="C4681" t="s">
        <v>10</v>
      </c>
      <c r="D4681" t="s">
        <v>24</v>
      </c>
      <c r="E4681">
        <v>94.7</v>
      </c>
      <c r="F4681">
        <v>22</v>
      </c>
      <c r="G4681">
        <v>2083.4</v>
      </c>
      <c r="H4681" t="s">
        <v>18</v>
      </c>
      <c r="I4681" t="str">
        <f t="shared" si="220"/>
        <v>Medium Value</v>
      </c>
      <c r="J4681" t="str">
        <f t="shared" si="221"/>
        <v>Medium Risk</v>
      </c>
      <c r="K4681" s="3" t="str">
        <f t="shared" si="219"/>
        <v>1-2 Years</v>
      </c>
    </row>
    <row r="4682" spans="1:11" x14ac:dyDescent="0.3">
      <c r="A4682" t="s">
        <v>4699</v>
      </c>
      <c r="B4682" t="s">
        <v>9</v>
      </c>
      <c r="C4682" t="s">
        <v>10</v>
      </c>
      <c r="D4682" t="s">
        <v>11</v>
      </c>
      <c r="E4682">
        <v>90.85</v>
      </c>
      <c r="F4682">
        <v>70</v>
      </c>
      <c r="G4682">
        <v>6359.5</v>
      </c>
      <c r="H4682" t="s">
        <v>12</v>
      </c>
      <c r="I4682" t="str">
        <f t="shared" si="220"/>
        <v>High Value</v>
      </c>
      <c r="J4682" t="str">
        <f t="shared" si="221"/>
        <v>Low Risk</v>
      </c>
      <c r="K4682" s="3" t="str">
        <f t="shared" si="219"/>
        <v>4+ Years</v>
      </c>
    </row>
    <row r="4683" spans="1:11" x14ac:dyDescent="0.3">
      <c r="A4683" t="s">
        <v>4700</v>
      </c>
      <c r="B4683" t="s">
        <v>9</v>
      </c>
      <c r="C4683" t="s">
        <v>10</v>
      </c>
      <c r="D4683" t="s">
        <v>11</v>
      </c>
      <c r="E4683">
        <v>19.899999999999999</v>
      </c>
      <c r="F4683">
        <v>2</v>
      </c>
      <c r="G4683">
        <v>39.799999999999997</v>
      </c>
      <c r="H4683" t="s">
        <v>12</v>
      </c>
      <c r="I4683" t="str">
        <f t="shared" si="220"/>
        <v>Low Value</v>
      </c>
      <c r="J4683" t="str">
        <f t="shared" si="221"/>
        <v>High Risk</v>
      </c>
      <c r="K4683" s="3" t="str">
        <f t="shared" si="219"/>
        <v>0-1 Year</v>
      </c>
    </row>
    <row r="4684" spans="1:11" x14ac:dyDescent="0.3">
      <c r="A4684" t="s">
        <v>4701</v>
      </c>
      <c r="B4684" t="s">
        <v>14</v>
      </c>
      <c r="C4684" t="s">
        <v>10</v>
      </c>
      <c r="D4684" t="s">
        <v>24</v>
      </c>
      <c r="E4684">
        <v>66.400000000000006</v>
      </c>
      <c r="F4684">
        <v>31</v>
      </c>
      <c r="G4684">
        <v>2058.4</v>
      </c>
      <c r="H4684" t="s">
        <v>12</v>
      </c>
      <c r="I4684" t="str">
        <f t="shared" si="220"/>
        <v>Medium Value</v>
      </c>
      <c r="J4684" t="str">
        <f t="shared" si="221"/>
        <v>Low Risk</v>
      </c>
      <c r="K4684" s="3" t="str">
        <f t="shared" si="219"/>
        <v>2-4 Years</v>
      </c>
    </row>
    <row r="4685" spans="1:11" x14ac:dyDescent="0.3">
      <c r="A4685" t="s">
        <v>4702</v>
      </c>
      <c r="B4685" t="s">
        <v>9</v>
      </c>
      <c r="C4685" t="s">
        <v>10</v>
      </c>
      <c r="D4685" t="s">
        <v>20</v>
      </c>
      <c r="E4685">
        <v>100.65</v>
      </c>
      <c r="F4685">
        <v>56</v>
      </c>
      <c r="G4685">
        <v>5636.4</v>
      </c>
      <c r="H4685" t="s">
        <v>18</v>
      </c>
      <c r="I4685" t="str">
        <f t="shared" si="220"/>
        <v>High Value</v>
      </c>
      <c r="J4685" t="str">
        <f t="shared" si="221"/>
        <v>Low Risk</v>
      </c>
      <c r="K4685" s="3" t="str">
        <f t="shared" si="219"/>
        <v>4+ Years</v>
      </c>
    </row>
    <row r="4686" spans="1:11" x14ac:dyDescent="0.3">
      <c r="A4686" t="s">
        <v>4703</v>
      </c>
      <c r="B4686" t="s">
        <v>9</v>
      </c>
      <c r="C4686" t="s">
        <v>10</v>
      </c>
      <c r="D4686" t="s">
        <v>20</v>
      </c>
      <c r="E4686">
        <v>100.7</v>
      </c>
      <c r="F4686">
        <v>16</v>
      </c>
      <c r="G4686">
        <v>1611.2</v>
      </c>
      <c r="H4686" t="s">
        <v>12</v>
      </c>
      <c r="I4686" t="str">
        <f t="shared" si="220"/>
        <v>Low Value</v>
      </c>
      <c r="J4686" t="str">
        <f t="shared" si="221"/>
        <v>Medium Risk</v>
      </c>
      <c r="K4686" s="3" t="str">
        <f t="shared" si="219"/>
        <v>1-2 Years</v>
      </c>
    </row>
    <row r="4687" spans="1:11" x14ac:dyDescent="0.3">
      <c r="A4687" t="s">
        <v>4704</v>
      </c>
      <c r="B4687" t="s">
        <v>14</v>
      </c>
      <c r="C4687" t="s">
        <v>30</v>
      </c>
      <c r="D4687" t="s">
        <v>24</v>
      </c>
      <c r="E4687">
        <v>25.6</v>
      </c>
      <c r="F4687">
        <v>52</v>
      </c>
      <c r="G4687">
        <v>1331.2</v>
      </c>
      <c r="H4687" t="s">
        <v>12</v>
      </c>
      <c r="I4687" t="str">
        <f t="shared" si="220"/>
        <v>Low Value</v>
      </c>
      <c r="J4687" t="str">
        <f t="shared" si="221"/>
        <v>Low Risk</v>
      </c>
      <c r="K4687" s="3" t="str">
        <f t="shared" si="219"/>
        <v>4+ Years</v>
      </c>
    </row>
    <row r="4688" spans="1:11" x14ac:dyDescent="0.3">
      <c r="A4688" t="s">
        <v>4705</v>
      </c>
      <c r="B4688" t="s">
        <v>14</v>
      </c>
      <c r="C4688" t="s">
        <v>10</v>
      </c>
      <c r="D4688" t="s">
        <v>16</v>
      </c>
      <c r="E4688">
        <v>19.850000000000001</v>
      </c>
      <c r="F4688">
        <v>13</v>
      </c>
      <c r="G4688">
        <v>258.05</v>
      </c>
      <c r="H4688" t="s">
        <v>12</v>
      </c>
      <c r="I4688" t="str">
        <f t="shared" si="220"/>
        <v>Low Value</v>
      </c>
      <c r="J4688" t="str">
        <f t="shared" si="221"/>
        <v>Medium Risk</v>
      </c>
      <c r="K4688" s="3" t="str">
        <f t="shared" si="219"/>
        <v>1-2 Years</v>
      </c>
    </row>
    <row r="4689" spans="1:11" x14ac:dyDescent="0.3">
      <c r="A4689" t="s">
        <v>4706</v>
      </c>
      <c r="B4689" t="s">
        <v>9</v>
      </c>
      <c r="C4689" t="s">
        <v>15</v>
      </c>
      <c r="D4689" t="s">
        <v>16</v>
      </c>
      <c r="E4689">
        <v>20.75</v>
      </c>
      <c r="F4689">
        <v>35</v>
      </c>
      <c r="G4689">
        <v>726.25</v>
      </c>
      <c r="H4689" t="s">
        <v>12</v>
      </c>
      <c r="I4689" t="str">
        <f t="shared" si="220"/>
        <v>Low Value</v>
      </c>
      <c r="J4689" t="str">
        <f t="shared" si="221"/>
        <v>Low Risk</v>
      </c>
      <c r="K4689" s="3" t="str">
        <f t="shared" si="219"/>
        <v>2-4 Years</v>
      </c>
    </row>
    <row r="4690" spans="1:11" x14ac:dyDescent="0.3">
      <c r="A4690" t="s">
        <v>4707</v>
      </c>
      <c r="B4690" t="s">
        <v>9</v>
      </c>
      <c r="C4690" t="s">
        <v>30</v>
      </c>
      <c r="D4690" t="s">
        <v>11</v>
      </c>
      <c r="E4690">
        <v>95.8</v>
      </c>
      <c r="F4690">
        <v>59</v>
      </c>
      <c r="G4690">
        <v>5652.2</v>
      </c>
      <c r="H4690" t="s">
        <v>12</v>
      </c>
      <c r="I4690" t="str">
        <f t="shared" si="220"/>
        <v>High Value</v>
      </c>
      <c r="J4690" t="str">
        <f t="shared" si="221"/>
        <v>Low Risk</v>
      </c>
      <c r="K4690" s="3" t="str">
        <f t="shared" si="219"/>
        <v>4+ Years</v>
      </c>
    </row>
    <row r="4691" spans="1:11" x14ac:dyDescent="0.3">
      <c r="A4691" t="s">
        <v>4708</v>
      </c>
      <c r="B4691" t="s">
        <v>14</v>
      </c>
      <c r="C4691" t="s">
        <v>10</v>
      </c>
      <c r="D4691" t="s">
        <v>11</v>
      </c>
      <c r="E4691">
        <v>94.65</v>
      </c>
      <c r="F4691">
        <v>72</v>
      </c>
      <c r="G4691">
        <v>6814.8</v>
      </c>
      <c r="H4691" t="s">
        <v>12</v>
      </c>
      <c r="I4691" t="str">
        <f t="shared" si="220"/>
        <v>High Value</v>
      </c>
      <c r="J4691" t="str">
        <f t="shared" si="221"/>
        <v>Low Risk</v>
      </c>
      <c r="K4691" s="3" t="str">
        <f t="shared" si="219"/>
        <v>4+ Years</v>
      </c>
    </row>
    <row r="4692" spans="1:11" x14ac:dyDescent="0.3">
      <c r="A4692" t="s">
        <v>4709</v>
      </c>
      <c r="B4692" t="s">
        <v>9</v>
      </c>
      <c r="C4692" t="s">
        <v>30</v>
      </c>
      <c r="D4692" t="s">
        <v>20</v>
      </c>
      <c r="E4692">
        <v>80.55</v>
      </c>
      <c r="F4692">
        <v>66</v>
      </c>
      <c r="G4692">
        <v>5316.3</v>
      </c>
      <c r="H4692" t="s">
        <v>18</v>
      </c>
      <c r="I4692" t="str">
        <f t="shared" si="220"/>
        <v>High Value</v>
      </c>
      <c r="J4692" t="str">
        <f t="shared" si="221"/>
        <v>Low Risk</v>
      </c>
      <c r="K4692" s="3" t="str">
        <f t="shared" si="219"/>
        <v>4+ Years</v>
      </c>
    </row>
    <row r="4693" spans="1:11" x14ac:dyDescent="0.3">
      <c r="A4693" t="s">
        <v>4710</v>
      </c>
      <c r="B4693" t="s">
        <v>9</v>
      </c>
      <c r="C4693" t="s">
        <v>30</v>
      </c>
      <c r="D4693" t="s">
        <v>24</v>
      </c>
      <c r="E4693">
        <v>106.65</v>
      </c>
      <c r="F4693">
        <v>49</v>
      </c>
      <c r="G4693">
        <v>5225.8500000000004</v>
      </c>
      <c r="H4693" t="s">
        <v>12</v>
      </c>
      <c r="I4693" t="str">
        <f t="shared" si="220"/>
        <v>High Value</v>
      </c>
      <c r="J4693" t="str">
        <f t="shared" si="221"/>
        <v>Low Risk</v>
      </c>
      <c r="K4693" s="3" t="str">
        <f t="shared" si="219"/>
        <v>4+ Years</v>
      </c>
    </row>
    <row r="4694" spans="1:11" x14ac:dyDescent="0.3">
      <c r="A4694" t="s">
        <v>4711</v>
      </c>
      <c r="B4694" t="s">
        <v>9</v>
      </c>
      <c r="C4694" t="s">
        <v>10</v>
      </c>
      <c r="D4694" t="s">
        <v>16</v>
      </c>
      <c r="E4694">
        <v>45.85</v>
      </c>
      <c r="F4694">
        <v>2</v>
      </c>
      <c r="G4694">
        <v>91.7</v>
      </c>
      <c r="H4694" t="s">
        <v>12</v>
      </c>
      <c r="I4694" t="str">
        <f t="shared" si="220"/>
        <v>Low Value</v>
      </c>
      <c r="J4694" t="str">
        <f t="shared" si="221"/>
        <v>High Risk</v>
      </c>
      <c r="K4694" s="3" t="str">
        <f t="shared" si="219"/>
        <v>0-1 Year</v>
      </c>
    </row>
    <row r="4695" spans="1:11" x14ac:dyDescent="0.3">
      <c r="A4695" t="s">
        <v>4712</v>
      </c>
      <c r="B4695" t="s">
        <v>14</v>
      </c>
      <c r="C4695" t="s">
        <v>10</v>
      </c>
      <c r="D4695" t="s">
        <v>11</v>
      </c>
      <c r="E4695">
        <v>104.35</v>
      </c>
      <c r="F4695">
        <v>21</v>
      </c>
      <c r="G4695">
        <v>2191.35</v>
      </c>
      <c r="H4695" t="s">
        <v>12</v>
      </c>
      <c r="I4695" t="str">
        <f t="shared" si="220"/>
        <v>Medium Value</v>
      </c>
      <c r="J4695" t="str">
        <f t="shared" si="221"/>
        <v>Medium Risk</v>
      </c>
      <c r="K4695" s="3" t="str">
        <f t="shared" si="219"/>
        <v>1-2 Years</v>
      </c>
    </row>
    <row r="4696" spans="1:11" x14ac:dyDescent="0.3">
      <c r="A4696" t="s">
        <v>4713</v>
      </c>
      <c r="B4696" t="s">
        <v>14</v>
      </c>
      <c r="C4696" t="s">
        <v>15</v>
      </c>
      <c r="D4696" t="s">
        <v>11</v>
      </c>
      <c r="E4696">
        <v>55.45</v>
      </c>
      <c r="F4696">
        <v>54</v>
      </c>
      <c r="G4696">
        <v>2994.3</v>
      </c>
      <c r="H4696" t="s">
        <v>12</v>
      </c>
      <c r="I4696" t="str">
        <f t="shared" si="220"/>
        <v>Medium Value</v>
      </c>
      <c r="J4696" t="str">
        <f t="shared" si="221"/>
        <v>Low Risk</v>
      </c>
      <c r="K4696" s="3" t="str">
        <f t="shared" si="219"/>
        <v>4+ Years</v>
      </c>
    </row>
    <row r="4697" spans="1:11" x14ac:dyDescent="0.3">
      <c r="A4697" t="s">
        <v>4714</v>
      </c>
      <c r="B4697" t="s">
        <v>14</v>
      </c>
      <c r="C4697" t="s">
        <v>10</v>
      </c>
      <c r="D4697" t="s">
        <v>11</v>
      </c>
      <c r="E4697">
        <v>78.849999999999994</v>
      </c>
      <c r="F4697">
        <v>24</v>
      </c>
      <c r="G4697">
        <v>1892.3999999999901</v>
      </c>
      <c r="H4697" t="s">
        <v>18</v>
      </c>
      <c r="I4697" t="str">
        <f t="shared" si="220"/>
        <v>Low Value</v>
      </c>
      <c r="J4697" t="str">
        <f t="shared" si="221"/>
        <v>Low Risk</v>
      </c>
      <c r="K4697" s="3" t="str">
        <f t="shared" si="219"/>
        <v>1-2 Years</v>
      </c>
    </row>
    <row r="4698" spans="1:11" x14ac:dyDescent="0.3">
      <c r="A4698" t="s">
        <v>4715</v>
      </c>
      <c r="B4698" t="s">
        <v>14</v>
      </c>
      <c r="C4698" t="s">
        <v>10</v>
      </c>
      <c r="D4698" t="s">
        <v>11</v>
      </c>
      <c r="E4698">
        <v>61.15</v>
      </c>
      <c r="F4698">
        <v>1</v>
      </c>
      <c r="G4698">
        <v>61.15</v>
      </c>
      <c r="H4698" t="s">
        <v>12</v>
      </c>
      <c r="I4698" t="str">
        <f t="shared" si="220"/>
        <v>Low Value</v>
      </c>
      <c r="J4698" t="str">
        <f t="shared" si="221"/>
        <v>High Risk</v>
      </c>
      <c r="K4698" s="3" t="str">
        <f t="shared" si="219"/>
        <v>0-1 Year</v>
      </c>
    </row>
    <row r="4699" spans="1:11" x14ac:dyDescent="0.3">
      <c r="A4699" t="s">
        <v>4716</v>
      </c>
      <c r="B4699" t="s">
        <v>14</v>
      </c>
      <c r="C4699" t="s">
        <v>10</v>
      </c>
      <c r="D4699" t="s">
        <v>11</v>
      </c>
      <c r="E4699">
        <v>78.95</v>
      </c>
      <c r="F4699">
        <v>6</v>
      </c>
      <c r="G4699">
        <v>473.7</v>
      </c>
      <c r="H4699" t="s">
        <v>12</v>
      </c>
      <c r="I4699" t="str">
        <f t="shared" si="220"/>
        <v>Low Value</v>
      </c>
      <c r="J4699" t="str">
        <f t="shared" si="221"/>
        <v>High Risk</v>
      </c>
      <c r="K4699" s="3" t="str">
        <f t="shared" si="219"/>
        <v>0-1 Year</v>
      </c>
    </row>
    <row r="4700" spans="1:11" x14ac:dyDescent="0.3">
      <c r="A4700" t="s">
        <v>4717</v>
      </c>
      <c r="B4700" t="s">
        <v>9</v>
      </c>
      <c r="C4700" t="s">
        <v>10</v>
      </c>
      <c r="D4700" t="s">
        <v>16</v>
      </c>
      <c r="E4700">
        <v>44.45</v>
      </c>
      <c r="F4700">
        <v>1</v>
      </c>
      <c r="G4700">
        <v>44.45</v>
      </c>
      <c r="H4700" t="s">
        <v>18</v>
      </c>
      <c r="I4700" t="str">
        <f t="shared" si="220"/>
        <v>Low Value</v>
      </c>
      <c r="J4700" t="str">
        <f t="shared" si="221"/>
        <v>High Risk</v>
      </c>
      <c r="K4700" s="3" t="str">
        <f t="shared" si="219"/>
        <v>0-1 Year</v>
      </c>
    </row>
    <row r="4701" spans="1:11" x14ac:dyDescent="0.3">
      <c r="A4701" t="s">
        <v>4718</v>
      </c>
      <c r="B4701" t="s">
        <v>14</v>
      </c>
      <c r="C4701" t="s">
        <v>15</v>
      </c>
      <c r="D4701" t="s">
        <v>24</v>
      </c>
      <c r="E4701">
        <v>109.2</v>
      </c>
      <c r="F4701">
        <v>49</v>
      </c>
      <c r="G4701">
        <v>5350.8</v>
      </c>
      <c r="H4701" t="s">
        <v>12</v>
      </c>
      <c r="I4701" t="str">
        <f t="shared" si="220"/>
        <v>High Value</v>
      </c>
      <c r="J4701" t="str">
        <f t="shared" si="221"/>
        <v>Low Risk</v>
      </c>
      <c r="K4701" s="3" t="str">
        <f t="shared" si="219"/>
        <v>4+ Years</v>
      </c>
    </row>
    <row r="4702" spans="1:11" x14ac:dyDescent="0.3">
      <c r="A4702" t="s">
        <v>4719</v>
      </c>
      <c r="B4702" t="s">
        <v>9</v>
      </c>
      <c r="C4702" t="s">
        <v>30</v>
      </c>
      <c r="D4702" t="s">
        <v>24</v>
      </c>
      <c r="E4702">
        <v>61.3</v>
      </c>
      <c r="F4702">
        <v>56</v>
      </c>
      <c r="G4702">
        <v>3432.7999999999902</v>
      </c>
      <c r="H4702" t="s">
        <v>12</v>
      </c>
      <c r="I4702" t="str">
        <f t="shared" si="220"/>
        <v>Medium Value</v>
      </c>
      <c r="J4702" t="str">
        <f t="shared" si="221"/>
        <v>Low Risk</v>
      </c>
      <c r="K4702" s="3" t="str">
        <f t="shared" si="219"/>
        <v>4+ Years</v>
      </c>
    </row>
    <row r="4703" spans="1:11" x14ac:dyDescent="0.3">
      <c r="A4703" t="s">
        <v>4720</v>
      </c>
      <c r="B4703" t="s">
        <v>9</v>
      </c>
      <c r="C4703" t="s">
        <v>10</v>
      </c>
      <c r="D4703" t="s">
        <v>11</v>
      </c>
      <c r="E4703">
        <v>96.85</v>
      </c>
      <c r="F4703">
        <v>56</v>
      </c>
      <c r="G4703">
        <v>5423.5999999999904</v>
      </c>
      <c r="H4703" t="s">
        <v>12</v>
      </c>
      <c r="I4703" t="str">
        <f t="shared" si="220"/>
        <v>High Value</v>
      </c>
      <c r="J4703" t="str">
        <f t="shared" si="221"/>
        <v>Low Risk</v>
      </c>
      <c r="K4703" s="3" t="str">
        <f t="shared" si="219"/>
        <v>4+ Years</v>
      </c>
    </row>
    <row r="4704" spans="1:11" x14ac:dyDescent="0.3">
      <c r="A4704" t="s">
        <v>4721</v>
      </c>
      <c r="B4704" t="s">
        <v>9</v>
      </c>
      <c r="C4704" t="s">
        <v>30</v>
      </c>
      <c r="D4704" t="s">
        <v>16</v>
      </c>
      <c r="E4704">
        <v>40.549999999999997</v>
      </c>
      <c r="F4704">
        <v>6</v>
      </c>
      <c r="G4704">
        <v>243.29999999999899</v>
      </c>
      <c r="H4704" t="s">
        <v>12</v>
      </c>
      <c r="I4704" t="str">
        <f t="shared" si="220"/>
        <v>Low Value</v>
      </c>
      <c r="J4704" t="str">
        <f t="shared" si="221"/>
        <v>High Risk</v>
      </c>
      <c r="K4704" s="3" t="str">
        <f t="shared" si="219"/>
        <v>0-1 Year</v>
      </c>
    </row>
    <row r="4705" spans="1:11" x14ac:dyDescent="0.3">
      <c r="A4705" t="s">
        <v>4722</v>
      </c>
      <c r="B4705" t="s">
        <v>14</v>
      </c>
      <c r="C4705" t="s">
        <v>15</v>
      </c>
      <c r="D4705" t="s">
        <v>16</v>
      </c>
      <c r="E4705">
        <v>19.8</v>
      </c>
      <c r="F4705">
        <v>32</v>
      </c>
      <c r="G4705">
        <v>633.6</v>
      </c>
      <c r="H4705" t="s">
        <v>12</v>
      </c>
      <c r="I4705" t="str">
        <f t="shared" si="220"/>
        <v>Low Value</v>
      </c>
      <c r="J4705" t="str">
        <f t="shared" si="221"/>
        <v>Low Risk</v>
      </c>
      <c r="K4705" s="3" t="str">
        <f t="shared" si="219"/>
        <v>2-4 Years</v>
      </c>
    </row>
    <row r="4706" spans="1:11" x14ac:dyDescent="0.3">
      <c r="A4706" t="s">
        <v>4723</v>
      </c>
      <c r="B4706" t="s">
        <v>14</v>
      </c>
      <c r="C4706" t="s">
        <v>15</v>
      </c>
      <c r="D4706" t="s">
        <v>11</v>
      </c>
      <c r="E4706">
        <v>108.25</v>
      </c>
      <c r="F4706">
        <v>50</v>
      </c>
      <c r="G4706">
        <v>5412.5</v>
      </c>
      <c r="H4706" t="s">
        <v>12</v>
      </c>
      <c r="I4706" t="str">
        <f t="shared" si="220"/>
        <v>High Value</v>
      </c>
      <c r="J4706" t="str">
        <f t="shared" si="221"/>
        <v>Low Risk</v>
      </c>
      <c r="K4706" s="3" t="str">
        <f t="shared" si="219"/>
        <v>4+ Years</v>
      </c>
    </row>
    <row r="4707" spans="1:11" x14ac:dyDescent="0.3">
      <c r="A4707" t="s">
        <v>4724</v>
      </c>
      <c r="B4707" t="s">
        <v>14</v>
      </c>
      <c r="C4707" t="s">
        <v>15</v>
      </c>
      <c r="D4707" t="s">
        <v>20</v>
      </c>
      <c r="E4707">
        <v>105.05</v>
      </c>
      <c r="F4707">
        <v>58</v>
      </c>
      <c r="G4707">
        <v>6092.9</v>
      </c>
      <c r="H4707" t="s">
        <v>12</v>
      </c>
      <c r="I4707" t="str">
        <f t="shared" si="220"/>
        <v>High Value</v>
      </c>
      <c r="J4707" t="str">
        <f t="shared" si="221"/>
        <v>Low Risk</v>
      </c>
      <c r="K4707" s="3" t="str">
        <f t="shared" si="219"/>
        <v>4+ Years</v>
      </c>
    </row>
    <row r="4708" spans="1:11" x14ac:dyDescent="0.3">
      <c r="A4708" t="s">
        <v>4725</v>
      </c>
      <c r="B4708" t="s">
        <v>9</v>
      </c>
      <c r="C4708" t="s">
        <v>30</v>
      </c>
      <c r="D4708" t="s">
        <v>16</v>
      </c>
      <c r="E4708">
        <v>90.45</v>
      </c>
      <c r="F4708">
        <v>65</v>
      </c>
      <c r="G4708">
        <v>5879.25</v>
      </c>
      <c r="H4708" t="s">
        <v>12</v>
      </c>
      <c r="I4708" t="str">
        <f t="shared" si="220"/>
        <v>High Value</v>
      </c>
      <c r="J4708" t="str">
        <f t="shared" si="221"/>
        <v>Low Risk</v>
      </c>
      <c r="K4708" s="3" t="str">
        <f t="shared" si="219"/>
        <v>4+ Years</v>
      </c>
    </row>
    <row r="4709" spans="1:11" x14ac:dyDescent="0.3">
      <c r="A4709" t="s">
        <v>4726</v>
      </c>
      <c r="B4709" t="s">
        <v>9</v>
      </c>
      <c r="C4709" t="s">
        <v>30</v>
      </c>
      <c r="D4709" t="s">
        <v>24</v>
      </c>
      <c r="E4709">
        <v>86.4</v>
      </c>
      <c r="F4709">
        <v>64</v>
      </c>
      <c r="G4709">
        <v>5529.6</v>
      </c>
      <c r="H4709" t="s">
        <v>12</v>
      </c>
      <c r="I4709" t="str">
        <f t="shared" si="220"/>
        <v>High Value</v>
      </c>
      <c r="J4709" t="str">
        <f t="shared" si="221"/>
        <v>Low Risk</v>
      </c>
      <c r="K4709" s="3" t="str">
        <f t="shared" si="219"/>
        <v>4+ Years</v>
      </c>
    </row>
    <row r="4710" spans="1:11" x14ac:dyDescent="0.3">
      <c r="A4710" t="s">
        <v>4727</v>
      </c>
      <c r="B4710" t="s">
        <v>9</v>
      </c>
      <c r="C4710" t="s">
        <v>30</v>
      </c>
      <c r="D4710" t="s">
        <v>20</v>
      </c>
      <c r="E4710">
        <v>66.900000000000006</v>
      </c>
      <c r="F4710">
        <v>66</v>
      </c>
      <c r="G4710">
        <v>4415.3999999999996</v>
      </c>
      <c r="H4710" t="s">
        <v>12</v>
      </c>
      <c r="I4710" t="str">
        <f t="shared" si="220"/>
        <v>Medium Value</v>
      </c>
      <c r="J4710" t="str">
        <f t="shared" si="221"/>
        <v>Low Risk</v>
      </c>
      <c r="K4710" s="3" t="str">
        <f t="shared" si="219"/>
        <v>4+ Years</v>
      </c>
    </row>
    <row r="4711" spans="1:11" x14ac:dyDescent="0.3">
      <c r="A4711" t="s">
        <v>4728</v>
      </c>
      <c r="B4711" t="s">
        <v>14</v>
      </c>
      <c r="C4711" t="s">
        <v>15</v>
      </c>
      <c r="D4711" t="s">
        <v>11</v>
      </c>
      <c r="E4711">
        <v>110.7</v>
      </c>
      <c r="F4711">
        <v>38</v>
      </c>
      <c r="G4711">
        <v>4206.6000000000004</v>
      </c>
      <c r="H4711" t="s">
        <v>12</v>
      </c>
      <c r="I4711" t="str">
        <f t="shared" si="220"/>
        <v>Medium Value</v>
      </c>
      <c r="J4711" t="str">
        <f t="shared" si="221"/>
        <v>Low Risk</v>
      </c>
      <c r="K4711" s="3" t="str">
        <f t="shared" si="219"/>
        <v>2-4 Years</v>
      </c>
    </row>
    <row r="4712" spans="1:11" x14ac:dyDescent="0.3">
      <c r="A4712" t="s">
        <v>4729</v>
      </c>
      <c r="B4712" t="s">
        <v>9</v>
      </c>
      <c r="C4712" t="s">
        <v>15</v>
      </c>
      <c r="D4712" t="s">
        <v>16</v>
      </c>
      <c r="E4712">
        <v>20</v>
      </c>
      <c r="F4712">
        <v>20</v>
      </c>
      <c r="G4712">
        <v>400</v>
      </c>
      <c r="H4712" t="s">
        <v>12</v>
      </c>
      <c r="I4712" t="str">
        <f t="shared" si="220"/>
        <v>Low Value</v>
      </c>
      <c r="J4712" t="str">
        <f t="shared" si="221"/>
        <v>Medium Risk</v>
      </c>
      <c r="K4712" s="3" t="str">
        <f t="shared" si="219"/>
        <v>1-2 Years</v>
      </c>
    </row>
    <row r="4713" spans="1:11" x14ac:dyDescent="0.3">
      <c r="A4713" t="s">
        <v>4730</v>
      </c>
      <c r="B4713" t="s">
        <v>14</v>
      </c>
      <c r="C4713" t="s">
        <v>10</v>
      </c>
      <c r="D4713" t="s">
        <v>11</v>
      </c>
      <c r="E4713">
        <v>84.9</v>
      </c>
      <c r="F4713">
        <v>36</v>
      </c>
      <c r="G4713">
        <v>3056.4</v>
      </c>
      <c r="H4713" t="s">
        <v>18</v>
      </c>
      <c r="I4713" t="str">
        <f t="shared" si="220"/>
        <v>Medium Value</v>
      </c>
      <c r="J4713" t="str">
        <f t="shared" si="221"/>
        <v>Low Risk</v>
      </c>
      <c r="K4713" s="3" t="str">
        <f t="shared" si="219"/>
        <v>2-4 Years</v>
      </c>
    </row>
    <row r="4714" spans="1:11" x14ac:dyDescent="0.3">
      <c r="A4714" t="s">
        <v>4731</v>
      </c>
      <c r="B4714" t="s">
        <v>14</v>
      </c>
      <c r="C4714" t="s">
        <v>15</v>
      </c>
      <c r="D4714" t="s">
        <v>11</v>
      </c>
      <c r="E4714">
        <v>102.1</v>
      </c>
      <c r="F4714">
        <v>64</v>
      </c>
      <c r="G4714">
        <v>6534.4</v>
      </c>
      <c r="H4714" t="s">
        <v>12</v>
      </c>
      <c r="I4714" t="str">
        <f t="shared" si="220"/>
        <v>High Value</v>
      </c>
      <c r="J4714" t="str">
        <f t="shared" si="221"/>
        <v>Low Risk</v>
      </c>
      <c r="K4714" s="3" t="str">
        <f t="shared" si="219"/>
        <v>4+ Years</v>
      </c>
    </row>
    <row r="4715" spans="1:11" x14ac:dyDescent="0.3">
      <c r="A4715" t="s">
        <v>4732</v>
      </c>
      <c r="B4715" t="s">
        <v>14</v>
      </c>
      <c r="C4715" t="s">
        <v>10</v>
      </c>
      <c r="D4715" t="s">
        <v>16</v>
      </c>
      <c r="E4715">
        <v>20.25</v>
      </c>
      <c r="F4715">
        <v>1</v>
      </c>
      <c r="G4715">
        <v>20.25</v>
      </c>
      <c r="H4715" t="s">
        <v>18</v>
      </c>
      <c r="I4715" t="str">
        <f t="shared" si="220"/>
        <v>Low Value</v>
      </c>
      <c r="J4715" t="str">
        <f t="shared" si="221"/>
        <v>High Risk</v>
      </c>
      <c r="K4715" s="3" t="str">
        <f t="shared" si="219"/>
        <v>0-1 Year</v>
      </c>
    </row>
    <row r="4716" spans="1:11" x14ac:dyDescent="0.3">
      <c r="A4716" t="s">
        <v>4733</v>
      </c>
      <c r="B4716" t="s">
        <v>9</v>
      </c>
      <c r="C4716" t="s">
        <v>15</v>
      </c>
      <c r="D4716" t="s">
        <v>24</v>
      </c>
      <c r="E4716">
        <v>70.150000000000006</v>
      </c>
      <c r="F4716">
        <v>60</v>
      </c>
      <c r="G4716">
        <v>4209</v>
      </c>
      <c r="H4716" t="s">
        <v>12</v>
      </c>
      <c r="I4716" t="str">
        <f t="shared" si="220"/>
        <v>Medium Value</v>
      </c>
      <c r="J4716" t="str">
        <f t="shared" si="221"/>
        <v>Low Risk</v>
      </c>
      <c r="K4716" s="3" t="str">
        <f t="shared" si="219"/>
        <v>4+ Years</v>
      </c>
    </row>
    <row r="4717" spans="1:11" x14ac:dyDescent="0.3">
      <c r="A4717" t="s">
        <v>4734</v>
      </c>
      <c r="B4717" t="s">
        <v>14</v>
      </c>
      <c r="C4717" t="s">
        <v>10</v>
      </c>
      <c r="D4717" t="s">
        <v>11</v>
      </c>
      <c r="E4717">
        <v>74.349999999999994</v>
      </c>
      <c r="F4717">
        <v>1</v>
      </c>
      <c r="G4717">
        <v>74.349999999999994</v>
      </c>
      <c r="H4717" t="s">
        <v>18</v>
      </c>
      <c r="I4717" t="str">
        <f t="shared" si="220"/>
        <v>Low Value</v>
      </c>
      <c r="J4717" t="str">
        <f t="shared" si="221"/>
        <v>High Risk</v>
      </c>
      <c r="K4717" s="3" t="str">
        <f t="shared" si="219"/>
        <v>0-1 Year</v>
      </c>
    </row>
    <row r="4718" spans="1:11" x14ac:dyDescent="0.3">
      <c r="A4718" t="s">
        <v>4735</v>
      </c>
      <c r="B4718" t="s">
        <v>9</v>
      </c>
      <c r="C4718" t="s">
        <v>15</v>
      </c>
      <c r="D4718" t="s">
        <v>20</v>
      </c>
      <c r="E4718">
        <v>80.05</v>
      </c>
      <c r="F4718">
        <v>50</v>
      </c>
      <c r="G4718">
        <v>4002.5</v>
      </c>
      <c r="H4718" t="s">
        <v>12</v>
      </c>
      <c r="I4718" t="str">
        <f t="shared" si="220"/>
        <v>Medium Value</v>
      </c>
      <c r="J4718" t="str">
        <f t="shared" si="221"/>
        <v>Low Risk</v>
      </c>
      <c r="K4718" s="3" t="str">
        <f t="shared" si="219"/>
        <v>4+ Years</v>
      </c>
    </row>
    <row r="4719" spans="1:11" x14ac:dyDescent="0.3">
      <c r="A4719" t="s">
        <v>4736</v>
      </c>
      <c r="B4719" t="s">
        <v>14</v>
      </c>
      <c r="C4719" t="s">
        <v>10</v>
      </c>
      <c r="D4719" t="s">
        <v>16</v>
      </c>
      <c r="E4719">
        <v>62.05</v>
      </c>
      <c r="F4719">
        <v>1</v>
      </c>
      <c r="G4719">
        <v>62.05</v>
      </c>
      <c r="H4719" t="s">
        <v>18</v>
      </c>
      <c r="I4719" t="str">
        <f t="shared" si="220"/>
        <v>Low Value</v>
      </c>
      <c r="J4719" t="str">
        <f t="shared" si="221"/>
        <v>High Risk</v>
      </c>
      <c r="K4719" s="3" t="str">
        <f t="shared" si="219"/>
        <v>0-1 Year</v>
      </c>
    </row>
    <row r="4720" spans="1:11" x14ac:dyDescent="0.3">
      <c r="A4720" t="s">
        <v>4737</v>
      </c>
      <c r="B4720" t="s">
        <v>9</v>
      </c>
      <c r="C4720" t="s">
        <v>30</v>
      </c>
      <c r="D4720" t="s">
        <v>11</v>
      </c>
      <c r="E4720">
        <v>49.2</v>
      </c>
      <c r="F4720">
        <v>72</v>
      </c>
      <c r="G4720">
        <v>3542.4</v>
      </c>
      <c r="H4720" t="s">
        <v>12</v>
      </c>
      <c r="I4720" t="str">
        <f t="shared" si="220"/>
        <v>Medium Value</v>
      </c>
      <c r="J4720" t="str">
        <f t="shared" si="221"/>
        <v>Low Risk</v>
      </c>
      <c r="K4720" s="3" t="str">
        <f t="shared" si="219"/>
        <v>4+ Years</v>
      </c>
    </row>
    <row r="4721" spans="1:11" x14ac:dyDescent="0.3">
      <c r="A4721" t="s">
        <v>4738</v>
      </c>
      <c r="B4721" t="s">
        <v>14</v>
      </c>
      <c r="C4721" t="s">
        <v>30</v>
      </c>
      <c r="D4721" t="s">
        <v>20</v>
      </c>
      <c r="E4721">
        <v>20.5</v>
      </c>
      <c r="F4721">
        <v>60</v>
      </c>
      <c r="G4721">
        <v>1230</v>
      </c>
      <c r="H4721" t="s">
        <v>12</v>
      </c>
      <c r="I4721" t="str">
        <f t="shared" si="220"/>
        <v>Low Value</v>
      </c>
      <c r="J4721" t="str">
        <f t="shared" si="221"/>
        <v>Low Risk</v>
      </c>
      <c r="K4721" s="3" t="str">
        <f t="shared" si="219"/>
        <v>4+ Years</v>
      </c>
    </row>
    <row r="4722" spans="1:11" x14ac:dyDescent="0.3">
      <c r="A4722" t="s">
        <v>4739</v>
      </c>
      <c r="B4722" t="s">
        <v>14</v>
      </c>
      <c r="C4722" t="s">
        <v>30</v>
      </c>
      <c r="D4722" t="s">
        <v>16</v>
      </c>
      <c r="E4722">
        <v>38.25</v>
      </c>
      <c r="F4722">
        <v>46</v>
      </c>
      <c r="G4722">
        <v>1759.5</v>
      </c>
      <c r="H4722" t="s">
        <v>12</v>
      </c>
      <c r="I4722" t="str">
        <f t="shared" si="220"/>
        <v>Low Value</v>
      </c>
      <c r="J4722" t="str">
        <f t="shared" si="221"/>
        <v>Low Risk</v>
      </c>
      <c r="K4722" s="3" t="str">
        <f t="shared" si="219"/>
        <v>2-4 Years</v>
      </c>
    </row>
    <row r="4723" spans="1:11" x14ac:dyDescent="0.3">
      <c r="A4723" t="s">
        <v>4740</v>
      </c>
      <c r="B4723" t="s">
        <v>9</v>
      </c>
      <c r="C4723" t="s">
        <v>30</v>
      </c>
      <c r="D4723" t="s">
        <v>24</v>
      </c>
      <c r="E4723">
        <v>54.95</v>
      </c>
      <c r="F4723">
        <v>69</v>
      </c>
      <c r="G4723">
        <v>3791.55</v>
      </c>
      <c r="H4723" t="s">
        <v>12</v>
      </c>
      <c r="I4723" t="str">
        <f t="shared" si="220"/>
        <v>Medium Value</v>
      </c>
      <c r="J4723" t="str">
        <f t="shared" si="221"/>
        <v>Low Risk</v>
      </c>
      <c r="K4723" s="3" t="str">
        <f t="shared" si="219"/>
        <v>4+ Years</v>
      </c>
    </row>
    <row r="4724" spans="1:11" x14ac:dyDescent="0.3">
      <c r="A4724" t="s">
        <v>4741</v>
      </c>
      <c r="B4724" t="s">
        <v>14</v>
      </c>
      <c r="C4724" t="s">
        <v>10</v>
      </c>
      <c r="D4724" t="s">
        <v>20</v>
      </c>
      <c r="E4724">
        <v>96.6</v>
      </c>
      <c r="F4724">
        <v>31</v>
      </c>
      <c r="G4724">
        <v>2994.6</v>
      </c>
      <c r="H4724" t="s">
        <v>12</v>
      </c>
      <c r="I4724" t="str">
        <f t="shared" si="220"/>
        <v>Medium Value</v>
      </c>
      <c r="J4724" t="str">
        <f t="shared" si="221"/>
        <v>Low Risk</v>
      </c>
      <c r="K4724" s="3" t="str">
        <f t="shared" si="219"/>
        <v>2-4 Years</v>
      </c>
    </row>
    <row r="4725" spans="1:11" x14ac:dyDescent="0.3">
      <c r="A4725" t="s">
        <v>4742</v>
      </c>
      <c r="B4725" t="s">
        <v>14</v>
      </c>
      <c r="C4725" t="s">
        <v>15</v>
      </c>
      <c r="D4725" t="s">
        <v>16</v>
      </c>
      <c r="E4725">
        <v>19.899999999999999</v>
      </c>
      <c r="F4725">
        <v>19</v>
      </c>
      <c r="G4725">
        <v>378.099999999999</v>
      </c>
      <c r="H4725" t="s">
        <v>12</v>
      </c>
      <c r="I4725" t="str">
        <f t="shared" si="220"/>
        <v>Low Value</v>
      </c>
      <c r="J4725" t="str">
        <f t="shared" si="221"/>
        <v>Medium Risk</v>
      </c>
      <c r="K4725" s="3" t="str">
        <f t="shared" si="219"/>
        <v>1-2 Years</v>
      </c>
    </row>
    <row r="4726" spans="1:11" x14ac:dyDescent="0.3">
      <c r="A4726" t="s">
        <v>4743</v>
      </c>
      <c r="B4726" t="s">
        <v>9</v>
      </c>
      <c r="C4726" t="s">
        <v>30</v>
      </c>
      <c r="D4726" t="s">
        <v>24</v>
      </c>
      <c r="E4726">
        <v>19.899999999999999</v>
      </c>
      <c r="F4726">
        <v>71</v>
      </c>
      <c r="G4726">
        <v>1412.8999999999901</v>
      </c>
      <c r="H4726" t="s">
        <v>12</v>
      </c>
      <c r="I4726" t="str">
        <f t="shared" si="220"/>
        <v>Low Value</v>
      </c>
      <c r="J4726" t="str">
        <f t="shared" si="221"/>
        <v>Low Risk</v>
      </c>
      <c r="K4726" s="3" t="str">
        <f t="shared" si="219"/>
        <v>4+ Years</v>
      </c>
    </row>
    <row r="4727" spans="1:11" x14ac:dyDescent="0.3">
      <c r="A4727" t="s">
        <v>4744</v>
      </c>
      <c r="B4727" t="s">
        <v>14</v>
      </c>
      <c r="C4727" t="s">
        <v>10</v>
      </c>
      <c r="D4727" t="s">
        <v>11</v>
      </c>
      <c r="E4727">
        <v>84.6</v>
      </c>
      <c r="F4727">
        <v>12</v>
      </c>
      <c r="G4727">
        <v>1015.19999999999</v>
      </c>
      <c r="H4727" t="s">
        <v>12</v>
      </c>
      <c r="I4727" t="str">
        <f t="shared" si="220"/>
        <v>Low Value</v>
      </c>
      <c r="J4727" t="str">
        <f t="shared" si="221"/>
        <v>Medium Risk</v>
      </c>
      <c r="K4727" s="3" t="str">
        <f t="shared" si="219"/>
        <v>0-1 Year</v>
      </c>
    </row>
    <row r="4728" spans="1:11" x14ac:dyDescent="0.3">
      <c r="A4728" t="s">
        <v>4745</v>
      </c>
      <c r="B4728" t="s">
        <v>14</v>
      </c>
      <c r="C4728" t="s">
        <v>15</v>
      </c>
      <c r="D4728" t="s">
        <v>24</v>
      </c>
      <c r="E4728">
        <v>80</v>
      </c>
      <c r="F4728">
        <v>39</v>
      </c>
      <c r="G4728">
        <v>3120</v>
      </c>
      <c r="H4728" t="s">
        <v>18</v>
      </c>
      <c r="I4728" t="str">
        <f t="shared" si="220"/>
        <v>Medium Value</v>
      </c>
      <c r="J4728" t="str">
        <f t="shared" si="221"/>
        <v>Low Risk</v>
      </c>
      <c r="K4728" s="3" t="str">
        <f t="shared" si="219"/>
        <v>2-4 Years</v>
      </c>
    </row>
    <row r="4729" spans="1:11" x14ac:dyDescent="0.3">
      <c r="A4729" t="s">
        <v>4746</v>
      </c>
      <c r="B4729" t="s">
        <v>14</v>
      </c>
      <c r="C4729" t="s">
        <v>15</v>
      </c>
      <c r="D4729" t="s">
        <v>20</v>
      </c>
      <c r="E4729">
        <v>85.25</v>
      </c>
      <c r="F4729">
        <v>44</v>
      </c>
      <c r="G4729">
        <v>3751</v>
      </c>
      <c r="H4729" t="s">
        <v>12</v>
      </c>
      <c r="I4729" t="str">
        <f t="shared" si="220"/>
        <v>Medium Value</v>
      </c>
      <c r="J4729" t="str">
        <f t="shared" si="221"/>
        <v>Low Risk</v>
      </c>
      <c r="K4729" s="3" t="str">
        <f t="shared" si="219"/>
        <v>2-4 Years</v>
      </c>
    </row>
    <row r="4730" spans="1:11" x14ac:dyDescent="0.3">
      <c r="A4730" t="s">
        <v>4747</v>
      </c>
      <c r="B4730" t="s">
        <v>9</v>
      </c>
      <c r="C4730" t="s">
        <v>30</v>
      </c>
      <c r="D4730" t="s">
        <v>24</v>
      </c>
      <c r="E4730">
        <v>81.25</v>
      </c>
      <c r="F4730">
        <v>56</v>
      </c>
      <c r="G4730">
        <v>4550</v>
      </c>
      <c r="H4730" t="s">
        <v>12</v>
      </c>
      <c r="I4730" t="str">
        <f t="shared" si="220"/>
        <v>Medium Value</v>
      </c>
      <c r="J4730" t="str">
        <f t="shared" si="221"/>
        <v>Low Risk</v>
      </c>
      <c r="K4730" s="3" t="str">
        <f t="shared" si="219"/>
        <v>4+ Years</v>
      </c>
    </row>
    <row r="4731" spans="1:11" x14ac:dyDescent="0.3">
      <c r="A4731" t="s">
        <v>4748</v>
      </c>
      <c r="B4731" t="s">
        <v>9</v>
      </c>
      <c r="C4731" t="s">
        <v>30</v>
      </c>
      <c r="D4731" t="s">
        <v>20</v>
      </c>
      <c r="E4731">
        <v>115.5</v>
      </c>
      <c r="F4731">
        <v>72</v>
      </c>
      <c r="G4731">
        <v>8316</v>
      </c>
      <c r="H4731" t="s">
        <v>12</v>
      </c>
      <c r="I4731" t="str">
        <f t="shared" si="220"/>
        <v>High Value</v>
      </c>
      <c r="J4731" t="str">
        <f t="shared" si="221"/>
        <v>Low Risk</v>
      </c>
      <c r="K4731" s="3" t="str">
        <f t="shared" si="219"/>
        <v>4+ Years</v>
      </c>
    </row>
    <row r="4732" spans="1:11" x14ac:dyDescent="0.3">
      <c r="A4732" t="s">
        <v>4749</v>
      </c>
      <c r="B4732" t="s">
        <v>14</v>
      </c>
      <c r="C4732" t="s">
        <v>10</v>
      </c>
      <c r="D4732" t="s">
        <v>16</v>
      </c>
      <c r="E4732">
        <v>104.1</v>
      </c>
      <c r="F4732">
        <v>5</v>
      </c>
      <c r="G4732">
        <v>520.5</v>
      </c>
      <c r="H4732" t="s">
        <v>18</v>
      </c>
      <c r="I4732" t="str">
        <f t="shared" si="220"/>
        <v>Low Value</v>
      </c>
      <c r="J4732" t="str">
        <f t="shared" si="221"/>
        <v>High Risk</v>
      </c>
      <c r="K4732" s="3" t="str">
        <f t="shared" si="219"/>
        <v>0-1 Year</v>
      </c>
    </row>
    <row r="4733" spans="1:11" x14ac:dyDescent="0.3">
      <c r="A4733" t="s">
        <v>4750</v>
      </c>
      <c r="B4733" t="s">
        <v>9</v>
      </c>
      <c r="C4733" t="s">
        <v>10</v>
      </c>
      <c r="D4733" t="s">
        <v>20</v>
      </c>
      <c r="E4733">
        <v>79</v>
      </c>
      <c r="F4733">
        <v>11</v>
      </c>
      <c r="G4733">
        <v>869</v>
      </c>
      <c r="H4733" t="s">
        <v>12</v>
      </c>
      <c r="I4733" t="str">
        <f t="shared" si="220"/>
        <v>Low Value</v>
      </c>
      <c r="J4733" t="str">
        <f t="shared" si="221"/>
        <v>High Risk</v>
      </c>
      <c r="K4733" s="3" t="str">
        <f t="shared" si="219"/>
        <v>0-1 Year</v>
      </c>
    </row>
    <row r="4734" spans="1:11" x14ac:dyDescent="0.3">
      <c r="A4734" t="s">
        <v>4751</v>
      </c>
      <c r="B4734" t="s">
        <v>14</v>
      </c>
      <c r="C4734" t="s">
        <v>10</v>
      </c>
      <c r="D4734" t="s">
        <v>20</v>
      </c>
      <c r="E4734">
        <v>39.1</v>
      </c>
      <c r="F4734">
        <v>24</v>
      </c>
      <c r="G4734">
        <v>938.4</v>
      </c>
      <c r="H4734" t="s">
        <v>18</v>
      </c>
      <c r="I4734" t="str">
        <f t="shared" si="220"/>
        <v>Low Value</v>
      </c>
      <c r="J4734" t="str">
        <f t="shared" si="221"/>
        <v>Low Risk</v>
      </c>
      <c r="K4734" s="3" t="str">
        <f t="shared" si="219"/>
        <v>1-2 Years</v>
      </c>
    </row>
    <row r="4735" spans="1:11" x14ac:dyDescent="0.3">
      <c r="A4735" t="s">
        <v>4752</v>
      </c>
      <c r="B4735" t="s">
        <v>9</v>
      </c>
      <c r="C4735" t="s">
        <v>10</v>
      </c>
      <c r="D4735" t="s">
        <v>11</v>
      </c>
      <c r="E4735">
        <v>94.65</v>
      </c>
      <c r="F4735">
        <v>15</v>
      </c>
      <c r="G4735">
        <v>1419.75</v>
      </c>
      <c r="H4735" t="s">
        <v>12</v>
      </c>
      <c r="I4735" t="str">
        <f t="shared" si="220"/>
        <v>Low Value</v>
      </c>
      <c r="J4735" t="str">
        <f t="shared" si="221"/>
        <v>Medium Risk</v>
      </c>
      <c r="K4735" s="3" t="str">
        <f t="shared" si="219"/>
        <v>1-2 Years</v>
      </c>
    </row>
    <row r="4736" spans="1:11" x14ac:dyDescent="0.3">
      <c r="A4736" t="s">
        <v>4753</v>
      </c>
      <c r="B4736" t="s">
        <v>14</v>
      </c>
      <c r="C4736" t="s">
        <v>30</v>
      </c>
      <c r="D4736" t="s">
        <v>16</v>
      </c>
      <c r="E4736">
        <v>20.8</v>
      </c>
      <c r="F4736">
        <v>72</v>
      </c>
      <c r="G4736">
        <v>1497.6</v>
      </c>
      <c r="H4736" t="s">
        <v>12</v>
      </c>
      <c r="I4736" t="str">
        <f t="shared" si="220"/>
        <v>Low Value</v>
      </c>
      <c r="J4736" t="str">
        <f t="shared" si="221"/>
        <v>Low Risk</v>
      </c>
      <c r="K4736" s="3" t="str">
        <f t="shared" si="219"/>
        <v>4+ Years</v>
      </c>
    </row>
    <row r="4737" spans="1:11" x14ac:dyDescent="0.3">
      <c r="A4737" t="s">
        <v>4754</v>
      </c>
      <c r="B4737" t="s">
        <v>14</v>
      </c>
      <c r="C4737" t="s">
        <v>30</v>
      </c>
      <c r="D4737" t="s">
        <v>24</v>
      </c>
      <c r="E4737">
        <v>59.5</v>
      </c>
      <c r="F4737">
        <v>56</v>
      </c>
      <c r="G4737">
        <v>3332</v>
      </c>
      <c r="H4737" t="s">
        <v>12</v>
      </c>
      <c r="I4737" t="str">
        <f t="shared" si="220"/>
        <v>Medium Value</v>
      </c>
      <c r="J4737" t="str">
        <f t="shared" si="221"/>
        <v>Low Risk</v>
      </c>
      <c r="K4737" s="3" t="str">
        <f t="shared" si="219"/>
        <v>4+ Years</v>
      </c>
    </row>
    <row r="4738" spans="1:11" x14ac:dyDescent="0.3">
      <c r="A4738" t="s">
        <v>4755</v>
      </c>
      <c r="B4738" t="s">
        <v>14</v>
      </c>
      <c r="C4738" t="s">
        <v>30</v>
      </c>
      <c r="D4738" t="s">
        <v>20</v>
      </c>
      <c r="E4738">
        <v>20.05</v>
      </c>
      <c r="F4738">
        <v>64</v>
      </c>
      <c r="G4738">
        <v>1283.2</v>
      </c>
      <c r="H4738" t="s">
        <v>12</v>
      </c>
      <c r="I4738" t="str">
        <f t="shared" si="220"/>
        <v>Low Value</v>
      </c>
      <c r="J4738" t="str">
        <f t="shared" si="221"/>
        <v>Low Risk</v>
      </c>
      <c r="K4738" s="3" t="str">
        <f t="shared" si="219"/>
        <v>4+ Years</v>
      </c>
    </row>
    <row r="4739" spans="1:11" x14ac:dyDescent="0.3">
      <c r="A4739" t="s">
        <v>4756</v>
      </c>
      <c r="B4739" t="s">
        <v>9</v>
      </c>
      <c r="C4739" t="s">
        <v>10</v>
      </c>
      <c r="D4739" t="s">
        <v>11</v>
      </c>
      <c r="E4739">
        <v>100.45</v>
      </c>
      <c r="F4739">
        <v>34</v>
      </c>
      <c r="G4739">
        <v>3415.3</v>
      </c>
      <c r="H4739" t="s">
        <v>12</v>
      </c>
      <c r="I4739" t="str">
        <f t="shared" si="220"/>
        <v>Medium Value</v>
      </c>
      <c r="J4739" t="str">
        <f t="shared" si="221"/>
        <v>Low Risk</v>
      </c>
      <c r="K4739" s="3" t="str">
        <f t="shared" ref="K4739:K4802" si="222">IF(F4739&lt;=12,"0-1 Year",
IF(F4739&lt;=24,"1-2 Years",
IF(F4739&lt;=48,"2-4 Years","4+ Years")))</f>
        <v>2-4 Years</v>
      </c>
    </row>
    <row r="4740" spans="1:11" x14ac:dyDescent="0.3">
      <c r="A4740" t="s">
        <v>4757</v>
      </c>
      <c r="B4740" t="s">
        <v>14</v>
      </c>
      <c r="C4740" t="s">
        <v>10</v>
      </c>
      <c r="D4740" t="s">
        <v>11</v>
      </c>
      <c r="E4740">
        <v>76.5</v>
      </c>
      <c r="F4740">
        <v>2</v>
      </c>
      <c r="G4740">
        <v>153</v>
      </c>
      <c r="H4740" t="s">
        <v>18</v>
      </c>
      <c r="I4740" t="str">
        <f t="shared" ref="I4740:I4803" si="223">IF(G4740&gt;5000,"High Value",
IF(G4740&gt;2000,"Medium Value","Low Value"))</f>
        <v>Low Value</v>
      </c>
      <c r="J4740" t="str">
        <f t="shared" ref="J4740:J4803" si="224">IF(F4740&lt;12,"High Risk",
IF(F4740&lt;24,"Medium Risk","Low Risk"))</f>
        <v>High Risk</v>
      </c>
      <c r="K4740" s="3" t="str">
        <f t="shared" si="222"/>
        <v>0-1 Year</v>
      </c>
    </row>
    <row r="4741" spans="1:11" x14ac:dyDescent="0.3">
      <c r="A4741" t="s">
        <v>4758</v>
      </c>
      <c r="B4741" t="s">
        <v>14</v>
      </c>
      <c r="C4741" t="s">
        <v>15</v>
      </c>
      <c r="D4741" t="s">
        <v>20</v>
      </c>
      <c r="E4741">
        <v>20.6</v>
      </c>
      <c r="F4741">
        <v>35</v>
      </c>
      <c r="G4741">
        <v>721</v>
      </c>
      <c r="H4741" t="s">
        <v>12</v>
      </c>
      <c r="I4741" t="str">
        <f t="shared" si="223"/>
        <v>Low Value</v>
      </c>
      <c r="J4741" t="str">
        <f t="shared" si="224"/>
        <v>Low Risk</v>
      </c>
      <c r="K4741" s="3" t="str">
        <f t="shared" si="222"/>
        <v>2-4 Years</v>
      </c>
    </row>
    <row r="4742" spans="1:11" x14ac:dyDescent="0.3">
      <c r="A4742" t="s">
        <v>4759</v>
      </c>
      <c r="B4742" t="s">
        <v>14</v>
      </c>
      <c r="C4742" t="s">
        <v>15</v>
      </c>
      <c r="D4742" t="s">
        <v>24</v>
      </c>
      <c r="E4742">
        <v>20.3</v>
      </c>
      <c r="F4742">
        <v>22</v>
      </c>
      <c r="G4742">
        <v>446.6</v>
      </c>
      <c r="H4742" t="s">
        <v>12</v>
      </c>
      <c r="I4742" t="str">
        <f t="shared" si="223"/>
        <v>Low Value</v>
      </c>
      <c r="J4742" t="str">
        <f t="shared" si="224"/>
        <v>Medium Risk</v>
      </c>
      <c r="K4742" s="3" t="str">
        <f t="shared" si="222"/>
        <v>1-2 Years</v>
      </c>
    </row>
    <row r="4743" spans="1:11" x14ac:dyDescent="0.3">
      <c r="A4743" t="s">
        <v>4760</v>
      </c>
      <c r="B4743" t="s">
        <v>14</v>
      </c>
      <c r="C4743" t="s">
        <v>10</v>
      </c>
      <c r="D4743" t="s">
        <v>11</v>
      </c>
      <c r="E4743">
        <v>49.2</v>
      </c>
      <c r="F4743">
        <v>5</v>
      </c>
      <c r="G4743">
        <v>246</v>
      </c>
      <c r="H4743" t="s">
        <v>18</v>
      </c>
      <c r="I4743" t="str">
        <f t="shared" si="223"/>
        <v>Low Value</v>
      </c>
      <c r="J4743" t="str">
        <f t="shared" si="224"/>
        <v>High Risk</v>
      </c>
      <c r="K4743" s="3" t="str">
        <f t="shared" si="222"/>
        <v>0-1 Year</v>
      </c>
    </row>
    <row r="4744" spans="1:11" x14ac:dyDescent="0.3">
      <c r="A4744" t="s">
        <v>4761</v>
      </c>
      <c r="B4744" t="s">
        <v>14</v>
      </c>
      <c r="C4744" t="s">
        <v>15</v>
      </c>
      <c r="D4744" t="s">
        <v>16</v>
      </c>
      <c r="E4744">
        <v>39.549999999999997</v>
      </c>
      <c r="F4744">
        <v>9</v>
      </c>
      <c r="G4744">
        <v>355.95</v>
      </c>
      <c r="H4744" t="s">
        <v>12</v>
      </c>
      <c r="I4744" t="str">
        <f t="shared" si="223"/>
        <v>Low Value</v>
      </c>
      <c r="J4744" t="str">
        <f t="shared" si="224"/>
        <v>High Risk</v>
      </c>
      <c r="K4744" s="3" t="str">
        <f t="shared" si="222"/>
        <v>0-1 Year</v>
      </c>
    </row>
    <row r="4745" spans="1:11" x14ac:dyDescent="0.3">
      <c r="A4745" t="s">
        <v>4762</v>
      </c>
      <c r="B4745" t="s">
        <v>14</v>
      </c>
      <c r="C4745" t="s">
        <v>10</v>
      </c>
      <c r="D4745" t="s">
        <v>24</v>
      </c>
      <c r="E4745">
        <v>23.15</v>
      </c>
      <c r="F4745">
        <v>11</v>
      </c>
      <c r="G4745">
        <v>254.64999999999901</v>
      </c>
      <c r="H4745" t="s">
        <v>18</v>
      </c>
      <c r="I4745" t="str">
        <f t="shared" si="223"/>
        <v>Low Value</v>
      </c>
      <c r="J4745" t="str">
        <f t="shared" si="224"/>
        <v>High Risk</v>
      </c>
      <c r="K4745" s="3" t="str">
        <f t="shared" si="222"/>
        <v>0-1 Year</v>
      </c>
    </row>
    <row r="4746" spans="1:11" x14ac:dyDescent="0.3">
      <c r="A4746" t="s">
        <v>4763</v>
      </c>
      <c r="B4746" t="s">
        <v>14</v>
      </c>
      <c r="C4746" t="s">
        <v>15</v>
      </c>
      <c r="D4746" t="s">
        <v>16</v>
      </c>
      <c r="E4746">
        <v>20.45</v>
      </c>
      <c r="F4746">
        <v>23</v>
      </c>
      <c r="G4746">
        <v>470.349999999999</v>
      </c>
      <c r="H4746" t="s">
        <v>12</v>
      </c>
      <c r="I4746" t="str">
        <f t="shared" si="223"/>
        <v>Low Value</v>
      </c>
      <c r="J4746" t="str">
        <f t="shared" si="224"/>
        <v>Medium Risk</v>
      </c>
      <c r="K4746" s="3" t="str">
        <f t="shared" si="222"/>
        <v>1-2 Years</v>
      </c>
    </row>
    <row r="4747" spans="1:11" x14ac:dyDescent="0.3">
      <c r="A4747" t="s">
        <v>4764</v>
      </c>
      <c r="B4747" t="s">
        <v>9</v>
      </c>
      <c r="C4747" t="s">
        <v>10</v>
      </c>
      <c r="D4747" t="s">
        <v>11</v>
      </c>
      <c r="E4747">
        <v>80.849999999999994</v>
      </c>
      <c r="F4747">
        <v>4</v>
      </c>
      <c r="G4747">
        <v>323.39999999999998</v>
      </c>
      <c r="H4747" t="s">
        <v>18</v>
      </c>
      <c r="I4747" t="str">
        <f t="shared" si="223"/>
        <v>Low Value</v>
      </c>
      <c r="J4747" t="str">
        <f t="shared" si="224"/>
        <v>High Risk</v>
      </c>
      <c r="K4747" s="3" t="str">
        <f t="shared" si="222"/>
        <v>0-1 Year</v>
      </c>
    </row>
    <row r="4748" spans="1:11" x14ac:dyDescent="0.3">
      <c r="A4748" t="s">
        <v>4765</v>
      </c>
      <c r="B4748" t="s">
        <v>14</v>
      </c>
      <c r="C4748" t="s">
        <v>30</v>
      </c>
      <c r="D4748" t="s">
        <v>20</v>
      </c>
      <c r="E4748">
        <v>25.25</v>
      </c>
      <c r="F4748">
        <v>68</v>
      </c>
      <c r="G4748">
        <v>1717</v>
      </c>
      <c r="H4748" t="s">
        <v>12</v>
      </c>
      <c r="I4748" t="str">
        <f t="shared" si="223"/>
        <v>Low Value</v>
      </c>
      <c r="J4748" t="str">
        <f t="shared" si="224"/>
        <v>Low Risk</v>
      </c>
      <c r="K4748" s="3" t="str">
        <f t="shared" si="222"/>
        <v>4+ Years</v>
      </c>
    </row>
    <row r="4749" spans="1:11" x14ac:dyDescent="0.3">
      <c r="A4749" t="s">
        <v>4766</v>
      </c>
      <c r="B4749" t="s">
        <v>14</v>
      </c>
      <c r="C4749" t="s">
        <v>10</v>
      </c>
      <c r="D4749" t="s">
        <v>11</v>
      </c>
      <c r="E4749">
        <v>91.25</v>
      </c>
      <c r="F4749">
        <v>33</v>
      </c>
      <c r="G4749">
        <v>3011.25</v>
      </c>
      <c r="H4749" t="s">
        <v>12</v>
      </c>
      <c r="I4749" t="str">
        <f t="shared" si="223"/>
        <v>Medium Value</v>
      </c>
      <c r="J4749" t="str">
        <f t="shared" si="224"/>
        <v>Low Risk</v>
      </c>
      <c r="K4749" s="3" t="str">
        <f t="shared" si="222"/>
        <v>2-4 Years</v>
      </c>
    </row>
    <row r="4750" spans="1:11" x14ac:dyDescent="0.3">
      <c r="A4750" t="s">
        <v>4767</v>
      </c>
      <c r="B4750" t="s">
        <v>14</v>
      </c>
      <c r="C4750" t="s">
        <v>10</v>
      </c>
      <c r="D4750" t="s">
        <v>20</v>
      </c>
      <c r="E4750">
        <v>72.45</v>
      </c>
      <c r="F4750">
        <v>31</v>
      </c>
      <c r="G4750">
        <v>2245.9499999999998</v>
      </c>
      <c r="H4750" t="s">
        <v>12</v>
      </c>
      <c r="I4750" t="str">
        <f t="shared" si="223"/>
        <v>Medium Value</v>
      </c>
      <c r="J4750" t="str">
        <f t="shared" si="224"/>
        <v>Low Risk</v>
      </c>
      <c r="K4750" s="3" t="str">
        <f t="shared" si="222"/>
        <v>2-4 Years</v>
      </c>
    </row>
    <row r="4751" spans="1:11" x14ac:dyDescent="0.3">
      <c r="A4751" t="s">
        <v>4768</v>
      </c>
      <c r="B4751" t="s">
        <v>14</v>
      </c>
      <c r="C4751" t="s">
        <v>10</v>
      </c>
      <c r="D4751" t="s">
        <v>16</v>
      </c>
      <c r="E4751">
        <v>60.1</v>
      </c>
      <c r="F4751">
        <v>1</v>
      </c>
      <c r="G4751">
        <v>60.1</v>
      </c>
      <c r="H4751" t="s">
        <v>18</v>
      </c>
      <c r="I4751" t="str">
        <f t="shared" si="223"/>
        <v>Low Value</v>
      </c>
      <c r="J4751" t="str">
        <f t="shared" si="224"/>
        <v>High Risk</v>
      </c>
      <c r="K4751" s="3" t="str">
        <f t="shared" si="222"/>
        <v>0-1 Year</v>
      </c>
    </row>
    <row r="4752" spans="1:11" x14ac:dyDescent="0.3">
      <c r="A4752" t="s">
        <v>4769</v>
      </c>
      <c r="B4752" t="s">
        <v>9</v>
      </c>
      <c r="C4752" t="s">
        <v>30</v>
      </c>
      <c r="D4752" t="s">
        <v>20</v>
      </c>
      <c r="E4752">
        <v>19.7</v>
      </c>
      <c r="F4752">
        <v>56</v>
      </c>
      <c r="G4752">
        <v>1103.2</v>
      </c>
      <c r="H4752" t="s">
        <v>12</v>
      </c>
      <c r="I4752" t="str">
        <f t="shared" si="223"/>
        <v>Low Value</v>
      </c>
      <c r="J4752" t="str">
        <f t="shared" si="224"/>
        <v>Low Risk</v>
      </c>
      <c r="K4752" s="3" t="str">
        <f t="shared" si="222"/>
        <v>4+ Years</v>
      </c>
    </row>
    <row r="4753" spans="1:11" x14ac:dyDescent="0.3">
      <c r="A4753" t="s">
        <v>4770</v>
      </c>
      <c r="B4753" t="s">
        <v>14</v>
      </c>
      <c r="C4753" t="s">
        <v>10</v>
      </c>
      <c r="D4753" t="s">
        <v>11</v>
      </c>
      <c r="E4753">
        <v>78.95</v>
      </c>
      <c r="F4753">
        <v>1</v>
      </c>
      <c r="G4753">
        <v>78.95</v>
      </c>
      <c r="H4753" t="s">
        <v>18</v>
      </c>
      <c r="I4753" t="str">
        <f t="shared" si="223"/>
        <v>Low Value</v>
      </c>
      <c r="J4753" t="str">
        <f t="shared" si="224"/>
        <v>High Risk</v>
      </c>
      <c r="K4753" s="3" t="str">
        <f t="shared" si="222"/>
        <v>0-1 Year</v>
      </c>
    </row>
    <row r="4754" spans="1:11" x14ac:dyDescent="0.3">
      <c r="A4754" t="s">
        <v>4771</v>
      </c>
      <c r="B4754" t="s">
        <v>14</v>
      </c>
      <c r="C4754" t="s">
        <v>15</v>
      </c>
      <c r="D4754" t="s">
        <v>11</v>
      </c>
      <c r="E4754">
        <v>75.099999999999994</v>
      </c>
      <c r="F4754">
        <v>66</v>
      </c>
      <c r="G4754">
        <v>4956.5999999999904</v>
      </c>
      <c r="H4754" t="s">
        <v>12</v>
      </c>
      <c r="I4754" t="str">
        <f t="shared" si="223"/>
        <v>Medium Value</v>
      </c>
      <c r="J4754" t="str">
        <f t="shared" si="224"/>
        <v>Low Risk</v>
      </c>
      <c r="K4754" s="3" t="str">
        <f t="shared" si="222"/>
        <v>4+ Years</v>
      </c>
    </row>
    <row r="4755" spans="1:11" x14ac:dyDescent="0.3">
      <c r="A4755" t="s">
        <v>4772</v>
      </c>
      <c r="B4755" t="s">
        <v>14</v>
      </c>
      <c r="C4755" t="s">
        <v>30</v>
      </c>
      <c r="D4755" t="s">
        <v>20</v>
      </c>
      <c r="E4755">
        <v>25</v>
      </c>
      <c r="F4755">
        <v>72</v>
      </c>
      <c r="G4755">
        <v>1800</v>
      </c>
      <c r="H4755" t="s">
        <v>12</v>
      </c>
      <c r="I4755" t="str">
        <f t="shared" si="223"/>
        <v>Low Value</v>
      </c>
      <c r="J4755" t="str">
        <f t="shared" si="224"/>
        <v>Low Risk</v>
      </c>
      <c r="K4755" s="3" t="str">
        <f t="shared" si="222"/>
        <v>4+ Years</v>
      </c>
    </row>
    <row r="4756" spans="1:11" x14ac:dyDescent="0.3">
      <c r="A4756" t="s">
        <v>4773</v>
      </c>
      <c r="B4756" t="s">
        <v>14</v>
      </c>
      <c r="C4756" t="s">
        <v>10</v>
      </c>
      <c r="D4756" t="s">
        <v>24</v>
      </c>
      <c r="E4756">
        <v>69.150000000000006</v>
      </c>
      <c r="F4756">
        <v>34</v>
      </c>
      <c r="G4756">
        <v>2351.1</v>
      </c>
      <c r="H4756" t="s">
        <v>12</v>
      </c>
      <c r="I4756" t="str">
        <f t="shared" si="223"/>
        <v>Medium Value</v>
      </c>
      <c r="J4756" t="str">
        <f t="shared" si="224"/>
        <v>Low Risk</v>
      </c>
      <c r="K4756" s="3" t="str">
        <f t="shared" si="222"/>
        <v>2-4 Years</v>
      </c>
    </row>
    <row r="4757" spans="1:11" x14ac:dyDescent="0.3">
      <c r="A4757" t="s">
        <v>4774</v>
      </c>
      <c r="B4757" t="s">
        <v>9</v>
      </c>
      <c r="C4757" t="s">
        <v>10</v>
      </c>
      <c r="D4757" t="s">
        <v>11</v>
      </c>
      <c r="E4757">
        <v>91.55</v>
      </c>
      <c r="F4757">
        <v>58</v>
      </c>
      <c r="G4757">
        <v>5309.9</v>
      </c>
      <c r="H4757" t="s">
        <v>12</v>
      </c>
      <c r="I4757" t="str">
        <f t="shared" si="223"/>
        <v>High Value</v>
      </c>
      <c r="J4757" t="str">
        <f t="shared" si="224"/>
        <v>Low Risk</v>
      </c>
      <c r="K4757" s="3" t="str">
        <f t="shared" si="222"/>
        <v>4+ Years</v>
      </c>
    </row>
    <row r="4758" spans="1:11" x14ac:dyDescent="0.3">
      <c r="A4758" t="s">
        <v>4775</v>
      </c>
      <c r="B4758" t="s">
        <v>14</v>
      </c>
      <c r="C4758" t="s">
        <v>10</v>
      </c>
      <c r="D4758" t="s">
        <v>11</v>
      </c>
      <c r="E4758">
        <v>45.15</v>
      </c>
      <c r="F4758">
        <v>2</v>
      </c>
      <c r="G4758">
        <v>90.3</v>
      </c>
      <c r="H4758" t="s">
        <v>18</v>
      </c>
      <c r="I4758" t="str">
        <f t="shared" si="223"/>
        <v>Low Value</v>
      </c>
      <c r="J4758" t="str">
        <f t="shared" si="224"/>
        <v>High Risk</v>
      </c>
      <c r="K4758" s="3" t="str">
        <f t="shared" si="222"/>
        <v>0-1 Year</v>
      </c>
    </row>
    <row r="4759" spans="1:11" x14ac:dyDescent="0.3">
      <c r="A4759" t="s">
        <v>4776</v>
      </c>
      <c r="B4759" t="s">
        <v>14</v>
      </c>
      <c r="C4759" t="s">
        <v>30</v>
      </c>
      <c r="D4759" t="s">
        <v>24</v>
      </c>
      <c r="E4759">
        <v>35.799999999999997</v>
      </c>
      <c r="F4759">
        <v>37</v>
      </c>
      <c r="G4759">
        <v>1324.6</v>
      </c>
      <c r="H4759" t="s">
        <v>12</v>
      </c>
      <c r="I4759" t="str">
        <f t="shared" si="223"/>
        <v>Low Value</v>
      </c>
      <c r="J4759" t="str">
        <f t="shared" si="224"/>
        <v>Low Risk</v>
      </c>
      <c r="K4759" s="3" t="str">
        <f t="shared" si="222"/>
        <v>2-4 Years</v>
      </c>
    </row>
    <row r="4760" spans="1:11" x14ac:dyDescent="0.3">
      <c r="A4760" t="s">
        <v>4777</v>
      </c>
      <c r="B4760" t="s">
        <v>9</v>
      </c>
      <c r="C4760" t="s">
        <v>30</v>
      </c>
      <c r="D4760" t="s">
        <v>24</v>
      </c>
      <c r="E4760">
        <v>113.15</v>
      </c>
      <c r="F4760">
        <v>71</v>
      </c>
      <c r="G4760">
        <v>8033.65</v>
      </c>
      <c r="H4760" t="s">
        <v>12</v>
      </c>
      <c r="I4760" t="str">
        <f t="shared" si="223"/>
        <v>High Value</v>
      </c>
      <c r="J4760" t="str">
        <f t="shared" si="224"/>
        <v>Low Risk</v>
      </c>
      <c r="K4760" s="3" t="str">
        <f t="shared" si="222"/>
        <v>4+ Years</v>
      </c>
    </row>
    <row r="4761" spans="1:11" x14ac:dyDescent="0.3">
      <c r="A4761" t="s">
        <v>4778</v>
      </c>
      <c r="B4761" t="s">
        <v>14</v>
      </c>
      <c r="C4761" t="s">
        <v>15</v>
      </c>
      <c r="D4761" t="s">
        <v>24</v>
      </c>
      <c r="E4761">
        <v>19.850000000000001</v>
      </c>
      <c r="F4761">
        <v>1</v>
      </c>
      <c r="G4761">
        <v>19.850000000000001</v>
      </c>
      <c r="H4761" t="s">
        <v>12</v>
      </c>
      <c r="I4761" t="str">
        <f t="shared" si="223"/>
        <v>Low Value</v>
      </c>
      <c r="J4761" t="str">
        <f t="shared" si="224"/>
        <v>High Risk</v>
      </c>
      <c r="K4761" s="3" t="str">
        <f t="shared" si="222"/>
        <v>0-1 Year</v>
      </c>
    </row>
    <row r="4762" spans="1:11" x14ac:dyDescent="0.3">
      <c r="A4762" t="s">
        <v>4779</v>
      </c>
      <c r="B4762" t="s">
        <v>14</v>
      </c>
      <c r="C4762" t="s">
        <v>30</v>
      </c>
      <c r="D4762" t="s">
        <v>24</v>
      </c>
      <c r="E4762">
        <v>19.8</v>
      </c>
      <c r="F4762">
        <v>71</v>
      </c>
      <c r="G4762">
        <v>1405.8</v>
      </c>
      <c r="H4762" t="s">
        <v>12</v>
      </c>
      <c r="I4762" t="str">
        <f t="shared" si="223"/>
        <v>Low Value</v>
      </c>
      <c r="J4762" t="str">
        <f t="shared" si="224"/>
        <v>Low Risk</v>
      </c>
      <c r="K4762" s="3" t="str">
        <f t="shared" si="222"/>
        <v>4+ Years</v>
      </c>
    </row>
    <row r="4763" spans="1:11" x14ac:dyDescent="0.3">
      <c r="A4763" t="s">
        <v>4780</v>
      </c>
      <c r="B4763" t="s">
        <v>14</v>
      </c>
      <c r="C4763" t="s">
        <v>15</v>
      </c>
      <c r="D4763" t="s">
        <v>11</v>
      </c>
      <c r="E4763">
        <v>19.899999999999999</v>
      </c>
      <c r="F4763">
        <v>35</v>
      </c>
      <c r="G4763">
        <v>696.5</v>
      </c>
      <c r="H4763" t="s">
        <v>12</v>
      </c>
      <c r="I4763" t="str">
        <f t="shared" si="223"/>
        <v>Low Value</v>
      </c>
      <c r="J4763" t="str">
        <f t="shared" si="224"/>
        <v>Low Risk</v>
      </c>
      <c r="K4763" s="3" t="str">
        <f t="shared" si="222"/>
        <v>2-4 Years</v>
      </c>
    </row>
    <row r="4764" spans="1:11" x14ac:dyDescent="0.3">
      <c r="A4764" t="s">
        <v>4781</v>
      </c>
      <c r="B4764" t="s">
        <v>9</v>
      </c>
      <c r="C4764" t="s">
        <v>15</v>
      </c>
      <c r="D4764" t="s">
        <v>16</v>
      </c>
      <c r="E4764">
        <v>19.7</v>
      </c>
      <c r="F4764">
        <v>6</v>
      </c>
      <c r="G4764">
        <v>118.19999999999899</v>
      </c>
      <c r="H4764" t="s">
        <v>12</v>
      </c>
      <c r="I4764" t="str">
        <f t="shared" si="223"/>
        <v>Low Value</v>
      </c>
      <c r="J4764" t="str">
        <f t="shared" si="224"/>
        <v>High Risk</v>
      </c>
      <c r="K4764" s="3" t="str">
        <f t="shared" si="222"/>
        <v>0-1 Year</v>
      </c>
    </row>
    <row r="4765" spans="1:11" x14ac:dyDescent="0.3">
      <c r="A4765" t="s">
        <v>4782</v>
      </c>
      <c r="B4765" t="s">
        <v>9</v>
      </c>
      <c r="C4765" t="s">
        <v>10</v>
      </c>
      <c r="D4765" t="s">
        <v>11</v>
      </c>
      <c r="E4765">
        <v>79.400000000000006</v>
      </c>
      <c r="F4765">
        <v>3</v>
      </c>
      <c r="G4765">
        <v>238.2</v>
      </c>
      <c r="H4765" t="s">
        <v>18</v>
      </c>
      <c r="I4765" t="str">
        <f t="shared" si="223"/>
        <v>Low Value</v>
      </c>
      <c r="J4765" t="str">
        <f t="shared" si="224"/>
        <v>High Risk</v>
      </c>
      <c r="K4765" s="3" t="str">
        <f t="shared" si="222"/>
        <v>0-1 Year</v>
      </c>
    </row>
    <row r="4766" spans="1:11" x14ac:dyDescent="0.3">
      <c r="A4766" t="s">
        <v>4783</v>
      </c>
      <c r="B4766" t="s">
        <v>9</v>
      </c>
      <c r="C4766" t="s">
        <v>15</v>
      </c>
      <c r="D4766" t="s">
        <v>20</v>
      </c>
      <c r="E4766">
        <v>59.1</v>
      </c>
      <c r="F4766">
        <v>69</v>
      </c>
      <c r="G4766">
        <v>4077.9</v>
      </c>
      <c r="H4766" t="s">
        <v>12</v>
      </c>
      <c r="I4766" t="str">
        <f t="shared" si="223"/>
        <v>Medium Value</v>
      </c>
      <c r="J4766" t="str">
        <f t="shared" si="224"/>
        <v>Low Risk</v>
      </c>
      <c r="K4766" s="3" t="str">
        <f t="shared" si="222"/>
        <v>4+ Years</v>
      </c>
    </row>
    <row r="4767" spans="1:11" x14ac:dyDescent="0.3">
      <c r="A4767" t="s">
        <v>4784</v>
      </c>
      <c r="B4767" t="s">
        <v>14</v>
      </c>
      <c r="C4767" t="s">
        <v>15</v>
      </c>
      <c r="D4767" t="s">
        <v>16</v>
      </c>
      <c r="E4767">
        <v>53.95</v>
      </c>
      <c r="F4767">
        <v>44</v>
      </c>
      <c r="G4767">
        <v>2373.8000000000002</v>
      </c>
      <c r="H4767" t="s">
        <v>18</v>
      </c>
      <c r="I4767" t="str">
        <f t="shared" si="223"/>
        <v>Medium Value</v>
      </c>
      <c r="J4767" t="str">
        <f t="shared" si="224"/>
        <v>Low Risk</v>
      </c>
      <c r="K4767" s="3" t="str">
        <f t="shared" si="222"/>
        <v>2-4 Years</v>
      </c>
    </row>
    <row r="4768" spans="1:11" x14ac:dyDescent="0.3">
      <c r="A4768" t="s">
        <v>4785</v>
      </c>
      <c r="B4768" t="s">
        <v>9</v>
      </c>
      <c r="C4768" t="s">
        <v>15</v>
      </c>
      <c r="D4768" t="s">
        <v>11</v>
      </c>
      <c r="E4768">
        <v>91.15</v>
      </c>
      <c r="F4768">
        <v>53</v>
      </c>
      <c r="G4768">
        <v>4830.95</v>
      </c>
      <c r="H4768" t="s">
        <v>12</v>
      </c>
      <c r="I4768" t="str">
        <f t="shared" si="223"/>
        <v>Medium Value</v>
      </c>
      <c r="J4768" t="str">
        <f t="shared" si="224"/>
        <v>Low Risk</v>
      </c>
      <c r="K4768" s="3" t="str">
        <f t="shared" si="222"/>
        <v>4+ Years</v>
      </c>
    </row>
    <row r="4769" spans="1:11" x14ac:dyDescent="0.3">
      <c r="A4769" t="s">
        <v>4786</v>
      </c>
      <c r="B4769" t="s">
        <v>9</v>
      </c>
      <c r="C4769" t="s">
        <v>10</v>
      </c>
      <c r="D4769" t="s">
        <v>24</v>
      </c>
      <c r="E4769">
        <v>99.3</v>
      </c>
      <c r="F4769">
        <v>24</v>
      </c>
      <c r="G4769">
        <v>2383.1999999999998</v>
      </c>
      <c r="H4769" t="s">
        <v>18</v>
      </c>
      <c r="I4769" t="str">
        <f t="shared" si="223"/>
        <v>Medium Value</v>
      </c>
      <c r="J4769" t="str">
        <f t="shared" si="224"/>
        <v>Low Risk</v>
      </c>
      <c r="K4769" s="3" t="str">
        <f t="shared" si="222"/>
        <v>1-2 Years</v>
      </c>
    </row>
    <row r="4770" spans="1:11" x14ac:dyDescent="0.3">
      <c r="A4770" t="s">
        <v>4787</v>
      </c>
      <c r="B4770" t="s">
        <v>9</v>
      </c>
      <c r="C4770" t="s">
        <v>10</v>
      </c>
      <c r="D4770" t="s">
        <v>11</v>
      </c>
      <c r="E4770">
        <v>68.95</v>
      </c>
      <c r="F4770">
        <v>5</v>
      </c>
      <c r="G4770">
        <v>344.75</v>
      </c>
      <c r="H4770" t="s">
        <v>12</v>
      </c>
      <c r="I4770" t="str">
        <f t="shared" si="223"/>
        <v>Low Value</v>
      </c>
      <c r="J4770" t="str">
        <f t="shared" si="224"/>
        <v>High Risk</v>
      </c>
      <c r="K4770" s="3" t="str">
        <f t="shared" si="222"/>
        <v>0-1 Year</v>
      </c>
    </row>
    <row r="4771" spans="1:11" x14ac:dyDescent="0.3">
      <c r="A4771" t="s">
        <v>4788</v>
      </c>
      <c r="B4771" t="s">
        <v>9</v>
      </c>
      <c r="C4771" t="s">
        <v>10</v>
      </c>
      <c r="D4771" t="s">
        <v>16</v>
      </c>
      <c r="E4771">
        <v>51.55</v>
      </c>
      <c r="F4771">
        <v>2</v>
      </c>
      <c r="G4771">
        <v>103.1</v>
      </c>
      <c r="H4771" t="s">
        <v>12</v>
      </c>
      <c r="I4771" t="str">
        <f t="shared" si="223"/>
        <v>Low Value</v>
      </c>
      <c r="J4771" t="str">
        <f t="shared" si="224"/>
        <v>High Risk</v>
      </c>
      <c r="K4771" s="3" t="str">
        <f t="shared" si="222"/>
        <v>0-1 Year</v>
      </c>
    </row>
    <row r="4772" spans="1:11" x14ac:dyDescent="0.3">
      <c r="A4772" t="s">
        <v>4789</v>
      </c>
      <c r="B4772" t="s">
        <v>14</v>
      </c>
      <c r="C4772" t="s">
        <v>30</v>
      </c>
      <c r="D4772" t="s">
        <v>16</v>
      </c>
      <c r="E4772">
        <v>24.4</v>
      </c>
      <c r="F4772">
        <v>62</v>
      </c>
      <c r="G4772">
        <v>1512.8</v>
      </c>
      <c r="H4772" t="s">
        <v>12</v>
      </c>
      <c r="I4772" t="str">
        <f t="shared" si="223"/>
        <v>Low Value</v>
      </c>
      <c r="J4772" t="str">
        <f t="shared" si="224"/>
        <v>Low Risk</v>
      </c>
      <c r="K4772" s="3" t="str">
        <f t="shared" si="222"/>
        <v>4+ Years</v>
      </c>
    </row>
    <row r="4773" spans="1:11" x14ac:dyDescent="0.3">
      <c r="A4773" t="s">
        <v>4790</v>
      </c>
      <c r="B4773" t="s">
        <v>9</v>
      </c>
      <c r="C4773" t="s">
        <v>10</v>
      </c>
      <c r="D4773" t="s">
        <v>11</v>
      </c>
      <c r="E4773">
        <v>96.8</v>
      </c>
      <c r="F4773">
        <v>19</v>
      </c>
      <c r="G4773">
        <v>1839.2</v>
      </c>
      <c r="H4773" t="s">
        <v>12</v>
      </c>
      <c r="I4773" t="str">
        <f t="shared" si="223"/>
        <v>Low Value</v>
      </c>
      <c r="J4773" t="str">
        <f t="shared" si="224"/>
        <v>Medium Risk</v>
      </c>
      <c r="K4773" s="3" t="str">
        <f t="shared" si="222"/>
        <v>1-2 Years</v>
      </c>
    </row>
    <row r="4774" spans="1:11" x14ac:dyDescent="0.3">
      <c r="A4774" t="s">
        <v>4791</v>
      </c>
      <c r="B4774" t="s">
        <v>14</v>
      </c>
      <c r="C4774" t="s">
        <v>10</v>
      </c>
      <c r="D4774" t="s">
        <v>16</v>
      </c>
      <c r="E4774">
        <v>70.05</v>
      </c>
      <c r="F4774">
        <v>9</v>
      </c>
      <c r="G4774">
        <v>630.44999999999902</v>
      </c>
      <c r="H4774" t="s">
        <v>12</v>
      </c>
      <c r="I4774" t="str">
        <f t="shared" si="223"/>
        <v>Low Value</v>
      </c>
      <c r="J4774" t="str">
        <f t="shared" si="224"/>
        <v>High Risk</v>
      </c>
      <c r="K4774" s="3" t="str">
        <f t="shared" si="222"/>
        <v>0-1 Year</v>
      </c>
    </row>
    <row r="4775" spans="1:11" x14ac:dyDescent="0.3">
      <c r="A4775" t="s">
        <v>4792</v>
      </c>
      <c r="B4775" t="s">
        <v>14</v>
      </c>
      <c r="C4775" t="s">
        <v>30</v>
      </c>
      <c r="D4775" t="s">
        <v>24</v>
      </c>
      <c r="E4775">
        <v>19.5</v>
      </c>
      <c r="F4775">
        <v>53</v>
      </c>
      <c r="G4775">
        <v>1033.5</v>
      </c>
      <c r="H4775" t="s">
        <v>12</v>
      </c>
      <c r="I4775" t="str">
        <f t="shared" si="223"/>
        <v>Low Value</v>
      </c>
      <c r="J4775" t="str">
        <f t="shared" si="224"/>
        <v>Low Risk</v>
      </c>
      <c r="K4775" s="3" t="str">
        <f t="shared" si="222"/>
        <v>4+ Years</v>
      </c>
    </row>
    <row r="4776" spans="1:11" x14ac:dyDescent="0.3">
      <c r="A4776" t="s">
        <v>4793</v>
      </c>
      <c r="B4776" t="s">
        <v>14</v>
      </c>
      <c r="C4776" t="s">
        <v>10</v>
      </c>
      <c r="D4776" t="s">
        <v>16</v>
      </c>
      <c r="E4776">
        <v>78.75</v>
      </c>
      <c r="F4776">
        <v>5</v>
      </c>
      <c r="G4776">
        <v>393.75</v>
      </c>
      <c r="H4776" t="s">
        <v>12</v>
      </c>
      <c r="I4776" t="str">
        <f t="shared" si="223"/>
        <v>Low Value</v>
      </c>
      <c r="J4776" t="str">
        <f t="shared" si="224"/>
        <v>High Risk</v>
      </c>
      <c r="K4776" s="3" t="str">
        <f t="shared" si="222"/>
        <v>0-1 Year</v>
      </c>
    </row>
    <row r="4777" spans="1:11" x14ac:dyDescent="0.3">
      <c r="A4777" t="s">
        <v>4794</v>
      </c>
      <c r="B4777" t="s">
        <v>9</v>
      </c>
      <c r="C4777" t="s">
        <v>15</v>
      </c>
      <c r="D4777" t="s">
        <v>11</v>
      </c>
      <c r="E4777">
        <v>69.2</v>
      </c>
      <c r="F4777">
        <v>71</v>
      </c>
      <c r="G4777">
        <v>4913.2</v>
      </c>
      <c r="H4777" t="s">
        <v>12</v>
      </c>
      <c r="I4777" t="str">
        <f t="shared" si="223"/>
        <v>Medium Value</v>
      </c>
      <c r="J4777" t="str">
        <f t="shared" si="224"/>
        <v>Low Risk</v>
      </c>
      <c r="K4777" s="3" t="str">
        <f t="shared" si="222"/>
        <v>4+ Years</v>
      </c>
    </row>
    <row r="4778" spans="1:11" x14ac:dyDescent="0.3">
      <c r="A4778" t="s">
        <v>4795</v>
      </c>
      <c r="B4778" t="s">
        <v>9</v>
      </c>
      <c r="C4778" t="s">
        <v>10</v>
      </c>
      <c r="D4778" t="s">
        <v>16</v>
      </c>
      <c r="E4778">
        <v>19.55</v>
      </c>
      <c r="F4778">
        <v>1</v>
      </c>
      <c r="G4778">
        <v>19.55</v>
      </c>
      <c r="H4778" t="s">
        <v>12</v>
      </c>
      <c r="I4778" t="str">
        <f t="shared" si="223"/>
        <v>Low Value</v>
      </c>
      <c r="J4778" t="str">
        <f t="shared" si="224"/>
        <v>High Risk</v>
      </c>
      <c r="K4778" s="3" t="str">
        <f t="shared" si="222"/>
        <v>0-1 Year</v>
      </c>
    </row>
    <row r="4779" spans="1:11" x14ac:dyDescent="0.3">
      <c r="A4779" t="s">
        <v>4796</v>
      </c>
      <c r="B4779" t="s">
        <v>14</v>
      </c>
      <c r="C4779" t="s">
        <v>10</v>
      </c>
      <c r="D4779" t="s">
        <v>11</v>
      </c>
      <c r="E4779">
        <v>80.650000000000006</v>
      </c>
      <c r="F4779">
        <v>18</v>
      </c>
      <c r="G4779">
        <v>1451.7</v>
      </c>
      <c r="H4779" t="s">
        <v>18</v>
      </c>
      <c r="I4779" t="str">
        <f t="shared" si="223"/>
        <v>Low Value</v>
      </c>
      <c r="J4779" t="str">
        <f t="shared" si="224"/>
        <v>Medium Risk</v>
      </c>
      <c r="K4779" s="3" t="str">
        <f t="shared" si="222"/>
        <v>1-2 Years</v>
      </c>
    </row>
    <row r="4780" spans="1:11" x14ac:dyDescent="0.3">
      <c r="A4780" t="s">
        <v>4797</v>
      </c>
      <c r="B4780" t="s">
        <v>14</v>
      </c>
      <c r="C4780" t="s">
        <v>30</v>
      </c>
      <c r="D4780" t="s">
        <v>11</v>
      </c>
      <c r="E4780">
        <v>103.65</v>
      </c>
      <c r="F4780">
        <v>72</v>
      </c>
      <c r="G4780">
        <v>7462.8</v>
      </c>
      <c r="H4780" t="s">
        <v>12</v>
      </c>
      <c r="I4780" t="str">
        <f t="shared" si="223"/>
        <v>High Value</v>
      </c>
      <c r="J4780" t="str">
        <f t="shared" si="224"/>
        <v>Low Risk</v>
      </c>
      <c r="K4780" s="3" t="str">
        <f t="shared" si="222"/>
        <v>4+ Years</v>
      </c>
    </row>
    <row r="4781" spans="1:11" x14ac:dyDescent="0.3">
      <c r="A4781" t="s">
        <v>4798</v>
      </c>
      <c r="B4781" t="s">
        <v>9</v>
      </c>
      <c r="C4781" t="s">
        <v>10</v>
      </c>
      <c r="D4781" t="s">
        <v>16</v>
      </c>
      <c r="E4781">
        <v>54.7</v>
      </c>
      <c r="F4781">
        <v>4</v>
      </c>
      <c r="G4781">
        <v>218.8</v>
      </c>
      <c r="H4781" t="s">
        <v>12</v>
      </c>
      <c r="I4781" t="str">
        <f t="shared" si="223"/>
        <v>Low Value</v>
      </c>
      <c r="J4781" t="str">
        <f t="shared" si="224"/>
        <v>High Risk</v>
      </c>
      <c r="K4781" s="3" t="str">
        <f t="shared" si="222"/>
        <v>0-1 Year</v>
      </c>
    </row>
    <row r="4782" spans="1:11" x14ac:dyDescent="0.3">
      <c r="A4782" t="s">
        <v>4799</v>
      </c>
      <c r="B4782" t="s">
        <v>14</v>
      </c>
      <c r="C4782" t="s">
        <v>30</v>
      </c>
      <c r="D4782" t="s">
        <v>24</v>
      </c>
      <c r="E4782">
        <v>54.15</v>
      </c>
      <c r="F4782">
        <v>59</v>
      </c>
      <c r="G4782">
        <v>3194.85</v>
      </c>
      <c r="H4782" t="s">
        <v>12</v>
      </c>
      <c r="I4782" t="str">
        <f t="shared" si="223"/>
        <v>Medium Value</v>
      </c>
      <c r="J4782" t="str">
        <f t="shared" si="224"/>
        <v>Low Risk</v>
      </c>
      <c r="K4782" s="3" t="str">
        <f t="shared" si="222"/>
        <v>4+ Years</v>
      </c>
    </row>
    <row r="4783" spans="1:11" x14ac:dyDescent="0.3">
      <c r="A4783" t="s">
        <v>4800</v>
      </c>
      <c r="B4783" t="s">
        <v>9</v>
      </c>
      <c r="C4783" t="s">
        <v>10</v>
      </c>
      <c r="D4783" t="s">
        <v>16</v>
      </c>
      <c r="E4783">
        <v>71.099999999999994</v>
      </c>
      <c r="F4783">
        <v>1</v>
      </c>
      <c r="G4783">
        <v>71.099999999999994</v>
      </c>
      <c r="H4783" t="s">
        <v>18</v>
      </c>
      <c r="I4783" t="str">
        <f t="shared" si="223"/>
        <v>Low Value</v>
      </c>
      <c r="J4783" t="str">
        <f t="shared" si="224"/>
        <v>High Risk</v>
      </c>
      <c r="K4783" s="3" t="str">
        <f t="shared" si="222"/>
        <v>0-1 Year</v>
      </c>
    </row>
    <row r="4784" spans="1:11" x14ac:dyDescent="0.3">
      <c r="A4784" t="s">
        <v>4801</v>
      </c>
      <c r="B4784" t="s">
        <v>9</v>
      </c>
      <c r="C4784" t="s">
        <v>10</v>
      </c>
      <c r="D4784" t="s">
        <v>11</v>
      </c>
      <c r="E4784">
        <v>84.85</v>
      </c>
      <c r="F4784">
        <v>31</v>
      </c>
      <c r="G4784">
        <v>2630.35</v>
      </c>
      <c r="H4784" t="s">
        <v>12</v>
      </c>
      <c r="I4784" t="str">
        <f t="shared" si="223"/>
        <v>Medium Value</v>
      </c>
      <c r="J4784" t="str">
        <f t="shared" si="224"/>
        <v>Low Risk</v>
      </c>
      <c r="K4784" s="3" t="str">
        <f t="shared" si="222"/>
        <v>2-4 Years</v>
      </c>
    </row>
    <row r="4785" spans="1:11" x14ac:dyDescent="0.3">
      <c r="A4785" t="s">
        <v>4802</v>
      </c>
      <c r="B4785" t="s">
        <v>14</v>
      </c>
      <c r="C4785" t="s">
        <v>10</v>
      </c>
      <c r="D4785" t="s">
        <v>20</v>
      </c>
      <c r="E4785">
        <v>20</v>
      </c>
      <c r="F4785">
        <v>3</v>
      </c>
      <c r="G4785">
        <v>60</v>
      </c>
      <c r="H4785" t="s">
        <v>12</v>
      </c>
      <c r="I4785" t="str">
        <f t="shared" si="223"/>
        <v>Low Value</v>
      </c>
      <c r="J4785" t="str">
        <f t="shared" si="224"/>
        <v>High Risk</v>
      </c>
      <c r="K4785" s="3" t="str">
        <f t="shared" si="222"/>
        <v>0-1 Year</v>
      </c>
    </row>
    <row r="4786" spans="1:11" x14ac:dyDescent="0.3">
      <c r="A4786" t="s">
        <v>4803</v>
      </c>
      <c r="B4786" t="s">
        <v>9</v>
      </c>
      <c r="C4786" t="s">
        <v>15</v>
      </c>
      <c r="D4786" t="s">
        <v>11</v>
      </c>
      <c r="E4786">
        <v>106.25</v>
      </c>
      <c r="F4786">
        <v>65</v>
      </c>
      <c r="G4786">
        <v>6906.25</v>
      </c>
      <c r="H4786" t="s">
        <v>18</v>
      </c>
      <c r="I4786" t="str">
        <f t="shared" si="223"/>
        <v>High Value</v>
      </c>
      <c r="J4786" t="str">
        <f t="shared" si="224"/>
        <v>Low Risk</v>
      </c>
      <c r="K4786" s="3" t="str">
        <f t="shared" si="222"/>
        <v>4+ Years</v>
      </c>
    </row>
    <row r="4787" spans="1:11" x14ac:dyDescent="0.3">
      <c r="A4787" t="s">
        <v>4804</v>
      </c>
      <c r="B4787" t="s">
        <v>14</v>
      </c>
      <c r="C4787" t="s">
        <v>15</v>
      </c>
      <c r="D4787" t="s">
        <v>24</v>
      </c>
      <c r="E4787">
        <v>99.25</v>
      </c>
      <c r="F4787">
        <v>49</v>
      </c>
      <c r="G4787">
        <v>4863.25</v>
      </c>
      <c r="H4787" t="s">
        <v>12</v>
      </c>
      <c r="I4787" t="str">
        <f t="shared" si="223"/>
        <v>Medium Value</v>
      </c>
      <c r="J4787" t="str">
        <f t="shared" si="224"/>
        <v>Low Risk</v>
      </c>
      <c r="K4787" s="3" t="str">
        <f t="shared" si="222"/>
        <v>4+ Years</v>
      </c>
    </row>
    <row r="4788" spans="1:11" x14ac:dyDescent="0.3">
      <c r="A4788" t="s">
        <v>4805</v>
      </c>
      <c r="B4788" t="s">
        <v>14</v>
      </c>
      <c r="C4788" t="s">
        <v>10</v>
      </c>
      <c r="D4788" t="s">
        <v>16</v>
      </c>
      <c r="E4788">
        <v>19.350000000000001</v>
      </c>
      <c r="F4788">
        <v>2</v>
      </c>
      <c r="G4788">
        <v>38.700000000000003</v>
      </c>
      <c r="H4788" t="s">
        <v>12</v>
      </c>
      <c r="I4788" t="str">
        <f t="shared" si="223"/>
        <v>Low Value</v>
      </c>
      <c r="J4788" t="str">
        <f t="shared" si="224"/>
        <v>High Risk</v>
      </c>
      <c r="K4788" s="3" t="str">
        <f t="shared" si="222"/>
        <v>0-1 Year</v>
      </c>
    </row>
    <row r="4789" spans="1:11" x14ac:dyDescent="0.3">
      <c r="A4789" t="s">
        <v>4806</v>
      </c>
      <c r="B4789" t="s">
        <v>9</v>
      </c>
      <c r="C4789" t="s">
        <v>15</v>
      </c>
      <c r="D4789" t="s">
        <v>20</v>
      </c>
      <c r="E4789">
        <v>20.8</v>
      </c>
      <c r="F4789">
        <v>53</v>
      </c>
      <c r="G4789">
        <v>1102.4000000000001</v>
      </c>
      <c r="H4789" t="s">
        <v>18</v>
      </c>
      <c r="I4789" t="str">
        <f t="shared" si="223"/>
        <v>Low Value</v>
      </c>
      <c r="J4789" t="str">
        <f t="shared" si="224"/>
        <v>Low Risk</v>
      </c>
      <c r="K4789" s="3" t="str">
        <f t="shared" si="222"/>
        <v>4+ Years</v>
      </c>
    </row>
    <row r="4790" spans="1:11" x14ac:dyDescent="0.3">
      <c r="A4790" t="s">
        <v>4807</v>
      </c>
      <c r="B4790" t="s">
        <v>9</v>
      </c>
      <c r="C4790" t="s">
        <v>15</v>
      </c>
      <c r="D4790" t="s">
        <v>11</v>
      </c>
      <c r="E4790">
        <v>94.75</v>
      </c>
      <c r="F4790">
        <v>55</v>
      </c>
      <c r="G4790">
        <v>5211.25</v>
      </c>
      <c r="H4790" t="s">
        <v>12</v>
      </c>
      <c r="I4790" t="str">
        <f t="shared" si="223"/>
        <v>High Value</v>
      </c>
      <c r="J4790" t="str">
        <f t="shared" si="224"/>
        <v>Low Risk</v>
      </c>
      <c r="K4790" s="3" t="str">
        <f t="shared" si="222"/>
        <v>4+ Years</v>
      </c>
    </row>
    <row r="4791" spans="1:11" x14ac:dyDescent="0.3">
      <c r="A4791" t="s">
        <v>4808</v>
      </c>
      <c r="B4791" t="s">
        <v>14</v>
      </c>
      <c r="C4791" t="s">
        <v>30</v>
      </c>
      <c r="D4791" t="s">
        <v>24</v>
      </c>
      <c r="E4791">
        <v>114.05</v>
      </c>
      <c r="F4791">
        <v>72</v>
      </c>
      <c r="G4791">
        <v>8211.6</v>
      </c>
      <c r="H4791" t="s">
        <v>12</v>
      </c>
      <c r="I4791" t="str">
        <f t="shared" si="223"/>
        <v>High Value</v>
      </c>
      <c r="J4791" t="str">
        <f t="shared" si="224"/>
        <v>Low Risk</v>
      </c>
      <c r="K4791" s="3" t="str">
        <f t="shared" si="222"/>
        <v>4+ Years</v>
      </c>
    </row>
    <row r="4792" spans="1:11" x14ac:dyDescent="0.3">
      <c r="A4792" t="s">
        <v>4809</v>
      </c>
      <c r="B4792" t="s">
        <v>9</v>
      </c>
      <c r="C4792" t="s">
        <v>10</v>
      </c>
      <c r="D4792" t="s">
        <v>20</v>
      </c>
      <c r="E4792">
        <v>74.900000000000006</v>
      </c>
      <c r="F4792">
        <v>36</v>
      </c>
      <c r="G4792">
        <v>2696.4</v>
      </c>
      <c r="H4792" t="s">
        <v>12</v>
      </c>
      <c r="I4792" t="str">
        <f t="shared" si="223"/>
        <v>Medium Value</v>
      </c>
      <c r="J4792" t="str">
        <f t="shared" si="224"/>
        <v>Low Risk</v>
      </c>
      <c r="K4792" s="3" t="str">
        <f t="shared" si="222"/>
        <v>2-4 Years</v>
      </c>
    </row>
    <row r="4793" spans="1:11" x14ac:dyDescent="0.3">
      <c r="A4793" t="s">
        <v>4810</v>
      </c>
      <c r="B4793" t="s">
        <v>9</v>
      </c>
      <c r="C4793" t="s">
        <v>10</v>
      </c>
      <c r="D4793" t="s">
        <v>20</v>
      </c>
      <c r="E4793">
        <v>19.8</v>
      </c>
      <c r="F4793">
        <v>10</v>
      </c>
      <c r="G4793">
        <v>198</v>
      </c>
      <c r="H4793" t="s">
        <v>12</v>
      </c>
      <c r="I4793" t="str">
        <f t="shared" si="223"/>
        <v>Low Value</v>
      </c>
      <c r="J4793" t="str">
        <f t="shared" si="224"/>
        <v>High Risk</v>
      </c>
      <c r="K4793" s="3" t="str">
        <f t="shared" si="222"/>
        <v>0-1 Year</v>
      </c>
    </row>
    <row r="4794" spans="1:11" x14ac:dyDescent="0.3">
      <c r="A4794" t="s">
        <v>4811</v>
      </c>
      <c r="B4794" t="s">
        <v>14</v>
      </c>
      <c r="C4794" t="s">
        <v>10</v>
      </c>
      <c r="D4794" t="s">
        <v>11</v>
      </c>
      <c r="E4794">
        <v>94</v>
      </c>
      <c r="F4794">
        <v>1</v>
      </c>
      <c r="G4794">
        <v>94</v>
      </c>
      <c r="H4794" t="s">
        <v>18</v>
      </c>
      <c r="I4794" t="str">
        <f t="shared" si="223"/>
        <v>Low Value</v>
      </c>
      <c r="J4794" t="str">
        <f t="shared" si="224"/>
        <v>High Risk</v>
      </c>
      <c r="K4794" s="3" t="str">
        <f t="shared" si="222"/>
        <v>0-1 Year</v>
      </c>
    </row>
    <row r="4795" spans="1:11" x14ac:dyDescent="0.3">
      <c r="A4795" t="s">
        <v>4812</v>
      </c>
      <c r="B4795" t="s">
        <v>9</v>
      </c>
      <c r="C4795" t="s">
        <v>30</v>
      </c>
      <c r="D4795" t="s">
        <v>20</v>
      </c>
      <c r="E4795">
        <v>80.849999999999994</v>
      </c>
      <c r="F4795">
        <v>72</v>
      </c>
      <c r="G4795">
        <v>5821.2</v>
      </c>
      <c r="H4795" t="s">
        <v>12</v>
      </c>
      <c r="I4795" t="str">
        <f t="shared" si="223"/>
        <v>High Value</v>
      </c>
      <c r="J4795" t="str">
        <f t="shared" si="224"/>
        <v>Low Risk</v>
      </c>
      <c r="K4795" s="3" t="str">
        <f t="shared" si="222"/>
        <v>4+ Years</v>
      </c>
    </row>
    <row r="4796" spans="1:11" x14ac:dyDescent="0.3">
      <c r="A4796" t="s">
        <v>4813</v>
      </c>
      <c r="B4796" t="s">
        <v>9</v>
      </c>
      <c r="C4796" t="s">
        <v>10</v>
      </c>
      <c r="D4796" t="s">
        <v>20</v>
      </c>
      <c r="E4796">
        <v>54.65</v>
      </c>
      <c r="F4796">
        <v>28</v>
      </c>
      <c r="G4796">
        <v>1530.2</v>
      </c>
      <c r="H4796" t="s">
        <v>12</v>
      </c>
      <c r="I4796" t="str">
        <f t="shared" si="223"/>
        <v>Low Value</v>
      </c>
      <c r="J4796" t="str">
        <f t="shared" si="224"/>
        <v>Low Risk</v>
      </c>
      <c r="K4796" s="3" t="str">
        <f t="shared" si="222"/>
        <v>2-4 Years</v>
      </c>
    </row>
    <row r="4797" spans="1:11" x14ac:dyDescent="0.3">
      <c r="A4797" t="s">
        <v>4814</v>
      </c>
      <c r="B4797" t="s">
        <v>14</v>
      </c>
      <c r="C4797" t="s">
        <v>10</v>
      </c>
      <c r="D4797" t="s">
        <v>20</v>
      </c>
      <c r="E4797">
        <v>91.7</v>
      </c>
      <c r="F4797">
        <v>38</v>
      </c>
      <c r="G4797">
        <v>3484.6</v>
      </c>
      <c r="H4797" t="s">
        <v>12</v>
      </c>
      <c r="I4797" t="str">
        <f t="shared" si="223"/>
        <v>Medium Value</v>
      </c>
      <c r="J4797" t="str">
        <f t="shared" si="224"/>
        <v>Low Risk</v>
      </c>
      <c r="K4797" s="3" t="str">
        <f t="shared" si="222"/>
        <v>2-4 Years</v>
      </c>
    </row>
    <row r="4798" spans="1:11" x14ac:dyDescent="0.3">
      <c r="A4798" t="s">
        <v>4815</v>
      </c>
      <c r="B4798" t="s">
        <v>9</v>
      </c>
      <c r="C4798" t="s">
        <v>15</v>
      </c>
      <c r="D4798" t="s">
        <v>11</v>
      </c>
      <c r="E4798">
        <v>118.6</v>
      </c>
      <c r="F4798">
        <v>61</v>
      </c>
      <c r="G4798">
        <v>7234.5999999999904</v>
      </c>
      <c r="H4798" t="s">
        <v>12</v>
      </c>
      <c r="I4798" t="str">
        <f t="shared" si="223"/>
        <v>High Value</v>
      </c>
      <c r="J4798" t="str">
        <f t="shared" si="224"/>
        <v>Low Risk</v>
      </c>
      <c r="K4798" s="3" t="str">
        <f t="shared" si="222"/>
        <v>4+ Years</v>
      </c>
    </row>
    <row r="4799" spans="1:11" x14ac:dyDescent="0.3">
      <c r="A4799" t="s">
        <v>4816</v>
      </c>
      <c r="B4799" t="s">
        <v>14</v>
      </c>
      <c r="C4799" t="s">
        <v>30</v>
      </c>
      <c r="D4799" t="s">
        <v>16</v>
      </c>
      <c r="E4799">
        <v>24.55</v>
      </c>
      <c r="F4799">
        <v>52</v>
      </c>
      <c r="G4799">
        <v>1276.5999999999999</v>
      </c>
      <c r="H4799" t="s">
        <v>12</v>
      </c>
      <c r="I4799" t="str">
        <f t="shared" si="223"/>
        <v>Low Value</v>
      </c>
      <c r="J4799" t="str">
        <f t="shared" si="224"/>
        <v>Low Risk</v>
      </c>
      <c r="K4799" s="3" t="str">
        <f t="shared" si="222"/>
        <v>4+ Years</v>
      </c>
    </row>
    <row r="4800" spans="1:11" x14ac:dyDescent="0.3">
      <c r="A4800" t="s">
        <v>4817</v>
      </c>
      <c r="B4800" t="s">
        <v>14</v>
      </c>
      <c r="C4800" t="s">
        <v>15</v>
      </c>
      <c r="D4800" t="s">
        <v>16</v>
      </c>
      <c r="E4800">
        <v>19.45</v>
      </c>
      <c r="F4800">
        <v>67</v>
      </c>
      <c r="G4800">
        <v>1303.1499999999901</v>
      </c>
      <c r="H4800" t="s">
        <v>12</v>
      </c>
      <c r="I4800" t="str">
        <f t="shared" si="223"/>
        <v>Low Value</v>
      </c>
      <c r="J4800" t="str">
        <f t="shared" si="224"/>
        <v>Low Risk</v>
      </c>
      <c r="K4800" s="3" t="str">
        <f t="shared" si="222"/>
        <v>4+ Years</v>
      </c>
    </row>
    <row r="4801" spans="1:11" x14ac:dyDescent="0.3">
      <c r="A4801" t="s">
        <v>4818</v>
      </c>
      <c r="B4801" t="s">
        <v>9</v>
      </c>
      <c r="C4801" t="s">
        <v>30</v>
      </c>
      <c r="D4801" t="s">
        <v>24</v>
      </c>
      <c r="E4801">
        <v>116.15</v>
      </c>
      <c r="F4801">
        <v>34</v>
      </c>
      <c r="G4801">
        <v>3949.1</v>
      </c>
      <c r="H4801" t="s">
        <v>12</v>
      </c>
      <c r="I4801" t="str">
        <f t="shared" si="223"/>
        <v>Medium Value</v>
      </c>
      <c r="J4801" t="str">
        <f t="shared" si="224"/>
        <v>Low Risk</v>
      </c>
      <c r="K4801" s="3" t="str">
        <f t="shared" si="222"/>
        <v>2-4 Years</v>
      </c>
    </row>
    <row r="4802" spans="1:11" x14ac:dyDescent="0.3">
      <c r="A4802" t="s">
        <v>4819</v>
      </c>
      <c r="B4802" t="s">
        <v>9</v>
      </c>
      <c r="C4802" t="s">
        <v>30</v>
      </c>
      <c r="D4802" t="s">
        <v>11</v>
      </c>
      <c r="E4802">
        <v>80.599999999999994</v>
      </c>
      <c r="F4802">
        <v>54</v>
      </c>
      <c r="G4802">
        <v>4352.3999999999996</v>
      </c>
      <c r="H4802" t="s">
        <v>12</v>
      </c>
      <c r="I4802" t="str">
        <f t="shared" si="223"/>
        <v>Medium Value</v>
      </c>
      <c r="J4802" t="str">
        <f t="shared" si="224"/>
        <v>Low Risk</v>
      </c>
      <c r="K4802" s="3" t="str">
        <f t="shared" si="222"/>
        <v>4+ Years</v>
      </c>
    </row>
    <row r="4803" spans="1:11" x14ac:dyDescent="0.3">
      <c r="A4803" t="s">
        <v>4820</v>
      </c>
      <c r="B4803" t="s">
        <v>9</v>
      </c>
      <c r="C4803" t="s">
        <v>10</v>
      </c>
      <c r="D4803" t="s">
        <v>20</v>
      </c>
      <c r="E4803">
        <v>20.3</v>
      </c>
      <c r="F4803">
        <v>1</v>
      </c>
      <c r="G4803">
        <v>20.3</v>
      </c>
      <c r="H4803" t="s">
        <v>12</v>
      </c>
      <c r="I4803" t="str">
        <f t="shared" si="223"/>
        <v>Low Value</v>
      </c>
      <c r="J4803" t="str">
        <f t="shared" si="224"/>
        <v>High Risk</v>
      </c>
      <c r="K4803" s="3" t="str">
        <f t="shared" ref="K4803:K4866" si="225">IF(F4803&lt;=12,"0-1 Year",
IF(F4803&lt;=24,"1-2 Years",
IF(F4803&lt;=48,"2-4 Years","4+ Years")))</f>
        <v>0-1 Year</v>
      </c>
    </row>
    <row r="4804" spans="1:11" x14ac:dyDescent="0.3">
      <c r="A4804" t="s">
        <v>4821</v>
      </c>
      <c r="B4804" t="s">
        <v>9</v>
      </c>
      <c r="C4804" t="s">
        <v>10</v>
      </c>
      <c r="D4804" t="s">
        <v>11</v>
      </c>
      <c r="E4804">
        <v>89.85</v>
      </c>
      <c r="F4804">
        <v>15</v>
      </c>
      <c r="G4804">
        <v>1347.75</v>
      </c>
      <c r="H4804" t="s">
        <v>18</v>
      </c>
      <c r="I4804" t="str">
        <f t="shared" ref="I4804:I4867" si="226">IF(G4804&gt;5000,"High Value",
IF(G4804&gt;2000,"Medium Value","Low Value"))</f>
        <v>Low Value</v>
      </c>
      <c r="J4804" t="str">
        <f t="shared" ref="J4804:J4867" si="227">IF(F4804&lt;12,"High Risk",
IF(F4804&lt;24,"Medium Risk","Low Risk"))</f>
        <v>Medium Risk</v>
      </c>
      <c r="K4804" s="3" t="str">
        <f t="shared" si="225"/>
        <v>1-2 Years</v>
      </c>
    </row>
    <row r="4805" spans="1:11" x14ac:dyDescent="0.3">
      <c r="A4805" t="s">
        <v>4822</v>
      </c>
      <c r="B4805" t="s">
        <v>9</v>
      </c>
      <c r="C4805" t="s">
        <v>10</v>
      </c>
      <c r="D4805" t="s">
        <v>16</v>
      </c>
      <c r="E4805">
        <v>46</v>
      </c>
      <c r="F4805">
        <v>4</v>
      </c>
      <c r="G4805">
        <v>184</v>
      </c>
      <c r="H4805" t="s">
        <v>18</v>
      </c>
      <c r="I4805" t="str">
        <f t="shared" si="226"/>
        <v>Low Value</v>
      </c>
      <c r="J4805" t="str">
        <f t="shared" si="227"/>
        <v>High Risk</v>
      </c>
      <c r="K4805" s="3" t="str">
        <f t="shared" si="225"/>
        <v>0-1 Year</v>
      </c>
    </row>
    <row r="4806" spans="1:11" x14ac:dyDescent="0.3">
      <c r="A4806" t="s">
        <v>4823</v>
      </c>
      <c r="B4806" t="s">
        <v>9</v>
      </c>
      <c r="C4806" t="s">
        <v>10</v>
      </c>
      <c r="D4806" t="s">
        <v>16</v>
      </c>
      <c r="E4806">
        <v>66.25</v>
      </c>
      <c r="F4806">
        <v>9</v>
      </c>
      <c r="G4806">
        <v>596.25</v>
      </c>
      <c r="H4806" t="s">
        <v>18</v>
      </c>
      <c r="I4806" t="str">
        <f t="shared" si="226"/>
        <v>Low Value</v>
      </c>
      <c r="J4806" t="str">
        <f t="shared" si="227"/>
        <v>High Risk</v>
      </c>
      <c r="K4806" s="3" t="str">
        <f t="shared" si="225"/>
        <v>0-1 Year</v>
      </c>
    </row>
    <row r="4807" spans="1:11" x14ac:dyDescent="0.3">
      <c r="A4807" t="s">
        <v>4824</v>
      </c>
      <c r="B4807" t="s">
        <v>9</v>
      </c>
      <c r="C4807" t="s">
        <v>10</v>
      </c>
      <c r="D4807" t="s">
        <v>11</v>
      </c>
      <c r="E4807">
        <v>99.8</v>
      </c>
      <c r="F4807">
        <v>46</v>
      </c>
      <c r="G4807">
        <v>4590.8</v>
      </c>
      <c r="H4807" t="s">
        <v>12</v>
      </c>
      <c r="I4807" t="str">
        <f t="shared" si="226"/>
        <v>Medium Value</v>
      </c>
      <c r="J4807" t="str">
        <f t="shared" si="227"/>
        <v>Low Risk</v>
      </c>
      <c r="K4807" s="3" t="str">
        <f t="shared" si="225"/>
        <v>2-4 Years</v>
      </c>
    </row>
    <row r="4808" spans="1:11" x14ac:dyDescent="0.3">
      <c r="A4808" t="s">
        <v>4825</v>
      </c>
      <c r="B4808" t="s">
        <v>9</v>
      </c>
      <c r="C4808" t="s">
        <v>10</v>
      </c>
      <c r="D4808" t="s">
        <v>11</v>
      </c>
      <c r="E4808">
        <v>90</v>
      </c>
      <c r="F4808">
        <v>22</v>
      </c>
      <c r="G4808">
        <v>1980</v>
      </c>
      <c r="H4808" t="s">
        <v>18</v>
      </c>
      <c r="I4808" t="str">
        <f t="shared" si="226"/>
        <v>Low Value</v>
      </c>
      <c r="J4808" t="str">
        <f t="shared" si="227"/>
        <v>Medium Risk</v>
      </c>
      <c r="K4808" s="3" t="str">
        <f t="shared" si="225"/>
        <v>1-2 Years</v>
      </c>
    </row>
    <row r="4809" spans="1:11" x14ac:dyDescent="0.3">
      <c r="A4809" t="s">
        <v>4826</v>
      </c>
      <c r="B4809" t="s">
        <v>14</v>
      </c>
      <c r="C4809" t="s">
        <v>15</v>
      </c>
      <c r="D4809" t="s">
        <v>20</v>
      </c>
      <c r="E4809">
        <v>70.45</v>
      </c>
      <c r="F4809">
        <v>38</v>
      </c>
      <c r="G4809">
        <v>2677.1</v>
      </c>
      <c r="H4809" t="s">
        <v>18</v>
      </c>
      <c r="I4809" t="str">
        <f t="shared" si="226"/>
        <v>Medium Value</v>
      </c>
      <c r="J4809" t="str">
        <f t="shared" si="227"/>
        <v>Low Risk</v>
      </c>
      <c r="K4809" s="3" t="str">
        <f t="shared" si="225"/>
        <v>2-4 Years</v>
      </c>
    </row>
    <row r="4810" spans="1:11" x14ac:dyDescent="0.3">
      <c r="A4810" t="s">
        <v>4827</v>
      </c>
      <c r="B4810" t="s">
        <v>9</v>
      </c>
      <c r="C4810" t="s">
        <v>15</v>
      </c>
      <c r="D4810" t="s">
        <v>24</v>
      </c>
      <c r="E4810">
        <v>75</v>
      </c>
      <c r="F4810">
        <v>55</v>
      </c>
      <c r="G4810">
        <v>4125</v>
      </c>
      <c r="H4810" t="s">
        <v>12</v>
      </c>
      <c r="I4810" t="str">
        <f t="shared" si="226"/>
        <v>Medium Value</v>
      </c>
      <c r="J4810" t="str">
        <f t="shared" si="227"/>
        <v>Low Risk</v>
      </c>
      <c r="K4810" s="3" t="str">
        <f t="shared" si="225"/>
        <v>4+ Years</v>
      </c>
    </row>
    <row r="4811" spans="1:11" x14ac:dyDescent="0.3">
      <c r="A4811" t="s">
        <v>4828</v>
      </c>
      <c r="B4811" t="s">
        <v>9</v>
      </c>
      <c r="C4811" t="s">
        <v>10</v>
      </c>
      <c r="D4811" t="s">
        <v>16</v>
      </c>
      <c r="E4811">
        <v>19.899999999999999</v>
      </c>
      <c r="F4811">
        <v>1</v>
      </c>
      <c r="G4811">
        <v>19.899999999999999</v>
      </c>
      <c r="H4811" t="s">
        <v>12</v>
      </c>
      <c r="I4811" t="str">
        <f t="shared" si="226"/>
        <v>Low Value</v>
      </c>
      <c r="J4811" t="str">
        <f t="shared" si="227"/>
        <v>High Risk</v>
      </c>
      <c r="K4811" s="3" t="str">
        <f t="shared" si="225"/>
        <v>0-1 Year</v>
      </c>
    </row>
    <row r="4812" spans="1:11" x14ac:dyDescent="0.3">
      <c r="A4812" t="s">
        <v>4829</v>
      </c>
      <c r="B4812" t="s">
        <v>14</v>
      </c>
      <c r="C4812" t="s">
        <v>15</v>
      </c>
      <c r="D4812" t="s">
        <v>24</v>
      </c>
      <c r="E4812">
        <v>80.3</v>
      </c>
      <c r="F4812">
        <v>64</v>
      </c>
      <c r="G4812">
        <v>5139.2</v>
      </c>
      <c r="H4812" t="s">
        <v>12</v>
      </c>
      <c r="I4812" t="str">
        <f t="shared" si="226"/>
        <v>High Value</v>
      </c>
      <c r="J4812" t="str">
        <f t="shared" si="227"/>
        <v>Low Risk</v>
      </c>
      <c r="K4812" s="3" t="str">
        <f t="shared" si="225"/>
        <v>4+ Years</v>
      </c>
    </row>
    <row r="4813" spans="1:11" x14ac:dyDescent="0.3">
      <c r="A4813" t="s">
        <v>4830</v>
      </c>
      <c r="B4813" t="s">
        <v>14</v>
      </c>
      <c r="C4813" t="s">
        <v>30</v>
      </c>
      <c r="D4813" t="s">
        <v>20</v>
      </c>
      <c r="E4813">
        <v>19.75</v>
      </c>
      <c r="F4813">
        <v>53</v>
      </c>
      <c r="G4813">
        <v>1046.75</v>
      </c>
      <c r="H4813" t="s">
        <v>18</v>
      </c>
      <c r="I4813" t="str">
        <f t="shared" si="226"/>
        <v>Low Value</v>
      </c>
      <c r="J4813" t="str">
        <f t="shared" si="227"/>
        <v>Low Risk</v>
      </c>
      <c r="K4813" s="3" t="str">
        <f t="shared" si="225"/>
        <v>4+ Years</v>
      </c>
    </row>
    <row r="4814" spans="1:11" x14ac:dyDescent="0.3">
      <c r="A4814" t="s">
        <v>4831</v>
      </c>
      <c r="B4814" t="s">
        <v>9</v>
      </c>
      <c r="C4814" t="s">
        <v>30</v>
      </c>
      <c r="D4814" t="s">
        <v>11</v>
      </c>
      <c r="E4814">
        <v>84.3</v>
      </c>
      <c r="F4814">
        <v>58</v>
      </c>
      <c r="G4814">
        <v>4889.3999999999996</v>
      </c>
      <c r="H4814" t="s">
        <v>12</v>
      </c>
      <c r="I4814" t="str">
        <f t="shared" si="226"/>
        <v>Medium Value</v>
      </c>
      <c r="J4814" t="str">
        <f t="shared" si="227"/>
        <v>Low Risk</v>
      </c>
      <c r="K4814" s="3" t="str">
        <f t="shared" si="225"/>
        <v>4+ Years</v>
      </c>
    </row>
    <row r="4815" spans="1:11" x14ac:dyDescent="0.3">
      <c r="A4815" t="s">
        <v>4832</v>
      </c>
      <c r="B4815" t="s">
        <v>14</v>
      </c>
      <c r="C4815" t="s">
        <v>15</v>
      </c>
      <c r="D4815" t="s">
        <v>20</v>
      </c>
      <c r="E4815">
        <v>54.05</v>
      </c>
      <c r="F4815">
        <v>56</v>
      </c>
      <c r="G4815">
        <v>3026.7999999999902</v>
      </c>
      <c r="H4815" t="s">
        <v>12</v>
      </c>
      <c r="I4815" t="str">
        <f t="shared" si="226"/>
        <v>Medium Value</v>
      </c>
      <c r="J4815" t="str">
        <f t="shared" si="227"/>
        <v>Low Risk</v>
      </c>
      <c r="K4815" s="3" t="str">
        <f t="shared" si="225"/>
        <v>4+ Years</v>
      </c>
    </row>
    <row r="4816" spans="1:11" x14ac:dyDescent="0.3">
      <c r="A4816" t="s">
        <v>4833</v>
      </c>
      <c r="B4816" t="s">
        <v>14</v>
      </c>
      <c r="C4816" t="s">
        <v>30</v>
      </c>
      <c r="D4816" t="s">
        <v>24</v>
      </c>
      <c r="E4816">
        <v>104.9</v>
      </c>
      <c r="F4816">
        <v>72</v>
      </c>
      <c r="G4816">
        <v>7552.8</v>
      </c>
      <c r="H4816" t="s">
        <v>12</v>
      </c>
      <c r="I4816" t="str">
        <f t="shared" si="226"/>
        <v>High Value</v>
      </c>
      <c r="J4816" t="str">
        <f t="shared" si="227"/>
        <v>Low Risk</v>
      </c>
      <c r="K4816" s="3" t="str">
        <f t="shared" si="225"/>
        <v>4+ Years</v>
      </c>
    </row>
    <row r="4817" spans="1:11" x14ac:dyDescent="0.3">
      <c r="A4817" t="s">
        <v>4834</v>
      </c>
      <c r="B4817" t="s">
        <v>14</v>
      </c>
      <c r="C4817" t="s">
        <v>10</v>
      </c>
      <c r="D4817" t="s">
        <v>11</v>
      </c>
      <c r="E4817">
        <v>53.95</v>
      </c>
      <c r="F4817">
        <v>1</v>
      </c>
      <c r="G4817">
        <v>53.95</v>
      </c>
      <c r="H4817" t="s">
        <v>18</v>
      </c>
      <c r="I4817" t="str">
        <f t="shared" si="226"/>
        <v>Low Value</v>
      </c>
      <c r="J4817" t="str">
        <f t="shared" si="227"/>
        <v>High Risk</v>
      </c>
      <c r="K4817" s="3" t="str">
        <f t="shared" si="225"/>
        <v>0-1 Year</v>
      </c>
    </row>
    <row r="4818" spans="1:11" x14ac:dyDescent="0.3">
      <c r="A4818" t="s">
        <v>4835</v>
      </c>
      <c r="B4818" t="s">
        <v>14</v>
      </c>
      <c r="C4818" t="s">
        <v>15</v>
      </c>
      <c r="D4818" t="s">
        <v>24</v>
      </c>
      <c r="E4818">
        <v>97.25</v>
      </c>
      <c r="F4818">
        <v>72</v>
      </c>
      <c r="G4818">
        <v>7002</v>
      </c>
      <c r="H4818" t="s">
        <v>12</v>
      </c>
      <c r="I4818" t="str">
        <f t="shared" si="226"/>
        <v>High Value</v>
      </c>
      <c r="J4818" t="str">
        <f t="shared" si="227"/>
        <v>Low Risk</v>
      </c>
      <c r="K4818" s="3" t="str">
        <f t="shared" si="225"/>
        <v>4+ Years</v>
      </c>
    </row>
    <row r="4819" spans="1:11" x14ac:dyDescent="0.3">
      <c r="A4819" t="s">
        <v>4836</v>
      </c>
      <c r="B4819" t="s">
        <v>14</v>
      </c>
      <c r="C4819" t="s">
        <v>10</v>
      </c>
      <c r="D4819" t="s">
        <v>11</v>
      </c>
      <c r="E4819">
        <v>83.05</v>
      </c>
      <c r="F4819">
        <v>22</v>
      </c>
      <c r="G4819">
        <v>1827.1</v>
      </c>
      <c r="H4819" t="s">
        <v>12</v>
      </c>
      <c r="I4819" t="str">
        <f t="shared" si="226"/>
        <v>Low Value</v>
      </c>
      <c r="J4819" t="str">
        <f t="shared" si="227"/>
        <v>Medium Risk</v>
      </c>
      <c r="K4819" s="3" t="str">
        <f t="shared" si="225"/>
        <v>1-2 Years</v>
      </c>
    </row>
    <row r="4820" spans="1:11" x14ac:dyDescent="0.3">
      <c r="A4820" t="s">
        <v>4837</v>
      </c>
      <c r="B4820" t="s">
        <v>9</v>
      </c>
      <c r="C4820" t="s">
        <v>10</v>
      </c>
      <c r="D4820" t="s">
        <v>11</v>
      </c>
      <c r="E4820">
        <v>105.5</v>
      </c>
      <c r="F4820">
        <v>8</v>
      </c>
      <c r="G4820">
        <v>844</v>
      </c>
      <c r="H4820" t="s">
        <v>18</v>
      </c>
      <c r="I4820" t="str">
        <f t="shared" si="226"/>
        <v>Low Value</v>
      </c>
      <c r="J4820" t="str">
        <f t="shared" si="227"/>
        <v>High Risk</v>
      </c>
      <c r="K4820" s="3" t="str">
        <f t="shared" si="225"/>
        <v>0-1 Year</v>
      </c>
    </row>
    <row r="4821" spans="1:11" x14ac:dyDescent="0.3">
      <c r="A4821" t="s">
        <v>4838</v>
      </c>
      <c r="B4821" t="s">
        <v>9</v>
      </c>
      <c r="C4821" t="s">
        <v>10</v>
      </c>
      <c r="D4821" t="s">
        <v>11</v>
      </c>
      <c r="E4821">
        <v>81</v>
      </c>
      <c r="F4821">
        <v>16</v>
      </c>
      <c r="G4821">
        <v>1296</v>
      </c>
      <c r="H4821" t="s">
        <v>18</v>
      </c>
      <c r="I4821" t="str">
        <f t="shared" si="226"/>
        <v>Low Value</v>
      </c>
      <c r="J4821" t="str">
        <f t="shared" si="227"/>
        <v>Medium Risk</v>
      </c>
      <c r="K4821" s="3" t="str">
        <f t="shared" si="225"/>
        <v>1-2 Years</v>
      </c>
    </row>
    <row r="4822" spans="1:11" x14ac:dyDescent="0.3">
      <c r="A4822" t="s">
        <v>4839</v>
      </c>
      <c r="B4822" t="s">
        <v>9</v>
      </c>
      <c r="C4822" t="s">
        <v>10</v>
      </c>
      <c r="D4822" t="s">
        <v>20</v>
      </c>
      <c r="E4822">
        <v>41.1</v>
      </c>
      <c r="F4822">
        <v>39</v>
      </c>
      <c r="G4822">
        <v>1602.9</v>
      </c>
      <c r="H4822" t="s">
        <v>12</v>
      </c>
      <c r="I4822" t="str">
        <f t="shared" si="226"/>
        <v>Low Value</v>
      </c>
      <c r="J4822" t="str">
        <f t="shared" si="227"/>
        <v>Low Risk</v>
      </c>
      <c r="K4822" s="3" t="str">
        <f t="shared" si="225"/>
        <v>2-4 Years</v>
      </c>
    </row>
    <row r="4823" spans="1:11" x14ac:dyDescent="0.3">
      <c r="A4823" t="s">
        <v>4840</v>
      </c>
      <c r="B4823" t="s">
        <v>9</v>
      </c>
      <c r="C4823" t="s">
        <v>10</v>
      </c>
      <c r="D4823" t="s">
        <v>20</v>
      </c>
      <c r="E4823">
        <v>45</v>
      </c>
      <c r="F4823">
        <v>12</v>
      </c>
      <c r="G4823">
        <v>540</v>
      </c>
      <c r="H4823" t="s">
        <v>12</v>
      </c>
      <c r="I4823" t="str">
        <f t="shared" si="226"/>
        <v>Low Value</v>
      </c>
      <c r="J4823" t="str">
        <f t="shared" si="227"/>
        <v>Medium Risk</v>
      </c>
      <c r="K4823" s="3" t="str">
        <f t="shared" si="225"/>
        <v>0-1 Year</v>
      </c>
    </row>
    <row r="4824" spans="1:11" x14ac:dyDescent="0.3">
      <c r="A4824" t="s">
        <v>4841</v>
      </c>
      <c r="B4824" t="s">
        <v>14</v>
      </c>
      <c r="C4824" t="s">
        <v>30</v>
      </c>
      <c r="D4824" t="s">
        <v>20</v>
      </c>
      <c r="E4824">
        <v>74.55</v>
      </c>
      <c r="F4824">
        <v>54</v>
      </c>
      <c r="G4824">
        <v>4025.7</v>
      </c>
      <c r="H4824" t="s">
        <v>12</v>
      </c>
      <c r="I4824" t="str">
        <f t="shared" si="226"/>
        <v>Medium Value</v>
      </c>
      <c r="J4824" t="str">
        <f t="shared" si="227"/>
        <v>Low Risk</v>
      </c>
      <c r="K4824" s="3" t="str">
        <f t="shared" si="225"/>
        <v>4+ Years</v>
      </c>
    </row>
    <row r="4825" spans="1:11" x14ac:dyDescent="0.3">
      <c r="A4825" t="s">
        <v>4842</v>
      </c>
      <c r="B4825" t="s">
        <v>9</v>
      </c>
      <c r="C4825" t="s">
        <v>15</v>
      </c>
      <c r="D4825" t="s">
        <v>16</v>
      </c>
      <c r="E4825">
        <v>40.200000000000003</v>
      </c>
      <c r="F4825">
        <v>18</v>
      </c>
      <c r="G4825">
        <v>723.6</v>
      </c>
      <c r="H4825" t="s">
        <v>12</v>
      </c>
      <c r="I4825" t="str">
        <f t="shared" si="226"/>
        <v>Low Value</v>
      </c>
      <c r="J4825" t="str">
        <f t="shared" si="227"/>
        <v>Medium Risk</v>
      </c>
      <c r="K4825" s="3" t="str">
        <f t="shared" si="225"/>
        <v>1-2 Years</v>
      </c>
    </row>
    <row r="4826" spans="1:11" x14ac:dyDescent="0.3">
      <c r="A4826" t="s">
        <v>4843</v>
      </c>
      <c r="B4826" t="s">
        <v>14</v>
      </c>
      <c r="C4826" t="s">
        <v>15</v>
      </c>
      <c r="D4826" t="s">
        <v>16</v>
      </c>
      <c r="E4826">
        <v>70.5</v>
      </c>
      <c r="F4826">
        <v>32</v>
      </c>
      <c r="G4826">
        <v>2256</v>
      </c>
      <c r="H4826" t="s">
        <v>12</v>
      </c>
      <c r="I4826" t="str">
        <f t="shared" si="226"/>
        <v>Medium Value</v>
      </c>
      <c r="J4826" t="str">
        <f t="shared" si="227"/>
        <v>Low Risk</v>
      </c>
      <c r="K4826" s="3" t="str">
        <f t="shared" si="225"/>
        <v>2-4 Years</v>
      </c>
    </row>
    <row r="4827" spans="1:11" x14ac:dyDescent="0.3">
      <c r="A4827" t="s">
        <v>4844</v>
      </c>
      <c r="B4827" t="s">
        <v>9</v>
      </c>
      <c r="C4827" t="s">
        <v>15</v>
      </c>
      <c r="D4827" t="s">
        <v>16</v>
      </c>
      <c r="E4827">
        <v>19.75</v>
      </c>
      <c r="F4827">
        <v>41</v>
      </c>
      <c r="G4827">
        <v>809.75</v>
      </c>
      <c r="H4827" t="s">
        <v>12</v>
      </c>
      <c r="I4827" t="str">
        <f t="shared" si="226"/>
        <v>Low Value</v>
      </c>
      <c r="J4827" t="str">
        <f t="shared" si="227"/>
        <v>Low Risk</v>
      </c>
      <c r="K4827" s="3" t="str">
        <f t="shared" si="225"/>
        <v>2-4 Years</v>
      </c>
    </row>
    <row r="4828" spans="1:11" x14ac:dyDescent="0.3">
      <c r="A4828" t="s">
        <v>4845</v>
      </c>
      <c r="B4828" t="s">
        <v>14</v>
      </c>
      <c r="C4828" t="s">
        <v>30</v>
      </c>
      <c r="D4828" t="s">
        <v>20</v>
      </c>
      <c r="E4828">
        <v>24.65</v>
      </c>
      <c r="F4828">
        <v>67</v>
      </c>
      <c r="G4828">
        <v>1651.55</v>
      </c>
      <c r="H4828" t="s">
        <v>12</v>
      </c>
      <c r="I4828" t="str">
        <f t="shared" si="226"/>
        <v>Low Value</v>
      </c>
      <c r="J4828" t="str">
        <f t="shared" si="227"/>
        <v>Low Risk</v>
      </c>
      <c r="K4828" s="3" t="str">
        <f t="shared" si="225"/>
        <v>4+ Years</v>
      </c>
    </row>
    <row r="4829" spans="1:11" x14ac:dyDescent="0.3">
      <c r="A4829" t="s">
        <v>4846</v>
      </c>
      <c r="B4829" t="s">
        <v>14</v>
      </c>
      <c r="C4829" t="s">
        <v>10</v>
      </c>
      <c r="D4829" t="s">
        <v>11</v>
      </c>
      <c r="E4829">
        <v>104.25</v>
      </c>
      <c r="F4829">
        <v>65</v>
      </c>
      <c r="G4829">
        <v>6776.25</v>
      </c>
      <c r="H4829" t="s">
        <v>12</v>
      </c>
      <c r="I4829" t="str">
        <f t="shared" si="226"/>
        <v>High Value</v>
      </c>
      <c r="J4829" t="str">
        <f t="shared" si="227"/>
        <v>Low Risk</v>
      </c>
      <c r="K4829" s="3" t="str">
        <f t="shared" si="225"/>
        <v>4+ Years</v>
      </c>
    </row>
    <row r="4830" spans="1:11" x14ac:dyDescent="0.3">
      <c r="A4830" t="s">
        <v>4847</v>
      </c>
      <c r="B4830" t="s">
        <v>9</v>
      </c>
      <c r="C4830" t="s">
        <v>10</v>
      </c>
      <c r="D4830" t="s">
        <v>20</v>
      </c>
      <c r="E4830">
        <v>78.349999999999994</v>
      </c>
      <c r="F4830">
        <v>25</v>
      </c>
      <c r="G4830">
        <v>1958.74999999999</v>
      </c>
      <c r="H4830" t="s">
        <v>12</v>
      </c>
      <c r="I4830" t="str">
        <f t="shared" si="226"/>
        <v>Low Value</v>
      </c>
      <c r="J4830" t="str">
        <f t="shared" si="227"/>
        <v>Low Risk</v>
      </c>
      <c r="K4830" s="3" t="str">
        <f t="shared" si="225"/>
        <v>2-4 Years</v>
      </c>
    </row>
    <row r="4831" spans="1:11" x14ac:dyDescent="0.3">
      <c r="A4831" t="s">
        <v>4848</v>
      </c>
      <c r="B4831" t="s">
        <v>9</v>
      </c>
      <c r="C4831" t="s">
        <v>10</v>
      </c>
      <c r="D4831" t="s">
        <v>11</v>
      </c>
      <c r="E4831">
        <v>69.8</v>
      </c>
      <c r="F4831">
        <v>1</v>
      </c>
      <c r="G4831">
        <v>69.8</v>
      </c>
      <c r="H4831" t="s">
        <v>18</v>
      </c>
      <c r="I4831" t="str">
        <f t="shared" si="226"/>
        <v>Low Value</v>
      </c>
      <c r="J4831" t="str">
        <f t="shared" si="227"/>
        <v>High Risk</v>
      </c>
      <c r="K4831" s="3" t="str">
        <f t="shared" si="225"/>
        <v>0-1 Year</v>
      </c>
    </row>
    <row r="4832" spans="1:11" x14ac:dyDescent="0.3">
      <c r="A4832" t="s">
        <v>4849</v>
      </c>
      <c r="B4832" t="s">
        <v>9</v>
      </c>
      <c r="C4832" t="s">
        <v>15</v>
      </c>
      <c r="D4832" t="s">
        <v>24</v>
      </c>
      <c r="E4832">
        <v>109.7</v>
      </c>
      <c r="F4832">
        <v>67</v>
      </c>
      <c r="G4832">
        <v>7349.9</v>
      </c>
      <c r="H4832" t="s">
        <v>12</v>
      </c>
      <c r="I4832" t="str">
        <f t="shared" si="226"/>
        <v>High Value</v>
      </c>
      <c r="J4832" t="str">
        <f t="shared" si="227"/>
        <v>Low Risk</v>
      </c>
      <c r="K4832" s="3" t="str">
        <f t="shared" si="225"/>
        <v>4+ Years</v>
      </c>
    </row>
    <row r="4833" spans="1:11" x14ac:dyDescent="0.3">
      <c r="A4833" t="s">
        <v>4850</v>
      </c>
      <c r="B4833" t="s">
        <v>14</v>
      </c>
      <c r="C4833" t="s">
        <v>10</v>
      </c>
      <c r="D4833" t="s">
        <v>16</v>
      </c>
      <c r="E4833">
        <v>73.75</v>
      </c>
      <c r="F4833">
        <v>7</v>
      </c>
      <c r="G4833">
        <v>516.25</v>
      </c>
      <c r="H4833" t="s">
        <v>18</v>
      </c>
      <c r="I4833" t="str">
        <f t="shared" si="226"/>
        <v>Low Value</v>
      </c>
      <c r="J4833" t="str">
        <f t="shared" si="227"/>
        <v>High Risk</v>
      </c>
      <c r="K4833" s="3" t="str">
        <f t="shared" si="225"/>
        <v>0-1 Year</v>
      </c>
    </row>
    <row r="4834" spans="1:11" x14ac:dyDescent="0.3">
      <c r="A4834" t="s">
        <v>4851</v>
      </c>
      <c r="B4834" t="s">
        <v>9</v>
      </c>
      <c r="C4834" t="s">
        <v>10</v>
      </c>
      <c r="D4834" t="s">
        <v>24</v>
      </c>
      <c r="E4834">
        <v>33.450000000000003</v>
      </c>
      <c r="F4834">
        <v>43</v>
      </c>
      <c r="G4834">
        <v>1438.35</v>
      </c>
      <c r="H4834" t="s">
        <v>12</v>
      </c>
      <c r="I4834" t="str">
        <f t="shared" si="226"/>
        <v>Low Value</v>
      </c>
      <c r="J4834" t="str">
        <f t="shared" si="227"/>
        <v>Low Risk</v>
      </c>
      <c r="K4834" s="3" t="str">
        <f t="shared" si="225"/>
        <v>2-4 Years</v>
      </c>
    </row>
    <row r="4835" spans="1:11" x14ac:dyDescent="0.3">
      <c r="A4835" t="s">
        <v>4852</v>
      </c>
      <c r="B4835" t="s">
        <v>9</v>
      </c>
      <c r="C4835" t="s">
        <v>10</v>
      </c>
      <c r="D4835" t="s">
        <v>11</v>
      </c>
      <c r="E4835">
        <v>94.6</v>
      </c>
      <c r="F4835">
        <v>24</v>
      </c>
      <c r="G4835">
        <v>2270.3999999999901</v>
      </c>
      <c r="H4835" t="s">
        <v>12</v>
      </c>
      <c r="I4835" t="str">
        <f t="shared" si="226"/>
        <v>Medium Value</v>
      </c>
      <c r="J4835" t="str">
        <f t="shared" si="227"/>
        <v>Low Risk</v>
      </c>
      <c r="K4835" s="3" t="str">
        <f t="shared" si="225"/>
        <v>1-2 Years</v>
      </c>
    </row>
    <row r="4836" spans="1:11" x14ac:dyDescent="0.3">
      <c r="A4836" t="s">
        <v>4853</v>
      </c>
      <c r="B4836" t="s">
        <v>14</v>
      </c>
      <c r="C4836" t="s">
        <v>10</v>
      </c>
      <c r="D4836" t="s">
        <v>11</v>
      </c>
      <c r="E4836">
        <v>54.55</v>
      </c>
      <c r="F4836">
        <v>9</v>
      </c>
      <c r="G4836">
        <v>490.95</v>
      </c>
      <c r="H4836" t="s">
        <v>18</v>
      </c>
      <c r="I4836" t="str">
        <f t="shared" si="226"/>
        <v>Low Value</v>
      </c>
      <c r="J4836" t="str">
        <f t="shared" si="227"/>
        <v>High Risk</v>
      </c>
      <c r="K4836" s="3" t="str">
        <f t="shared" si="225"/>
        <v>0-1 Year</v>
      </c>
    </row>
    <row r="4837" spans="1:11" x14ac:dyDescent="0.3">
      <c r="A4837" t="s">
        <v>4854</v>
      </c>
      <c r="B4837" t="s">
        <v>14</v>
      </c>
      <c r="C4837" t="s">
        <v>30</v>
      </c>
      <c r="D4837" t="s">
        <v>20</v>
      </c>
      <c r="E4837">
        <v>20.2</v>
      </c>
      <c r="F4837">
        <v>69</v>
      </c>
      <c r="G4837">
        <v>1393.8</v>
      </c>
      <c r="H4837" t="s">
        <v>12</v>
      </c>
      <c r="I4837" t="str">
        <f t="shared" si="226"/>
        <v>Low Value</v>
      </c>
      <c r="J4837" t="str">
        <f t="shared" si="227"/>
        <v>Low Risk</v>
      </c>
      <c r="K4837" s="3" t="str">
        <f t="shared" si="225"/>
        <v>4+ Years</v>
      </c>
    </row>
    <row r="4838" spans="1:11" x14ac:dyDescent="0.3">
      <c r="A4838" t="s">
        <v>4855</v>
      </c>
      <c r="B4838" t="s">
        <v>9</v>
      </c>
      <c r="C4838" t="s">
        <v>15</v>
      </c>
      <c r="D4838" t="s">
        <v>20</v>
      </c>
      <c r="E4838">
        <v>20.3</v>
      </c>
      <c r="F4838">
        <v>37</v>
      </c>
      <c r="G4838">
        <v>751.1</v>
      </c>
      <c r="H4838" t="s">
        <v>12</v>
      </c>
      <c r="I4838" t="str">
        <f t="shared" si="226"/>
        <v>Low Value</v>
      </c>
      <c r="J4838" t="str">
        <f t="shared" si="227"/>
        <v>Low Risk</v>
      </c>
      <c r="K4838" s="3" t="str">
        <f t="shared" si="225"/>
        <v>2-4 Years</v>
      </c>
    </row>
    <row r="4839" spans="1:11" x14ac:dyDescent="0.3">
      <c r="A4839" t="s">
        <v>4856</v>
      </c>
      <c r="B4839" t="s">
        <v>14</v>
      </c>
      <c r="C4839" t="s">
        <v>30</v>
      </c>
      <c r="D4839" t="s">
        <v>24</v>
      </c>
      <c r="E4839">
        <v>39.4</v>
      </c>
      <c r="F4839">
        <v>20</v>
      </c>
      <c r="G4839">
        <v>788</v>
      </c>
      <c r="H4839" t="s">
        <v>12</v>
      </c>
      <c r="I4839" t="str">
        <f t="shared" si="226"/>
        <v>Low Value</v>
      </c>
      <c r="J4839" t="str">
        <f t="shared" si="227"/>
        <v>Medium Risk</v>
      </c>
      <c r="K4839" s="3" t="str">
        <f t="shared" si="225"/>
        <v>1-2 Years</v>
      </c>
    </row>
    <row r="4840" spans="1:11" x14ac:dyDescent="0.3">
      <c r="A4840" t="s">
        <v>4857</v>
      </c>
      <c r="B4840" t="s">
        <v>14</v>
      </c>
      <c r="C4840" t="s">
        <v>10</v>
      </c>
      <c r="D4840" t="s">
        <v>20</v>
      </c>
      <c r="E4840">
        <v>69.150000000000006</v>
      </c>
      <c r="F4840">
        <v>7</v>
      </c>
      <c r="G4840">
        <v>484.05</v>
      </c>
      <c r="H4840" t="s">
        <v>12</v>
      </c>
      <c r="I4840" t="str">
        <f t="shared" si="226"/>
        <v>Low Value</v>
      </c>
      <c r="J4840" t="str">
        <f t="shared" si="227"/>
        <v>High Risk</v>
      </c>
      <c r="K4840" s="3" t="str">
        <f t="shared" si="225"/>
        <v>0-1 Year</v>
      </c>
    </row>
    <row r="4841" spans="1:11" x14ac:dyDescent="0.3">
      <c r="A4841" t="s">
        <v>4858</v>
      </c>
      <c r="B4841" t="s">
        <v>9</v>
      </c>
      <c r="C4841" t="s">
        <v>10</v>
      </c>
      <c r="D4841" t="s">
        <v>11</v>
      </c>
      <c r="E4841">
        <v>76.25</v>
      </c>
      <c r="F4841">
        <v>37</v>
      </c>
      <c r="G4841">
        <v>2821.25</v>
      </c>
      <c r="H4841" t="s">
        <v>18</v>
      </c>
      <c r="I4841" t="str">
        <f t="shared" si="226"/>
        <v>Medium Value</v>
      </c>
      <c r="J4841" t="str">
        <f t="shared" si="227"/>
        <v>Low Risk</v>
      </c>
      <c r="K4841" s="3" t="str">
        <f t="shared" si="225"/>
        <v>2-4 Years</v>
      </c>
    </row>
    <row r="4842" spans="1:11" x14ac:dyDescent="0.3">
      <c r="A4842" t="s">
        <v>4859</v>
      </c>
      <c r="B4842" t="s">
        <v>9</v>
      </c>
      <c r="C4842" t="s">
        <v>10</v>
      </c>
      <c r="D4842" t="s">
        <v>16</v>
      </c>
      <c r="E4842">
        <v>93.9</v>
      </c>
      <c r="F4842">
        <v>5</v>
      </c>
      <c r="G4842">
        <v>469.5</v>
      </c>
      <c r="H4842" t="s">
        <v>18</v>
      </c>
      <c r="I4842" t="str">
        <f t="shared" si="226"/>
        <v>Low Value</v>
      </c>
      <c r="J4842" t="str">
        <f t="shared" si="227"/>
        <v>High Risk</v>
      </c>
      <c r="K4842" s="3" t="str">
        <f t="shared" si="225"/>
        <v>0-1 Year</v>
      </c>
    </row>
    <row r="4843" spans="1:11" x14ac:dyDescent="0.3">
      <c r="A4843" t="s">
        <v>4860</v>
      </c>
      <c r="B4843" t="s">
        <v>14</v>
      </c>
      <c r="C4843" t="s">
        <v>15</v>
      </c>
      <c r="D4843" t="s">
        <v>11</v>
      </c>
      <c r="E4843">
        <v>51.35</v>
      </c>
      <c r="F4843">
        <v>41</v>
      </c>
      <c r="G4843">
        <v>2105.35</v>
      </c>
      <c r="H4843" t="s">
        <v>12</v>
      </c>
      <c r="I4843" t="str">
        <f t="shared" si="226"/>
        <v>Medium Value</v>
      </c>
      <c r="J4843" t="str">
        <f t="shared" si="227"/>
        <v>Low Risk</v>
      </c>
      <c r="K4843" s="3" t="str">
        <f t="shared" si="225"/>
        <v>2-4 Years</v>
      </c>
    </row>
    <row r="4844" spans="1:11" x14ac:dyDescent="0.3">
      <c r="A4844" t="s">
        <v>4861</v>
      </c>
      <c r="B4844" t="s">
        <v>9</v>
      </c>
      <c r="C4844" t="s">
        <v>15</v>
      </c>
      <c r="D4844" t="s">
        <v>24</v>
      </c>
      <c r="E4844">
        <v>100.05</v>
      </c>
      <c r="F4844">
        <v>54</v>
      </c>
      <c r="G4844">
        <v>5402.7</v>
      </c>
      <c r="H4844" t="s">
        <v>12</v>
      </c>
      <c r="I4844" t="str">
        <f t="shared" si="226"/>
        <v>High Value</v>
      </c>
      <c r="J4844" t="str">
        <f t="shared" si="227"/>
        <v>Low Risk</v>
      </c>
      <c r="K4844" s="3" t="str">
        <f t="shared" si="225"/>
        <v>4+ Years</v>
      </c>
    </row>
    <row r="4845" spans="1:11" x14ac:dyDescent="0.3">
      <c r="A4845" t="s">
        <v>4862</v>
      </c>
      <c r="B4845" t="s">
        <v>9</v>
      </c>
      <c r="C4845" t="s">
        <v>10</v>
      </c>
      <c r="D4845" t="s">
        <v>11</v>
      </c>
      <c r="E4845">
        <v>70.400000000000006</v>
      </c>
      <c r="F4845">
        <v>3</v>
      </c>
      <c r="G4845">
        <v>211.2</v>
      </c>
      <c r="H4845" t="s">
        <v>18</v>
      </c>
      <c r="I4845" t="str">
        <f t="shared" si="226"/>
        <v>Low Value</v>
      </c>
      <c r="J4845" t="str">
        <f t="shared" si="227"/>
        <v>High Risk</v>
      </c>
      <c r="K4845" s="3" t="str">
        <f t="shared" si="225"/>
        <v>0-1 Year</v>
      </c>
    </row>
    <row r="4846" spans="1:11" x14ac:dyDescent="0.3">
      <c r="A4846" t="s">
        <v>4863</v>
      </c>
      <c r="B4846" t="s">
        <v>14</v>
      </c>
      <c r="C4846" t="s">
        <v>30</v>
      </c>
      <c r="D4846" t="s">
        <v>24</v>
      </c>
      <c r="E4846">
        <v>20.3</v>
      </c>
      <c r="F4846">
        <v>69</v>
      </c>
      <c r="G4846">
        <v>1400.7</v>
      </c>
      <c r="H4846" t="s">
        <v>12</v>
      </c>
      <c r="I4846" t="str">
        <f t="shared" si="226"/>
        <v>Low Value</v>
      </c>
      <c r="J4846" t="str">
        <f t="shared" si="227"/>
        <v>Low Risk</v>
      </c>
      <c r="K4846" s="3" t="str">
        <f t="shared" si="225"/>
        <v>4+ Years</v>
      </c>
    </row>
    <row r="4847" spans="1:11" x14ac:dyDescent="0.3">
      <c r="A4847" t="s">
        <v>4864</v>
      </c>
      <c r="B4847" t="s">
        <v>9</v>
      </c>
      <c r="C4847" t="s">
        <v>15</v>
      </c>
      <c r="D4847" t="s">
        <v>24</v>
      </c>
      <c r="E4847">
        <v>94.45</v>
      </c>
      <c r="F4847">
        <v>53</v>
      </c>
      <c r="G4847">
        <v>5005.8500000000004</v>
      </c>
      <c r="H4847" t="s">
        <v>12</v>
      </c>
      <c r="I4847" t="str">
        <f t="shared" si="226"/>
        <v>High Value</v>
      </c>
      <c r="J4847" t="str">
        <f t="shared" si="227"/>
        <v>Low Risk</v>
      </c>
      <c r="K4847" s="3" t="str">
        <f t="shared" si="225"/>
        <v>4+ Years</v>
      </c>
    </row>
    <row r="4848" spans="1:11" x14ac:dyDescent="0.3">
      <c r="A4848" t="s">
        <v>4865</v>
      </c>
      <c r="B4848" t="s">
        <v>14</v>
      </c>
      <c r="C4848" t="s">
        <v>15</v>
      </c>
      <c r="D4848" t="s">
        <v>24</v>
      </c>
      <c r="E4848">
        <v>46.4</v>
      </c>
      <c r="F4848">
        <v>18</v>
      </c>
      <c r="G4848">
        <v>835.19999999999902</v>
      </c>
      <c r="H4848" t="s">
        <v>12</v>
      </c>
      <c r="I4848" t="str">
        <f t="shared" si="226"/>
        <v>Low Value</v>
      </c>
      <c r="J4848" t="str">
        <f t="shared" si="227"/>
        <v>Medium Risk</v>
      </c>
      <c r="K4848" s="3" t="str">
        <f t="shared" si="225"/>
        <v>1-2 Years</v>
      </c>
    </row>
    <row r="4849" spans="1:11" x14ac:dyDescent="0.3">
      <c r="A4849" t="s">
        <v>4866</v>
      </c>
      <c r="B4849" t="s">
        <v>14</v>
      </c>
      <c r="C4849" t="s">
        <v>30</v>
      </c>
      <c r="D4849" t="s">
        <v>24</v>
      </c>
      <c r="E4849">
        <v>104.05</v>
      </c>
      <c r="F4849">
        <v>64</v>
      </c>
      <c r="G4849">
        <v>6659.2</v>
      </c>
      <c r="H4849" t="s">
        <v>12</v>
      </c>
      <c r="I4849" t="str">
        <f t="shared" si="226"/>
        <v>High Value</v>
      </c>
      <c r="J4849" t="str">
        <f t="shared" si="227"/>
        <v>Low Risk</v>
      </c>
      <c r="K4849" s="3" t="str">
        <f t="shared" si="225"/>
        <v>4+ Years</v>
      </c>
    </row>
    <row r="4850" spans="1:11" x14ac:dyDescent="0.3">
      <c r="A4850" t="s">
        <v>4867</v>
      </c>
      <c r="B4850" t="s">
        <v>9</v>
      </c>
      <c r="C4850" t="s">
        <v>10</v>
      </c>
      <c r="D4850" t="s">
        <v>11</v>
      </c>
      <c r="E4850">
        <v>91.15</v>
      </c>
      <c r="F4850">
        <v>31</v>
      </c>
      <c r="G4850">
        <v>2825.65</v>
      </c>
      <c r="H4850" t="s">
        <v>18</v>
      </c>
      <c r="I4850" t="str">
        <f t="shared" si="226"/>
        <v>Medium Value</v>
      </c>
      <c r="J4850" t="str">
        <f t="shared" si="227"/>
        <v>Low Risk</v>
      </c>
      <c r="K4850" s="3" t="str">
        <f t="shared" si="225"/>
        <v>2-4 Years</v>
      </c>
    </row>
    <row r="4851" spans="1:11" x14ac:dyDescent="0.3">
      <c r="A4851" t="s">
        <v>4868</v>
      </c>
      <c r="B4851" t="s">
        <v>9</v>
      </c>
      <c r="C4851" t="s">
        <v>10</v>
      </c>
      <c r="D4851" t="s">
        <v>24</v>
      </c>
      <c r="E4851">
        <v>24.9</v>
      </c>
      <c r="F4851">
        <v>20</v>
      </c>
      <c r="G4851">
        <v>498</v>
      </c>
      <c r="H4851" t="s">
        <v>12</v>
      </c>
      <c r="I4851" t="str">
        <f t="shared" si="226"/>
        <v>Low Value</v>
      </c>
      <c r="J4851" t="str">
        <f t="shared" si="227"/>
        <v>Medium Risk</v>
      </c>
      <c r="K4851" s="3" t="str">
        <f t="shared" si="225"/>
        <v>1-2 Years</v>
      </c>
    </row>
    <row r="4852" spans="1:11" x14ac:dyDescent="0.3">
      <c r="A4852" t="s">
        <v>4869</v>
      </c>
      <c r="B4852" t="s">
        <v>14</v>
      </c>
      <c r="C4852" t="s">
        <v>15</v>
      </c>
      <c r="D4852" t="s">
        <v>16</v>
      </c>
      <c r="E4852">
        <v>59.6</v>
      </c>
      <c r="F4852">
        <v>57</v>
      </c>
      <c r="G4852">
        <v>3397.2</v>
      </c>
      <c r="H4852" t="s">
        <v>12</v>
      </c>
      <c r="I4852" t="str">
        <f t="shared" si="226"/>
        <v>Medium Value</v>
      </c>
      <c r="J4852" t="str">
        <f t="shared" si="227"/>
        <v>Low Risk</v>
      </c>
      <c r="K4852" s="3" t="str">
        <f t="shared" si="225"/>
        <v>4+ Years</v>
      </c>
    </row>
    <row r="4853" spans="1:11" x14ac:dyDescent="0.3">
      <c r="A4853" t="s">
        <v>4870</v>
      </c>
      <c r="B4853" t="s">
        <v>14</v>
      </c>
      <c r="C4853" t="s">
        <v>30</v>
      </c>
      <c r="D4853" t="s">
        <v>24</v>
      </c>
      <c r="E4853">
        <v>108.5</v>
      </c>
      <c r="F4853">
        <v>63</v>
      </c>
      <c r="G4853">
        <v>6835.5</v>
      </c>
      <c r="H4853" t="s">
        <v>12</v>
      </c>
      <c r="I4853" t="str">
        <f t="shared" si="226"/>
        <v>High Value</v>
      </c>
      <c r="J4853" t="str">
        <f t="shared" si="227"/>
        <v>Low Risk</v>
      </c>
      <c r="K4853" s="3" t="str">
        <f t="shared" si="225"/>
        <v>4+ Years</v>
      </c>
    </row>
    <row r="4854" spans="1:11" x14ac:dyDescent="0.3">
      <c r="A4854" t="s">
        <v>4871</v>
      </c>
      <c r="B4854" t="s">
        <v>14</v>
      </c>
      <c r="C4854" t="s">
        <v>30</v>
      </c>
      <c r="D4854" t="s">
        <v>16</v>
      </c>
      <c r="E4854">
        <v>40.549999999999997</v>
      </c>
      <c r="F4854">
        <v>13</v>
      </c>
      <c r="G4854">
        <v>527.15</v>
      </c>
      <c r="H4854" t="s">
        <v>12</v>
      </c>
      <c r="I4854" t="str">
        <f t="shared" si="226"/>
        <v>Low Value</v>
      </c>
      <c r="J4854" t="str">
        <f t="shared" si="227"/>
        <v>Medium Risk</v>
      </c>
      <c r="K4854" s="3" t="str">
        <f t="shared" si="225"/>
        <v>1-2 Years</v>
      </c>
    </row>
    <row r="4855" spans="1:11" x14ac:dyDescent="0.3">
      <c r="A4855" t="s">
        <v>4872</v>
      </c>
      <c r="B4855" t="s">
        <v>9</v>
      </c>
      <c r="C4855" t="s">
        <v>15</v>
      </c>
      <c r="D4855" t="s">
        <v>20</v>
      </c>
      <c r="E4855">
        <v>58.95</v>
      </c>
      <c r="F4855">
        <v>48</v>
      </c>
      <c r="G4855">
        <v>2829.6</v>
      </c>
      <c r="H4855" t="s">
        <v>12</v>
      </c>
      <c r="I4855" t="str">
        <f t="shared" si="226"/>
        <v>Medium Value</v>
      </c>
      <c r="J4855" t="str">
        <f t="shared" si="227"/>
        <v>Low Risk</v>
      </c>
      <c r="K4855" s="3" t="str">
        <f t="shared" si="225"/>
        <v>2-4 Years</v>
      </c>
    </row>
    <row r="4856" spans="1:11" x14ac:dyDescent="0.3">
      <c r="A4856" t="s">
        <v>4873</v>
      </c>
      <c r="B4856" t="s">
        <v>9</v>
      </c>
      <c r="C4856" t="s">
        <v>10</v>
      </c>
      <c r="D4856" t="s">
        <v>11</v>
      </c>
      <c r="E4856">
        <v>70.95</v>
      </c>
      <c r="F4856">
        <v>2</v>
      </c>
      <c r="G4856">
        <v>141.9</v>
      </c>
      <c r="H4856" t="s">
        <v>18</v>
      </c>
      <c r="I4856" t="str">
        <f t="shared" si="226"/>
        <v>Low Value</v>
      </c>
      <c r="J4856" t="str">
        <f t="shared" si="227"/>
        <v>High Risk</v>
      </c>
      <c r="K4856" s="3" t="str">
        <f t="shared" si="225"/>
        <v>0-1 Year</v>
      </c>
    </row>
    <row r="4857" spans="1:11" x14ac:dyDescent="0.3">
      <c r="A4857" t="s">
        <v>4874</v>
      </c>
      <c r="B4857" t="s">
        <v>14</v>
      </c>
      <c r="C4857" t="s">
        <v>30</v>
      </c>
      <c r="D4857" t="s">
        <v>16</v>
      </c>
      <c r="E4857">
        <v>20.75</v>
      </c>
      <c r="F4857">
        <v>57</v>
      </c>
      <c r="G4857">
        <v>1182.75</v>
      </c>
      <c r="H4857" t="s">
        <v>12</v>
      </c>
      <c r="I4857" t="str">
        <f t="shared" si="226"/>
        <v>Low Value</v>
      </c>
      <c r="J4857" t="str">
        <f t="shared" si="227"/>
        <v>Low Risk</v>
      </c>
      <c r="K4857" s="3" t="str">
        <f t="shared" si="225"/>
        <v>4+ Years</v>
      </c>
    </row>
    <row r="4858" spans="1:11" x14ac:dyDescent="0.3">
      <c r="A4858" t="s">
        <v>4875</v>
      </c>
      <c r="B4858" t="s">
        <v>14</v>
      </c>
      <c r="C4858" t="s">
        <v>15</v>
      </c>
      <c r="D4858" t="s">
        <v>20</v>
      </c>
      <c r="E4858">
        <v>113.15</v>
      </c>
      <c r="F4858">
        <v>71</v>
      </c>
      <c r="G4858">
        <v>8033.65</v>
      </c>
      <c r="H4858" t="s">
        <v>12</v>
      </c>
      <c r="I4858" t="str">
        <f t="shared" si="226"/>
        <v>High Value</v>
      </c>
      <c r="J4858" t="str">
        <f t="shared" si="227"/>
        <v>Low Risk</v>
      </c>
      <c r="K4858" s="3" t="str">
        <f t="shared" si="225"/>
        <v>4+ Years</v>
      </c>
    </row>
    <row r="4859" spans="1:11" x14ac:dyDescent="0.3">
      <c r="A4859" t="s">
        <v>4876</v>
      </c>
      <c r="B4859" t="s">
        <v>9</v>
      </c>
      <c r="C4859" t="s">
        <v>10</v>
      </c>
      <c r="D4859" t="s">
        <v>11</v>
      </c>
      <c r="E4859">
        <v>48.8</v>
      </c>
      <c r="F4859">
        <v>7</v>
      </c>
      <c r="G4859">
        <v>341.599999999999</v>
      </c>
      <c r="H4859" t="s">
        <v>12</v>
      </c>
      <c r="I4859" t="str">
        <f t="shared" si="226"/>
        <v>Low Value</v>
      </c>
      <c r="J4859" t="str">
        <f t="shared" si="227"/>
        <v>High Risk</v>
      </c>
      <c r="K4859" s="3" t="str">
        <f t="shared" si="225"/>
        <v>0-1 Year</v>
      </c>
    </row>
    <row r="4860" spans="1:11" x14ac:dyDescent="0.3">
      <c r="A4860" t="s">
        <v>4877</v>
      </c>
      <c r="B4860" t="s">
        <v>9</v>
      </c>
      <c r="C4860" t="s">
        <v>10</v>
      </c>
      <c r="D4860" t="s">
        <v>20</v>
      </c>
      <c r="E4860">
        <v>63.05</v>
      </c>
      <c r="F4860">
        <v>16</v>
      </c>
      <c r="G4860">
        <v>1008.8</v>
      </c>
      <c r="H4860" t="s">
        <v>12</v>
      </c>
      <c r="I4860" t="str">
        <f t="shared" si="226"/>
        <v>Low Value</v>
      </c>
      <c r="J4860" t="str">
        <f t="shared" si="227"/>
        <v>Medium Risk</v>
      </c>
      <c r="K4860" s="3" t="str">
        <f t="shared" si="225"/>
        <v>1-2 Years</v>
      </c>
    </row>
    <row r="4861" spans="1:11" x14ac:dyDescent="0.3">
      <c r="A4861" t="s">
        <v>4878</v>
      </c>
      <c r="B4861" t="s">
        <v>14</v>
      </c>
      <c r="C4861" t="s">
        <v>10</v>
      </c>
      <c r="D4861" t="s">
        <v>11</v>
      </c>
      <c r="E4861">
        <v>100.85</v>
      </c>
      <c r="F4861">
        <v>34</v>
      </c>
      <c r="G4861">
        <v>3428.8999999999901</v>
      </c>
      <c r="H4861" t="s">
        <v>12</v>
      </c>
      <c r="I4861" t="str">
        <f t="shared" si="226"/>
        <v>Medium Value</v>
      </c>
      <c r="J4861" t="str">
        <f t="shared" si="227"/>
        <v>Low Risk</v>
      </c>
      <c r="K4861" s="3" t="str">
        <f t="shared" si="225"/>
        <v>2-4 Years</v>
      </c>
    </row>
    <row r="4862" spans="1:11" x14ac:dyDescent="0.3">
      <c r="A4862" t="s">
        <v>4879</v>
      </c>
      <c r="B4862" t="s">
        <v>9</v>
      </c>
      <c r="C4862" t="s">
        <v>10</v>
      </c>
      <c r="D4862" t="s">
        <v>11</v>
      </c>
      <c r="E4862">
        <v>99.5</v>
      </c>
      <c r="F4862">
        <v>37</v>
      </c>
      <c r="G4862">
        <v>3681.5</v>
      </c>
      <c r="H4862" t="s">
        <v>18</v>
      </c>
      <c r="I4862" t="str">
        <f t="shared" si="226"/>
        <v>Medium Value</v>
      </c>
      <c r="J4862" t="str">
        <f t="shared" si="227"/>
        <v>Low Risk</v>
      </c>
      <c r="K4862" s="3" t="str">
        <f t="shared" si="225"/>
        <v>2-4 Years</v>
      </c>
    </row>
    <row r="4863" spans="1:11" x14ac:dyDescent="0.3">
      <c r="A4863" t="s">
        <v>4880</v>
      </c>
      <c r="B4863" t="s">
        <v>14</v>
      </c>
      <c r="C4863" t="s">
        <v>10</v>
      </c>
      <c r="D4863" t="s">
        <v>16</v>
      </c>
      <c r="E4863">
        <v>80.55</v>
      </c>
      <c r="F4863">
        <v>16</v>
      </c>
      <c r="G4863">
        <v>1288.8</v>
      </c>
      <c r="H4863" t="s">
        <v>12</v>
      </c>
      <c r="I4863" t="str">
        <f t="shared" si="226"/>
        <v>Low Value</v>
      </c>
      <c r="J4863" t="str">
        <f t="shared" si="227"/>
        <v>Medium Risk</v>
      </c>
      <c r="K4863" s="3" t="str">
        <f t="shared" si="225"/>
        <v>1-2 Years</v>
      </c>
    </row>
    <row r="4864" spans="1:11" x14ac:dyDescent="0.3">
      <c r="A4864" t="s">
        <v>4881</v>
      </c>
      <c r="B4864" t="s">
        <v>14</v>
      </c>
      <c r="C4864" t="s">
        <v>15</v>
      </c>
      <c r="D4864" t="s">
        <v>20</v>
      </c>
      <c r="E4864">
        <v>64.400000000000006</v>
      </c>
      <c r="F4864">
        <v>48</v>
      </c>
      <c r="G4864">
        <v>3091.2</v>
      </c>
      <c r="H4864" t="s">
        <v>12</v>
      </c>
      <c r="I4864" t="str">
        <f t="shared" si="226"/>
        <v>Medium Value</v>
      </c>
      <c r="J4864" t="str">
        <f t="shared" si="227"/>
        <v>Low Risk</v>
      </c>
      <c r="K4864" s="3" t="str">
        <f t="shared" si="225"/>
        <v>2-4 Years</v>
      </c>
    </row>
    <row r="4865" spans="1:11" x14ac:dyDescent="0.3">
      <c r="A4865" t="s">
        <v>4882</v>
      </c>
      <c r="B4865" t="s">
        <v>14</v>
      </c>
      <c r="C4865" t="s">
        <v>15</v>
      </c>
      <c r="D4865" t="s">
        <v>24</v>
      </c>
      <c r="E4865">
        <v>75.2</v>
      </c>
      <c r="F4865">
        <v>58</v>
      </c>
      <c r="G4865">
        <v>4361.6000000000004</v>
      </c>
      <c r="H4865" t="s">
        <v>12</v>
      </c>
      <c r="I4865" t="str">
        <f t="shared" si="226"/>
        <v>Medium Value</v>
      </c>
      <c r="J4865" t="str">
        <f t="shared" si="227"/>
        <v>Low Risk</v>
      </c>
      <c r="K4865" s="3" t="str">
        <f t="shared" si="225"/>
        <v>4+ Years</v>
      </c>
    </row>
    <row r="4866" spans="1:11" x14ac:dyDescent="0.3">
      <c r="A4866" t="s">
        <v>4883</v>
      </c>
      <c r="B4866" t="s">
        <v>9</v>
      </c>
      <c r="C4866" t="s">
        <v>30</v>
      </c>
      <c r="D4866" t="s">
        <v>20</v>
      </c>
      <c r="E4866">
        <v>84.9</v>
      </c>
      <c r="F4866">
        <v>72</v>
      </c>
      <c r="G4866">
        <v>6112.8</v>
      </c>
      <c r="H4866" t="s">
        <v>12</v>
      </c>
      <c r="I4866" t="str">
        <f t="shared" si="226"/>
        <v>High Value</v>
      </c>
      <c r="J4866" t="str">
        <f t="shared" si="227"/>
        <v>Low Risk</v>
      </c>
      <c r="K4866" s="3" t="str">
        <f t="shared" si="225"/>
        <v>4+ Years</v>
      </c>
    </row>
    <row r="4867" spans="1:11" x14ac:dyDescent="0.3">
      <c r="A4867" t="s">
        <v>4884</v>
      </c>
      <c r="B4867" t="s">
        <v>9</v>
      </c>
      <c r="C4867" t="s">
        <v>10</v>
      </c>
      <c r="D4867" t="s">
        <v>16</v>
      </c>
      <c r="E4867">
        <v>19.3</v>
      </c>
      <c r="F4867">
        <v>7</v>
      </c>
      <c r="G4867">
        <v>135.1</v>
      </c>
      <c r="H4867" t="s">
        <v>12</v>
      </c>
      <c r="I4867" t="str">
        <f t="shared" si="226"/>
        <v>Low Value</v>
      </c>
      <c r="J4867" t="str">
        <f t="shared" si="227"/>
        <v>High Risk</v>
      </c>
      <c r="K4867" s="3" t="str">
        <f t="shared" ref="K4867:K4930" si="228">IF(F4867&lt;=12,"0-1 Year",
IF(F4867&lt;=24,"1-2 Years",
IF(F4867&lt;=48,"2-4 Years","4+ Years")))</f>
        <v>0-1 Year</v>
      </c>
    </row>
    <row r="4868" spans="1:11" x14ac:dyDescent="0.3">
      <c r="A4868" t="s">
        <v>4885</v>
      </c>
      <c r="B4868" t="s">
        <v>9</v>
      </c>
      <c r="C4868" t="s">
        <v>10</v>
      </c>
      <c r="D4868" t="s">
        <v>24</v>
      </c>
      <c r="E4868">
        <v>83.9</v>
      </c>
      <c r="F4868">
        <v>38</v>
      </c>
      <c r="G4868">
        <v>3188.2</v>
      </c>
      <c r="H4868" t="s">
        <v>18</v>
      </c>
      <c r="I4868" t="str">
        <f t="shared" ref="I4868:I4931" si="229">IF(G4868&gt;5000,"High Value",
IF(G4868&gt;2000,"Medium Value","Low Value"))</f>
        <v>Medium Value</v>
      </c>
      <c r="J4868" t="str">
        <f t="shared" ref="J4868:J4931" si="230">IF(F4868&lt;12,"High Risk",
IF(F4868&lt;24,"Medium Risk","Low Risk"))</f>
        <v>Low Risk</v>
      </c>
      <c r="K4868" s="3" t="str">
        <f t="shared" si="228"/>
        <v>2-4 Years</v>
      </c>
    </row>
    <row r="4869" spans="1:11" x14ac:dyDescent="0.3">
      <c r="A4869" t="s">
        <v>4886</v>
      </c>
      <c r="B4869" t="s">
        <v>9</v>
      </c>
      <c r="C4869" t="s">
        <v>10</v>
      </c>
      <c r="D4869" t="s">
        <v>11</v>
      </c>
      <c r="E4869">
        <v>117.45</v>
      </c>
      <c r="F4869">
        <v>48</v>
      </c>
      <c r="G4869">
        <v>5637.6</v>
      </c>
      <c r="H4869" t="s">
        <v>18</v>
      </c>
      <c r="I4869" t="str">
        <f t="shared" si="229"/>
        <v>High Value</v>
      </c>
      <c r="J4869" t="str">
        <f t="shared" si="230"/>
        <v>Low Risk</v>
      </c>
      <c r="K4869" s="3" t="str">
        <f t="shared" si="228"/>
        <v>2-4 Years</v>
      </c>
    </row>
    <row r="4870" spans="1:11" x14ac:dyDescent="0.3">
      <c r="A4870" t="s">
        <v>4887</v>
      </c>
      <c r="B4870" t="s">
        <v>14</v>
      </c>
      <c r="C4870" t="s">
        <v>10</v>
      </c>
      <c r="D4870" t="s">
        <v>11</v>
      </c>
      <c r="E4870">
        <v>104.4</v>
      </c>
      <c r="F4870">
        <v>10</v>
      </c>
      <c r="G4870">
        <v>1044</v>
      </c>
      <c r="H4870" t="s">
        <v>18</v>
      </c>
      <c r="I4870" t="str">
        <f t="shared" si="229"/>
        <v>Low Value</v>
      </c>
      <c r="J4870" t="str">
        <f t="shared" si="230"/>
        <v>High Risk</v>
      </c>
      <c r="K4870" s="3" t="str">
        <f t="shared" si="228"/>
        <v>0-1 Year</v>
      </c>
    </row>
    <row r="4871" spans="1:11" x14ac:dyDescent="0.3">
      <c r="A4871" t="s">
        <v>4888</v>
      </c>
      <c r="B4871" t="s">
        <v>9</v>
      </c>
      <c r="C4871" t="s">
        <v>15</v>
      </c>
      <c r="D4871" t="s">
        <v>24</v>
      </c>
      <c r="E4871">
        <v>74.650000000000006</v>
      </c>
      <c r="F4871">
        <v>30</v>
      </c>
      <c r="G4871">
        <v>2239.5</v>
      </c>
      <c r="H4871" t="s">
        <v>12</v>
      </c>
      <c r="I4871" t="str">
        <f t="shared" si="229"/>
        <v>Medium Value</v>
      </c>
      <c r="J4871" t="str">
        <f t="shared" si="230"/>
        <v>Low Risk</v>
      </c>
      <c r="K4871" s="3" t="str">
        <f t="shared" si="228"/>
        <v>2-4 Years</v>
      </c>
    </row>
    <row r="4872" spans="1:11" x14ac:dyDescent="0.3">
      <c r="A4872" t="s">
        <v>4889</v>
      </c>
      <c r="B4872" t="s">
        <v>14</v>
      </c>
      <c r="C4872" t="s">
        <v>10</v>
      </c>
      <c r="D4872" t="s">
        <v>24</v>
      </c>
      <c r="E4872">
        <v>59.05</v>
      </c>
      <c r="F4872">
        <v>31</v>
      </c>
      <c r="G4872">
        <v>1830.55</v>
      </c>
      <c r="H4872" t="s">
        <v>12</v>
      </c>
      <c r="I4872" t="str">
        <f t="shared" si="229"/>
        <v>Low Value</v>
      </c>
      <c r="J4872" t="str">
        <f t="shared" si="230"/>
        <v>Low Risk</v>
      </c>
      <c r="K4872" s="3" t="str">
        <f t="shared" si="228"/>
        <v>2-4 Years</v>
      </c>
    </row>
    <row r="4873" spans="1:11" x14ac:dyDescent="0.3">
      <c r="A4873" t="s">
        <v>4890</v>
      </c>
      <c r="B4873" t="s">
        <v>9</v>
      </c>
      <c r="C4873" t="s">
        <v>15</v>
      </c>
      <c r="D4873" t="s">
        <v>24</v>
      </c>
      <c r="E4873">
        <v>69.099999999999994</v>
      </c>
      <c r="F4873">
        <v>46</v>
      </c>
      <c r="G4873">
        <v>3178.6</v>
      </c>
      <c r="H4873" t="s">
        <v>12</v>
      </c>
      <c r="I4873" t="str">
        <f t="shared" si="229"/>
        <v>Medium Value</v>
      </c>
      <c r="J4873" t="str">
        <f t="shared" si="230"/>
        <v>Low Risk</v>
      </c>
      <c r="K4873" s="3" t="str">
        <f t="shared" si="228"/>
        <v>2-4 Years</v>
      </c>
    </row>
    <row r="4874" spans="1:11" x14ac:dyDescent="0.3">
      <c r="A4874" t="s">
        <v>4891</v>
      </c>
      <c r="B4874" t="s">
        <v>14</v>
      </c>
      <c r="C4874" t="s">
        <v>30</v>
      </c>
      <c r="D4874" t="s">
        <v>16</v>
      </c>
      <c r="E4874">
        <v>20.55</v>
      </c>
      <c r="F4874">
        <v>50</v>
      </c>
      <c r="G4874">
        <v>1027.5</v>
      </c>
      <c r="H4874" t="s">
        <v>12</v>
      </c>
      <c r="I4874" t="str">
        <f t="shared" si="229"/>
        <v>Low Value</v>
      </c>
      <c r="J4874" t="str">
        <f t="shared" si="230"/>
        <v>Low Risk</v>
      </c>
      <c r="K4874" s="3" t="str">
        <f t="shared" si="228"/>
        <v>4+ Years</v>
      </c>
    </row>
    <row r="4875" spans="1:11" x14ac:dyDescent="0.3">
      <c r="A4875" t="s">
        <v>4892</v>
      </c>
      <c r="B4875" t="s">
        <v>14</v>
      </c>
      <c r="C4875" t="s">
        <v>10</v>
      </c>
      <c r="D4875" t="s">
        <v>20</v>
      </c>
      <c r="E4875">
        <v>76.55</v>
      </c>
      <c r="F4875">
        <v>28</v>
      </c>
      <c r="G4875">
        <v>2143.4</v>
      </c>
      <c r="H4875" t="s">
        <v>12</v>
      </c>
      <c r="I4875" t="str">
        <f t="shared" si="229"/>
        <v>Medium Value</v>
      </c>
      <c r="J4875" t="str">
        <f t="shared" si="230"/>
        <v>Low Risk</v>
      </c>
      <c r="K4875" s="3" t="str">
        <f t="shared" si="228"/>
        <v>2-4 Years</v>
      </c>
    </row>
    <row r="4876" spans="1:11" x14ac:dyDescent="0.3">
      <c r="A4876" t="s">
        <v>4893</v>
      </c>
      <c r="B4876" t="s">
        <v>9</v>
      </c>
      <c r="C4876" t="s">
        <v>30</v>
      </c>
      <c r="D4876" t="s">
        <v>20</v>
      </c>
      <c r="E4876">
        <v>62.5</v>
      </c>
      <c r="F4876">
        <v>66</v>
      </c>
      <c r="G4876">
        <v>4125</v>
      </c>
      <c r="H4876" t="s">
        <v>12</v>
      </c>
      <c r="I4876" t="str">
        <f t="shared" si="229"/>
        <v>Medium Value</v>
      </c>
      <c r="J4876" t="str">
        <f t="shared" si="230"/>
        <v>Low Risk</v>
      </c>
      <c r="K4876" s="3" t="str">
        <f t="shared" si="228"/>
        <v>4+ Years</v>
      </c>
    </row>
    <row r="4877" spans="1:11" x14ac:dyDescent="0.3">
      <c r="A4877" t="s">
        <v>4894</v>
      </c>
      <c r="B4877" t="s">
        <v>14</v>
      </c>
      <c r="C4877" t="s">
        <v>10</v>
      </c>
      <c r="D4877" t="s">
        <v>11</v>
      </c>
      <c r="E4877">
        <v>29.4</v>
      </c>
      <c r="F4877">
        <v>8</v>
      </c>
      <c r="G4877">
        <v>235.2</v>
      </c>
      <c r="H4877" t="s">
        <v>18</v>
      </c>
      <c r="I4877" t="str">
        <f t="shared" si="229"/>
        <v>Low Value</v>
      </c>
      <c r="J4877" t="str">
        <f t="shared" si="230"/>
        <v>High Risk</v>
      </c>
      <c r="K4877" s="3" t="str">
        <f t="shared" si="228"/>
        <v>0-1 Year</v>
      </c>
    </row>
    <row r="4878" spans="1:11" x14ac:dyDescent="0.3">
      <c r="A4878" t="s">
        <v>4895</v>
      </c>
      <c r="B4878" t="s">
        <v>9</v>
      </c>
      <c r="C4878" t="s">
        <v>10</v>
      </c>
      <c r="D4878" t="s">
        <v>20</v>
      </c>
      <c r="E4878">
        <v>94.9</v>
      </c>
      <c r="F4878">
        <v>41</v>
      </c>
      <c r="G4878">
        <v>3890.9</v>
      </c>
      <c r="H4878" t="s">
        <v>12</v>
      </c>
      <c r="I4878" t="str">
        <f t="shared" si="229"/>
        <v>Medium Value</v>
      </c>
      <c r="J4878" t="str">
        <f t="shared" si="230"/>
        <v>Low Risk</v>
      </c>
      <c r="K4878" s="3" t="str">
        <f t="shared" si="228"/>
        <v>2-4 Years</v>
      </c>
    </row>
    <row r="4879" spans="1:11" x14ac:dyDescent="0.3">
      <c r="A4879" t="s">
        <v>4896</v>
      </c>
      <c r="B4879" t="s">
        <v>14</v>
      </c>
      <c r="C4879" t="s">
        <v>30</v>
      </c>
      <c r="D4879" t="s">
        <v>20</v>
      </c>
      <c r="E4879">
        <v>111.65</v>
      </c>
      <c r="F4879">
        <v>72</v>
      </c>
      <c r="G4879">
        <v>8038.8</v>
      </c>
      <c r="H4879" t="s">
        <v>12</v>
      </c>
      <c r="I4879" t="str">
        <f t="shared" si="229"/>
        <v>High Value</v>
      </c>
      <c r="J4879" t="str">
        <f t="shared" si="230"/>
        <v>Low Risk</v>
      </c>
      <c r="K4879" s="3" t="str">
        <f t="shared" si="228"/>
        <v>4+ Years</v>
      </c>
    </row>
    <row r="4880" spans="1:11" x14ac:dyDescent="0.3">
      <c r="A4880" t="s">
        <v>4897</v>
      </c>
      <c r="B4880" t="s">
        <v>9</v>
      </c>
      <c r="C4880" t="s">
        <v>15</v>
      </c>
      <c r="D4880" t="s">
        <v>16</v>
      </c>
      <c r="E4880">
        <v>19.899999999999999</v>
      </c>
      <c r="F4880">
        <v>7</v>
      </c>
      <c r="G4880">
        <v>139.29999999999899</v>
      </c>
      <c r="H4880" t="s">
        <v>12</v>
      </c>
      <c r="I4880" t="str">
        <f t="shared" si="229"/>
        <v>Low Value</v>
      </c>
      <c r="J4880" t="str">
        <f t="shared" si="230"/>
        <v>High Risk</v>
      </c>
      <c r="K4880" s="3" t="str">
        <f t="shared" si="228"/>
        <v>0-1 Year</v>
      </c>
    </row>
    <row r="4881" spans="1:11" x14ac:dyDescent="0.3">
      <c r="A4881" t="s">
        <v>4898</v>
      </c>
      <c r="B4881" t="s">
        <v>9</v>
      </c>
      <c r="C4881" t="s">
        <v>10</v>
      </c>
      <c r="D4881" t="s">
        <v>16</v>
      </c>
      <c r="E4881">
        <v>20.45</v>
      </c>
      <c r="F4881">
        <v>38</v>
      </c>
      <c r="G4881">
        <v>777.1</v>
      </c>
      <c r="H4881" t="s">
        <v>12</v>
      </c>
      <c r="I4881" t="str">
        <f t="shared" si="229"/>
        <v>Low Value</v>
      </c>
      <c r="J4881" t="str">
        <f t="shared" si="230"/>
        <v>Low Risk</v>
      </c>
      <c r="K4881" s="3" t="str">
        <f t="shared" si="228"/>
        <v>2-4 Years</v>
      </c>
    </row>
    <row r="4882" spans="1:11" x14ac:dyDescent="0.3">
      <c r="A4882" t="s">
        <v>4899</v>
      </c>
      <c r="B4882" t="s">
        <v>14</v>
      </c>
      <c r="C4882" t="s">
        <v>15</v>
      </c>
      <c r="D4882" t="s">
        <v>11</v>
      </c>
      <c r="E4882">
        <v>106.05</v>
      </c>
      <c r="F4882">
        <v>44</v>
      </c>
      <c r="G4882">
        <v>4666.2</v>
      </c>
      <c r="H4882" t="s">
        <v>12</v>
      </c>
      <c r="I4882" t="str">
        <f t="shared" si="229"/>
        <v>Medium Value</v>
      </c>
      <c r="J4882" t="str">
        <f t="shared" si="230"/>
        <v>Low Risk</v>
      </c>
      <c r="K4882" s="3" t="str">
        <f t="shared" si="228"/>
        <v>2-4 Years</v>
      </c>
    </row>
    <row r="4883" spans="1:11" x14ac:dyDescent="0.3">
      <c r="A4883" t="s">
        <v>4900</v>
      </c>
      <c r="B4883" t="s">
        <v>14</v>
      </c>
      <c r="C4883" t="s">
        <v>15</v>
      </c>
      <c r="D4883" t="s">
        <v>20</v>
      </c>
      <c r="E4883">
        <v>113.45</v>
      </c>
      <c r="F4883">
        <v>47</v>
      </c>
      <c r="G4883">
        <v>5332.15</v>
      </c>
      <c r="H4883" t="s">
        <v>12</v>
      </c>
      <c r="I4883" t="str">
        <f t="shared" si="229"/>
        <v>High Value</v>
      </c>
      <c r="J4883" t="str">
        <f t="shared" si="230"/>
        <v>Low Risk</v>
      </c>
      <c r="K4883" s="3" t="str">
        <f t="shared" si="228"/>
        <v>2-4 Years</v>
      </c>
    </row>
    <row r="4884" spans="1:11" x14ac:dyDescent="0.3">
      <c r="A4884" t="s">
        <v>4901</v>
      </c>
      <c r="B4884" t="s">
        <v>14</v>
      </c>
      <c r="C4884" t="s">
        <v>10</v>
      </c>
      <c r="D4884" t="s">
        <v>11</v>
      </c>
      <c r="E4884">
        <v>92.55</v>
      </c>
      <c r="F4884">
        <v>53</v>
      </c>
      <c r="G4884">
        <v>4905.1499999999996</v>
      </c>
      <c r="H4884" t="s">
        <v>12</v>
      </c>
      <c r="I4884" t="str">
        <f t="shared" si="229"/>
        <v>Medium Value</v>
      </c>
      <c r="J4884" t="str">
        <f t="shared" si="230"/>
        <v>Low Risk</v>
      </c>
      <c r="K4884" s="3" t="str">
        <f t="shared" si="228"/>
        <v>4+ Years</v>
      </c>
    </row>
    <row r="4885" spans="1:11" x14ac:dyDescent="0.3">
      <c r="A4885" t="s">
        <v>4902</v>
      </c>
      <c r="B4885" t="s">
        <v>14</v>
      </c>
      <c r="C4885" t="s">
        <v>10</v>
      </c>
      <c r="D4885" t="s">
        <v>11</v>
      </c>
      <c r="E4885">
        <v>65.599999999999994</v>
      </c>
      <c r="F4885">
        <v>4</v>
      </c>
      <c r="G4885">
        <v>262.39999999999998</v>
      </c>
      <c r="H4885" t="s">
        <v>12</v>
      </c>
      <c r="I4885" t="str">
        <f t="shared" si="229"/>
        <v>Low Value</v>
      </c>
      <c r="J4885" t="str">
        <f t="shared" si="230"/>
        <v>High Risk</v>
      </c>
      <c r="K4885" s="3" t="str">
        <f t="shared" si="228"/>
        <v>0-1 Year</v>
      </c>
    </row>
    <row r="4886" spans="1:11" x14ac:dyDescent="0.3">
      <c r="A4886" t="s">
        <v>4903</v>
      </c>
      <c r="B4886" t="s">
        <v>14</v>
      </c>
      <c r="C4886" t="s">
        <v>10</v>
      </c>
      <c r="D4886" t="s">
        <v>11</v>
      </c>
      <c r="E4886">
        <v>84.35</v>
      </c>
      <c r="F4886">
        <v>20</v>
      </c>
      <c r="G4886">
        <v>1687</v>
      </c>
      <c r="H4886" t="s">
        <v>12</v>
      </c>
      <c r="I4886" t="str">
        <f t="shared" si="229"/>
        <v>Low Value</v>
      </c>
      <c r="J4886" t="str">
        <f t="shared" si="230"/>
        <v>Medium Risk</v>
      </c>
      <c r="K4886" s="3" t="str">
        <f t="shared" si="228"/>
        <v>1-2 Years</v>
      </c>
    </row>
    <row r="4887" spans="1:11" x14ac:dyDescent="0.3">
      <c r="A4887" t="s">
        <v>4904</v>
      </c>
      <c r="B4887" t="s">
        <v>14</v>
      </c>
      <c r="C4887" t="s">
        <v>10</v>
      </c>
      <c r="D4887" t="s">
        <v>16</v>
      </c>
      <c r="E4887">
        <v>44.65</v>
      </c>
      <c r="F4887">
        <v>2</v>
      </c>
      <c r="G4887">
        <v>89.3</v>
      </c>
      <c r="H4887" t="s">
        <v>18</v>
      </c>
      <c r="I4887" t="str">
        <f t="shared" si="229"/>
        <v>Low Value</v>
      </c>
      <c r="J4887" t="str">
        <f t="shared" si="230"/>
        <v>High Risk</v>
      </c>
      <c r="K4887" s="3" t="str">
        <f t="shared" si="228"/>
        <v>0-1 Year</v>
      </c>
    </row>
    <row r="4888" spans="1:11" x14ac:dyDescent="0.3">
      <c r="A4888" t="s">
        <v>4905</v>
      </c>
      <c r="B4888" t="s">
        <v>14</v>
      </c>
      <c r="C4888" t="s">
        <v>15</v>
      </c>
      <c r="D4888" t="s">
        <v>24</v>
      </c>
      <c r="E4888">
        <v>71.099999999999994</v>
      </c>
      <c r="F4888">
        <v>57</v>
      </c>
      <c r="G4888">
        <v>4052.7</v>
      </c>
      <c r="H4888" t="s">
        <v>12</v>
      </c>
      <c r="I4888" t="str">
        <f t="shared" si="229"/>
        <v>Medium Value</v>
      </c>
      <c r="J4888" t="str">
        <f t="shared" si="230"/>
        <v>Low Risk</v>
      </c>
      <c r="K4888" s="3" t="str">
        <f t="shared" si="228"/>
        <v>4+ Years</v>
      </c>
    </row>
    <row r="4889" spans="1:11" x14ac:dyDescent="0.3">
      <c r="A4889" t="s">
        <v>4906</v>
      </c>
      <c r="B4889" t="s">
        <v>9</v>
      </c>
      <c r="C4889" t="s">
        <v>10</v>
      </c>
      <c r="D4889" t="s">
        <v>11</v>
      </c>
      <c r="E4889">
        <v>85.15</v>
      </c>
      <c r="F4889">
        <v>44</v>
      </c>
      <c r="G4889">
        <v>3746.6</v>
      </c>
      <c r="H4889" t="s">
        <v>12</v>
      </c>
      <c r="I4889" t="str">
        <f t="shared" si="229"/>
        <v>Medium Value</v>
      </c>
      <c r="J4889" t="str">
        <f t="shared" si="230"/>
        <v>Low Risk</v>
      </c>
      <c r="K4889" s="3" t="str">
        <f t="shared" si="228"/>
        <v>2-4 Years</v>
      </c>
    </row>
    <row r="4890" spans="1:11" x14ac:dyDescent="0.3">
      <c r="A4890" t="s">
        <v>4907</v>
      </c>
      <c r="B4890" t="s">
        <v>14</v>
      </c>
      <c r="C4890" t="s">
        <v>10</v>
      </c>
      <c r="D4890" t="s">
        <v>16</v>
      </c>
      <c r="E4890">
        <v>49.7</v>
      </c>
      <c r="F4890">
        <v>24</v>
      </c>
      <c r="G4890">
        <v>1192.8</v>
      </c>
      <c r="H4890" t="s">
        <v>12</v>
      </c>
      <c r="I4890" t="str">
        <f t="shared" si="229"/>
        <v>Low Value</v>
      </c>
      <c r="J4890" t="str">
        <f t="shared" si="230"/>
        <v>Low Risk</v>
      </c>
      <c r="K4890" s="3" t="str">
        <f t="shared" si="228"/>
        <v>1-2 Years</v>
      </c>
    </row>
    <row r="4891" spans="1:11" x14ac:dyDescent="0.3">
      <c r="A4891" t="s">
        <v>4908</v>
      </c>
      <c r="B4891" t="s">
        <v>14</v>
      </c>
      <c r="C4891" t="s">
        <v>10</v>
      </c>
      <c r="D4891" t="s">
        <v>20</v>
      </c>
      <c r="E4891">
        <v>30.2</v>
      </c>
      <c r="F4891">
        <v>15</v>
      </c>
      <c r="G4891">
        <v>453</v>
      </c>
      <c r="H4891" t="s">
        <v>12</v>
      </c>
      <c r="I4891" t="str">
        <f t="shared" si="229"/>
        <v>Low Value</v>
      </c>
      <c r="J4891" t="str">
        <f t="shared" si="230"/>
        <v>Medium Risk</v>
      </c>
      <c r="K4891" s="3" t="str">
        <f t="shared" si="228"/>
        <v>1-2 Years</v>
      </c>
    </row>
    <row r="4892" spans="1:11" x14ac:dyDescent="0.3">
      <c r="A4892" t="s">
        <v>4909</v>
      </c>
      <c r="B4892" t="s">
        <v>9</v>
      </c>
      <c r="C4892" t="s">
        <v>10</v>
      </c>
      <c r="D4892" t="s">
        <v>11</v>
      </c>
      <c r="E4892">
        <v>25.25</v>
      </c>
      <c r="F4892">
        <v>3</v>
      </c>
      <c r="G4892">
        <v>75.75</v>
      </c>
      <c r="H4892" t="s">
        <v>18</v>
      </c>
      <c r="I4892" t="str">
        <f t="shared" si="229"/>
        <v>Low Value</v>
      </c>
      <c r="J4892" t="str">
        <f t="shared" si="230"/>
        <v>High Risk</v>
      </c>
      <c r="K4892" s="3" t="str">
        <f t="shared" si="228"/>
        <v>0-1 Year</v>
      </c>
    </row>
    <row r="4893" spans="1:11" x14ac:dyDescent="0.3">
      <c r="A4893" t="s">
        <v>4910</v>
      </c>
      <c r="B4893" t="s">
        <v>9</v>
      </c>
      <c r="C4893" t="s">
        <v>10</v>
      </c>
      <c r="D4893" t="s">
        <v>20</v>
      </c>
      <c r="E4893">
        <v>84.05</v>
      </c>
      <c r="F4893">
        <v>4</v>
      </c>
      <c r="G4893">
        <v>336.2</v>
      </c>
      <c r="H4893" t="s">
        <v>18</v>
      </c>
      <c r="I4893" t="str">
        <f t="shared" si="229"/>
        <v>Low Value</v>
      </c>
      <c r="J4893" t="str">
        <f t="shared" si="230"/>
        <v>High Risk</v>
      </c>
      <c r="K4893" s="3" t="str">
        <f t="shared" si="228"/>
        <v>0-1 Year</v>
      </c>
    </row>
    <row r="4894" spans="1:11" x14ac:dyDescent="0.3">
      <c r="A4894" t="s">
        <v>4911</v>
      </c>
      <c r="B4894" t="s">
        <v>14</v>
      </c>
      <c r="C4894" t="s">
        <v>10</v>
      </c>
      <c r="D4894" t="s">
        <v>11</v>
      </c>
      <c r="E4894">
        <v>85.7</v>
      </c>
      <c r="F4894">
        <v>37</v>
      </c>
      <c r="G4894">
        <v>3170.9</v>
      </c>
      <c r="H4894" t="s">
        <v>18</v>
      </c>
      <c r="I4894" t="str">
        <f t="shared" si="229"/>
        <v>Medium Value</v>
      </c>
      <c r="J4894" t="str">
        <f t="shared" si="230"/>
        <v>Low Risk</v>
      </c>
      <c r="K4894" s="3" t="str">
        <f t="shared" si="228"/>
        <v>2-4 Years</v>
      </c>
    </row>
    <row r="4895" spans="1:11" x14ac:dyDescent="0.3">
      <c r="A4895" t="s">
        <v>4912</v>
      </c>
      <c r="B4895" t="s">
        <v>9</v>
      </c>
      <c r="C4895" t="s">
        <v>10</v>
      </c>
      <c r="D4895" t="s">
        <v>11</v>
      </c>
      <c r="E4895">
        <v>74.7</v>
      </c>
      <c r="F4895">
        <v>1</v>
      </c>
      <c r="G4895">
        <v>74.7</v>
      </c>
      <c r="H4895" t="s">
        <v>18</v>
      </c>
      <c r="I4895" t="str">
        <f t="shared" si="229"/>
        <v>Low Value</v>
      </c>
      <c r="J4895" t="str">
        <f t="shared" si="230"/>
        <v>High Risk</v>
      </c>
      <c r="K4895" s="3" t="str">
        <f t="shared" si="228"/>
        <v>0-1 Year</v>
      </c>
    </row>
    <row r="4896" spans="1:11" x14ac:dyDescent="0.3">
      <c r="A4896" t="s">
        <v>4913</v>
      </c>
      <c r="B4896" t="s">
        <v>9</v>
      </c>
      <c r="C4896" t="s">
        <v>10</v>
      </c>
      <c r="D4896" t="s">
        <v>24</v>
      </c>
      <c r="E4896">
        <v>56.35</v>
      </c>
      <c r="F4896">
        <v>24</v>
      </c>
      <c r="G4896">
        <v>1352.4</v>
      </c>
      <c r="H4896" t="s">
        <v>12</v>
      </c>
      <c r="I4896" t="str">
        <f t="shared" si="229"/>
        <v>Low Value</v>
      </c>
      <c r="J4896" t="str">
        <f t="shared" si="230"/>
        <v>Low Risk</v>
      </c>
      <c r="K4896" s="3" t="str">
        <f t="shared" si="228"/>
        <v>1-2 Years</v>
      </c>
    </row>
    <row r="4897" spans="1:11" x14ac:dyDescent="0.3">
      <c r="A4897" t="s">
        <v>4914</v>
      </c>
      <c r="B4897" t="s">
        <v>9</v>
      </c>
      <c r="C4897" t="s">
        <v>10</v>
      </c>
      <c r="D4897" t="s">
        <v>11</v>
      </c>
      <c r="E4897">
        <v>90.8</v>
      </c>
      <c r="F4897">
        <v>5</v>
      </c>
      <c r="G4897">
        <v>454</v>
      </c>
      <c r="H4897" t="s">
        <v>18</v>
      </c>
      <c r="I4897" t="str">
        <f t="shared" si="229"/>
        <v>Low Value</v>
      </c>
      <c r="J4897" t="str">
        <f t="shared" si="230"/>
        <v>High Risk</v>
      </c>
      <c r="K4897" s="3" t="str">
        <f t="shared" si="228"/>
        <v>0-1 Year</v>
      </c>
    </row>
    <row r="4898" spans="1:11" x14ac:dyDescent="0.3">
      <c r="A4898" t="s">
        <v>4915</v>
      </c>
      <c r="B4898" t="s">
        <v>9</v>
      </c>
      <c r="C4898" t="s">
        <v>10</v>
      </c>
      <c r="D4898" t="s">
        <v>11</v>
      </c>
      <c r="E4898">
        <v>107.55</v>
      </c>
      <c r="F4898">
        <v>33</v>
      </c>
      <c r="G4898">
        <v>3549.15</v>
      </c>
      <c r="H4898" t="s">
        <v>12</v>
      </c>
      <c r="I4898" t="str">
        <f t="shared" si="229"/>
        <v>Medium Value</v>
      </c>
      <c r="J4898" t="str">
        <f t="shared" si="230"/>
        <v>Low Risk</v>
      </c>
      <c r="K4898" s="3" t="str">
        <f t="shared" si="228"/>
        <v>2-4 Years</v>
      </c>
    </row>
    <row r="4899" spans="1:11" x14ac:dyDescent="0.3">
      <c r="A4899" t="s">
        <v>4916</v>
      </c>
      <c r="B4899" t="s">
        <v>9</v>
      </c>
      <c r="C4899" t="s">
        <v>30</v>
      </c>
      <c r="D4899" t="s">
        <v>16</v>
      </c>
      <c r="E4899">
        <v>19.850000000000001</v>
      </c>
      <c r="F4899">
        <v>58</v>
      </c>
      <c r="G4899">
        <v>1151.3</v>
      </c>
      <c r="H4899" t="s">
        <v>12</v>
      </c>
      <c r="I4899" t="str">
        <f t="shared" si="229"/>
        <v>Low Value</v>
      </c>
      <c r="J4899" t="str">
        <f t="shared" si="230"/>
        <v>Low Risk</v>
      </c>
      <c r="K4899" s="3" t="str">
        <f t="shared" si="228"/>
        <v>4+ Years</v>
      </c>
    </row>
    <row r="4900" spans="1:11" x14ac:dyDescent="0.3">
      <c r="A4900" t="s">
        <v>4917</v>
      </c>
      <c r="B4900" t="s">
        <v>9</v>
      </c>
      <c r="C4900" t="s">
        <v>30</v>
      </c>
      <c r="D4900" t="s">
        <v>20</v>
      </c>
      <c r="E4900">
        <v>95.9</v>
      </c>
      <c r="F4900">
        <v>72</v>
      </c>
      <c r="G4900">
        <v>6904.8</v>
      </c>
      <c r="H4900" t="s">
        <v>12</v>
      </c>
      <c r="I4900" t="str">
        <f t="shared" si="229"/>
        <v>High Value</v>
      </c>
      <c r="J4900" t="str">
        <f t="shared" si="230"/>
        <v>Low Risk</v>
      </c>
      <c r="K4900" s="3" t="str">
        <f t="shared" si="228"/>
        <v>4+ Years</v>
      </c>
    </row>
    <row r="4901" spans="1:11" x14ac:dyDescent="0.3">
      <c r="A4901" t="s">
        <v>4918</v>
      </c>
      <c r="B4901" t="s">
        <v>9</v>
      </c>
      <c r="C4901" t="s">
        <v>30</v>
      </c>
      <c r="D4901" t="s">
        <v>16</v>
      </c>
      <c r="E4901">
        <v>23.85</v>
      </c>
      <c r="F4901">
        <v>71</v>
      </c>
      <c r="G4901">
        <v>1693.35</v>
      </c>
      <c r="H4901" t="s">
        <v>12</v>
      </c>
      <c r="I4901" t="str">
        <f t="shared" si="229"/>
        <v>Low Value</v>
      </c>
      <c r="J4901" t="str">
        <f t="shared" si="230"/>
        <v>Low Risk</v>
      </c>
      <c r="K4901" s="3" t="str">
        <f t="shared" si="228"/>
        <v>4+ Years</v>
      </c>
    </row>
    <row r="4902" spans="1:11" x14ac:dyDescent="0.3">
      <c r="A4902" t="s">
        <v>4919</v>
      </c>
      <c r="B4902" t="s">
        <v>9</v>
      </c>
      <c r="C4902" t="s">
        <v>10</v>
      </c>
      <c r="D4902" t="s">
        <v>11</v>
      </c>
      <c r="E4902">
        <v>106.15</v>
      </c>
      <c r="F4902">
        <v>28</v>
      </c>
      <c r="G4902">
        <v>2972.2</v>
      </c>
      <c r="H4902" t="s">
        <v>18</v>
      </c>
      <c r="I4902" t="str">
        <f t="shared" si="229"/>
        <v>Medium Value</v>
      </c>
      <c r="J4902" t="str">
        <f t="shared" si="230"/>
        <v>Low Risk</v>
      </c>
      <c r="K4902" s="3" t="str">
        <f t="shared" si="228"/>
        <v>2-4 Years</v>
      </c>
    </row>
    <row r="4903" spans="1:11" x14ac:dyDescent="0.3">
      <c r="A4903" t="s">
        <v>4920</v>
      </c>
      <c r="B4903" t="s">
        <v>14</v>
      </c>
      <c r="C4903" t="s">
        <v>30</v>
      </c>
      <c r="D4903" t="s">
        <v>24</v>
      </c>
      <c r="E4903">
        <v>83.85</v>
      </c>
      <c r="F4903">
        <v>51</v>
      </c>
      <c r="G4903">
        <v>4276.3499999999904</v>
      </c>
      <c r="H4903" t="s">
        <v>12</v>
      </c>
      <c r="I4903" t="str">
        <f t="shared" si="229"/>
        <v>Medium Value</v>
      </c>
      <c r="J4903" t="str">
        <f t="shared" si="230"/>
        <v>Low Risk</v>
      </c>
      <c r="K4903" s="3" t="str">
        <f t="shared" si="228"/>
        <v>4+ Years</v>
      </c>
    </row>
    <row r="4904" spans="1:11" x14ac:dyDescent="0.3">
      <c r="A4904" t="s">
        <v>4921</v>
      </c>
      <c r="B4904" t="s">
        <v>9</v>
      </c>
      <c r="C4904" t="s">
        <v>15</v>
      </c>
      <c r="D4904" t="s">
        <v>20</v>
      </c>
      <c r="E4904">
        <v>85.35</v>
      </c>
      <c r="F4904">
        <v>30</v>
      </c>
      <c r="G4904">
        <v>2560.5</v>
      </c>
      <c r="H4904" t="s">
        <v>18</v>
      </c>
      <c r="I4904" t="str">
        <f t="shared" si="229"/>
        <v>Medium Value</v>
      </c>
      <c r="J4904" t="str">
        <f t="shared" si="230"/>
        <v>Low Risk</v>
      </c>
      <c r="K4904" s="3" t="str">
        <f t="shared" si="228"/>
        <v>2-4 Years</v>
      </c>
    </row>
    <row r="4905" spans="1:11" x14ac:dyDescent="0.3">
      <c r="A4905" t="s">
        <v>4922</v>
      </c>
      <c r="B4905" t="s">
        <v>14</v>
      </c>
      <c r="C4905" t="s">
        <v>30</v>
      </c>
      <c r="D4905" t="s">
        <v>24</v>
      </c>
      <c r="E4905">
        <v>84.8</v>
      </c>
      <c r="F4905">
        <v>72</v>
      </c>
      <c r="G4905">
        <v>6105.5999999999904</v>
      </c>
      <c r="H4905" t="s">
        <v>12</v>
      </c>
      <c r="I4905" t="str">
        <f t="shared" si="229"/>
        <v>High Value</v>
      </c>
      <c r="J4905" t="str">
        <f t="shared" si="230"/>
        <v>Low Risk</v>
      </c>
      <c r="K4905" s="3" t="str">
        <f t="shared" si="228"/>
        <v>4+ Years</v>
      </c>
    </row>
    <row r="4906" spans="1:11" x14ac:dyDescent="0.3">
      <c r="A4906" t="s">
        <v>4923</v>
      </c>
      <c r="B4906" t="s">
        <v>14</v>
      </c>
      <c r="C4906" t="s">
        <v>10</v>
      </c>
      <c r="D4906" t="s">
        <v>11</v>
      </c>
      <c r="E4906">
        <v>90.85</v>
      </c>
      <c r="F4906">
        <v>36</v>
      </c>
      <c r="G4906">
        <v>3270.6</v>
      </c>
      <c r="H4906" t="s">
        <v>18</v>
      </c>
      <c r="I4906" t="str">
        <f t="shared" si="229"/>
        <v>Medium Value</v>
      </c>
      <c r="J4906" t="str">
        <f t="shared" si="230"/>
        <v>Low Risk</v>
      </c>
      <c r="K4906" s="3" t="str">
        <f t="shared" si="228"/>
        <v>2-4 Years</v>
      </c>
    </row>
    <row r="4907" spans="1:11" x14ac:dyDescent="0.3">
      <c r="A4907" t="s">
        <v>4924</v>
      </c>
      <c r="B4907" t="s">
        <v>14</v>
      </c>
      <c r="C4907" t="s">
        <v>30</v>
      </c>
      <c r="D4907" t="s">
        <v>20</v>
      </c>
      <c r="E4907">
        <v>76.099999999999994</v>
      </c>
      <c r="F4907">
        <v>14</v>
      </c>
      <c r="G4907">
        <v>1065.3999999999901</v>
      </c>
      <c r="H4907" t="s">
        <v>12</v>
      </c>
      <c r="I4907" t="str">
        <f t="shared" si="229"/>
        <v>Low Value</v>
      </c>
      <c r="J4907" t="str">
        <f t="shared" si="230"/>
        <v>Medium Risk</v>
      </c>
      <c r="K4907" s="3" t="str">
        <f t="shared" si="228"/>
        <v>1-2 Years</v>
      </c>
    </row>
    <row r="4908" spans="1:11" x14ac:dyDescent="0.3">
      <c r="A4908" t="s">
        <v>4925</v>
      </c>
      <c r="B4908" t="s">
        <v>9</v>
      </c>
      <c r="C4908" t="s">
        <v>30</v>
      </c>
      <c r="D4908" t="s">
        <v>16</v>
      </c>
      <c r="E4908">
        <v>74.55</v>
      </c>
      <c r="F4908">
        <v>72</v>
      </c>
      <c r="G4908">
        <v>5367.5999999999904</v>
      </c>
      <c r="H4908" t="s">
        <v>12</v>
      </c>
      <c r="I4908" t="str">
        <f t="shared" si="229"/>
        <v>High Value</v>
      </c>
      <c r="J4908" t="str">
        <f t="shared" si="230"/>
        <v>Low Risk</v>
      </c>
      <c r="K4908" s="3" t="str">
        <f t="shared" si="228"/>
        <v>4+ Years</v>
      </c>
    </row>
    <row r="4909" spans="1:11" x14ac:dyDescent="0.3">
      <c r="A4909" t="s">
        <v>4926</v>
      </c>
      <c r="B4909" t="s">
        <v>9</v>
      </c>
      <c r="C4909" t="s">
        <v>10</v>
      </c>
      <c r="D4909" t="s">
        <v>11</v>
      </c>
      <c r="E4909">
        <v>39.200000000000003</v>
      </c>
      <c r="F4909">
        <v>22</v>
      </c>
      <c r="G4909">
        <v>862.4</v>
      </c>
      <c r="H4909" t="s">
        <v>12</v>
      </c>
      <c r="I4909" t="str">
        <f t="shared" si="229"/>
        <v>Low Value</v>
      </c>
      <c r="J4909" t="str">
        <f t="shared" si="230"/>
        <v>Medium Risk</v>
      </c>
      <c r="K4909" s="3" t="str">
        <f t="shared" si="228"/>
        <v>1-2 Years</v>
      </c>
    </row>
    <row r="4910" spans="1:11" x14ac:dyDescent="0.3">
      <c r="A4910" t="s">
        <v>4927</v>
      </c>
      <c r="B4910" t="s">
        <v>9</v>
      </c>
      <c r="C4910" t="s">
        <v>10</v>
      </c>
      <c r="D4910" t="s">
        <v>11</v>
      </c>
      <c r="E4910">
        <v>79.55</v>
      </c>
      <c r="F4910">
        <v>2</v>
      </c>
      <c r="G4910">
        <v>159.1</v>
      </c>
      <c r="H4910" t="s">
        <v>12</v>
      </c>
      <c r="I4910" t="str">
        <f t="shared" si="229"/>
        <v>Low Value</v>
      </c>
      <c r="J4910" t="str">
        <f t="shared" si="230"/>
        <v>High Risk</v>
      </c>
      <c r="K4910" s="3" t="str">
        <f t="shared" si="228"/>
        <v>0-1 Year</v>
      </c>
    </row>
    <row r="4911" spans="1:11" x14ac:dyDescent="0.3">
      <c r="A4911" t="s">
        <v>4928</v>
      </c>
      <c r="B4911" t="s">
        <v>9</v>
      </c>
      <c r="C4911" t="s">
        <v>10</v>
      </c>
      <c r="D4911" t="s">
        <v>16</v>
      </c>
      <c r="E4911">
        <v>19.600000000000001</v>
      </c>
      <c r="F4911">
        <v>15</v>
      </c>
      <c r="G4911">
        <v>294</v>
      </c>
      <c r="H4911" t="s">
        <v>12</v>
      </c>
      <c r="I4911" t="str">
        <f t="shared" si="229"/>
        <v>Low Value</v>
      </c>
      <c r="J4911" t="str">
        <f t="shared" si="230"/>
        <v>Medium Risk</v>
      </c>
      <c r="K4911" s="3" t="str">
        <f t="shared" si="228"/>
        <v>1-2 Years</v>
      </c>
    </row>
    <row r="4912" spans="1:11" x14ac:dyDescent="0.3">
      <c r="A4912" t="s">
        <v>4929</v>
      </c>
      <c r="B4912" t="s">
        <v>14</v>
      </c>
      <c r="C4912" t="s">
        <v>30</v>
      </c>
      <c r="D4912" t="s">
        <v>24</v>
      </c>
      <c r="E4912">
        <v>19.55</v>
      </c>
      <c r="F4912">
        <v>51</v>
      </c>
      <c r="G4912">
        <v>997.05</v>
      </c>
      <c r="H4912" t="s">
        <v>12</v>
      </c>
      <c r="I4912" t="str">
        <f t="shared" si="229"/>
        <v>Low Value</v>
      </c>
      <c r="J4912" t="str">
        <f t="shared" si="230"/>
        <v>Low Risk</v>
      </c>
      <c r="K4912" s="3" t="str">
        <f t="shared" si="228"/>
        <v>4+ Years</v>
      </c>
    </row>
    <row r="4913" spans="1:11" x14ac:dyDescent="0.3">
      <c r="A4913" t="s">
        <v>4930</v>
      </c>
      <c r="B4913" t="s">
        <v>14</v>
      </c>
      <c r="C4913" t="s">
        <v>30</v>
      </c>
      <c r="D4913" t="s">
        <v>24</v>
      </c>
      <c r="E4913">
        <v>39.15</v>
      </c>
      <c r="F4913">
        <v>70</v>
      </c>
      <c r="G4913">
        <v>2740.5</v>
      </c>
      <c r="H4913" t="s">
        <v>12</v>
      </c>
      <c r="I4913" t="str">
        <f t="shared" si="229"/>
        <v>Medium Value</v>
      </c>
      <c r="J4913" t="str">
        <f t="shared" si="230"/>
        <v>Low Risk</v>
      </c>
      <c r="K4913" s="3" t="str">
        <f t="shared" si="228"/>
        <v>4+ Years</v>
      </c>
    </row>
    <row r="4914" spans="1:11" x14ac:dyDescent="0.3">
      <c r="A4914" t="s">
        <v>4931</v>
      </c>
      <c r="B4914" t="s">
        <v>9</v>
      </c>
      <c r="C4914" t="s">
        <v>30</v>
      </c>
      <c r="D4914" t="s">
        <v>20</v>
      </c>
      <c r="E4914">
        <v>20.100000000000001</v>
      </c>
      <c r="F4914">
        <v>71</v>
      </c>
      <c r="G4914">
        <v>1427.1</v>
      </c>
      <c r="H4914" t="s">
        <v>12</v>
      </c>
      <c r="I4914" t="str">
        <f t="shared" si="229"/>
        <v>Low Value</v>
      </c>
      <c r="J4914" t="str">
        <f t="shared" si="230"/>
        <v>Low Risk</v>
      </c>
      <c r="K4914" s="3" t="str">
        <f t="shared" si="228"/>
        <v>4+ Years</v>
      </c>
    </row>
    <row r="4915" spans="1:11" x14ac:dyDescent="0.3">
      <c r="A4915" t="s">
        <v>4932</v>
      </c>
      <c r="B4915" t="s">
        <v>9</v>
      </c>
      <c r="C4915" t="s">
        <v>10</v>
      </c>
      <c r="D4915" t="s">
        <v>24</v>
      </c>
      <c r="E4915">
        <v>99.95</v>
      </c>
      <c r="F4915">
        <v>39</v>
      </c>
      <c r="G4915">
        <v>3898.05</v>
      </c>
      <c r="H4915" t="s">
        <v>12</v>
      </c>
      <c r="I4915" t="str">
        <f t="shared" si="229"/>
        <v>Medium Value</v>
      </c>
      <c r="J4915" t="str">
        <f t="shared" si="230"/>
        <v>Low Risk</v>
      </c>
      <c r="K4915" s="3" t="str">
        <f t="shared" si="228"/>
        <v>2-4 Years</v>
      </c>
    </row>
    <row r="4916" spans="1:11" x14ac:dyDescent="0.3">
      <c r="A4916" t="s">
        <v>4933</v>
      </c>
      <c r="B4916" t="s">
        <v>9</v>
      </c>
      <c r="C4916" t="s">
        <v>10</v>
      </c>
      <c r="D4916" t="s">
        <v>11</v>
      </c>
      <c r="E4916">
        <v>59.8</v>
      </c>
      <c r="F4916">
        <v>61</v>
      </c>
      <c r="G4916">
        <v>3647.7999999999902</v>
      </c>
      <c r="H4916" t="s">
        <v>12</v>
      </c>
      <c r="I4916" t="str">
        <f t="shared" si="229"/>
        <v>Medium Value</v>
      </c>
      <c r="J4916" t="str">
        <f t="shared" si="230"/>
        <v>Low Risk</v>
      </c>
      <c r="K4916" s="3" t="str">
        <f t="shared" si="228"/>
        <v>4+ Years</v>
      </c>
    </row>
    <row r="4917" spans="1:11" x14ac:dyDescent="0.3">
      <c r="A4917" t="s">
        <v>4934</v>
      </c>
      <c r="B4917" t="s">
        <v>9</v>
      </c>
      <c r="C4917" t="s">
        <v>10</v>
      </c>
      <c r="D4917" t="s">
        <v>20</v>
      </c>
      <c r="E4917">
        <v>49.75</v>
      </c>
      <c r="F4917">
        <v>52</v>
      </c>
      <c r="G4917">
        <v>2587</v>
      </c>
      <c r="H4917" t="s">
        <v>12</v>
      </c>
      <c r="I4917" t="str">
        <f t="shared" si="229"/>
        <v>Medium Value</v>
      </c>
      <c r="J4917" t="str">
        <f t="shared" si="230"/>
        <v>Low Risk</v>
      </c>
      <c r="K4917" s="3" t="str">
        <f t="shared" si="228"/>
        <v>4+ Years</v>
      </c>
    </row>
    <row r="4918" spans="1:11" x14ac:dyDescent="0.3">
      <c r="A4918" t="s">
        <v>4935</v>
      </c>
      <c r="B4918" t="s">
        <v>9</v>
      </c>
      <c r="C4918" t="s">
        <v>10</v>
      </c>
      <c r="D4918" t="s">
        <v>11</v>
      </c>
      <c r="E4918">
        <v>35.75</v>
      </c>
      <c r="F4918">
        <v>1</v>
      </c>
      <c r="G4918">
        <v>35.75</v>
      </c>
      <c r="H4918" t="s">
        <v>18</v>
      </c>
      <c r="I4918" t="str">
        <f t="shared" si="229"/>
        <v>Low Value</v>
      </c>
      <c r="J4918" t="str">
        <f t="shared" si="230"/>
        <v>High Risk</v>
      </c>
      <c r="K4918" s="3" t="str">
        <f t="shared" si="228"/>
        <v>0-1 Year</v>
      </c>
    </row>
    <row r="4919" spans="1:11" x14ac:dyDescent="0.3">
      <c r="A4919" t="s">
        <v>4936</v>
      </c>
      <c r="B4919" t="s">
        <v>14</v>
      </c>
      <c r="C4919" t="s">
        <v>15</v>
      </c>
      <c r="D4919" t="s">
        <v>16</v>
      </c>
      <c r="E4919">
        <v>108.5</v>
      </c>
      <c r="F4919">
        <v>64</v>
      </c>
      <c r="G4919">
        <v>6944</v>
      </c>
      <c r="H4919" t="s">
        <v>12</v>
      </c>
      <c r="I4919" t="str">
        <f t="shared" si="229"/>
        <v>High Value</v>
      </c>
      <c r="J4919" t="str">
        <f t="shared" si="230"/>
        <v>Low Risk</v>
      </c>
      <c r="K4919" s="3" t="str">
        <f t="shared" si="228"/>
        <v>4+ Years</v>
      </c>
    </row>
    <row r="4920" spans="1:11" x14ac:dyDescent="0.3">
      <c r="A4920" t="s">
        <v>4937</v>
      </c>
      <c r="B4920" t="s">
        <v>14</v>
      </c>
      <c r="C4920" t="s">
        <v>30</v>
      </c>
      <c r="D4920" t="s">
        <v>24</v>
      </c>
      <c r="E4920">
        <v>60.15</v>
      </c>
      <c r="F4920">
        <v>62</v>
      </c>
      <c r="G4920">
        <v>3729.2999999999902</v>
      </c>
      <c r="H4920" t="s">
        <v>12</v>
      </c>
      <c r="I4920" t="str">
        <f t="shared" si="229"/>
        <v>Medium Value</v>
      </c>
      <c r="J4920" t="str">
        <f t="shared" si="230"/>
        <v>Low Risk</v>
      </c>
      <c r="K4920" s="3" t="str">
        <f t="shared" si="228"/>
        <v>4+ Years</v>
      </c>
    </row>
    <row r="4921" spans="1:11" x14ac:dyDescent="0.3">
      <c r="A4921" t="s">
        <v>4938</v>
      </c>
      <c r="B4921" t="s">
        <v>14</v>
      </c>
      <c r="C4921" t="s">
        <v>30</v>
      </c>
      <c r="D4921" t="s">
        <v>16</v>
      </c>
      <c r="E4921">
        <v>19.05</v>
      </c>
      <c r="F4921">
        <v>30</v>
      </c>
      <c r="G4921">
        <v>571.5</v>
      </c>
      <c r="H4921" t="s">
        <v>12</v>
      </c>
      <c r="I4921" t="str">
        <f t="shared" si="229"/>
        <v>Low Value</v>
      </c>
      <c r="J4921" t="str">
        <f t="shared" si="230"/>
        <v>Low Risk</v>
      </c>
      <c r="K4921" s="3" t="str">
        <f t="shared" si="228"/>
        <v>2-4 Years</v>
      </c>
    </row>
    <row r="4922" spans="1:11" x14ac:dyDescent="0.3">
      <c r="A4922" t="s">
        <v>4939</v>
      </c>
      <c r="B4922" t="s">
        <v>9</v>
      </c>
      <c r="C4922" t="s">
        <v>10</v>
      </c>
      <c r="D4922" t="s">
        <v>11</v>
      </c>
      <c r="E4922">
        <v>46</v>
      </c>
      <c r="F4922">
        <v>4</v>
      </c>
      <c r="G4922">
        <v>184</v>
      </c>
      <c r="H4922" t="s">
        <v>18</v>
      </c>
      <c r="I4922" t="str">
        <f t="shared" si="229"/>
        <v>Low Value</v>
      </c>
      <c r="J4922" t="str">
        <f t="shared" si="230"/>
        <v>High Risk</v>
      </c>
      <c r="K4922" s="3" t="str">
        <f t="shared" si="228"/>
        <v>0-1 Year</v>
      </c>
    </row>
    <row r="4923" spans="1:11" x14ac:dyDescent="0.3">
      <c r="A4923" t="s">
        <v>4940</v>
      </c>
      <c r="B4923" t="s">
        <v>14</v>
      </c>
      <c r="C4923" t="s">
        <v>15</v>
      </c>
      <c r="D4923" t="s">
        <v>20</v>
      </c>
      <c r="E4923">
        <v>84</v>
      </c>
      <c r="F4923">
        <v>63</v>
      </c>
      <c r="G4923">
        <v>5292</v>
      </c>
      <c r="H4923" t="s">
        <v>12</v>
      </c>
      <c r="I4923" t="str">
        <f t="shared" si="229"/>
        <v>High Value</v>
      </c>
      <c r="J4923" t="str">
        <f t="shared" si="230"/>
        <v>Low Risk</v>
      </c>
      <c r="K4923" s="3" t="str">
        <f t="shared" si="228"/>
        <v>4+ Years</v>
      </c>
    </row>
    <row r="4924" spans="1:11" x14ac:dyDescent="0.3">
      <c r="A4924" t="s">
        <v>4941</v>
      </c>
      <c r="B4924" t="s">
        <v>9</v>
      </c>
      <c r="C4924" t="s">
        <v>10</v>
      </c>
      <c r="D4924" t="s">
        <v>24</v>
      </c>
      <c r="E4924">
        <v>44.55</v>
      </c>
      <c r="F4924">
        <v>1</v>
      </c>
      <c r="G4924">
        <v>44.55</v>
      </c>
      <c r="H4924" t="s">
        <v>12</v>
      </c>
      <c r="I4924" t="str">
        <f t="shared" si="229"/>
        <v>Low Value</v>
      </c>
      <c r="J4924" t="str">
        <f t="shared" si="230"/>
        <v>High Risk</v>
      </c>
      <c r="K4924" s="3" t="str">
        <f t="shared" si="228"/>
        <v>0-1 Year</v>
      </c>
    </row>
    <row r="4925" spans="1:11" x14ac:dyDescent="0.3">
      <c r="A4925" t="s">
        <v>4942</v>
      </c>
      <c r="B4925" t="s">
        <v>14</v>
      </c>
      <c r="C4925" t="s">
        <v>10</v>
      </c>
      <c r="D4925" t="s">
        <v>11</v>
      </c>
      <c r="E4925">
        <v>103.45</v>
      </c>
      <c r="F4925">
        <v>15</v>
      </c>
      <c r="G4925">
        <v>1551.75</v>
      </c>
      <c r="H4925" t="s">
        <v>12</v>
      </c>
      <c r="I4925" t="str">
        <f t="shared" si="229"/>
        <v>Low Value</v>
      </c>
      <c r="J4925" t="str">
        <f t="shared" si="230"/>
        <v>Medium Risk</v>
      </c>
      <c r="K4925" s="3" t="str">
        <f t="shared" si="228"/>
        <v>1-2 Years</v>
      </c>
    </row>
    <row r="4926" spans="1:11" x14ac:dyDescent="0.3">
      <c r="A4926" t="s">
        <v>4943</v>
      </c>
      <c r="B4926" t="s">
        <v>14</v>
      </c>
      <c r="C4926" t="s">
        <v>15</v>
      </c>
      <c r="D4926" t="s">
        <v>24</v>
      </c>
      <c r="E4926">
        <v>80.650000000000006</v>
      </c>
      <c r="F4926">
        <v>27</v>
      </c>
      <c r="G4926">
        <v>2177.5500000000002</v>
      </c>
      <c r="H4926" t="s">
        <v>12</v>
      </c>
      <c r="I4926" t="str">
        <f t="shared" si="229"/>
        <v>Medium Value</v>
      </c>
      <c r="J4926" t="str">
        <f t="shared" si="230"/>
        <v>Low Risk</v>
      </c>
      <c r="K4926" s="3" t="str">
        <f t="shared" si="228"/>
        <v>2-4 Years</v>
      </c>
    </row>
    <row r="4927" spans="1:11" x14ac:dyDescent="0.3">
      <c r="A4927" t="s">
        <v>4944</v>
      </c>
      <c r="B4927" t="s">
        <v>9</v>
      </c>
      <c r="C4927" t="s">
        <v>10</v>
      </c>
      <c r="D4927" t="s">
        <v>16</v>
      </c>
      <c r="E4927">
        <v>57.2</v>
      </c>
      <c r="F4927">
        <v>4</v>
      </c>
      <c r="G4927">
        <v>228.8</v>
      </c>
      <c r="H4927" t="s">
        <v>12</v>
      </c>
      <c r="I4927" t="str">
        <f t="shared" si="229"/>
        <v>Low Value</v>
      </c>
      <c r="J4927" t="str">
        <f t="shared" si="230"/>
        <v>High Risk</v>
      </c>
      <c r="K4927" s="3" t="str">
        <f t="shared" si="228"/>
        <v>0-1 Year</v>
      </c>
    </row>
    <row r="4928" spans="1:11" x14ac:dyDescent="0.3">
      <c r="A4928" t="s">
        <v>4945</v>
      </c>
      <c r="B4928" t="s">
        <v>9</v>
      </c>
      <c r="C4928" t="s">
        <v>30</v>
      </c>
      <c r="D4928" t="s">
        <v>11</v>
      </c>
      <c r="E4928">
        <v>110.75</v>
      </c>
      <c r="F4928">
        <v>72</v>
      </c>
      <c r="G4928">
        <v>7974</v>
      </c>
      <c r="H4928" t="s">
        <v>12</v>
      </c>
      <c r="I4928" t="str">
        <f t="shared" si="229"/>
        <v>High Value</v>
      </c>
      <c r="J4928" t="str">
        <f t="shared" si="230"/>
        <v>Low Risk</v>
      </c>
      <c r="K4928" s="3" t="str">
        <f t="shared" si="228"/>
        <v>4+ Years</v>
      </c>
    </row>
    <row r="4929" spans="1:11" x14ac:dyDescent="0.3">
      <c r="A4929" t="s">
        <v>4946</v>
      </c>
      <c r="B4929" t="s">
        <v>14</v>
      </c>
      <c r="C4929" t="s">
        <v>15</v>
      </c>
      <c r="D4929" t="s">
        <v>24</v>
      </c>
      <c r="E4929">
        <v>24.7</v>
      </c>
      <c r="F4929">
        <v>45</v>
      </c>
      <c r="G4929">
        <v>1111.5</v>
      </c>
      <c r="H4929" t="s">
        <v>12</v>
      </c>
      <c r="I4929" t="str">
        <f t="shared" si="229"/>
        <v>Low Value</v>
      </c>
      <c r="J4929" t="str">
        <f t="shared" si="230"/>
        <v>Low Risk</v>
      </c>
      <c r="K4929" s="3" t="str">
        <f t="shared" si="228"/>
        <v>2-4 Years</v>
      </c>
    </row>
    <row r="4930" spans="1:11" x14ac:dyDescent="0.3">
      <c r="A4930" t="s">
        <v>4947</v>
      </c>
      <c r="B4930" t="s">
        <v>9</v>
      </c>
      <c r="C4930" t="s">
        <v>10</v>
      </c>
      <c r="D4930" t="s">
        <v>11</v>
      </c>
      <c r="E4930">
        <v>97.05</v>
      </c>
      <c r="F4930">
        <v>45</v>
      </c>
      <c r="G4930">
        <v>4367.25</v>
      </c>
      <c r="H4930" t="s">
        <v>12</v>
      </c>
      <c r="I4930" t="str">
        <f t="shared" si="229"/>
        <v>Medium Value</v>
      </c>
      <c r="J4930" t="str">
        <f t="shared" si="230"/>
        <v>Low Risk</v>
      </c>
      <c r="K4930" s="3" t="str">
        <f t="shared" si="228"/>
        <v>2-4 Years</v>
      </c>
    </row>
    <row r="4931" spans="1:11" x14ac:dyDescent="0.3">
      <c r="A4931" t="s">
        <v>4948</v>
      </c>
      <c r="B4931" t="s">
        <v>9</v>
      </c>
      <c r="C4931" t="s">
        <v>15</v>
      </c>
      <c r="D4931" t="s">
        <v>16</v>
      </c>
      <c r="E4931">
        <v>76.349999999999994</v>
      </c>
      <c r="F4931">
        <v>36</v>
      </c>
      <c r="G4931">
        <v>2748.6</v>
      </c>
      <c r="H4931" t="s">
        <v>12</v>
      </c>
      <c r="I4931" t="str">
        <f t="shared" si="229"/>
        <v>Medium Value</v>
      </c>
      <c r="J4931" t="str">
        <f t="shared" si="230"/>
        <v>Low Risk</v>
      </c>
      <c r="K4931" s="3" t="str">
        <f t="shared" ref="K4931:K4994" si="231">IF(F4931&lt;=12,"0-1 Year",
IF(F4931&lt;=24,"1-2 Years",
IF(F4931&lt;=48,"2-4 Years","4+ Years")))</f>
        <v>2-4 Years</v>
      </c>
    </row>
    <row r="4932" spans="1:11" x14ac:dyDescent="0.3">
      <c r="A4932" t="s">
        <v>4949</v>
      </c>
      <c r="B4932" t="s">
        <v>14</v>
      </c>
      <c r="C4932" t="s">
        <v>10</v>
      </c>
      <c r="D4932" t="s">
        <v>11</v>
      </c>
      <c r="E4932">
        <v>89.4</v>
      </c>
      <c r="F4932">
        <v>17</v>
      </c>
      <c r="G4932">
        <v>1519.8</v>
      </c>
      <c r="H4932" t="s">
        <v>18</v>
      </c>
      <c r="I4932" t="str">
        <f t="shared" ref="I4932:I4995" si="232">IF(G4932&gt;5000,"High Value",
IF(G4932&gt;2000,"Medium Value","Low Value"))</f>
        <v>Low Value</v>
      </c>
      <c r="J4932" t="str">
        <f t="shared" ref="J4932:J4995" si="233">IF(F4932&lt;12,"High Risk",
IF(F4932&lt;24,"Medium Risk","Low Risk"))</f>
        <v>Medium Risk</v>
      </c>
      <c r="K4932" s="3" t="str">
        <f t="shared" si="231"/>
        <v>1-2 Years</v>
      </c>
    </row>
    <row r="4933" spans="1:11" x14ac:dyDescent="0.3">
      <c r="A4933" t="s">
        <v>4950</v>
      </c>
      <c r="B4933" t="s">
        <v>14</v>
      </c>
      <c r="C4933" t="s">
        <v>10</v>
      </c>
      <c r="D4933" t="s">
        <v>16</v>
      </c>
      <c r="E4933">
        <v>18.899999999999999</v>
      </c>
      <c r="F4933">
        <v>1</v>
      </c>
      <c r="G4933">
        <v>18.899999999999999</v>
      </c>
      <c r="H4933" t="s">
        <v>12</v>
      </c>
      <c r="I4933" t="str">
        <f t="shared" si="232"/>
        <v>Low Value</v>
      </c>
      <c r="J4933" t="str">
        <f t="shared" si="233"/>
        <v>High Risk</v>
      </c>
      <c r="K4933" s="3" t="str">
        <f t="shared" si="231"/>
        <v>0-1 Year</v>
      </c>
    </row>
    <row r="4934" spans="1:11" x14ac:dyDescent="0.3">
      <c r="A4934" t="s">
        <v>4951</v>
      </c>
      <c r="B4934" t="s">
        <v>14</v>
      </c>
      <c r="C4934" t="s">
        <v>10</v>
      </c>
      <c r="D4934" t="s">
        <v>20</v>
      </c>
      <c r="E4934">
        <v>74.45</v>
      </c>
      <c r="F4934">
        <v>16</v>
      </c>
      <c r="G4934">
        <v>1191.2</v>
      </c>
      <c r="H4934" t="s">
        <v>12</v>
      </c>
      <c r="I4934" t="str">
        <f t="shared" si="232"/>
        <v>Low Value</v>
      </c>
      <c r="J4934" t="str">
        <f t="shared" si="233"/>
        <v>Medium Risk</v>
      </c>
      <c r="K4934" s="3" t="str">
        <f t="shared" si="231"/>
        <v>1-2 Years</v>
      </c>
    </row>
    <row r="4935" spans="1:11" x14ac:dyDescent="0.3">
      <c r="A4935" t="s">
        <v>4952</v>
      </c>
      <c r="B4935" t="s">
        <v>14</v>
      </c>
      <c r="C4935" t="s">
        <v>10</v>
      </c>
      <c r="D4935" t="s">
        <v>16</v>
      </c>
      <c r="E4935">
        <v>19.8</v>
      </c>
      <c r="F4935">
        <v>3</v>
      </c>
      <c r="G4935">
        <v>59.4</v>
      </c>
      <c r="H4935" t="s">
        <v>18</v>
      </c>
      <c r="I4935" t="str">
        <f t="shared" si="232"/>
        <v>Low Value</v>
      </c>
      <c r="J4935" t="str">
        <f t="shared" si="233"/>
        <v>High Risk</v>
      </c>
      <c r="K4935" s="3" t="str">
        <f t="shared" si="231"/>
        <v>0-1 Year</v>
      </c>
    </row>
    <row r="4936" spans="1:11" x14ac:dyDescent="0.3">
      <c r="A4936" t="s">
        <v>4953</v>
      </c>
      <c r="B4936" t="s">
        <v>14</v>
      </c>
      <c r="C4936" t="s">
        <v>10</v>
      </c>
      <c r="D4936" t="s">
        <v>11</v>
      </c>
      <c r="E4936">
        <v>50.9</v>
      </c>
      <c r="F4936">
        <v>4</v>
      </c>
      <c r="G4936">
        <v>203.6</v>
      </c>
      <c r="H4936" t="s">
        <v>18</v>
      </c>
      <c r="I4936" t="str">
        <f t="shared" si="232"/>
        <v>Low Value</v>
      </c>
      <c r="J4936" t="str">
        <f t="shared" si="233"/>
        <v>High Risk</v>
      </c>
      <c r="K4936" s="3" t="str">
        <f t="shared" si="231"/>
        <v>0-1 Year</v>
      </c>
    </row>
    <row r="4937" spans="1:11" x14ac:dyDescent="0.3">
      <c r="A4937" t="s">
        <v>4954</v>
      </c>
      <c r="B4937" t="s">
        <v>9</v>
      </c>
      <c r="C4937" t="s">
        <v>30</v>
      </c>
      <c r="D4937" t="s">
        <v>24</v>
      </c>
      <c r="E4937">
        <v>84.4</v>
      </c>
      <c r="F4937">
        <v>71</v>
      </c>
      <c r="G4937">
        <v>5992.4</v>
      </c>
      <c r="H4937" t="s">
        <v>12</v>
      </c>
      <c r="I4937" t="str">
        <f t="shared" si="232"/>
        <v>High Value</v>
      </c>
      <c r="J4937" t="str">
        <f t="shared" si="233"/>
        <v>Low Risk</v>
      </c>
      <c r="K4937" s="3" t="str">
        <f t="shared" si="231"/>
        <v>4+ Years</v>
      </c>
    </row>
    <row r="4938" spans="1:11" x14ac:dyDescent="0.3">
      <c r="A4938" t="s">
        <v>4955</v>
      </c>
      <c r="B4938" t="s">
        <v>14</v>
      </c>
      <c r="C4938" t="s">
        <v>10</v>
      </c>
      <c r="D4938" t="s">
        <v>16</v>
      </c>
      <c r="E4938">
        <v>24.4</v>
      </c>
      <c r="F4938">
        <v>10</v>
      </c>
      <c r="G4938">
        <v>244</v>
      </c>
      <c r="H4938" t="s">
        <v>12</v>
      </c>
      <c r="I4938" t="str">
        <f t="shared" si="232"/>
        <v>Low Value</v>
      </c>
      <c r="J4938" t="str">
        <f t="shared" si="233"/>
        <v>High Risk</v>
      </c>
      <c r="K4938" s="3" t="str">
        <f t="shared" si="231"/>
        <v>0-1 Year</v>
      </c>
    </row>
    <row r="4939" spans="1:11" x14ac:dyDescent="0.3">
      <c r="A4939" t="s">
        <v>4956</v>
      </c>
      <c r="B4939" t="s">
        <v>14</v>
      </c>
      <c r="C4939" t="s">
        <v>30</v>
      </c>
      <c r="D4939" t="s">
        <v>16</v>
      </c>
      <c r="E4939">
        <v>20.05</v>
      </c>
      <c r="F4939">
        <v>20</v>
      </c>
      <c r="G4939">
        <v>401</v>
      </c>
      <c r="H4939" t="s">
        <v>12</v>
      </c>
      <c r="I4939" t="str">
        <f t="shared" si="232"/>
        <v>Low Value</v>
      </c>
      <c r="J4939" t="str">
        <f t="shared" si="233"/>
        <v>Medium Risk</v>
      </c>
      <c r="K4939" s="3" t="str">
        <f t="shared" si="231"/>
        <v>1-2 Years</v>
      </c>
    </row>
    <row r="4940" spans="1:11" x14ac:dyDescent="0.3">
      <c r="A4940" t="s">
        <v>4957</v>
      </c>
      <c r="B4940" t="s">
        <v>14</v>
      </c>
      <c r="C4940" t="s">
        <v>10</v>
      </c>
      <c r="D4940" t="s">
        <v>11</v>
      </c>
      <c r="E4940">
        <v>81</v>
      </c>
      <c r="F4940">
        <v>4</v>
      </c>
      <c r="G4940">
        <v>324</v>
      </c>
      <c r="H4940" t="s">
        <v>18</v>
      </c>
      <c r="I4940" t="str">
        <f t="shared" si="232"/>
        <v>Low Value</v>
      </c>
      <c r="J4940" t="str">
        <f t="shared" si="233"/>
        <v>High Risk</v>
      </c>
      <c r="K4940" s="3" t="str">
        <f t="shared" si="231"/>
        <v>0-1 Year</v>
      </c>
    </row>
    <row r="4941" spans="1:11" x14ac:dyDescent="0.3">
      <c r="A4941" t="s">
        <v>4958</v>
      </c>
      <c r="B4941" t="s">
        <v>14</v>
      </c>
      <c r="C4941" t="s">
        <v>10</v>
      </c>
      <c r="D4941" t="s">
        <v>11</v>
      </c>
      <c r="E4941">
        <v>98.35</v>
      </c>
      <c r="F4941">
        <v>26</v>
      </c>
      <c r="G4941">
        <v>2557.1</v>
      </c>
      <c r="H4941" t="s">
        <v>18</v>
      </c>
      <c r="I4941" t="str">
        <f t="shared" si="232"/>
        <v>Medium Value</v>
      </c>
      <c r="J4941" t="str">
        <f t="shared" si="233"/>
        <v>Low Risk</v>
      </c>
      <c r="K4941" s="3" t="str">
        <f t="shared" si="231"/>
        <v>2-4 Years</v>
      </c>
    </row>
    <row r="4942" spans="1:11" x14ac:dyDescent="0.3">
      <c r="A4942" t="s">
        <v>4959</v>
      </c>
      <c r="B4942" t="s">
        <v>9</v>
      </c>
      <c r="C4942" t="s">
        <v>10</v>
      </c>
      <c r="D4942" t="s">
        <v>24</v>
      </c>
      <c r="E4942">
        <v>55.5</v>
      </c>
      <c r="F4942">
        <v>4</v>
      </c>
      <c r="G4942">
        <v>222</v>
      </c>
      <c r="H4942" t="s">
        <v>12</v>
      </c>
      <c r="I4942" t="str">
        <f t="shared" si="232"/>
        <v>Low Value</v>
      </c>
      <c r="J4942" t="str">
        <f t="shared" si="233"/>
        <v>High Risk</v>
      </c>
      <c r="K4942" s="3" t="str">
        <f t="shared" si="231"/>
        <v>0-1 Year</v>
      </c>
    </row>
    <row r="4943" spans="1:11" x14ac:dyDescent="0.3">
      <c r="A4943" t="s">
        <v>4960</v>
      </c>
      <c r="B4943" t="s">
        <v>14</v>
      </c>
      <c r="C4943" t="s">
        <v>10</v>
      </c>
      <c r="D4943" t="s">
        <v>16</v>
      </c>
      <c r="E4943">
        <v>51</v>
      </c>
      <c r="F4943">
        <v>5</v>
      </c>
      <c r="G4943">
        <v>255</v>
      </c>
      <c r="H4943" t="s">
        <v>18</v>
      </c>
      <c r="I4943" t="str">
        <f t="shared" si="232"/>
        <v>Low Value</v>
      </c>
      <c r="J4943" t="str">
        <f t="shared" si="233"/>
        <v>High Risk</v>
      </c>
      <c r="K4943" s="3" t="str">
        <f t="shared" si="231"/>
        <v>0-1 Year</v>
      </c>
    </row>
    <row r="4944" spans="1:11" x14ac:dyDescent="0.3">
      <c r="A4944" t="s">
        <v>4961</v>
      </c>
      <c r="B4944" t="s">
        <v>9</v>
      </c>
      <c r="C4944" t="s">
        <v>10</v>
      </c>
      <c r="D4944" t="s">
        <v>11</v>
      </c>
      <c r="E4944">
        <v>91.65</v>
      </c>
      <c r="F4944">
        <v>4</v>
      </c>
      <c r="G4944">
        <v>366.6</v>
      </c>
      <c r="H4944" t="s">
        <v>18</v>
      </c>
      <c r="I4944" t="str">
        <f t="shared" si="232"/>
        <v>Low Value</v>
      </c>
      <c r="J4944" t="str">
        <f t="shared" si="233"/>
        <v>High Risk</v>
      </c>
      <c r="K4944" s="3" t="str">
        <f t="shared" si="231"/>
        <v>0-1 Year</v>
      </c>
    </row>
    <row r="4945" spans="1:11" x14ac:dyDescent="0.3">
      <c r="A4945" t="s">
        <v>4962</v>
      </c>
      <c r="B4945" t="s">
        <v>14</v>
      </c>
      <c r="C4945" t="s">
        <v>10</v>
      </c>
      <c r="D4945" t="s">
        <v>11</v>
      </c>
      <c r="E4945">
        <v>84.3</v>
      </c>
      <c r="F4945">
        <v>29</v>
      </c>
      <c r="G4945">
        <v>2444.6999999999998</v>
      </c>
      <c r="H4945" t="s">
        <v>12</v>
      </c>
      <c r="I4945" t="str">
        <f t="shared" si="232"/>
        <v>Medium Value</v>
      </c>
      <c r="J4945" t="str">
        <f t="shared" si="233"/>
        <v>Low Risk</v>
      </c>
      <c r="K4945" s="3" t="str">
        <f t="shared" si="231"/>
        <v>2-4 Years</v>
      </c>
    </row>
    <row r="4946" spans="1:11" x14ac:dyDescent="0.3">
      <c r="A4946" t="s">
        <v>4963</v>
      </c>
      <c r="B4946" t="s">
        <v>14</v>
      </c>
      <c r="C4946" t="s">
        <v>10</v>
      </c>
      <c r="D4946" t="s">
        <v>11</v>
      </c>
      <c r="E4946">
        <v>100.2</v>
      </c>
      <c r="F4946">
        <v>2</v>
      </c>
      <c r="G4946">
        <v>200.4</v>
      </c>
      <c r="H4946" t="s">
        <v>12</v>
      </c>
      <c r="I4946" t="str">
        <f t="shared" si="232"/>
        <v>Low Value</v>
      </c>
      <c r="J4946" t="str">
        <f t="shared" si="233"/>
        <v>High Risk</v>
      </c>
      <c r="K4946" s="3" t="str">
        <f t="shared" si="231"/>
        <v>0-1 Year</v>
      </c>
    </row>
    <row r="4947" spans="1:11" x14ac:dyDescent="0.3">
      <c r="A4947" t="s">
        <v>4964</v>
      </c>
      <c r="B4947" t="s">
        <v>9</v>
      </c>
      <c r="C4947" t="s">
        <v>30</v>
      </c>
      <c r="D4947" t="s">
        <v>16</v>
      </c>
      <c r="E4947">
        <v>19.399999999999999</v>
      </c>
      <c r="F4947">
        <v>29</v>
      </c>
      <c r="G4947">
        <v>562.599999999999</v>
      </c>
      <c r="H4947" t="s">
        <v>12</v>
      </c>
      <c r="I4947" t="str">
        <f t="shared" si="232"/>
        <v>Low Value</v>
      </c>
      <c r="J4947" t="str">
        <f t="shared" si="233"/>
        <v>Low Risk</v>
      </c>
      <c r="K4947" s="3" t="str">
        <f t="shared" si="231"/>
        <v>2-4 Years</v>
      </c>
    </row>
    <row r="4948" spans="1:11" x14ac:dyDescent="0.3">
      <c r="A4948" t="s">
        <v>4965</v>
      </c>
      <c r="B4948" t="s">
        <v>14</v>
      </c>
      <c r="C4948" t="s">
        <v>10</v>
      </c>
      <c r="D4948" t="s">
        <v>11</v>
      </c>
      <c r="E4948">
        <v>90.85</v>
      </c>
      <c r="F4948">
        <v>1</v>
      </c>
      <c r="G4948">
        <v>90.85</v>
      </c>
      <c r="H4948" t="s">
        <v>18</v>
      </c>
      <c r="I4948" t="str">
        <f t="shared" si="232"/>
        <v>Low Value</v>
      </c>
      <c r="J4948" t="str">
        <f t="shared" si="233"/>
        <v>High Risk</v>
      </c>
      <c r="K4948" s="3" t="str">
        <f t="shared" si="231"/>
        <v>0-1 Year</v>
      </c>
    </row>
    <row r="4949" spans="1:11" x14ac:dyDescent="0.3">
      <c r="A4949" t="s">
        <v>4966</v>
      </c>
      <c r="B4949" t="s">
        <v>14</v>
      </c>
      <c r="C4949" t="s">
        <v>10</v>
      </c>
      <c r="D4949" t="s">
        <v>16</v>
      </c>
      <c r="E4949">
        <v>69.400000000000006</v>
      </c>
      <c r="F4949">
        <v>1</v>
      </c>
      <c r="G4949">
        <v>69.400000000000006</v>
      </c>
      <c r="H4949" t="s">
        <v>18</v>
      </c>
      <c r="I4949" t="str">
        <f t="shared" si="232"/>
        <v>Low Value</v>
      </c>
      <c r="J4949" t="str">
        <f t="shared" si="233"/>
        <v>High Risk</v>
      </c>
      <c r="K4949" s="3" t="str">
        <f t="shared" si="231"/>
        <v>0-1 Year</v>
      </c>
    </row>
    <row r="4950" spans="1:11" x14ac:dyDescent="0.3">
      <c r="A4950" t="s">
        <v>4967</v>
      </c>
      <c r="B4950" t="s">
        <v>9</v>
      </c>
      <c r="C4950" t="s">
        <v>10</v>
      </c>
      <c r="D4950" t="s">
        <v>24</v>
      </c>
      <c r="E4950">
        <v>94.45</v>
      </c>
      <c r="F4950">
        <v>8</v>
      </c>
      <c r="G4950">
        <v>755.6</v>
      </c>
      <c r="H4950" t="s">
        <v>18</v>
      </c>
      <c r="I4950" t="str">
        <f t="shared" si="232"/>
        <v>Low Value</v>
      </c>
      <c r="J4950" t="str">
        <f t="shared" si="233"/>
        <v>High Risk</v>
      </c>
      <c r="K4950" s="3" t="str">
        <f t="shared" si="231"/>
        <v>0-1 Year</v>
      </c>
    </row>
    <row r="4951" spans="1:11" x14ac:dyDescent="0.3">
      <c r="A4951" t="s">
        <v>4968</v>
      </c>
      <c r="B4951" t="s">
        <v>14</v>
      </c>
      <c r="C4951" t="s">
        <v>10</v>
      </c>
      <c r="D4951" t="s">
        <v>11</v>
      </c>
      <c r="E4951">
        <v>20.399999999999999</v>
      </c>
      <c r="F4951">
        <v>13</v>
      </c>
      <c r="G4951">
        <v>265.2</v>
      </c>
      <c r="H4951" t="s">
        <v>12</v>
      </c>
      <c r="I4951" t="str">
        <f t="shared" si="232"/>
        <v>Low Value</v>
      </c>
      <c r="J4951" t="str">
        <f t="shared" si="233"/>
        <v>Medium Risk</v>
      </c>
      <c r="K4951" s="3" t="str">
        <f t="shared" si="231"/>
        <v>1-2 Years</v>
      </c>
    </row>
    <row r="4952" spans="1:11" x14ac:dyDescent="0.3">
      <c r="A4952" t="s">
        <v>4969</v>
      </c>
      <c r="B4952" t="s">
        <v>9</v>
      </c>
      <c r="C4952" t="s">
        <v>10</v>
      </c>
      <c r="D4952" t="s">
        <v>11</v>
      </c>
      <c r="E4952">
        <v>94.75</v>
      </c>
      <c r="F4952">
        <v>59</v>
      </c>
      <c r="G4952">
        <v>5590.25</v>
      </c>
      <c r="H4952" t="s">
        <v>12</v>
      </c>
      <c r="I4952" t="str">
        <f t="shared" si="232"/>
        <v>High Value</v>
      </c>
      <c r="J4952" t="str">
        <f t="shared" si="233"/>
        <v>Low Risk</v>
      </c>
      <c r="K4952" s="3" t="str">
        <f t="shared" si="231"/>
        <v>4+ Years</v>
      </c>
    </row>
    <row r="4953" spans="1:11" x14ac:dyDescent="0.3">
      <c r="A4953" t="s">
        <v>4970</v>
      </c>
      <c r="B4953" t="s">
        <v>9</v>
      </c>
      <c r="C4953" t="s">
        <v>10</v>
      </c>
      <c r="D4953" t="s">
        <v>24</v>
      </c>
      <c r="E4953">
        <v>20.149999999999999</v>
      </c>
      <c r="F4953">
        <v>1</v>
      </c>
      <c r="G4953">
        <v>20.149999999999999</v>
      </c>
      <c r="H4953" t="s">
        <v>18</v>
      </c>
      <c r="I4953" t="str">
        <f t="shared" si="232"/>
        <v>Low Value</v>
      </c>
      <c r="J4953" t="str">
        <f t="shared" si="233"/>
        <v>High Risk</v>
      </c>
      <c r="K4953" s="3" t="str">
        <f t="shared" si="231"/>
        <v>0-1 Year</v>
      </c>
    </row>
    <row r="4954" spans="1:11" x14ac:dyDescent="0.3">
      <c r="A4954" t="s">
        <v>4971</v>
      </c>
      <c r="B4954" t="s">
        <v>14</v>
      </c>
      <c r="C4954" t="s">
        <v>10</v>
      </c>
      <c r="D4954" t="s">
        <v>11</v>
      </c>
      <c r="E4954">
        <v>95.7</v>
      </c>
      <c r="F4954">
        <v>50</v>
      </c>
      <c r="G4954">
        <v>4785</v>
      </c>
      <c r="H4954" t="s">
        <v>18</v>
      </c>
      <c r="I4954" t="str">
        <f t="shared" si="232"/>
        <v>Medium Value</v>
      </c>
      <c r="J4954" t="str">
        <f t="shared" si="233"/>
        <v>Low Risk</v>
      </c>
      <c r="K4954" s="3" t="str">
        <f t="shared" si="231"/>
        <v>4+ Years</v>
      </c>
    </row>
    <row r="4955" spans="1:11" x14ac:dyDescent="0.3">
      <c r="A4955" t="s">
        <v>4972</v>
      </c>
      <c r="B4955" t="s">
        <v>14</v>
      </c>
      <c r="C4955" t="s">
        <v>10</v>
      </c>
      <c r="D4955" t="s">
        <v>20</v>
      </c>
      <c r="E4955">
        <v>44.35</v>
      </c>
      <c r="F4955">
        <v>18</v>
      </c>
      <c r="G4955">
        <v>798.3</v>
      </c>
      <c r="H4955" t="s">
        <v>12</v>
      </c>
      <c r="I4955" t="str">
        <f t="shared" si="232"/>
        <v>Low Value</v>
      </c>
      <c r="J4955" t="str">
        <f t="shared" si="233"/>
        <v>Medium Risk</v>
      </c>
      <c r="K4955" s="3" t="str">
        <f t="shared" si="231"/>
        <v>1-2 Years</v>
      </c>
    </row>
    <row r="4956" spans="1:11" x14ac:dyDescent="0.3">
      <c r="A4956" t="s">
        <v>4973</v>
      </c>
      <c r="B4956" t="s">
        <v>9</v>
      </c>
      <c r="C4956" t="s">
        <v>10</v>
      </c>
      <c r="D4956" t="s">
        <v>16</v>
      </c>
      <c r="E4956">
        <v>74.55</v>
      </c>
      <c r="F4956">
        <v>17</v>
      </c>
      <c r="G4956">
        <v>1267.3499999999999</v>
      </c>
      <c r="H4956" t="s">
        <v>12</v>
      </c>
      <c r="I4956" t="str">
        <f t="shared" si="232"/>
        <v>Low Value</v>
      </c>
      <c r="J4956" t="str">
        <f t="shared" si="233"/>
        <v>Medium Risk</v>
      </c>
      <c r="K4956" s="3" t="str">
        <f t="shared" si="231"/>
        <v>1-2 Years</v>
      </c>
    </row>
    <row r="4957" spans="1:11" x14ac:dyDescent="0.3">
      <c r="A4957" t="s">
        <v>4974</v>
      </c>
      <c r="B4957" t="s">
        <v>14</v>
      </c>
      <c r="C4957" t="s">
        <v>30</v>
      </c>
      <c r="D4957" t="s">
        <v>11</v>
      </c>
      <c r="E4957">
        <v>73.599999999999994</v>
      </c>
      <c r="F4957">
        <v>47</v>
      </c>
      <c r="G4957">
        <v>3459.2</v>
      </c>
      <c r="H4957" t="s">
        <v>12</v>
      </c>
      <c r="I4957" t="str">
        <f t="shared" si="232"/>
        <v>Medium Value</v>
      </c>
      <c r="J4957" t="str">
        <f t="shared" si="233"/>
        <v>Low Risk</v>
      </c>
      <c r="K4957" s="3" t="str">
        <f t="shared" si="231"/>
        <v>2-4 Years</v>
      </c>
    </row>
    <row r="4958" spans="1:11" x14ac:dyDescent="0.3">
      <c r="A4958" t="s">
        <v>4975</v>
      </c>
      <c r="B4958" t="s">
        <v>9</v>
      </c>
      <c r="C4958" t="s">
        <v>10</v>
      </c>
      <c r="D4958" t="s">
        <v>20</v>
      </c>
      <c r="E4958">
        <v>74.95</v>
      </c>
      <c r="F4958">
        <v>26</v>
      </c>
      <c r="G4958">
        <v>1948.7</v>
      </c>
      <c r="H4958" t="s">
        <v>18</v>
      </c>
      <c r="I4958" t="str">
        <f t="shared" si="232"/>
        <v>Low Value</v>
      </c>
      <c r="J4958" t="str">
        <f t="shared" si="233"/>
        <v>Low Risk</v>
      </c>
      <c r="K4958" s="3" t="str">
        <f t="shared" si="231"/>
        <v>2-4 Years</v>
      </c>
    </row>
    <row r="4959" spans="1:11" x14ac:dyDescent="0.3">
      <c r="A4959" t="s">
        <v>4976</v>
      </c>
      <c r="B4959" t="s">
        <v>9</v>
      </c>
      <c r="C4959" t="s">
        <v>10</v>
      </c>
      <c r="D4959" t="s">
        <v>11</v>
      </c>
      <c r="E4959">
        <v>47.95</v>
      </c>
      <c r="F4959">
        <v>6</v>
      </c>
      <c r="G4959">
        <v>287.7</v>
      </c>
      <c r="H4959" t="s">
        <v>18</v>
      </c>
      <c r="I4959" t="str">
        <f t="shared" si="232"/>
        <v>Low Value</v>
      </c>
      <c r="J4959" t="str">
        <f t="shared" si="233"/>
        <v>High Risk</v>
      </c>
      <c r="K4959" s="3" t="str">
        <f t="shared" si="231"/>
        <v>0-1 Year</v>
      </c>
    </row>
    <row r="4960" spans="1:11" x14ac:dyDescent="0.3">
      <c r="A4960" t="s">
        <v>4977</v>
      </c>
      <c r="B4960" t="s">
        <v>14</v>
      </c>
      <c r="C4960" t="s">
        <v>10</v>
      </c>
      <c r="D4960" t="s">
        <v>24</v>
      </c>
      <c r="E4960">
        <v>50.1</v>
      </c>
      <c r="F4960">
        <v>19</v>
      </c>
      <c r="G4960">
        <v>951.9</v>
      </c>
      <c r="H4960" t="s">
        <v>12</v>
      </c>
      <c r="I4960" t="str">
        <f t="shared" si="232"/>
        <v>Low Value</v>
      </c>
      <c r="J4960" t="str">
        <f t="shared" si="233"/>
        <v>Medium Risk</v>
      </c>
      <c r="K4960" s="3" t="str">
        <f t="shared" si="231"/>
        <v>1-2 Years</v>
      </c>
    </row>
    <row r="4961" spans="1:11" x14ac:dyDescent="0.3">
      <c r="A4961" t="s">
        <v>4978</v>
      </c>
      <c r="B4961" t="s">
        <v>9</v>
      </c>
      <c r="C4961" t="s">
        <v>10</v>
      </c>
      <c r="D4961" t="s">
        <v>11</v>
      </c>
      <c r="E4961">
        <v>63.6</v>
      </c>
      <c r="F4961">
        <v>3</v>
      </c>
      <c r="G4961">
        <v>190.8</v>
      </c>
      <c r="H4961" t="s">
        <v>18</v>
      </c>
      <c r="I4961" t="str">
        <f t="shared" si="232"/>
        <v>Low Value</v>
      </c>
      <c r="J4961" t="str">
        <f t="shared" si="233"/>
        <v>High Risk</v>
      </c>
      <c r="K4961" s="3" t="str">
        <f t="shared" si="231"/>
        <v>0-1 Year</v>
      </c>
    </row>
    <row r="4962" spans="1:11" x14ac:dyDescent="0.3">
      <c r="A4962" t="s">
        <v>4979</v>
      </c>
      <c r="B4962" t="s">
        <v>9</v>
      </c>
      <c r="C4962" t="s">
        <v>30</v>
      </c>
      <c r="D4962" t="s">
        <v>11</v>
      </c>
      <c r="E4962">
        <v>53</v>
      </c>
      <c r="F4962">
        <v>68</v>
      </c>
      <c r="G4962">
        <v>3604</v>
      </c>
      <c r="H4962" t="s">
        <v>12</v>
      </c>
      <c r="I4962" t="str">
        <f t="shared" si="232"/>
        <v>Medium Value</v>
      </c>
      <c r="J4962" t="str">
        <f t="shared" si="233"/>
        <v>Low Risk</v>
      </c>
      <c r="K4962" s="3" t="str">
        <f t="shared" si="231"/>
        <v>4+ Years</v>
      </c>
    </row>
    <row r="4963" spans="1:11" x14ac:dyDescent="0.3">
      <c r="A4963" t="s">
        <v>4980</v>
      </c>
      <c r="B4963" t="s">
        <v>9</v>
      </c>
      <c r="C4963" t="s">
        <v>10</v>
      </c>
      <c r="D4963" t="s">
        <v>20</v>
      </c>
      <c r="E4963">
        <v>19.850000000000001</v>
      </c>
      <c r="F4963">
        <v>2</v>
      </c>
      <c r="G4963">
        <v>39.700000000000003</v>
      </c>
      <c r="H4963" t="s">
        <v>12</v>
      </c>
      <c r="I4963" t="str">
        <f t="shared" si="232"/>
        <v>Low Value</v>
      </c>
      <c r="J4963" t="str">
        <f t="shared" si="233"/>
        <v>High Risk</v>
      </c>
      <c r="K4963" s="3" t="str">
        <f t="shared" si="231"/>
        <v>0-1 Year</v>
      </c>
    </row>
    <row r="4964" spans="1:11" x14ac:dyDescent="0.3">
      <c r="A4964" t="s">
        <v>4981</v>
      </c>
      <c r="B4964" t="s">
        <v>14</v>
      </c>
      <c r="C4964" t="s">
        <v>15</v>
      </c>
      <c r="D4964" t="s">
        <v>24</v>
      </c>
      <c r="E4964">
        <v>24.35</v>
      </c>
      <c r="F4964">
        <v>7</v>
      </c>
      <c r="G4964">
        <v>170.45</v>
      </c>
      <c r="H4964" t="s">
        <v>12</v>
      </c>
      <c r="I4964" t="str">
        <f t="shared" si="232"/>
        <v>Low Value</v>
      </c>
      <c r="J4964" t="str">
        <f t="shared" si="233"/>
        <v>High Risk</v>
      </c>
      <c r="K4964" s="3" t="str">
        <f t="shared" si="231"/>
        <v>0-1 Year</v>
      </c>
    </row>
    <row r="4965" spans="1:11" x14ac:dyDescent="0.3">
      <c r="A4965" t="s">
        <v>4982</v>
      </c>
      <c r="B4965" t="s">
        <v>9</v>
      </c>
      <c r="C4965" t="s">
        <v>10</v>
      </c>
      <c r="D4965" t="s">
        <v>16</v>
      </c>
      <c r="E4965">
        <v>19.55</v>
      </c>
      <c r="F4965">
        <v>18</v>
      </c>
      <c r="G4965">
        <v>351.9</v>
      </c>
      <c r="H4965" t="s">
        <v>12</v>
      </c>
      <c r="I4965" t="str">
        <f t="shared" si="232"/>
        <v>Low Value</v>
      </c>
      <c r="J4965" t="str">
        <f t="shared" si="233"/>
        <v>Medium Risk</v>
      </c>
      <c r="K4965" s="3" t="str">
        <f t="shared" si="231"/>
        <v>1-2 Years</v>
      </c>
    </row>
    <row r="4966" spans="1:11" x14ac:dyDescent="0.3">
      <c r="A4966" t="s">
        <v>4983</v>
      </c>
      <c r="B4966" t="s">
        <v>9</v>
      </c>
      <c r="C4966" t="s">
        <v>30</v>
      </c>
      <c r="D4966" t="s">
        <v>24</v>
      </c>
      <c r="E4966">
        <v>25.05</v>
      </c>
      <c r="F4966">
        <v>71</v>
      </c>
      <c r="G4966">
        <v>1778.55</v>
      </c>
      <c r="H4966" t="s">
        <v>12</v>
      </c>
      <c r="I4966" t="str">
        <f t="shared" si="232"/>
        <v>Low Value</v>
      </c>
      <c r="J4966" t="str">
        <f t="shared" si="233"/>
        <v>Low Risk</v>
      </c>
      <c r="K4966" s="3" t="str">
        <f t="shared" si="231"/>
        <v>4+ Years</v>
      </c>
    </row>
    <row r="4967" spans="1:11" x14ac:dyDescent="0.3">
      <c r="A4967" t="s">
        <v>4984</v>
      </c>
      <c r="B4967" t="s">
        <v>14</v>
      </c>
      <c r="C4967" t="s">
        <v>10</v>
      </c>
      <c r="D4967" t="s">
        <v>24</v>
      </c>
      <c r="E4967">
        <v>93.8</v>
      </c>
      <c r="F4967">
        <v>13</v>
      </c>
      <c r="G4967">
        <v>1219.3999999999901</v>
      </c>
      <c r="H4967" t="s">
        <v>12</v>
      </c>
      <c r="I4967" t="str">
        <f t="shared" si="232"/>
        <v>Low Value</v>
      </c>
      <c r="J4967" t="str">
        <f t="shared" si="233"/>
        <v>Medium Risk</v>
      </c>
      <c r="K4967" s="3" t="str">
        <f t="shared" si="231"/>
        <v>1-2 Years</v>
      </c>
    </row>
    <row r="4968" spans="1:11" x14ac:dyDescent="0.3">
      <c r="A4968" t="s">
        <v>4985</v>
      </c>
      <c r="B4968" t="s">
        <v>14</v>
      </c>
      <c r="C4968" t="s">
        <v>10</v>
      </c>
      <c r="D4968" t="s">
        <v>16</v>
      </c>
      <c r="E4968">
        <v>36.85</v>
      </c>
      <c r="F4968">
        <v>3</v>
      </c>
      <c r="G4968">
        <v>110.55</v>
      </c>
      <c r="H4968" t="s">
        <v>18</v>
      </c>
      <c r="I4968" t="str">
        <f t="shared" si="232"/>
        <v>Low Value</v>
      </c>
      <c r="J4968" t="str">
        <f t="shared" si="233"/>
        <v>High Risk</v>
      </c>
      <c r="K4968" s="3" t="str">
        <f t="shared" si="231"/>
        <v>0-1 Year</v>
      </c>
    </row>
    <row r="4969" spans="1:11" x14ac:dyDescent="0.3">
      <c r="A4969" t="s">
        <v>4986</v>
      </c>
      <c r="B4969" t="s">
        <v>14</v>
      </c>
      <c r="C4969" t="s">
        <v>30</v>
      </c>
      <c r="D4969" t="s">
        <v>20</v>
      </c>
      <c r="E4969">
        <v>103.75</v>
      </c>
      <c r="F4969">
        <v>72</v>
      </c>
      <c r="G4969">
        <v>7470</v>
      </c>
      <c r="H4969" t="s">
        <v>12</v>
      </c>
      <c r="I4969" t="str">
        <f t="shared" si="232"/>
        <v>High Value</v>
      </c>
      <c r="J4969" t="str">
        <f t="shared" si="233"/>
        <v>Low Risk</v>
      </c>
      <c r="K4969" s="3" t="str">
        <f t="shared" si="231"/>
        <v>4+ Years</v>
      </c>
    </row>
    <row r="4970" spans="1:11" x14ac:dyDescent="0.3">
      <c r="A4970" t="s">
        <v>4987</v>
      </c>
      <c r="B4970" t="s">
        <v>14</v>
      </c>
      <c r="C4970" t="s">
        <v>30</v>
      </c>
      <c r="D4970" t="s">
        <v>24</v>
      </c>
      <c r="E4970">
        <v>56.75</v>
      </c>
      <c r="F4970">
        <v>66</v>
      </c>
      <c r="G4970">
        <v>3745.5</v>
      </c>
      <c r="H4970" t="s">
        <v>12</v>
      </c>
      <c r="I4970" t="str">
        <f t="shared" si="232"/>
        <v>Medium Value</v>
      </c>
      <c r="J4970" t="str">
        <f t="shared" si="233"/>
        <v>Low Risk</v>
      </c>
      <c r="K4970" s="3" t="str">
        <f t="shared" si="231"/>
        <v>4+ Years</v>
      </c>
    </row>
    <row r="4971" spans="1:11" x14ac:dyDescent="0.3">
      <c r="A4971" t="s">
        <v>4988</v>
      </c>
      <c r="B4971" t="s">
        <v>14</v>
      </c>
      <c r="C4971" t="s">
        <v>15</v>
      </c>
      <c r="D4971" t="s">
        <v>24</v>
      </c>
      <c r="E4971">
        <v>20.8</v>
      </c>
      <c r="F4971">
        <v>24</v>
      </c>
      <c r="G4971">
        <v>499.2</v>
      </c>
      <c r="H4971" t="s">
        <v>12</v>
      </c>
      <c r="I4971" t="str">
        <f t="shared" si="232"/>
        <v>Low Value</v>
      </c>
      <c r="J4971" t="str">
        <f t="shared" si="233"/>
        <v>Low Risk</v>
      </c>
      <c r="K4971" s="3" t="str">
        <f t="shared" si="231"/>
        <v>1-2 Years</v>
      </c>
    </row>
    <row r="4972" spans="1:11" x14ac:dyDescent="0.3">
      <c r="A4972" t="s">
        <v>4989</v>
      </c>
      <c r="B4972" t="s">
        <v>9</v>
      </c>
      <c r="C4972" t="s">
        <v>10</v>
      </c>
      <c r="D4972" t="s">
        <v>11</v>
      </c>
      <c r="E4972">
        <v>44.1</v>
      </c>
      <c r="F4972">
        <v>1</v>
      </c>
      <c r="G4972">
        <v>44.1</v>
      </c>
      <c r="H4972" t="s">
        <v>18</v>
      </c>
      <c r="I4972" t="str">
        <f t="shared" si="232"/>
        <v>Low Value</v>
      </c>
      <c r="J4972" t="str">
        <f t="shared" si="233"/>
        <v>High Risk</v>
      </c>
      <c r="K4972" s="3" t="str">
        <f t="shared" si="231"/>
        <v>0-1 Year</v>
      </c>
    </row>
    <row r="4973" spans="1:11" x14ac:dyDescent="0.3">
      <c r="A4973" t="s">
        <v>4990</v>
      </c>
      <c r="B4973" t="s">
        <v>9</v>
      </c>
      <c r="C4973" t="s">
        <v>30</v>
      </c>
      <c r="D4973" t="s">
        <v>16</v>
      </c>
      <c r="E4973">
        <v>24.45</v>
      </c>
      <c r="F4973">
        <v>56</v>
      </c>
      <c r="G4973">
        <v>1369.2</v>
      </c>
      <c r="H4973" t="s">
        <v>12</v>
      </c>
      <c r="I4973" t="str">
        <f t="shared" si="232"/>
        <v>Low Value</v>
      </c>
      <c r="J4973" t="str">
        <f t="shared" si="233"/>
        <v>Low Risk</v>
      </c>
      <c r="K4973" s="3" t="str">
        <f t="shared" si="231"/>
        <v>4+ Years</v>
      </c>
    </row>
    <row r="4974" spans="1:11" x14ac:dyDescent="0.3">
      <c r="A4974" t="s">
        <v>4991</v>
      </c>
      <c r="B4974" t="s">
        <v>9</v>
      </c>
      <c r="C4974" t="s">
        <v>15</v>
      </c>
      <c r="D4974" t="s">
        <v>20</v>
      </c>
      <c r="E4974">
        <v>25.6</v>
      </c>
      <c r="F4974">
        <v>22</v>
      </c>
      <c r="G4974">
        <v>563.20000000000005</v>
      </c>
      <c r="H4974" t="s">
        <v>12</v>
      </c>
      <c r="I4974" t="str">
        <f t="shared" si="232"/>
        <v>Low Value</v>
      </c>
      <c r="J4974" t="str">
        <f t="shared" si="233"/>
        <v>Medium Risk</v>
      </c>
      <c r="K4974" s="3" t="str">
        <f t="shared" si="231"/>
        <v>1-2 Years</v>
      </c>
    </row>
    <row r="4975" spans="1:11" x14ac:dyDescent="0.3">
      <c r="A4975" t="s">
        <v>4992</v>
      </c>
      <c r="B4975" t="s">
        <v>14</v>
      </c>
      <c r="C4975" t="s">
        <v>10</v>
      </c>
      <c r="D4975" t="s">
        <v>11</v>
      </c>
      <c r="E4975">
        <v>50.75</v>
      </c>
      <c r="F4975">
        <v>14</v>
      </c>
      <c r="G4975">
        <v>710.5</v>
      </c>
      <c r="H4975" t="s">
        <v>18</v>
      </c>
      <c r="I4975" t="str">
        <f t="shared" si="232"/>
        <v>Low Value</v>
      </c>
      <c r="J4975" t="str">
        <f t="shared" si="233"/>
        <v>Medium Risk</v>
      </c>
      <c r="K4975" s="3" t="str">
        <f t="shared" si="231"/>
        <v>1-2 Years</v>
      </c>
    </row>
    <row r="4976" spans="1:11" x14ac:dyDescent="0.3">
      <c r="A4976" t="s">
        <v>4993</v>
      </c>
      <c r="B4976" t="s">
        <v>9</v>
      </c>
      <c r="C4976" t="s">
        <v>15</v>
      </c>
      <c r="D4976" t="s">
        <v>24</v>
      </c>
      <c r="E4976">
        <v>104.4</v>
      </c>
      <c r="F4976">
        <v>61</v>
      </c>
      <c r="G4976">
        <v>6368.4</v>
      </c>
      <c r="H4976" t="s">
        <v>18</v>
      </c>
      <c r="I4976" t="str">
        <f t="shared" si="232"/>
        <v>High Value</v>
      </c>
      <c r="J4976" t="str">
        <f t="shared" si="233"/>
        <v>Low Risk</v>
      </c>
      <c r="K4976" s="3" t="str">
        <f t="shared" si="231"/>
        <v>4+ Years</v>
      </c>
    </row>
    <row r="4977" spans="1:11" x14ac:dyDescent="0.3">
      <c r="A4977" t="s">
        <v>4994</v>
      </c>
      <c r="B4977" t="s">
        <v>9</v>
      </c>
      <c r="C4977" t="s">
        <v>10</v>
      </c>
      <c r="D4977" t="s">
        <v>11</v>
      </c>
      <c r="E4977">
        <v>39.299999999999997</v>
      </c>
      <c r="F4977">
        <v>40</v>
      </c>
      <c r="G4977">
        <v>1572</v>
      </c>
      <c r="H4977" t="s">
        <v>18</v>
      </c>
      <c r="I4977" t="str">
        <f t="shared" si="232"/>
        <v>Low Value</v>
      </c>
      <c r="J4977" t="str">
        <f t="shared" si="233"/>
        <v>Low Risk</v>
      </c>
      <c r="K4977" s="3" t="str">
        <f t="shared" si="231"/>
        <v>2-4 Years</v>
      </c>
    </row>
    <row r="4978" spans="1:11" x14ac:dyDescent="0.3">
      <c r="A4978" t="s">
        <v>4995</v>
      </c>
      <c r="B4978" t="s">
        <v>9</v>
      </c>
      <c r="C4978" t="s">
        <v>10</v>
      </c>
      <c r="D4978" t="s">
        <v>20</v>
      </c>
      <c r="E4978">
        <v>59.65</v>
      </c>
      <c r="F4978">
        <v>42</v>
      </c>
      <c r="G4978">
        <v>2505.2999999999902</v>
      </c>
      <c r="H4978" t="s">
        <v>12</v>
      </c>
      <c r="I4978" t="str">
        <f t="shared" si="232"/>
        <v>Medium Value</v>
      </c>
      <c r="J4978" t="str">
        <f t="shared" si="233"/>
        <v>Low Risk</v>
      </c>
      <c r="K4978" s="3" t="str">
        <f t="shared" si="231"/>
        <v>2-4 Years</v>
      </c>
    </row>
    <row r="4979" spans="1:11" x14ac:dyDescent="0.3">
      <c r="A4979" t="s">
        <v>4996</v>
      </c>
      <c r="B4979" t="s">
        <v>9</v>
      </c>
      <c r="C4979" t="s">
        <v>30</v>
      </c>
      <c r="D4979" t="s">
        <v>20</v>
      </c>
      <c r="E4979">
        <v>83.3</v>
      </c>
      <c r="F4979">
        <v>72</v>
      </c>
      <c r="G4979">
        <v>5997.5999999999904</v>
      </c>
      <c r="H4979" t="s">
        <v>12</v>
      </c>
      <c r="I4979" t="str">
        <f t="shared" si="232"/>
        <v>High Value</v>
      </c>
      <c r="J4979" t="str">
        <f t="shared" si="233"/>
        <v>Low Risk</v>
      </c>
      <c r="K4979" s="3" t="str">
        <f t="shared" si="231"/>
        <v>4+ Years</v>
      </c>
    </row>
    <row r="4980" spans="1:11" x14ac:dyDescent="0.3">
      <c r="A4980" t="s">
        <v>4997</v>
      </c>
      <c r="B4980" t="s">
        <v>9</v>
      </c>
      <c r="C4980" t="s">
        <v>10</v>
      </c>
      <c r="D4980" t="s">
        <v>24</v>
      </c>
      <c r="E4980">
        <v>79.55</v>
      </c>
      <c r="F4980">
        <v>12</v>
      </c>
      <c r="G4980">
        <v>954.599999999999</v>
      </c>
      <c r="H4980" t="s">
        <v>12</v>
      </c>
      <c r="I4980" t="str">
        <f t="shared" si="232"/>
        <v>Low Value</v>
      </c>
      <c r="J4980" t="str">
        <f t="shared" si="233"/>
        <v>Medium Risk</v>
      </c>
      <c r="K4980" s="3" t="str">
        <f t="shared" si="231"/>
        <v>0-1 Year</v>
      </c>
    </row>
    <row r="4981" spans="1:11" x14ac:dyDescent="0.3">
      <c r="A4981" t="s">
        <v>4998</v>
      </c>
      <c r="B4981" t="s">
        <v>14</v>
      </c>
      <c r="C4981" t="s">
        <v>30</v>
      </c>
      <c r="D4981" t="s">
        <v>20</v>
      </c>
      <c r="E4981">
        <v>24.45</v>
      </c>
      <c r="F4981">
        <v>71</v>
      </c>
      <c r="G4981">
        <v>1735.95</v>
      </c>
      <c r="H4981" t="s">
        <v>12</v>
      </c>
      <c r="I4981" t="str">
        <f t="shared" si="232"/>
        <v>Low Value</v>
      </c>
      <c r="J4981" t="str">
        <f t="shared" si="233"/>
        <v>Low Risk</v>
      </c>
      <c r="K4981" s="3" t="str">
        <f t="shared" si="231"/>
        <v>4+ Years</v>
      </c>
    </row>
    <row r="4982" spans="1:11" x14ac:dyDescent="0.3">
      <c r="A4982" t="s">
        <v>4999</v>
      </c>
      <c r="B4982" t="s">
        <v>9</v>
      </c>
      <c r="C4982" t="s">
        <v>15</v>
      </c>
      <c r="D4982" t="s">
        <v>16</v>
      </c>
      <c r="E4982">
        <v>19.2</v>
      </c>
      <c r="F4982">
        <v>26</v>
      </c>
      <c r="G4982">
        <v>499.2</v>
      </c>
      <c r="H4982" t="s">
        <v>12</v>
      </c>
      <c r="I4982" t="str">
        <f t="shared" si="232"/>
        <v>Low Value</v>
      </c>
      <c r="J4982" t="str">
        <f t="shared" si="233"/>
        <v>Low Risk</v>
      </c>
      <c r="K4982" s="3" t="str">
        <f t="shared" si="231"/>
        <v>2-4 Years</v>
      </c>
    </row>
    <row r="4983" spans="1:11" x14ac:dyDescent="0.3">
      <c r="A4983" t="s">
        <v>5000</v>
      </c>
      <c r="B4983" t="s">
        <v>9</v>
      </c>
      <c r="C4983" t="s">
        <v>10</v>
      </c>
      <c r="D4983" t="s">
        <v>16</v>
      </c>
      <c r="E4983">
        <v>29.8</v>
      </c>
      <c r="F4983">
        <v>7</v>
      </c>
      <c r="G4983">
        <v>208.6</v>
      </c>
      <c r="H4983" t="s">
        <v>12</v>
      </c>
      <c r="I4983" t="str">
        <f t="shared" si="232"/>
        <v>Low Value</v>
      </c>
      <c r="J4983" t="str">
        <f t="shared" si="233"/>
        <v>High Risk</v>
      </c>
      <c r="K4983" s="3" t="str">
        <f t="shared" si="231"/>
        <v>0-1 Year</v>
      </c>
    </row>
    <row r="4984" spans="1:11" x14ac:dyDescent="0.3">
      <c r="A4984" t="s">
        <v>5001</v>
      </c>
      <c r="B4984" t="s">
        <v>9</v>
      </c>
      <c r="C4984" t="s">
        <v>10</v>
      </c>
      <c r="D4984" t="s">
        <v>16</v>
      </c>
      <c r="E4984">
        <v>45.5</v>
      </c>
      <c r="F4984">
        <v>6</v>
      </c>
      <c r="G4984">
        <v>273</v>
      </c>
      <c r="H4984" t="s">
        <v>12</v>
      </c>
      <c r="I4984" t="str">
        <f t="shared" si="232"/>
        <v>Low Value</v>
      </c>
      <c r="J4984" t="str">
        <f t="shared" si="233"/>
        <v>High Risk</v>
      </c>
      <c r="K4984" s="3" t="str">
        <f t="shared" si="231"/>
        <v>0-1 Year</v>
      </c>
    </row>
    <row r="4985" spans="1:11" x14ac:dyDescent="0.3">
      <c r="A4985" t="s">
        <v>5002</v>
      </c>
      <c r="B4985" t="s">
        <v>9</v>
      </c>
      <c r="C4985" t="s">
        <v>15</v>
      </c>
      <c r="D4985" t="s">
        <v>11</v>
      </c>
      <c r="E4985">
        <v>106.45</v>
      </c>
      <c r="F4985">
        <v>58</v>
      </c>
      <c r="G4985">
        <v>6174.1</v>
      </c>
      <c r="H4985" t="s">
        <v>18</v>
      </c>
      <c r="I4985" t="str">
        <f t="shared" si="232"/>
        <v>High Value</v>
      </c>
      <c r="J4985" t="str">
        <f t="shared" si="233"/>
        <v>Low Risk</v>
      </c>
      <c r="K4985" s="3" t="str">
        <f t="shared" si="231"/>
        <v>4+ Years</v>
      </c>
    </row>
    <row r="4986" spans="1:11" x14ac:dyDescent="0.3">
      <c r="A4986" t="s">
        <v>5003</v>
      </c>
      <c r="B4986" t="s">
        <v>14</v>
      </c>
      <c r="C4986" t="s">
        <v>10</v>
      </c>
      <c r="D4986" t="s">
        <v>24</v>
      </c>
      <c r="E4986">
        <v>30.05</v>
      </c>
      <c r="F4986">
        <v>51</v>
      </c>
      <c r="G4986">
        <v>1532.55</v>
      </c>
      <c r="H4986" t="s">
        <v>12</v>
      </c>
      <c r="I4986" t="str">
        <f t="shared" si="232"/>
        <v>Low Value</v>
      </c>
      <c r="J4986" t="str">
        <f t="shared" si="233"/>
        <v>Low Risk</v>
      </c>
      <c r="K4986" s="3" t="str">
        <f t="shared" si="231"/>
        <v>4+ Years</v>
      </c>
    </row>
    <row r="4987" spans="1:11" x14ac:dyDescent="0.3">
      <c r="A4987" t="s">
        <v>5004</v>
      </c>
      <c r="B4987" t="s">
        <v>14</v>
      </c>
      <c r="C4987" t="s">
        <v>30</v>
      </c>
      <c r="D4987" t="s">
        <v>20</v>
      </c>
      <c r="E4987">
        <v>65.650000000000006</v>
      </c>
      <c r="F4987">
        <v>72</v>
      </c>
      <c r="G4987">
        <v>4726.8</v>
      </c>
      <c r="H4987" t="s">
        <v>12</v>
      </c>
      <c r="I4987" t="str">
        <f t="shared" si="232"/>
        <v>Medium Value</v>
      </c>
      <c r="J4987" t="str">
        <f t="shared" si="233"/>
        <v>Low Risk</v>
      </c>
      <c r="K4987" s="3" t="str">
        <f t="shared" si="231"/>
        <v>4+ Years</v>
      </c>
    </row>
    <row r="4988" spans="1:11" x14ac:dyDescent="0.3">
      <c r="A4988" t="s">
        <v>5005</v>
      </c>
      <c r="B4988" t="s">
        <v>9</v>
      </c>
      <c r="C4988" t="s">
        <v>10</v>
      </c>
      <c r="D4988" t="s">
        <v>11</v>
      </c>
      <c r="E4988">
        <v>96.05</v>
      </c>
      <c r="F4988">
        <v>18</v>
      </c>
      <c r="G4988">
        <v>1728.8999999999901</v>
      </c>
      <c r="H4988" t="s">
        <v>18</v>
      </c>
      <c r="I4988" t="str">
        <f t="shared" si="232"/>
        <v>Low Value</v>
      </c>
      <c r="J4988" t="str">
        <f t="shared" si="233"/>
        <v>Medium Risk</v>
      </c>
      <c r="K4988" s="3" t="str">
        <f t="shared" si="231"/>
        <v>1-2 Years</v>
      </c>
    </row>
    <row r="4989" spans="1:11" x14ac:dyDescent="0.3">
      <c r="A4989" t="s">
        <v>5006</v>
      </c>
      <c r="B4989" t="s">
        <v>9</v>
      </c>
      <c r="C4989" t="s">
        <v>10</v>
      </c>
      <c r="D4989" t="s">
        <v>20</v>
      </c>
      <c r="E4989">
        <v>75.099999999999994</v>
      </c>
      <c r="F4989">
        <v>7</v>
      </c>
      <c r="G4989">
        <v>525.69999999999902</v>
      </c>
      <c r="H4989" t="s">
        <v>18</v>
      </c>
      <c r="I4989" t="str">
        <f t="shared" si="232"/>
        <v>Low Value</v>
      </c>
      <c r="J4989" t="str">
        <f t="shared" si="233"/>
        <v>High Risk</v>
      </c>
      <c r="K4989" s="3" t="str">
        <f t="shared" si="231"/>
        <v>0-1 Year</v>
      </c>
    </row>
    <row r="4990" spans="1:11" x14ac:dyDescent="0.3">
      <c r="A4990" t="s">
        <v>5007</v>
      </c>
      <c r="B4990" t="s">
        <v>9</v>
      </c>
      <c r="C4990" t="s">
        <v>30</v>
      </c>
      <c r="D4990" t="s">
        <v>16</v>
      </c>
      <c r="E4990">
        <v>74.05</v>
      </c>
      <c r="F4990">
        <v>47</v>
      </c>
      <c r="G4990">
        <v>3480.35</v>
      </c>
      <c r="H4990" t="s">
        <v>12</v>
      </c>
      <c r="I4990" t="str">
        <f t="shared" si="232"/>
        <v>Medium Value</v>
      </c>
      <c r="J4990" t="str">
        <f t="shared" si="233"/>
        <v>Low Risk</v>
      </c>
      <c r="K4990" s="3" t="str">
        <f t="shared" si="231"/>
        <v>2-4 Years</v>
      </c>
    </row>
    <row r="4991" spans="1:11" x14ac:dyDescent="0.3">
      <c r="A4991" t="s">
        <v>5008</v>
      </c>
      <c r="B4991" t="s">
        <v>14</v>
      </c>
      <c r="C4991" t="s">
        <v>10</v>
      </c>
      <c r="D4991" t="s">
        <v>11</v>
      </c>
      <c r="E4991">
        <v>44.7</v>
      </c>
      <c r="F4991">
        <v>2</v>
      </c>
      <c r="G4991">
        <v>89.4</v>
      </c>
      <c r="H4991" t="s">
        <v>18</v>
      </c>
      <c r="I4991" t="str">
        <f t="shared" si="232"/>
        <v>Low Value</v>
      </c>
      <c r="J4991" t="str">
        <f t="shared" si="233"/>
        <v>High Risk</v>
      </c>
      <c r="K4991" s="3" t="str">
        <f t="shared" si="231"/>
        <v>0-1 Year</v>
      </c>
    </row>
    <row r="4992" spans="1:11" x14ac:dyDescent="0.3">
      <c r="A4992" t="s">
        <v>5009</v>
      </c>
      <c r="B4992" t="s">
        <v>14</v>
      </c>
      <c r="C4992" t="s">
        <v>15</v>
      </c>
      <c r="D4992" t="s">
        <v>20</v>
      </c>
      <c r="E4992">
        <v>110.75</v>
      </c>
      <c r="F4992">
        <v>62</v>
      </c>
      <c r="G4992">
        <v>6866.5</v>
      </c>
      <c r="H4992" t="s">
        <v>12</v>
      </c>
      <c r="I4992" t="str">
        <f t="shared" si="232"/>
        <v>High Value</v>
      </c>
      <c r="J4992" t="str">
        <f t="shared" si="233"/>
        <v>Low Risk</v>
      </c>
      <c r="K4992" s="3" t="str">
        <f t="shared" si="231"/>
        <v>4+ Years</v>
      </c>
    </row>
    <row r="4993" spans="1:11" x14ac:dyDescent="0.3">
      <c r="A4993" t="s">
        <v>5010</v>
      </c>
      <c r="B4993" t="s">
        <v>9</v>
      </c>
      <c r="C4993" t="s">
        <v>30</v>
      </c>
      <c r="D4993" t="s">
        <v>16</v>
      </c>
      <c r="E4993">
        <v>19.7</v>
      </c>
      <c r="F4993">
        <v>16</v>
      </c>
      <c r="G4993">
        <v>315.2</v>
      </c>
      <c r="H4993" t="s">
        <v>12</v>
      </c>
      <c r="I4993" t="str">
        <f t="shared" si="232"/>
        <v>Low Value</v>
      </c>
      <c r="J4993" t="str">
        <f t="shared" si="233"/>
        <v>Medium Risk</v>
      </c>
      <c r="K4993" s="3" t="str">
        <f t="shared" si="231"/>
        <v>1-2 Years</v>
      </c>
    </row>
    <row r="4994" spans="1:11" x14ac:dyDescent="0.3">
      <c r="A4994" t="s">
        <v>5011</v>
      </c>
      <c r="B4994" t="s">
        <v>14</v>
      </c>
      <c r="C4994" t="s">
        <v>10</v>
      </c>
      <c r="D4994" t="s">
        <v>24</v>
      </c>
      <c r="E4994">
        <v>49.5</v>
      </c>
      <c r="F4994">
        <v>6</v>
      </c>
      <c r="G4994">
        <v>297</v>
      </c>
      <c r="H4994" t="s">
        <v>12</v>
      </c>
      <c r="I4994" t="str">
        <f t="shared" si="232"/>
        <v>Low Value</v>
      </c>
      <c r="J4994" t="str">
        <f t="shared" si="233"/>
        <v>High Risk</v>
      </c>
      <c r="K4994" s="3" t="str">
        <f t="shared" si="231"/>
        <v>0-1 Year</v>
      </c>
    </row>
    <row r="4995" spans="1:11" x14ac:dyDescent="0.3">
      <c r="A4995" t="s">
        <v>5012</v>
      </c>
      <c r="B4995" t="s">
        <v>14</v>
      </c>
      <c r="C4995" t="s">
        <v>10</v>
      </c>
      <c r="D4995" t="s">
        <v>24</v>
      </c>
      <c r="E4995">
        <v>55</v>
      </c>
      <c r="F4995">
        <v>19</v>
      </c>
      <c r="G4995">
        <v>1045</v>
      </c>
      <c r="H4995" t="s">
        <v>18</v>
      </c>
      <c r="I4995" t="str">
        <f t="shared" si="232"/>
        <v>Low Value</v>
      </c>
      <c r="J4995" t="str">
        <f t="shared" si="233"/>
        <v>Medium Risk</v>
      </c>
      <c r="K4995" s="3" t="str">
        <f t="shared" ref="K4995:K5058" si="234">IF(F4995&lt;=12,"0-1 Year",
IF(F4995&lt;=24,"1-2 Years",
IF(F4995&lt;=48,"2-4 Years","4+ Years")))</f>
        <v>1-2 Years</v>
      </c>
    </row>
    <row r="4996" spans="1:11" x14ac:dyDescent="0.3">
      <c r="A4996" t="s">
        <v>5013</v>
      </c>
      <c r="B4996" t="s">
        <v>9</v>
      </c>
      <c r="C4996" t="s">
        <v>30</v>
      </c>
      <c r="D4996" t="s">
        <v>24</v>
      </c>
      <c r="E4996">
        <v>43.95</v>
      </c>
      <c r="F4996">
        <v>69</v>
      </c>
      <c r="G4996">
        <v>3032.55</v>
      </c>
      <c r="H4996" t="s">
        <v>12</v>
      </c>
      <c r="I4996" t="str">
        <f t="shared" ref="I4996:I5059" si="235">IF(G4996&gt;5000,"High Value",
IF(G4996&gt;2000,"Medium Value","Low Value"))</f>
        <v>Medium Value</v>
      </c>
      <c r="J4996" t="str">
        <f t="shared" ref="J4996:J5059" si="236">IF(F4996&lt;12,"High Risk",
IF(F4996&lt;24,"Medium Risk","Low Risk"))</f>
        <v>Low Risk</v>
      </c>
      <c r="K4996" s="3" t="str">
        <f t="shared" si="234"/>
        <v>4+ Years</v>
      </c>
    </row>
    <row r="4997" spans="1:11" x14ac:dyDescent="0.3">
      <c r="A4997" t="s">
        <v>5014</v>
      </c>
      <c r="B4997" t="s">
        <v>14</v>
      </c>
      <c r="C4997" t="s">
        <v>10</v>
      </c>
      <c r="D4997" t="s">
        <v>11</v>
      </c>
      <c r="E4997">
        <v>74.349999999999994</v>
      </c>
      <c r="F4997">
        <v>11</v>
      </c>
      <c r="G4997">
        <v>817.849999999999</v>
      </c>
      <c r="H4997" t="s">
        <v>18</v>
      </c>
      <c r="I4997" t="str">
        <f t="shared" si="235"/>
        <v>Low Value</v>
      </c>
      <c r="J4997" t="str">
        <f t="shared" si="236"/>
        <v>High Risk</v>
      </c>
      <c r="K4997" s="3" t="str">
        <f t="shared" si="234"/>
        <v>0-1 Year</v>
      </c>
    </row>
    <row r="4998" spans="1:11" x14ac:dyDescent="0.3">
      <c r="A4998" t="s">
        <v>5015</v>
      </c>
      <c r="B4998" t="s">
        <v>9</v>
      </c>
      <c r="C4998" t="s">
        <v>10</v>
      </c>
      <c r="D4998" t="s">
        <v>11</v>
      </c>
      <c r="E4998">
        <v>111.15</v>
      </c>
      <c r="F4998">
        <v>64</v>
      </c>
      <c r="G4998">
        <v>7113.6</v>
      </c>
      <c r="H4998" t="s">
        <v>12</v>
      </c>
      <c r="I4998" t="str">
        <f t="shared" si="235"/>
        <v>High Value</v>
      </c>
      <c r="J4998" t="str">
        <f t="shared" si="236"/>
        <v>Low Risk</v>
      </c>
      <c r="K4998" s="3" t="str">
        <f t="shared" si="234"/>
        <v>4+ Years</v>
      </c>
    </row>
    <row r="4999" spans="1:11" x14ac:dyDescent="0.3">
      <c r="A4999" t="s">
        <v>5016</v>
      </c>
      <c r="B4999" t="s">
        <v>9</v>
      </c>
      <c r="C4999" t="s">
        <v>15</v>
      </c>
      <c r="D4999" t="s">
        <v>24</v>
      </c>
      <c r="E4999">
        <v>104.7</v>
      </c>
      <c r="F4999">
        <v>39</v>
      </c>
      <c r="G4999">
        <v>4083.3</v>
      </c>
      <c r="H4999" t="s">
        <v>18</v>
      </c>
      <c r="I4999" t="str">
        <f t="shared" si="235"/>
        <v>Medium Value</v>
      </c>
      <c r="J4999" t="str">
        <f t="shared" si="236"/>
        <v>Low Risk</v>
      </c>
      <c r="K4999" s="3" t="str">
        <f t="shared" si="234"/>
        <v>2-4 Years</v>
      </c>
    </row>
    <row r="5000" spans="1:11" x14ac:dyDescent="0.3">
      <c r="A5000" t="s">
        <v>5017</v>
      </c>
      <c r="B5000" t="s">
        <v>9</v>
      </c>
      <c r="C5000" t="s">
        <v>10</v>
      </c>
      <c r="D5000" t="s">
        <v>16</v>
      </c>
      <c r="E5000">
        <v>55.7</v>
      </c>
      <c r="F5000">
        <v>15</v>
      </c>
      <c r="G5000">
        <v>835.5</v>
      </c>
      <c r="H5000" t="s">
        <v>18</v>
      </c>
      <c r="I5000" t="str">
        <f t="shared" si="235"/>
        <v>Low Value</v>
      </c>
      <c r="J5000" t="str">
        <f t="shared" si="236"/>
        <v>Medium Risk</v>
      </c>
      <c r="K5000" s="3" t="str">
        <f t="shared" si="234"/>
        <v>1-2 Years</v>
      </c>
    </row>
    <row r="5001" spans="1:11" x14ac:dyDescent="0.3">
      <c r="A5001" t="s">
        <v>5018</v>
      </c>
      <c r="B5001" t="s">
        <v>14</v>
      </c>
      <c r="C5001" t="s">
        <v>10</v>
      </c>
      <c r="D5001" t="s">
        <v>16</v>
      </c>
      <c r="E5001">
        <v>20.6</v>
      </c>
      <c r="F5001">
        <v>25</v>
      </c>
      <c r="G5001">
        <v>515</v>
      </c>
      <c r="H5001" t="s">
        <v>12</v>
      </c>
      <c r="I5001" t="str">
        <f t="shared" si="235"/>
        <v>Low Value</v>
      </c>
      <c r="J5001" t="str">
        <f t="shared" si="236"/>
        <v>Low Risk</v>
      </c>
      <c r="K5001" s="3" t="str">
        <f t="shared" si="234"/>
        <v>2-4 Years</v>
      </c>
    </row>
    <row r="5002" spans="1:11" x14ac:dyDescent="0.3">
      <c r="A5002" t="s">
        <v>5019</v>
      </c>
      <c r="B5002" t="s">
        <v>9</v>
      </c>
      <c r="C5002" t="s">
        <v>30</v>
      </c>
      <c r="D5002" t="s">
        <v>24</v>
      </c>
      <c r="E5002">
        <v>19.649999999999999</v>
      </c>
      <c r="F5002">
        <v>6</v>
      </c>
      <c r="G5002">
        <v>117.899999999999</v>
      </c>
      <c r="H5002" t="s">
        <v>12</v>
      </c>
      <c r="I5002" t="str">
        <f t="shared" si="235"/>
        <v>Low Value</v>
      </c>
      <c r="J5002" t="str">
        <f t="shared" si="236"/>
        <v>High Risk</v>
      </c>
      <c r="K5002" s="3" t="str">
        <f t="shared" si="234"/>
        <v>0-1 Year</v>
      </c>
    </row>
    <row r="5003" spans="1:11" x14ac:dyDescent="0.3">
      <c r="A5003" t="s">
        <v>5020</v>
      </c>
      <c r="B5003" t="s">
        <v>14</v>
      </c>
      <c r="C5003" t="s">
        <v>15</v>
      </c>
      <c r="D5003" t="s">
        <v>20</v>
      </c>
      <c r="E5003">
        <v>115.8</v>
      </c>
      <c r="F5003">
        <v>66</v>
      </c>
      <c r="G5003">
        <v>7642.8</v>
      </c>
      <c r="H5003" t="s">
        <v>12</v>
      </c>
      <c r="I5003" t="str">
        <f t="shared" si="235"/>
        <v>High Value</v>
      </c>
      <c r="J5003" t="str">
        <f t="shared" si="236"/>
        <v>Low Risk</v>
      </c>
      <c r="K5003" s="3" t="str">
        <f t="shared" si="234"/>
        <v>4+ Years</v>
      </c>
    </row>
    <row r="5004" spans="1:11" x14ac:dyDescent="0.3">
      <c r="A5004" t="s">
        <v>5021</v>
      </c>
      <c r="B5004" t="s">
        <v>9</v>
      </c>
      <c r="C5004" t="s">
        <v>30</v>
      </c>
      <c r="D5004" t="s">
        <v>24</v>
      </c>
      <c r="E5004">
        <v>88.65</v>
      </c>
      <c r="F5004">
        <v>61</v>
      </c>
      <c r="G5004">
        <v>5407.65</v>
      </c>
      <c r="H5004" t="s">
        <v>12</v>
      </c>
      <c r="I5004" t="str">
        <f t="shared" si="235"/>
        <v>High Value</v>
      </c>
      <c r="J5004" t="str">
        <f t="shared" si="236"/>
        <v>Low Risk</v>
      </c>
      <c r="K5004" s="3" t="str">
        <f t="shared" si="234"/>
        <v>4+ Years</v>
      </c>
    </row>
    <row r="5005" spans="1:11" x14ac:dyDescent="0.3">
      <c r="A5005" t="s">
        <v>5022</v>
      </c>
      <c r="B5005" t="s">
        <v>9</v>
      </c>
      <c r="C5005" t="s">
        <v>10</v>
      </c>
      <c r="D5005" t="s">
        <v>11</v>
      </c>
      <c r="E5005">
        <v>94.5</v>
      </c>
      <c r="F5005">
        <v>43</v>
      </c>
      <c r="G5005">
        <v>4063.5</v>
      </c>
      <c r="H5005" t="s">
        <v>12</v>
      </c>
      <c r="I5005" t="str">
        <f t="shared" si="235"/>
        <v>Medium Value</v>
      </c>
      <c r="J5005" t="str">
        <f t="shared" si="236"/>
        <v>Low Risk</v>
      </c>
      <c r="K5005" s="3" t="str">
        <f t="shared" si="234"/>
        <v>2-4 Years</v>
      </c>
    </row>
    <row r="5006" spans="1:11" x14ac:dyDescent="0.3">
      <c r="A5006" t="s">
        <v>5023</v>
      </c>
      <c r="B5006" t="s">
        <v>9</v>
      </c>
      <c r="C5006" t="s">
        <v>10</v>
      </c>
      <c r="D5006" t="s">
        <v>16</v>
      </c>
      <c r="E5006">
        <v>20.100000000000001</v>
      </c>
      <c r="F5006">
        <v>12</v>
      </c>
      <c r="G5006">
        <v>241.2</v>
      </c>
      <c r="H5006" t="s">
        <v>12</v>
      </c>
      <c r="I5006" t="str">
        <f t="shared" si="235"/>
        <v>Low Value</v>
      </c>
      <c r="J5006" t="str">
        <f t="shared" si="236"/>
        <v>Medium Risk</v>
      </c>
      <c r="K5006" s="3" t="str">
        <f t="shared" si="234"/>
        <v>0-1 Year</v>
      </c>
    </row>
    <row r="5007" spans="1:11" x14ac:dyDescent="0.3">
      <c r="A5007" t="s">
        <v>5024</v>
      </c>
      <c r="B5007" t="s">
        <v>14</v>
      </c>
      <c r="C5007" t="s">
        <v>10</v>
      </c>
      <c r="D5007" t="s">
        <v>20</v>
      </c>
      <c r="E5007">
        <v>34.65</v>
      </c>
      <c r="F5007">
        <v>23</v>
      </c>
      <c r="G5007">
        <v>796.94999999999902</v>
      </c>
      <c r="H5007" t="s">
        <v>12</v>
      </c>
      <c r="I5007" t="str">
        <f t="shared" si="235"/>
        <v>Low Value</v>
      </c>
      <c r="J5007" t="str">
        <f t="shared" si="236"/>
        <v>Medium Risk</v>
      </c>
      <c r="K5007" s="3" t="str">
        <f t="shared" si="234"/>
        <v>1-2 Years</v>
      </c>
    </row>
    <row r="5008" spans="1:11" x14ac:dyDescent="0.3">
      <c r="A5008" t="s">
        <v>5025</v>
      </c>
      <c r="B5008" t="s">
        <v>14</v>
      </c>
      <c r="C5008" t="s">
        <v>10</v>
      </c>
      <c r="D5008" t="s">
        <v>20</v>
      </c>
      <c r="E5008">
        <v>52.3</v>
      </c>
      <c r="F5008">
        <v>71</v>
      </c>
      <c r="G5008">
        <v>3713.2999999999902</v>
      </c>
      <c r="H5008" t="s">
        <v>12</v>
      </c>
      <c r="I5008" t="str">
        <f t="shared" si="235"/>
        <v>Medium Value</v>
      </c>
      <c r="J5008" t="str">
        <f t="shared" si="236"/>
        <v>Low Risk</v>
      </c>
      <c r="K5008" s="3" t="str">
        <f t="shared" si="234"/>
        <v>4+ Years</v>
      </c>
    </row>
    <row r="5009" spans="1:11" x14ac:dyDescent="0.3">
      <c r="A5009" t="s">
        <v>5026</v>
      </c>
      <c r="B5009" t="s">
        <v>9</v>
      </c>
      <c r="C5009" t="s">
        <v>10</v>
      </c>
      <c r="D5009" t="s">
        <v>16</v>
      </c>
      <c r="E5009">
        <v>65</v>
      </c>
      <c r="F5009">
        <v>34</v>
      </c>
      <c r="G5009">
        <v>2210</v>
      </c>
      <c r="H5009" t="s">
        <v>12</v>
      </c>
      <c r="I5009" t="str">
        <f t="shared" si="235"/>
        <v>Medium Value</v>
      </c>
      <c r="J5009" t="str">
        <f t="shared" si="236"/>
        <v>Low Risk</v>
      </c>
      <c r="K5009" s="3" t="str">
        <f t="shared" si="234"/>
        <v>2-4 Years</v>
      </c>
    </row>
    <row r="5010" spans="1:11" x14ac:dyDescent="0.3">
      <c r="A5010" t="s">
        <v>5027</v>
      </c>
      <c r="B5010" t="s">
        <v>9</v>
      </c>
      <c r="C5010" t="s">
        <v>10</v>
      </c>
      <c r="D5010" t="s">
        <v>24</v>
      </c>
      <c r="E5010">
        <v>19.850000000000001</v>
      </c>
      <c r="F5010">
        <v>5</v>
      </c>
      <c r="G5010">
        <v>99.25</v>
      </c>
      <c r="H5010" t="s">
        <v>18</v>
      </c>
      <c r="I5010" t="str">
        <f t="shared" si="235"/>
        <v>Low Value</v>
      </c>
      <c r="J5010" t="str">
        <f t="shared" si="236"/>
        <v>High Risk</v>
      </c>
      <c r="K5010" s="3" t="str">
        <f t="shared" si="234"/>
        <v>0-1 Year</v>
      </c>
    </row>
    <row r="5011" spans="1:11" x14ac:dyDescent="0.3">
      <c r="A5011" t="s">
        <v>5028</v>
      </c>
      <c r="B5011" t="s">
        <v>9</v>
      </c>
      <c r="C5011" t="s">
        <v>15</v>
      </c>
      <c r="D5011" t="s">
        <v>16</v>
      </c>
      <c r="E5011">
        <v>35.450000000000003</v>
      </c>
      <c r="F5011">
        <v>41</v>
      </c>
      <c r="G5011">
        <v>1453.45</v>
      </c>
      <c r="H5011" t="s">
        <v>12</v>
      </c>
      <c r="I5011" t="str">
        <f t="shared" si="235"/>
        <v>Low Value</v>
      </c>
      <c r="J5011" t="str">
        <f t="shared" si="236"/>
        <v>Low Risk</v>
      </c>
      <c r="K5011" s="3" t="str">
        <f t="shared" si="234"/>
        <v>2-4 Years</v>
      </c>
    </row>
    <row r="5012" spans="1:11" x14ac:dyDescent="0.3">
      <c r="A5012" t="s">
        <v>5029</v>
      </c>
      <c r="B5012" t="s">
        <v>9</v>
      </c>
      <c r="C5012" t="s">
        <v>30</v>
      </c>
      <c r="D5012" t="s">
        <v>24</v>
      </c>
      <c r="E5012">
        <v>19.7</v>
      </c>
      <c r="F5012">
        <v>72</v>
      </c>
      <c r="G5012">
        <v>1418.3999999999901</v>
      </c>
      <c r="H5012" t="s">
        <v>12</v>
      </c>
      <c r="I5012" t="str">
        <f t="shared" si="235"/>
        <v>Low Value</v>
      </c>
      <c r="J5012" t="str">
        <f t="shared" si="236"/>
        <v>Low Risk</v>
      </c>
      <c r="K5012" s="3" t="str">
        <f t="shared" si="234"/>
        <v>4+ Years</v>
      </c>
    </row>
    <row r="5013" spans="1:11" x14ac:dyDescent="0.3">
      <c r="A5013" t="s">
        <v>5030</v>
      </c>
      <c r="B5013" t="s">
        <v>14</v>
      </c>
      <c r="C5013" t="s">
        <v>10</v>
      </c>
      <c r="D5013" t="s">
        <v>11</v>
      </c>
      <c r="E5013">
        <v>95.6</v>
      </c>
      <c r="F5013">
        <v>14</v>
      </c>
      <c r="G5013">
        <v>1338.3999999999901</v>
      </c>
      <c r="H5013" t="s">
        <v>12</v>
      </c>
      <c r="I5013" t="str">
        <f t="shared" si="235"/>
        <v>Low Value</v>
      </c>
      <c r="J5013" t="str">
        <f t="shared" si="236"/>
        <v>Medium Risk</v>
      </c>
      <c r="K5013" s="3" t="str">
        <f t="shared" si="234"/>
        <v>1-2 Years</v>
      </c>
    </row>
    <row r="5014" spans="1:11" x14ac:dyDescent="0.3">
      <c r="A5014" t="s">
        <v>5031</v>
      </c>
      <c r="B5014" t="s">
        <v>9</v>
      </c>
      <c r="C5014" t="s">
        <v>30</v>
      </c>
      <c r="D5014" t="s">
        <v>16</v>
      </c>
      <c r="E5014">
        <v>19.850000000000001</v>
      </c>
      <c r="F5014">
        <v>41</v>
      </c>
      <c r="G5014">
        <v>813.85</v>
      </c>
      <c r="H5014" t="s">
        <v>12</v>
      </c>
      <c r="I5014" t="str">
        <f t="shared" si="235"/>
        <v>Low Value</v>
      </c>
      <c r="J5014" t="str">
        <f t="shared" si="236"/>
        <v>Low Risk</v>
      </c>
      <c r="K5014" s="3" t="str">
        <f t="shared" si="234"/>
        <v>2-4 Years</v>
      </c>
    </row>
    <row r="5015" spans="1:11" x14ac:dyDescent="0.3">
      <c r="A5015" t="s">
        <v>5032</v>
      </c>
      <c r="B5015" t="s">
        <v>9</v>
      </c>
      <c r="C5015" t="s">
        <v>15</v>
      </c>
      <c r="D5015" t="s">
        <v>24</v>
      </c>
      <c r="E5015">
        <v>81.849999999999994</v>
      </c>
      <c r="F5015">
        <v>23</v>
      </c>
      <c r="G5015">
        <v>1882.55</v>
      </c>
      <c r="H5015" t="s">
        <v>12</v>
      </c>
      <c r="I5015" t="str">
        <f t="shared" si="235"/>
        <v>Low Value</v>
      </c>
      <c r="J5015" t="str">
        <f t="shared" si="236"/>
        <v>Medium Risk</v>
      </c>
      <c r="K5015" s="3" t="str">
        <f t="shared" si="234"/>
        <v>1-2 Years</v>
      </c>
    </row>
    <row r="5016" spans="1:11" x14ac:dyDescent="0.3">
      <c r="A5016" t="s">
        <v>5033</v>
      </c>
      <c r="B5016" t="s">
        <v>14</v>
      </c>
      <c r="C5016" t="s">
        <v>30</v>
      </c>
      <c r="D5016" t="s">
        <v>24</v>
      </c>
      <c r="E5016">
        <v>109.3</v>
      </c>
      <c r="F5016">
        <v>71</v>
      </c>
      <c r="G5016">
        <v>7760.3</v>
      </c>
      <c r="H5016" t="s">
        <v>12</v>
      </c>
      <c r="I5016" t="str">
        <f t="shared" si="235"/>
        <v>High Value</v>
      </c>
      <c r="J5016" t="str">
        <f t="shared" si="236"/>
        <v>Low Risk</v>
      </c>
      <c r="K5016" s="3" t="str">
        <f t="shared" si="234"/>
        <v>4+ Years</v>
      </c>
    </row>
    <row r="5017" spans="1:11" x14ac:dyDescent="0.3">
      <c r="A5017" t="s">
        <v>5034</v>
      </c>
      <c r="B5017" t="s">
        <v>9</v>
      </c>
      <c r="C5017" t="s">
        <v>10</v>
      </c>
      <c r="D5017" t="s">
        <v>11</v>
      </c>
      <c r="E5017">
        <v>70.3</v>
      </c>
      <c r="F5017">
        <v>1</v>
      </c>
      <c r="G5017">
        <v>70.3</v>
      </c>
      <c r="H5017" t="s">
        <v>18</v>
      </c>
      <c r="I5017" t="str">
        <f t="shared" si="235"/>
        <v>Low Value</v>
      </c>
      <c r="J5017" t="str">
        <f t="shared" si="236"/>
        <v>High Risk</v>
      </c>
      <c r="K5017" s="3" t="str">
        <f t="shared" si="234"/>
        <v>0-1 Year</v>
      </c>
    </row>
    <row r="5018" spans="1:11" x14ac:dyDescent="0.3">
      <c r="A5018" t="s">
        <v>5035</v>
      </c>
      <c r="B5018" t="s">
        <v>14</v>
      </c>
      <c r="C5018" t="s">
        <v>30</v>
      </c>
      <c r="D5018" t="s">
        <v>16</v>
      </c>
      <c r="E5018">
        <v>25.4</v>
      </c>
      <c r="F5018">
        <v>72</v>
      </c>
      <c r="G5018">
        <v>1828.8</v>
      </c>
      <c r="H5018" t="s">
        <v>12</v>
      </c>
      <c r="I5018" t="str">
        <f t="shared" si="235"/>
        <v>Low Value</v>
      </c>
      <c r="J5018" t="str">
        <f t="shared" si="236"/>
        <v>Low Risk</v>
      </c>
      <c r="K5018" s="3" t="str">
        <f t="shared" si="234"/>
        <v>4+ Years</v>
      </c>
    </row>
    <row r="5019" spans="1:11" x14ac:dyDescent="0.3">
      <c r="A5019" t="s">
        <v>5036</v>
      </c>
      <c r="B5019" t="s">
        <v>14</v>
      </c>
      <c r="C5019" t="s">
        <v>10</v>
      </c>
      <c r="D5019" t="s">
        <v>11</v>
      </c>
      <c r="E5019">
        <v>69.8</v>
      </c>
      <c r="F5019">
        <v>6</v>
      </c>
      <c r="G5019">
        <v>418.79999999999899</v>
      </c>
      <c r="H5019" t="s">
        <v>12</v>
      </c>
      <c r="I5019" t="str">
        <f t="shared" si="235"/>
        <v>Low Value</v>
      </c>
      <c r="J5019" t="str">
        <f t="shared" si="236"/>
        <v>High Risk</v>
      </c>
      <c r="K5019" s="3" t="str">
        <f t="shared" si="234"/>
        <v>0-1 Year</v>
      </c>
    </row>
    <row r="5020" spans="1:11" x14ac:dyDescent="0.3">
      <c r="A5020" t="s">
        <v>5037</v>
      </c>
      <c r="B5020" t="s">
        <v>14</v>
      </c>
      <c r="C5020" t="s">
        <v>15</v>
      </c>
      <c r="D5020" t="s">
        <v>24</v>
      </c>
      <c r="E5020">
        <v>20</v>
      </c>
      <c r="F5020">
        <v>23</v>
      </c>
      <c r="G5020">
        <v>460</v>
      </c>
      <c r="H5020" t="s">
        <v>12</v>
      </c>
      <c r="I5020" t="str">
        <f t="shared" si="235"/>
        <v>Low Value</v>
      </c>
      <c r="J5020" t="str">
        <f t="shared" si="236"/>
        <v>Medium Risk</v>
      </c>
      <c r="K5020" s="3" t="str">
        <f t="shared" si="234"/>
        <v>1-2 Years</v>
      </c>
    </row>
    <row r="5021" spans="1:11" x14ac:dyDescent="0.3">
      <c r="A5021" t="s">
        <v>5038</v>
      </c>
      <c r="B5021" t="s">
        <v>14</v>
      </c>
      <c r="C5021" t="s">
        <v>10</v>
      </c>
      <c r="D5021" t="s">
        <v>11</v>
      </c>
      <c r="E5021">
        <v>85.55</v>
      </c>
      <c r="F5021">
        <v>10</v>
      </c>
      <c r="G5021">
        <v>855.5</v>
      </c>
      <c r="H5021" t="s">
        <v>18</v>
      </c>
      <c r="I5021" t="str">
        <f t="shared" si="235"/>
        <v>Low Value</v>
      </c>
      <c r="J5021" t="str">
        <f t="shared" si="236"/>
        <v>High Risk</v>
      </c>
      <c r="K5021" s="3" t="str">
        <f t="shared" si="234"/>
        <v>0-1 Year</v>
      </c>
    </row>
    <row r="5022" spans="1:11" x14ac:dyDescent="0.3">
      <c r="A5022" t="s">
        <v>5039</v>
      </c>
      <c r="B5022" t="s">
        <v>9</v>
      </c>
      <c r="C5022" t="s">
        <v>30</v>
      </c>
      <c r="D5022" t="s">
        <v>11</v>
      </c>
      <c r="E5022">
        <v>109.9</v>
      </c>
      <c r="F5022">
        <v>72</v>
      </c>
      <c r="G5022">
        <v>7912.8</v>
      </c>
      <c r="H5022" t="s">
        <v>12</v>
      </c>
      <c r="I5022" t="str">
        <f t="shared" si="235"/>
        <v>High Value</v>
      </c>
      <c r="J5022" t="str">
        <f t="shared" si="236"/>
        <v>Low Risk</v>
      </c>
      <c r="K5022" s="3" t="str">
        <f t="shared" si="234"/>
        <v>4+ Years</v>
      </c>
    </row>
    <row r="5023" spans="1:11" x14ac:dyDescent="0.3">
      <c r="A5023" t="s">
        <v>5040</v>
      </c>
      <c r="B5023" t="s">
        <v>9</v>
      </c>
      <c r="C5023" t="s">
        <v>10</v>
      </c>
      <c r="D5023" t="s">
        <v>20</v>
      </c>
      <c r="E5023">
        <v>50.3</v>
      </c>
      <c r="F5023">
        <v>7</v>
      </c>
      <c r="G5023">
        <v>352.099999999999</v>
      </c>
      <c r="H5023" t="s">
        <v>12</v>
      </c>
      <c r="I5023" t="str">
        <f t="shared" si="235"/>
        <v>Low Value</v>
      </c>
      <c r="J5023" t="str">
        <f t="shared" si="236"/>
        <v>High Risk</v>
      </c>
      <c r="K5023" s="3" t="str">
        <f t="shared" si="234"/>
        <v>0-1 Year</v>
      </c>
    </row>
    <row r="5024" spans="1:11" x14ac:dyDescent="0.3">
      <c r="A5024" t="s">
        <v>5041</v>
      </c>
      <c r="B5024" t="s">
        <v>14</v>
      </c>
      <c r="C5024" t="s">
        <v>10</v>
      </c>
      <c r="D5024" t="s">
        <v>16</v>
      </c>
      <c r="E5024">
        <v>94.5</v>
      </c>
      <c r="F5024">
        <v>6</v>
      </c>
      <c r="G5024">
        <v>567</v>
      </c>
      <c r="H5024" t="s">
        <v>18</v>
      </c>
      <c r="I5024" t="str">
        <f t="shared" si="235"/>
        <v>Low Value</v>
      </c>
      <c r="J5024" t="str">
        <f t="shared" si="236"/>
        <v>High Risk</v>
      </c>
      <c r="K5024" s="3" t="str">
        <f t="shared" si="234"/>
        <v>0-1 Year</v>
      </c>
    </row>
    <row r="5025" spans="1:11" x14ac:dyDescent="0.3">
      <c r="A5025" t="s">
        <v>5042</v>
      </c>
      <c r="B5025" t="s">
        <v>14</v>
      </c>
      <c r="C5025" t="s">
        <v>10</v>
      </c>
      <c r="D5025" t="s">
        <v>11</v>
      </c>
      <c r="E5025">
        <v>101.5</v>
      </c>
      <c r="F5025">
        <v>9</v>
      </c>
      <c r="G5025">
        <v>913.5</v>
      </c>
      <c r="H5025" t="s">
        <v>12</v>
      </c>
      <c r="I5025" t="str">
        <f t="shared" si="235"/>
        <v>Low Value</v>
      </c>
      <c r="J5025" t="str">
        <f t="shared" si="236"/>
        <v>High Risk</v>
      </c>
      <c r="K5025" s="3" t="str">
        <f t="shared" si="234"/>
        <v>0-1 Year</v>
      </c>
    </row>
    <row r="5026" spans="1:11" x14ac:dyDescent="0.3">
      <c r="A5026" t="s">
        <v>5043</v>
      </c>
      <c r="B5026" t="s">
        <v>9</v>
      </c>
      <c r="C5026" t="s">
        <v>10</v>
      </c>
      <c r="D5026" t="s">
        <v>11</v>
      </c>
      <c r="E5026">
        <v>89.15</v>
      </c>
      <c r="F5026">
        <v>12</v>
      </c>
      <c r="G5026">
        <v>1069.8</v>
      </c>
      <c r="H5026" t="s">
        <v>12</v>
      </c>
      <c r="I5026" t="str">
        <f t="shared" si="235"/>
        <v>Low Value</v>
      </c>
      <c r="J5026" t="str">
        <f t="shared" si="236"/>
        <v>Medium Risk</v>
      </c>
      <c r="K5026" s="3" t="str">
        <f t="shared" si="234"/>
        <v>0-1 Year</v>
      </c>
    </row>
    <row r="5027" spans="1:11" x14ac:dyDescent="0.3">
      <c r="A5027" t="s">
        <v>5044</v>
      </c>
      <c r="B5027" t="s">
        <v>9</v>
      </c>
      <c r="C5027" t="s">
        <v>10</v>
      </c>
      <c r="D5027" t="s">
        <v>16</v>
      </c>
      <c r="E5027">
        <v>19.399999999999999</v>
      </c>
      <c r="F5027">
        <v>1</v>
      </c>
      <c r="G5027">
        <v>19.399999999999999</v>
      </c>
      <c r="H5027" t="s">
        <v>12</v>
      </c>
      <c r="I5027" t="str">
        <f t="shared" si="235"/>
        <v>Low Value</v>
      </c>
      <c r="J5027" t="str">
        <f t="shared" si="236"/>
        <v>High Risk</v>
      </c>
      <c r="K5027" s="3" t="str">
        <f t="shared" si="234"/>
        <v>0-1 Year</v>
      </c>
    </row>
    <row r="5028" spans="1:11" x14ac:dyDescent="0.3">
      <c r="A5028" t="s">
        <v>5045</v>
      </c>
      <c r="B5028" t="s">
        <v>9</v>
      </c>
      <c r="C5028" t="s">
        <v>15</v>
      </c>
      <c r="D5028" t="s">
        <v>20</v>
      </c>
      <c r="E5028">
        <v>29.9</v>
      </c>
      <c r="F5028">
        <v>48</v>
      </c>
      <c r="G5028">
        <v>1435.19999999999</v>
      </c>
      <c r="H5028" t="s">
        <v>12</v>
      </c>
      <c r="I5028" t="str">
        <f t="shared" si="235"/>
        <v>Low Value</v>
      </c>
      <c r="J5028" t="str">
        <f t="shared" si="236"/>
        <v>Low Risk</v>
      </c>
      <c r="K5028" s="3" t="str">
        <f t="shared" si="234"/>
        <v>2-4 Years</v>
      </c>
    </row>
    <row r="5029" spans="1:11" x14ac:dyDescent="0.3">
      <c r="A5029" t="s">
        <v>5046</v>
      </c>
      <c r="B5029" t="s">
        <v>14</v>
      </c>
      <c r="C5029" t="s">
        <v>10</v>
      </c>
      <c r="D5029" t="s">
        <v>11</v>
      </c>
      <c r="E5029">
        <v>78.8</v>
      </c>
      <c r="F5029">
        <v>20</v>
      </c>
      <c r="G5029">
        <v>1576</v>
      </c>
      <c r="H5029" t="s">
        <v>12</v>
      </c>
      <c r="I5029" t="str">
        <f t="shared" si="235"/>
        <v>Low Value</v>
      </c>
      <c r="J5029" t="str">
        <f t="shared" si="236"/>
        <v>Medium Risk</v>
      </c>
      <c r="K5029" s="3" t="str">
        <f t="shared" si="234"/>
        <v>1-2 Years</v>
      </c>
    </row>
    <row r="5030" spans="1:11" x14ac:dyDescent="0.3">
      <c r="A5030" t="s">
        <v>5047</v>
      </c>
      <c r="B5030" t="s">
        <v>9</v>
      </c>
      <c r="C5030" t="s">
        <v>10</v>
      </c>
      <c r="D5030" t="s">
        <v>24</v>
      </c>
      <c r="E5030">
        <v>85.35</v>
      </c>
      <c r="F5030">
        <v>16</v>
      </c>
      <c r="G5030">
        <v>1365.6</v>
      </c>
      <c r="H5030" t="s">
        <v>18</v>
      </c>
      <c r="I5030" t="str">
        <f t="shared" si="235"/>
        <v>Low Value</v>
      </c>
      <c r="J5030" t="str">
        <f t="shared" si="236"/>
        <v>Medium Risk</v>
      </c>
      <c r="K5030" s="3" t="str">
        <f t="shared" si="234"/>
        <v>1-2 Years</v>
      </c>
    </row>
    <row r="5031" spans="1:11" x14ac:dyDescent="0.3">
      <c r="A5031" t="s">
        <v>5048</v>
      </c>
      <c r="B5031" t="s">
        <v>9</v>
      </c>
      <c r="C5031" t="s">
        <v>10</v>
      </c>
      <c r="D5031" t="s">
        <v>16</v>
      </c>
      <c r="E5031">
        <v>79.650000000000006</v>
      </c>
      <c r="F5031">
        <v>2</v>
      </c>
      <c r="G5031">
        <v>159.30000000000001</v>
      </c>
      <c r="H5031" t="s">
        <v>18</v>
      </c>
      <c r="I5031" t="str">
        <f t="shared" si="235"/>
        <v>Low Value</v>
      </c>
      <c r="J5031" t="str">
        <f t="shared" si="236"/>
        <v>High Risk</v>
      </c>
      <c r="K5031" s="3" t="str">
        <f t="shared" si="234"/>
        <v>0-1 Year</v>
      </c>
    </row>
    <row r="5032" spans="1:11" x14ac:dyDescent="0.3">
      <c r="A5032" t="s">
        <v>5049</v>
      </c>
      <c r="B5032" t="s">
        <v>9</v>
      </c>
      <c r="C5032" t="s">
        <v>15</v>
      </c>
      <c r="D5032" t="s">
        <v>16</v>
      </c>
      <c r="E5032">
        <v>19.3</v>
      </c>
      <c r="F5032">
        <v>10</v>
      </c>
      <c r="G5032">
        <v>193</v>
      </c>
      <c r="H5032" t="s">
        <v>12</v>
      </c>
      <c r="I5032" t="str">
        <f t="shared" si="235"/>
        <v>Low Value</v>
      </c>
      <c r="J5032" t="str">
        <f t="shared" si="236"/>
        <v>High Risk</v>
      </c>
      <c r="K5032" s="3" t="str">
        <f t="shared" si="234"/>
        <v>0-1 Year</v>
      </c>
    </row>
    <row r="5033" spans="1:11" x14ac:dyDescent="0.3">
      <c r="A5033" t="s">
        <v>5050</v>
      </c>
      <c r="B5033" t="s">
        <v>9</v>
      </c>
      <c r="C5033" t="s">
        <v>10</v>
      </c>
      <c r="D5033" t="s">
        <v>11</v>
      </c>
      <c r="E5033">
        <v>79.599999999999994</v>
      </c>
      <c r="F5033">
        <v>2</v>
      </c>
      <c r="G5033">
        <v>159.19999999999999</v>
      </c>
      <c r="H5033" t="s">
        <v>18</v>
      </c>
      <c r="I5033" t="str">
        <f t="shared" si="235"/>
        <v>Low Value</v>
      </c>
      <c r="J5033" t="str">
        <f t="shared" si="236"/>
        <v>High Risk</v>
      </c>
      <c r="K5033" s="3" t="str">
        <f t="shared" si="234"/>
        <v>0-1 Year</v>
      </c>
    </row>
    <row r="5034" spans="1:11" x14ac:dyDescent="0.3">
      <c r="A5034" t="s">
        <v>5051</v>
      </c>
      <c r="B5034" t="s">
        <v>14</v>
      </c>
      <c r="C5034" t="s">
        <v>10</v>
      </c>
      <c r="D5034" t="s">
        <v>16</v>
      </c>
      <c r="E5034">
        <v>96.8</v>
      </c>
      <c r="F5034">
        <v>20</v>
      </c>
      <c r="G5034">
        <v>1936</v>
      </c>
      <c r="H5034" t="s">
        <v>12</v>
      </c>
      <c r="I5034" t="str">
        <f t="shared" si="235"/>
        <v>Low Value</v>
      </c>
      <c r="J5034" t="str">
        <f t="shared" si="236"/>
        <v>Medium Risk</v>
      </c>
      <c r="K5034" s="3" t="str">
        <f t="shared" si="234"/>
        <v>1-2 Years</v>
      </c>
    </row>
    <row r="5035" spans="1:11" x14ac:dyDescent="0.3">
      <c r="A5035" t="s">
        <v>5052</v>
      </c>
      <c r="B5035" t="s">
        <v>14</v>
      </c>
      <c r="C5035" t="s">
        <v>15</v>
      </c>
      <c r="D5035" t="s">
        <v>16</v>
      </c>
      <c r="E5035">
        <v>20.65</v>
      </c>
      <c r="F5035">
        <v>20</v>
      </c>
      <c r="G5035">
        <v>413</v>
      </c>
      <c r="H5035" t="s">
        <v>12</v>
      </c>
      <c r="I5035" t="str">
        <f t="shared" si="235"/>
        <v>Low Value</v>
      </c>
      <c r="J5035" t="str">
        <f t="shared" si="236"/>
        <v>Medium Risk</v>
      </c>
      <c r="K5035" s="3" t="str">
        <f t="shared" si="234"/>
        <v>1-2 Years</v>
      </c>
    </row>
    <row r="5036" spans="1:11" x14ac:dyDescent="0.3">
      <c r="A5036" t="s">
        <v>5053</v>
      </c>
      <c r="B5036" t="s">
        <v>14</v>
      </c>
      <c r="C5036" t="s">
        <v>15</v>
      </c>
      <c r="D5036" t="s">
        <v>16</v>
      </c>
      <c r="E5036">
        <v>19.8</v>
      </c>
      <c r="F5036">
        <v>19</v>
      </c>
      <c r="G5036">
        <v>376.2</v>
      </c>
      <c r="H5036" t="s">
        <v>12</v>
      </c>
      <c r="I5036" t="str">
        <f t="shared" si="235"/>
        <v>Low Value</v>
      </c>
      <c r="J5036" t="str">
        <f t="shared" si="236"/>
        <v>Medium Risk</v>
      </c>
      <c r="K5036" s="3" t="str">
        <f t="shared" si="234"/>
        <v>1-2 Years</v>
      </c>
    </row>
    <row r="5037" spans="1:11" x14ac:dyDescent="0.3">
      <c r="A5037" t="s">
        <v>5054</v>
      </c>
      <c r="B5037" t="s">
        <v>14</v>
      </c>
      <c r="C5037" t="s">
        <v>10</v>
      </c>
      <c r="D5037" t="s">
        <v>11</v>
      </c>
      <c r="E5037">
        <v>90.6</v>
      </c>
      <c r="F5037">
        <v>19</v>
      </c>
      <c r="G5037">
        <v>1721.3999999999901</v>
      </c>
      <c r="H5037" t="s">
        <v>18</v>
      </c>
      <c r="I5037" t="str">
        <f t="shared" si="235"/>
        <v>Low Value</v>
      </c>
      <c r="J5037" t="str">
        <f t="shared" si="236"/>
        <v>Medium Risk</v>
      </c>
      <c r="K5037" s="3" t="str">
        <f t="shared" si="234"/>
        <v>1-2 Years</v>
      </c>
    </row>
    <row r="5038" spans="1:11" x14ac:dyDescent="0.3">
      <c r="A5038" t="s">
        <v>5055</v>
      </c>
      <c r="B5038" t="s">
        <v>14</v>
      </c>
      <c r="C5038" t="s">
        <v>10</v>
      </c>
      <c r="D5038" t="s">
        <v>11</v>
      </c>
      <c r="E5038">
        <v>104.6</v>
      </c>
      <c r="F5038">
        <v>22</v>
      </c>
      <c r="G5038">
        <v>2301.1999999999998</v>
      </c>
      <c r="H5038" t="s">
        <v>12</v>
      </c>
      <c r="I5038" t="str">
        <f t="shared" si="235"/>
        <v>Medium Value</v>
      </c>
      <c r="J5038" t="str">
        <f t="shared" si="236"/>
        <v>Medium Risk</v>
      </c>
      <c r="K5038" s="3" t="str">
        <f t="shared" si="234"/>
        <v>1-2 Years</v>
      </c>
    </row>
    <row r="5039" spans="1:11" x14ac:dyDescent="0.3">
      <c r="A5039" t="s">
        <v>5056</v>
      </c>
      <c r="B5039" t="s">
        <v>9</v>
      </c>
      <c r="C5039" t="s">
        <v>10</v>
      </c>
      <c r="D5039" t="s">
        <v>24</v>
      </c>
      <c r="E5039">
        <v>80.05</v>
      </c>
      <c r="F5039">
        <v>35</v>
      </c>
      <c r="G5039">
        <v>2801.75</v>
      </c>
      <c r="H5039" t="s">
        <v>12</v>
      </c>
      <c r="I5039" t="str">
        <f t="shared" si="235"/>
        <v>Medium Value</v>
      </c>
      <c r="J5039" t="str">
        <f t="shared" si="236"/>
        <v>Low Risk</v>
      </c>
      <c r="K5039" s="3" t="str">
        <f t="shared" si="234"/>
        <v>2-4 Years</v>
      </c>
    </row>
    <row r="5040" spans="1:11" x14ac:dyDescent="0.3">
      <c r="A5040" t="s">
        <v>5057</v>
      </c>
      <c r="B5040" t="s">
        <v>9</v>
      </c>
      <c r="C5040" t="s">
        <v>10</v>
      </c>
      <c r="D5040" t="s">
        <v>16</v>
      </c>
      <c r="E5040">
        <v>45.15</v>
      </c>
      <c r="F5040">
        <v>1</v>
      </c>
      <c r="G5040">
        <v>45.15</v>
      </c>
      <c r="H5040" t="s">
        <v>12</v>
      </c>
      <c r="I5040" t="str">
        <f t="shared" si="235"/>
        <v>Low Value</v>
      </c>
      <c r="J5040" t="str">
        <f t="shared" si="236"/>
        <v>High Risk</v>
      </c>
      <c r="K5040" s="3" t="str">
        <f t="shared" si="234"/>
        <v>0-1 Year</v>
      </c>
    </row>
    <row r="5041" spans="1:11" x14ac:dyDescent="0.3">
      <c r="A5041" t="s">
        <v>5058</v>
      </c>
      <c r="B5041" t="s">
        <v>14</v>
      </c>
      <c r="C5041" t="s">
        <v>10</v>
      </c>
      <c r="D5041" t="s">
        <v>24</v>
      </c>
      <c r="E5041">
        <v>73.150000000000006</v>
      </c>
      <c r="F5041">
        <v>39</v>
      </c>
      <c r="G5041">
        <v>2852.85</v>
      </c>
      <c r="H5041" t="s">
        <v>12</v>
      </c>
      <c r="I5041" t="str">
        <f t="shared" si="235"/>
        <v>Medium Value</v>
      </c>
      <c r="J5041" t="str">
        <f t="shared" si="236"/>
        <v>Low Risk</v>
      </c>
      <c r="K5041" s="3" t="str">
        <f t="shared" si="234"/>
        <v>2-4 Years</v>
      </c>
    </row>
    <row r="5042" spans="1:11" x14ac:dyDescent="0.3">
      <c r="A5042" t="s">
        <v>5059</v>
      </c>
      <c r="B5042" t="s">
        <v>9</v>
      </c>
      <c r="C5042" t="s">
        <v>15</v>
      </c>
      <c r="D5042" t="s">
        <v>11</v>
      </c>
      <c r="E5042">
        <v>99.1</v>
      </c>
      <c r="F5042">
        <v>54</v>
      </c>
      <c r="G5042">
        <v>5351.4</v>
      </c>
      <c r="H5042" t="s">
        <v>12</v>
      </c>
      <c r="I5042" t="str">
        <f t="shared" si="235"/>
        <v>High Value</v>
      </c>
      <c r="J5042" t="str">
        <f t="shared" si="236"/>
        <v>Low Risk</v>
      </c>
      <c r="K5042" s="3" t="str">
        <f t="shared" si="234"/>
        <v>4+ Years</v>
      </c>
    </row>
    <row r="5043" spans="1:11" x14ac:dyDescent="0.3">
      <c r="A5043" t="s">
        <v>5060</v>
      </c>
      <c r="B5043" t="s">
        <v>9</v>
      </c>
      <c r="C5043" t="s">
        <v>10</v>
      </c>
      <c r="D5043" t="s">
        <v>20</v>
      </c>
      <c r="E5043">
        <v>20.2</v>
      </c>
      <c r="F5043">
        <v>1</v>
      </c>
      <c r="G5043">
        <v>20.2</v>
      </c>
      <c r="H5043" t="s">
        <v>18</v>
      </c>
      <c r="I5043" t="str">
        <f t="shared" si="235"/>
        <v>Low Value</v>
      </c>
      <c r="J5043" t="str">
        <f t="shared" si="236"/>
        <v>High Risk</v>
      </c>
      <c r="K5043" s="3" t="str">
        <f t="shared" si="234"/>
        <v>0-1 Year</v>
      </c>
    </row>
    <row r="5044" spans="1:11" x14ac:dyDescent="0.3">
      <c r="A5044" t="s">
        <v>5061</v>
      </c>
      <c r="B5044" t="s">
        <v>14</v>
      </c>
      <c r="C5044" t="s">
        <v>30</v>
      </c>
      <c r="D5044" t="s">
        <v>24</v>
      </c>
      <c r="E5044">
        <v>106.05</v>
      </c>
      <c r="F5044">
        <v>66</v>
      </c>
      <c r="G5044">
        <v>6999.3</v>
      </c>
      <c r="H5044" t="s">
        <v>18</v>
      </c>
      <c r="I5044" t="str">
        <f t="shared" si="235"/>
        <v>High Value</v>
      </c>
      <c r="J5044" t="str">
        <f t="shared" si="236"/>
        <v>Low Risk</v>
      </c>
      <c r="K5044" s="3" t="str">
        <f t="shared" si="234"/>
        <v>4+ Years</v>
      </c>
    </row>
    <row r="5045" spans="1:11" x14ac:dyDescent="0.3">
      <c r="A5045" t="s">
        <v>5062</v>
      </c>
      <c r="B5045" t="s">
        <v>14</v>
      </c>
      <c r="C5045" t="s">
        <v>10</v>
      </c>
      <c r="D5045" t="s">
        <v>16</v>
      </c>
      <c r="E5045">
        <v>105.35</v>
      </c>
      <c r="F5045">
        <v>56</v>
      </c>
      <c r="G5045">
        <v>5899.5999999999904</v>
      </c>
      <c r="H5045" t="s">
        <v>12</v>
      </c>
      <c r="I5045" t="str">
        <f t="shared" si="235"/>
        <v>High Value</v>
      </c>
      <c r="J5045" t="str">
        <f t="shared" si="236"/>
        <v>Low Risk</v>
      </c>
      <c r="K5045" s="3" t="str">
        <f t="shared" si="234"/>
        <v>4+ Years</v>
      </c>
    </row>
    <row r="5046" spans="1:11" x14ac:dyDescent="0.3">
      <c r="A5046" t="s">
        <v>5063</v>
      </c>
      <c r="B5046" t="s">
        <v>14</v>
      </c>
      <c r="C5046" t="s">
        <v>10</v>
      </c>
      <c r="D5046" t="s">
        <v>24</v>
      </c>
      <c r="E5046">
        <v>45.65</v>
      </c>
      <c r="F5046">
        <v>18</v>
      </c>
      <c r="G5046">
        <v>821.69999999999902</v>
      </c>
      <c r="H5046" t="s">
        <v>12</v>
      </c>
      <c r="I5046" t="str">
        <f t="shared" si="235"/>
        <v>Low Value</v>
      </c>
      <c r="J5046" t="str">
        <f t="shared" si="236"/>
        <v>Medium Risk</v>
      </c>
      <c r="K5046" s="3" t="str">
        <f t="shared" si="234"/>
        <v>1-2 Years</v>
      </c>
    </row>
    <row r="5047" spans="1:11" x14ac:dyDescent="0.3">
      <c r="A5047" t="s">
        <v>5064</v>
      </c>
      <c r="B5047" t="s">
        <v>9</v>
      </c>
      <c r="C5047" t="s">
        <v>10</v>
      </c>
      <c r="D5047" t="s">
        <v>24</v>
      </c>
      <c r="E5047">
        <v>79.95</v>
      </c>
      <c r="F5047">
        <v>16</v>
      </c>
      <c r="G5047">
        <v>1279.2</v>
      </c>
      <c r="H5047" t="s">
        <v>12</v>
      </c>
      <c r="I5047" t="str">
        <f t="shared" si="235"/>
        <v>Low Value</v>
      </c>
      <c r="J5047" t="str">
        <f t="shared" si="236"/>
        <v>Medium Risk</v>
      </c>
      <c r="K5047" s="3" t="str">
        <f t="shared" si="234"/>
        <v>1-2 Years</v>
      </c>
    </row>
    <row r="5048" spans="1:11" x14ac:dyDescent="0.3">
      <c r="A5048" t="s">
        <v>5065</v>
      </c>
      <c r="B5048" t="s">
        <v>9</v>
      </c>
      <c r="C5048" t="s">
        <v>15</v>
      </c>
      <c r="D5048" t="s">
        <v>24</v>
      </c>
      <c r="E5048">
        <v>54.45</v>
      </c>
      <c r="F5048">
        <v>68</v>
      </c>
      <c r="G5048">
        <v>3702.6</v>
      </c>
      <c r="H5048" t="s">
        <v>12</v>
      </c>
      <c r="I5048" t="str">
        <f t="shared" si="235"/>
        <v>Medium Value</v>
      </c>
      <c r="J5048" t="str">
        <f t="shared" si="236"/>
        <v>Low Risk</v>
      </c>
      <c r="K5048" s="3" t="str">
        <f t="shared" si="234"/>
        <v>4+ Years</v>
      </c>
    </row>
    <row r="5049" spans="1:11" x14ac:dyDescent="0.3">
      <c r="A5049" t="s">
        <v>5066</v>
      </c>
      <c r="B5049" t="s">
        <v>9</v>
      </c>
      <c r="C5049" t="s">
        <v>30</v>
      </c>
      <c r="D5049" t="s">
        <v>24</v>
      </c>
      <c r="E5049">
        <v>25.1</v>
      </c>
      <c r="F5049">
        <v>53</v>
      </c>
      <c r="G5049">
        <v>1330.3</v>
      </c>
      <c r="H5049" t="s">
        <v>12</v>
      </c>
      <c r="I5049" t="str">
        <f t="shared" si="235"/>
        <v>Low Value</v>
      </c>
      <c r="J5049" t="str">
        <f t="shared" si="236"/>
        <v>Low Risk</v>
      </c>
      <c r="K5049" s="3" t="str">
        <f t="shared" si="234"/>
        <v>4+ Years</v>
      </c>
    </row>
    <row r="5050" spans="1:11" x14ac:dyDescent="0.3">
      <c r="A5050" t="s">
        <v>5067</v>
      </c>
      <c r="B5050" t="s">
        <v>9</v>
      </c>
      <c r="C5050" t="s">
        <v>30</v>
      </c>
      <c r="D5050" t="s">
        <v>24</v>
      </c>
      <c r="E5050">
        <v>84.7</v>
      </c>
      <c r="F5050">
        <v>72</v>
      </c>
      <c r="G5050">
        <v>6098.4</v>
      </c>
      <c r="H5050" t="s">
        <v>12</v>
      </c>
      <c r="I5050" t="str">
        <f t="shared" si="235"/>
        <v>High Value</v>
      </c>
      <c r="J5050" t="str">
        <f t="shared" si="236"/>
        <v>Low Risk</v>
      </c>
      <c r="K5050" s="3" t="str">
        <f t="shared" si="234"/>
        <v>4+ Years</v>
      </c>
    </row>
    <row r="5051" spans="1:11" x14ac:dyDescent="0.3">
      <c r="A5051" t="s">
        <v>5068</v>
      </c>
      <c r="B5051" t="s">
        <v>14</v>
      </c>
      <c r="C5051" t="s">
        <v>10</v>
      </c>
      <c r="D5051" t="s">
        <v>11</v>
      </c>
      <c r="E5051">
        <v>75.849999999999994</v>
      </c>
      <c r="F5051">
        <v>9</v>
      </c>
      <c r="G5051">
        <v>682.65</v>
      </c>
      <c r="H5051" t="s">
        <v>12</v>
      </c>
      <c r="I5051" t="str">
        <f t="shared" si="235"/>
        <v>Low Value</v>
      </c>
      <c r="J5051" t="str">
        <f t="shared" si="236"/>
        <v>High Risk</v>
      </c>
      <c r="K5051" s="3" t="str">
        <f t="shared" si="234"/>
        <v>0-1 Year</v>
      </c>
    </row>
    <row r="5052" spans="1:11" x14ac:dyDescent="0.3">
      <c r="A5052" t="s">
        <v>5069</v>
      </c>
      <c r="B5052" t="s">
        <v>9</v>
      </c>
      <c r="C5052" t="s">
        <v>10</v>
      </c>
      <c r="D5052" t="s">
        <v>16</v>
      </c>
      <c r="E5052">
        <v>48.8</v>
      </c>
      <c r="F5052">
        <v>30</v>
      </c>
      <c r="G5052">
        <v>1464</v>
      </c>
      <c r="H5052" t="s">
        <v>12</v>
      </c>
      <c r="I5052" t="str">
        <f t="shared" si="235"/>
        <v>Low Value</v>
      </c>
      <c r="J5052" t="str">
        <f t="shared" si="236"/>
        <v>Low Risk</v>
      </c>
      <c r="K5052" s="3" t="str">
        <f t="shared" si="234"/>
        <v>2-4 Years</v>
      </c>
    </row>
    <row r="5053" spans="1:11" x14ac:dyDescent="0.3">
      <c r="A5053" t="s">
        <v>5070</v>
      </c>
      <c r="B5053" t="s">
        <v>9</v>
      </c>
      <c r="C5053" t="s">
        <v>10</v>
      </c>
      <c r="D5053" t="s">
        <v>11</v>
      </c>
      <c r="E5053">
        <v>99.15</v>
      </c>
      <c r="F5053">
        <v>36</v>
      </c>
      <c r="G5053">
        <v>3569.4</v>
      </c>
      <c r="H5053" t="s">
        <v>18</v>
      </c>
      <c r="I5053" t="str">
        <f t="shared" si="235"/>
        <v>Medium Value</v>
      </c>
      <c r="J5053" t="str">
        <f t="shared" si="236"/>
        <v>Low Risk</v>
      </c>
      <c r="K5053" s="3" t="str">
        <f t="shared" si="234"/>
        <v>2-4 Years</v>
      </c>
    </row>
    <row r="5054" spans="1:11" x14ac:dyDescent="0.3">
      <c r="A5054" t="s">
        <v>5071</v>
      </c>
      <c r="B5054" t="s">
        <v>9</v>
      </c>
      <c r="C5054" t="s">
        <v>10</v>
      </c>
      <c r="D5054" t="s">
        <v>11</v>
      </c>
      <c r="E5054">
        <v>35.200000000000003</v>
      </c>
      <c r="F5054">
        <v>18</v>
      </c>
      <c r="G5054">
        <v>633.6</v>
      </c>
      <c r="H5054" t="s">
        <v>12</v>
      </c>
      <c r="I5054" t="str">
        <f t="shared" si="235"/>
        <v>Low Value</v>
      </c>
      <c r="J5054" t="str">
        <f t="shared" si="236"/>
        <v>Medium Risk</v>
      </c>
      <c r="K5054" s="3" t="str">
        <f t="shared" si="234"/>
        <v>1-2 Years</v>
      </c>
    </row>
    <row r="5055" spans="1:11" x14ac:dyDescent="0.3">
      <c r="A5055" t="s">
        <v>5072</v>
      </c>
      <c r="B5055" t="s">
        <v>9</v>
      </c>
      <c r="C5055" t="s">
        <v>15</v>
      </c>
      <c r="D5055" t="s">
        <v>11</v>
      </c>
      <c r="E5055">
        <v>76.25</v>
      </c>
      <c r="F5055">
        <v>55</v>
      </c>
      <c r="G5055">
        <v>4193.75</v>
      </c>
      <c r="H5055" t="s">
        <v>12</v>
      </c>
      <c r="I5055" t="str">
        <f t="shared" si="235"/>
        <v>Medium Value</v>
      </c>
      <c r="J5055" t="str">
        <f t="shared" si="236"/>
        <v>Low Risk</v>
      </c>
      <c r="K5055" s="3" t="str">
        <f t="shared" si="234"/>
        <v>4+ Years</v>
      </c>
    </row>
    <row r="5056" spans="1:11" x14ac:dyDescent="0.3">
      <c r="A5056" t="s">
        <v>5073</v>
      </c>
      <c r="B5056" t="s">
        <v>9</v>
      </c>
      <c r="C5056" t="s">
        <v>10</v>
      </c>
      <c r="D5056" t="s">
        <v>11</v>
      </c>
      <c r="E5056">
        <v>55.9</v>
      </c>
      <c r="F5056">
        <v>39</v>
      </c>
      <c r="G5056">
        <v>2180.1</v>
      </c>
      <c r="H5056" t="s">
        <v>18</v>
      </c>
      <c r="I5056" t="str">
        <f t="shared" si="235"/>
        <v>Medium Value</v>
      </c>
      <c r="J5056" t="str">
        <f t="shared" si="236"/>
        <v>Low Risk</v>
      </c>
      <c r="K5056" s="3" t="str">
        <f t="shared" si="234"/>
        <v>2-4 Years</v>
      </c>
    </row>
    <row r="5057" spans="1:11" x14ac:dyDescent="0.3">
      <c r="A5057" t="s">
        <v>5074</v>
      </c>
      <c r="B5057" t="s">
        <v>14</v>
      </c>
      <c r="C5057" t="s">
        <v>10</v>
      </c>
      <c r="D5057" t="s">
        <v>11</v>
      </c>
      <c r="E5057">
        <v>82.35</v>
      </c>
      <c r="F5057">
        <v>21</v>
      </c>
      <c r="G5057">
        <v>1729.35</v>
      </c>
      <c r="H5057" t="s">
        <v>18</v>
      </c>
      <c r="I5057" t="str">
        <f t="shared" si="235"/>
        <v>Low Value</v>
      </c>
      <c r="J5057" t="str">
        <f t="shared" si="236"/>
        <v>Medium Risk</v>
      </c>
      <c r="K5057" s="3" t="str">
        <f t="shared" si="234"/>
        <v>1-2 Years</v>
      </c>
    </row>
    <row r="5058" spans="1:11" x14ac:dyDescent="0.3">
      <c r="A5058" t="s">
        <v>5075</v>
      </c>
      <c r="B5058" t="s">
        <v>14</v>
      </c>
      <c r="C5058" t="s">
        <v>10</v>
      </c>
      <c r="D5058" t="s">
        <v>24</v>
      </c>
      <c r="E5058">
        <v>40.4</v>
      </c>
      <c r="F5058">
        <v>2</v>
      </c>
      <c r="G5058">
        <v>80.8</v>
      </c>
      <c r="H5058" t="s">
        <v>18</v>
      </c>
      <c r="I5058" t="str">
        <f t="shared" si="235"/>
        <v>Low Value</v>
      </c>
      <c r="J5058" t="str">
        <f t="shared" si="236"/>
        <v>High Risk</v>
      </c>
      <c r="K5058" s="3" t="str">
        <f t="shared" si="234"/>
        <v>0-1 Year</v>
      </c>
    </row>
    <row r="5059" spans="1:11" x14ac:dyDescent="0.3">
      <c r="A5059" t="s">
        <v>5076</v>
      </c>
      <c r="B5059" t="s">
        <v>14</v>
      </c>
      <c r="C5059" t="s">
        <v>15</v>
      </c>
      <c r="D5059" t="s">
        <v>20</v>
      </c>
      <c r="E5059">
        <v>24.9</v>
      </c>
      <c r="F5059">
        <v>33</v>
      </c>
      <c r="G5059">
        <v>821.69999999999902</v>
      </c>
      <c r="H5059" t="s">
        <v>12</v>
      </c>
      <c r="I5059" t="str">
        <f t="shared" si="235"/>
        <v>Low Value</v>
      </c>
      <c r="J5059" t="str">
        <f t="shared" si="236"/>
        <v>Low Risk</v>
      </c>
      <c r="K5059" s="3" t="str">
        <f t="shared" ref="K5059:K5122" si="237">IF(F5059&lt;=12,"0-1 Year",
IF(F5059&lt;=24,"1-2 Years",
IF(F5059&lt;=48,"2-4 Years","4+ Years")))</f>
        <v>2-4 Years</v>
      </c>
    </row>
    <row r="5060" spans="1:11" x14ac:dyDescent="0.3">
      <c r="A5060" t="s">
        <v>5077</v>
      </c>
      <c r="B5060" t="s">
        <v>14</v>
      </c>
      <c r="C5060" t="s">
        <v>30</v>
      </c>
      <c r="D5060" t="s">
        <v>20</v>
      </c>
      <c r="E5060">
        <v>54.3</v>
      </c>
      <c r="F5060">
        <v>44</v>
      </c>
      <c r="G5060">
        <v>2389.1999999999998</v>
      </c>
      <c r="H5060" t="s">
        <v>12</v>
      </c>
      <c r="I5060" t="str">
        <f t="shared" ref="I5060:I5123" si="238">IF(G5060&gt;5000,"High Value",
IF(G5060&gt;2000,"Medium Value","Low Value"))</f>
        <v>Medium Value</v>
      </c>
      <c r="J5060" t="str">
        <f t="shared" ref="J5060:J5123" si="239">IF(F5060&lt;12,"High Risk",
IF(F5060&lt;24,"Medium Risk","Low Risk"))</f>
        <v>Low Risk</v>
      </c>
      <c r="K5060" s="3" t="str">
        <f t="shared" si="237"/>
        <v>2-4 Years</v>
      </c>
    </row>
    <row r="5061" spans="1:11" x14ac:dyDescent="0.3">
      <c r="A5061" t="s">
        <v>5078</v>
      </c>
      <c r="B5061" t="s">
        <v>9</v>
      </c>
      <c r="C5061" t="s">
        <v>10</v>
      </c>
      <c r="D5061" t="s">
        <v>20</v>
      </c>
      <c r="E5061">
        <v>66.3</v>
      </c>
      <c r="F5061">
        <v>30</v>
      </c>
      <c r="G5061">
        <v>1989</v>
      </c>
      <c r="H5061" t="s">
        <v>12</v>
      </c>
      <c r="I5061" t="str">
        <f t="shared" si="238"/>
        <v>Low Value</v>
      </c>
      <c r="J5061" t="str">
        <f t="shared" si="239"/>
        <v>Low Risk</v>
      </c>
      <c r="K5061" s="3" t="str">
        <f t="shared" si="237"/>
        <v>2-4 Years</v>
      </c>
    </row>
    <row r="5062" spans="1:11" x14ac:dyDescent="0.3">
      <c r="A5062" t="s">
        <v>5079</v>
      </c>
      <c r="B5062" t="s">
        <v>9</v>
      </c>
      <c r="C5062" t="s">
        <v>30</v>
      </c>
      <c r="D5062" t="s">
        <v>20</v>
      </c>
      <c r="E5062">
        <v>20.9</v>
      </c>
      <c r="F5062">
        <v>71</v>
      </c>
      <c r="G5062">
        <v>1483.8999999999901</v>
      </c>
      <c r="H5062" t="s">
        <v>12</v>
      </c>
      <c r="I5062" t="str">
        <f t="shared" si="238"/>
        <v>Low Value</v>
      </c>
      <c r="J5062" t="str">
        <f t="shared" si="239"/>
        <v>Low Risk</v>
      </c>
      <c r="K5062" s="3" t="str">
        <f t="shared" si="237"/>
        <v>4+ Years</v>
      </c>
    </row>
    <row r="5063" spans="1:11" x14ac:dyDescent="0.3">
      <c r="A5063" t="s">
        <v>5080</v>
      </c>
      <c r="B5063" t="s">
        <v>9</v>
      </c>
      <c r="C5063" t="s">
        <v>10</v>
      </c>
      <c r="D5063" t="s">
        <v>11</v>
      </c>
      <c r="E5063">
        <v>75.349999999999994</v>
      </c>
      <c r="F5063">
        <v>4</v>
      </c>
      <c r="G5063">
        <v>301.39999999999998</v>
      </c>
      <c r="H5063" t="s">
        <v>18</v>
      </c>
      <c r="I5063" t="str">
        <f t="shared" si="238"/>
        <v>Low Value</v>
      </c>
      <c r="J5063" t="str">
        <f t="shared" si="239"/>
        <v>High Risk</v>
      </c>
      <c r="K5063" s="3" t="str">
        <f t="shared" si="237"/>
        <v>0-1 Year</v>
      </c>
    </row>
    <row r="5064" spans="1:11" x14ac:dyDescent="0.3">
      <c r="A5064" t="s">
        <v>5081</v>
      </c>
      <c r="B5064" t="s">
        <v>14</v>
      </c>
      <c r="C5064" t="s">
        <v>15</v>
      </c>
      <c r="D5064" t="s">
        <v>11</v>
      </c>
      <c r="E5064">
        <v>85.15</v>
      </c>
      <c r="F5064">
        <v>35</v>
      </c>
      <c r="G5064">
        <v>2980.25</v>
      </c>
      <c r="H5064" t="s">
        <v>18</v>
      </c>
      <c r="I5064" t="str">
        <f t="shared" si="238"/>
        <v>Medium Value</v>
      </c>
      <c r="J5064" t="str">
        <f t="shared" si="239"/>
        <v>Low Risk</v>
      </c>
      <c r="K5064" s="3" t="str">
        <f t="shared" si="237"/>
        <v>2-4 Years</v>
      </c>
    </row>
    <row r="5065" spans="1:11" x14ac:dyDescent="0.3">
      <c r="A5065" t="s">
        <v>5082</v>
      </c>
      <c r="B5065" t="s">
        <v>14</v>
      </c>
      <c r="C5065" t="s">
        <v>10</v>
      </c>
      <c r="D5065" t="s">
        <v>24</v>
      </c>
      <c r="E5065">
        <v>75.349999999999994</v>
      </c>
      <c r="F5065">
        <v>1</v>
      </c>
      <c r="G5065">
        <v>75.349999999999994</v>
      </c>
      <c r="H5065" t="s">
        <v>12</v>
      </c>
      <c r="I5065" t="str">
        <f t="shared" si="238"/>
        <v>Low Value</v>
      </c>
      <c r="J5065" t="str">
        <f t="shared" si="239"/>
        <v>High Risk</v>
      </c>
      <c r="K5065" s="3" t="str">
        <f t="shared" si="237"/>
        <v>0-1 Year</v>
      </c>
    </row>
    <row r="5066" spans="1:11" x14ac:dyDescent="0.3">
      <c r="A5066" t="s">
        <v>5083</v>
      </c>
      <c r="B5066" t="s">
        <v>14</v>
      </c>
      <c r="C5066" t="s">
        <v>10</v>
      </c>
      <c r="D5066" t="s">
        <v>11</v>
      </c>
      <c r="E5066">
        <v>104.45</v>
      </c>
      <c r="F5066">
        <v>23</v>
      </c>
      <c r="G5066">
        <v>2402.35</v>
      </c>
      <c r="H5066" t="s">
        <v>12</v>
      </c>
      <c r="I5066" t="str">
        <f t="shared" si="238"/>
        <v>Medium Value</v>
      </c>
      <c r="J5066" t="str">
        <f t="shared" si="239"/>
        <v>Medium Risk</v>
      </c>
      <c r="K5066" s="3" t="str">
        <f t="shared" si="237"/>
        <v>1-2 Years</v>
      </c>
    </row>
    <row r="5067" spans="1:11" x14ac:dyDescent="0.3">
      <c r="A5067" t="s">
        <v>5084</v>
      </c>
      <c r="B5067" t="s">
        <v>9</v>
      </c>
      <c r="C5067" t="s">
        <v>15</v>
      </c>
      <c r="D5067" t="s">
        <v>24</v>
      </c>
      <c r="E5067">
        <v>49.45</v>
      </c>
      <c r="F5067">
        <v>22</v>
      </c>
      <c r="G5067">
        <v>1087.9000000000001</v>
      </c>
      <c r="H5067" t="s">
        <v>12</v>
      </c>
      <c r="I5067" t="str">
        <f t="shared" si="238"/>
        <v>Low Value</v>
      </c>
      <c r="J5067" t="str">
        <f t="shared" si="239"/>
        <v>Medium Risk</v>
      </c>
      <c r="K5067" s="3" t="str">
        <f t="shared" si="237"/>
        <v>1-2 Years</v>
      </c>
    </row>
    <row r="5068" spans="1:11" x14ac:dyDescent="0.3">
      <c r="A5068" t="s">
        <v>5085</v>
      </c>
      <c r="B5068" t="s">
        <v>9</v>
      </c>
      <c r="C5068" t="s">
        <v>15</v>
      </c>
      <c r="D5068" t="s">
        <v>24</v>
      </c>
      <c r="E5068">
        <v>19.45</v>
      </c>
      <c r="F5068">
        <v>49</v>
      </c>
      <c r="G5068">
        <v>953.05</v>
      </c>
      <c r="H5068" t="s">
        <v>12</v>
      </c>
      <c r="I5068" t="str">
        <f t="shared" si="238"/>
        <v>Low Value</v>
      </c>
      <c r="J5068" t="str">
        <f t="shared" si="239"/>
        <v>Low Risk</v>
      </c>
      <c r="K5068" s="3" t="str">
        <f t="shared" si="237"/>
        <v>4+ Years</v>
      </c>
    </row>
    <row r="5069" spans="1:11" x14ac:dyDescent="0.3">
      <c r="A5069" t="s">
        <v>5086</v>
      </c>
      <c r="B5069" t="s">
        <v>9</v>
      </c>
      <c r="C5069" t="s">
        <v>10</v>
      </c>
      <c r="D5069" t="s">
        <v>11</v>
      </c>
      <c r="E5069">
        <v>92.15</v>
      </c>
      <c r="F5069">
        <v>42</v>
      </c>
      <c r="G5069">
        <v>3870.3</v>
      </c>
      <c r="H5069" t="s">
        <v>12</v>
      </c>
      <c r="I5069" t="str">
        <f t="shared" si="238"/>
        <v>Medium Value</v>
      </c>
      <c r="J5069" t="str">
        <f t="shared" si="239"/>
        <v>Low Risk</v>
      </c>
      <c r="K5069" s="3" t="str">
        <f t="shared" si="237"/>
        <v>2-4 Years</v>
      </c>
    </row>
    <row r="5070" spans="1:11" x14ac:dyDescent="0.3">
      <c r="A5070" t="s">
        <v>5087</v>
      </c>
      <c r="B5070" t="s">
        <v>9</v>
      </c>
      <c r="C5070" t="s">
        <v>15</v>
      </c>
      <c r="D5070" t="s">
        <v>11</v>
      </c>
      <c r="E5070">
        <v>93.8</v>
      </c>
      <c r="F5070">
        <v>33</v>
      </c>
      <c r="G5070">
        <v>3095.4</v>
      </c>
      <c r="H5070" t="s">
        <v>18</v>
      </c>
      <c r="I5070" t="str">
        <f t="shared" si="238"/>
        <v>Medium Value</v>
      </c>
      <c r="J5070" t="str">
        <f t="shared" si="239"/>
        <v>Low Risk</v>
      </c>
      <c r="K5070" s="3" t="str">
        <f t="shared" si="237"/>
        <v>2-4 Years</v>
      </c>
    </row>
    <row r="5071" spans="1:11" x14ac:dyDescent="0.3">
      <c r="A5071" t="s">
        <v>5088</v>
      </c>
      <c r="B5071" t="s">
        <v>9</v>
      </c>
      <c r="C5071" t="s">
        <v>30</v>
      </c>
      <c r="D5071" t="s">
        <v>16</v>
      </c>
      <c r="E5071">
        <v>19.850000000000001</v>
      </c>
      <c r="F5071">
        <v>7</v>
      </c>
      <c r="G5071">
        <v>138.94999999999999</v>
      </c>
      <c r="H5071" t="s">
        <v>12</v>
      </c>
      <c r="I5071" t="str">
        <f t="shared" si="238"/>
        <v>Low Value</v>
      </c>
      <c r="J5071" t="str">
        <f t="shared" si="239"/>
        <v>High Risk</v>
      </c>
      <c r="K5071" s="3" t="str">
        <f t="shared" si="237"/>
        <v>0-1 Year</v>
      </c>
    </row>
    <row r="5072" spans="1:11" x14ac:dyDescent="0.3">
      <c r="A5072" t="s">
        <v>5089</v>
      </c>
      <c r="B5072" t="s">
        <v>9</v>
      </c>
      <c r="C5072" t="s">
        <v>15</v>
      </c>
      <c r="D5072" t="s">
        <v>20</v>
      </c>
      <c r="E5072">
        <v>100.25</v>
      </c>
      <c r="F5072">
        <v>67</v>
      </c>
      <c r="G5072">
        <v>6716.75</v>
      </c>
      <c r="H5072" t="s">
        <v>12</v>
      </c>
      <c r="I5072" t="str">
        <f t="shared" si="238"/>
        <v>High Value</v>
      </c>
      <c r="J5072" t="str">
        <f t="shared" si="239"/>
        <v>Low Risk</v>
      </c>
      <c r="K5072" s="3" t="str">
        <f t="shared" si="237"/>
        <v>4+ Years</v>
      </c>
    </row>
    <row r="5073" spans="1:11" x14ac:dyDescent="0.3">
      <c r="A5073" t="s">
        <v>5090</v>
      </c>
      <c r="B5073" t="s">
        <v>14</v>
      </c>
      <c r="C5073" t="s">
        <v>10</v>
      </c>
      <c r="D5073" t="s">
        <v>11</v>
      </c>
      <c r="E5073">
        <v>95.7</v>
      </c>
      <c r="F5073">
        <v>15</v>
      </c>
      <c r="G5073">
        <v>1435.5</v>
      </c>
      <c r="H5073" t="s">
        <v>12</v>
      </c>
      <c r="I5073" t="str">
        <f t="shared" si="238"/>
        <v>Low Value</v>
      </c>
      <c r="J5073" t="str">
        <f t="shared" si="239"/>
        <v>Medium Risk</v>
      </c>
      <c r="K5073" s="3" t="str">
        <f t="shared" si="237"/>
        <v>1-2 Years</v>
      </c>
    </row>
    <row r="5074" spans="1:11" x14ac:dyDescent="0.3">
      <c r="A5074" t="s">
        <v>5091</v>
      </c>
      <c r="B5074" t="s">
        <v>14</v>
      </c>
      <c r="C5074" t="s">
        <v>30</v>
      </c>
      <c r="D5074" t="s">
        <v>11</v>
      </c>
      <c r="E5074">
        <v>93.15</v>
      </c>
      <c r="F5074">
        <v>67</v>
      </c>
      <c r="G5074">
        <v>6241.05</v>
      </c>
      <c r="H5074" t="s">
        <v>12</v>
      </c>
      <c r="I5074" t="str">
        <f t="shared" si="238"/>
        <v>High Value</v>
      </c>
      <c r="J5074" t="str">
        <f t="shared" si="239"/>
        <v>Low Risk</v>
      </c>
      <c r="K5074" s="3" t="str">
        <f t="shared" si="237"/>
        <v>4+ Years</v>
      </c>
    </row>
    <row r="5075" spans="1:11" x14ac:dyDescent="0.3">
      <c r="A5075" t="s">
        <v>5092</v>
      </c>
      <c r="B5075" t="s">
        <v>14</v>
      </c>
      <c r="C5075" t="s">
        <v>30</v>
      </c>
      <c r="D5075" t="s">
        <v>16</v>
      </c>
      <c r="E5075">
        <v>69.7</v>
      </c>
      <c r="F5075">
        <v>53</v>
      </c>
      <c r="G5075">
        <v>3694.1</v>
      </c>
      <c r="H5075" t="s">
        <v>12</v>
      </c>
      <c r="I5075" t="str">
        <f t="shared" si="238"/>
        <v>Medium Value</v>
      </c>
      <c r="J5075" t="str">
        <f t="shared" si="239"/>
        <v>Low Risk</v>
      </c>
      <c r="K5075" s="3" t="str">
        <f t="shared" si="237"/>
        <v>4+ Years</v>
      </c>
    </row>
    <row r="5076" spans="1:11" x14ac:dyDescent="0.3">
      <c r="A5076" t="s">
        <v>5093</v>
      </c>
      <c r="B5076" t="s">
        <v>14</v>
      </c>
      <c r="C5076" t="s">
        <v>15</v>
      </c>
      <c r="D5076" t="s">
        <v>16</v>
      </c>
      <c r="E5076">
        <v>19.8</v>
      </c>
      <c r="F5076">
        <v>21</v>
      </c>
      <c r="G5076">
        <v>415.8</v>
      </c>
      <c r="H5076" t="s">
        <v>12</v>
      </c>
      <c r="I5076" t="str">
        <f t="shared" si="238"/>
        <v>Low Value</v>
      </c>
      <c r="J5076" t="str">
        <f t="shared" si="239"/>
        <v>Medium Risk</v>
      </c>
      <c r="K5076" s="3" t="str">
        <f t="shared" si="237"/>
        <v>1-2 Years</v>
      </c>
    </row>
    <row r="5077" spans="1:11" x14ac:dyDescent="0.3">
      <c r="A5077" t="s">
        <v>5094</v>
      </c>
      <c r="B5077" t="s">
        <v>9</v>
      </c>
      <c r="C5077" t="s">
        <v>10</v>
      </c>
      <c r="D5077" t="s">
        <v>16</v>
      </c>
      <c r="E5077">
        <v>71.349999999999994</v>
      </c>
      <c r="F5077">
        <v>40</v>
      </c>
      <c r="G5077">
        <v>2854</v>
      </c>
      <c r="H5077" t="s">
        <v>12</v>
      </c>
      <c r="I5077" t="str">
        <f t="shared" si="238"/>
        <v>Medium Value</v>
      </c>
      <c r="J5077" t="str">
        <f t="shared" si="239"/>
        <v>Low Risk</v>
      </c>
      <c r="K5077" s="3" t="str">
        <f t="shared" si="237"/>
        <v>2-4 Years</v>
      </c>
    </row>
    <row r="5078" spans="1:11" x14ac:dyDescent="0.3">
      <c r="A5078" t="s">
        <v>5095</v>
      </c>
      <c r="B5078" t="s">
        <v>9</v>
      </c>
      <c r="C5078" t="s">
        <v>15</v>
      </c>
      <c r="D5078" t="s">
        <v>20</v>
      </c>
      <c r="E5078">
        <v>20.75</v>
      </c>
      <c r="F5078">
        <v>22</v>
      </c>
      <c r="G5078">
        <v>456.5</v>
      </c>
      <c r="H5078" t="s">
        <v>12</v>
      </c>
      <c r="I5078" t="str">
        <f t="shared" si="238"/>
        <v>Low Value</v>
      </c>
      <c r="J5078" t="str">
        <f t="shared" si="239"/>
        <v>Medium Risk</v>
      </c>
      <c r="K5078" s="3" t="str">
        <f t="shared" si="237"/>
        <v>1-2 Years</v>
      </c>
    </row>
    <row r="5079" spans="1:11" x14ac:dyDescent="0.3">
      <c r="A5079" t="s">
        <v>5096</v>
      </c>
      <c r="B5079" t="s">
        <v>14</v>
      </c>
      <c r="C5079" t="s">
        <v>10</v>
      </c>
      <c r="D5079" t="s">
        <v>11</v>
      </c>
      <c r="E5079">
        <v>40.6</v>
      </c>
      <c r="F5079">
        <v>39</v>
      </c>
      <c r="G5079">
        <v>1583.4</v>
      </c>
      <c r="H5079" t="s">
        <v>12</v>
      </c>
      <c r="I5079" t="str">
        <f t="shared" si="238"/>
        <v>Low Value</v>
      </c>
      <c r="J5079" t="str">
        <f t="shared" si="239"/>
        <v>Low Risk</v>
      </c>
      <c r="K5079" s="3" t="str">
        <f t="shared" si="237"/>
        <v>2-4 Years</v>
      </c>
    </row>
    <row r="5080" spans="1:11" x14ac:dyDescent="0.3">
      <c r="A5080" t="s">
        <v>5097</v>
      </c>
      <c r="B5080" t="s">
        <v>14</v>
      </c>
      <c r="C5080" t="s">
        <v>15</v>
      </c>
      <c r="D5080" t="s">
        <v>11</v>
      </c>
      <c r="E5080">
        <v>20.399999999999999</v>
      </c>
      <c r="F5080">
        <v>45</v>
      </c>
      <c r="G5080">
        <v>917.99999999999898</v>
      </c>
      <c r="H5080" t="s">
        <v>18</v>
      </c>
      <c r="I5080" t="str">
        <f t="shared" si="238"/>
        <v>Low Value</v>
      </c>
      <c r="J5080" t="str">
        <f t="shared" si="239"/>
        <v>Low Risk</v>
      </c>
      <c r="K5080" s="3" t="str">
        <f t="shared" si="237"/>
        <v>2-4 Years</v>
      </c>
    </row>
    <row r="5081" spans="1:11" x14ac:dyDescent="0.3">
      <c r="A5081" t="s">
        <v>5098</v>
      </c>
      <c r="B5081" t="s">
        <v>9</v>
      </c>
      <c r="C5081" t="s">
        <v>10</v>
      </c>
      <c r="D5081" t="s">
        <v>16</v>
      </c>
      <c r="E5081">
        <v>20.350000000000001</v>
      </c>
      <c r="F5081">
        <v>2</v>
      </c>
      <c r="G5081">
        <v>40.700000000000003</v>
      </c>
      <c r="H5081" t="s">
        <v>12</v>
      </c>
      <c r="I5081" t="str">
        <f t="shared" si="238"/>
        <v>Low Value</v>
      </c>
      <c r="J5081" t="str">
        <f t="shared" si="239"/>
        <v>High Risk</v>
      </c>
      <c r="K5081" s="3" t="str">
        <f t="shared" si="237"/>
        <v>0-1 Year</v>
      </c>
    </row>
    <row r="5082" spans="1:11" x14ac:dyDescent="0.3">
      <c r="A5082" t="s">
        <v>5099</v>
      </c>
      <c r="B5082" t="s">
        <v>9</v>
      </c>
      <c r="C5082" t="s">
        <v>30</v>
      </c>
      <c r="D5082" t="s">
        <v>20</v>
      </c>
      <c r="E5082">
        <v>19.75</v>
      </c>
      <c r="F5082">
        <v>57</v>
      </c>
      <c r="G5082">
        <v>1125.75</v>
      </c>
      <c r="H5082" t="s">
        <v>12</v>
      </c>
      <c r="I5082" t="str">
        <f t="shared" si="238"/>
        <v>Low Value</v>
      </c>
      <c r="J5082" t="str">
        <f t="shared" si="239"/>
        <v>Low Risk</v>
      </c>
      <c r="K5082" s="3" t="str">
        <f t="shared" si="237"/>
        <v>4+ Years</v>
      </c>
    </row>
    <row r="5083" spans="1:11" x14ac:dyDescent="0.3">
      <c r="A5083" t="s">
        <v>5100</v>
      </c>
      <c r="B5083" t="s">
        <v>14</v>
      </c>
      <c r="C5083" t="s">
        <v>10</v>
      </c>
      <c r="D5083" t="s">
        <v>11</v>
      </c>
      <c r="E5083">
        <v>54.4</v>
      </c>
      <c r="F5083">
        <v>8</v>
      </c>
      <c r="G5083">
        <v>435.2</v>
      </c>
      <c r="H5083" t="s">
        <v>12</v>
      </c>
      <c r="I5083" t="str">
        <f t="shared" si="238"/>
        <v>Low Value</v>
      </c>
      <c r="J5083" t="str">
        <f t="shared" si="239"/>
        <v>High Risk</v>
      </c>
      <c r="K5083" s="3" t="str">
        <f t="shared" si="237"/>
        <v>0-1 Year</v>
      </c>
    </row>
    <row r="5084" spans="1:11" x14ac:dyDescent="0.3">
      <c r="A5084" t="s">
        <v>5101</v>
      </c>
      <c r="B5084" t="s">
        <v>14</v>
      </c>
      <c r="C5084" t="s">
        <v>10</v>
      </c>
      <c r="D5084" t="s">
        <v>24</v>
      </c>
      <c r="E5084">
        <v>94.7</v>
      </c>
      <c r="F5084">
        <v>7</v>
      </c>
      <c r="G5084">
        <v>662.9</v>
      </c>
      <c r="H5084" t="s">
        <v>18</v>
      </c>
      <c r="I5084" t="str">
        <f t="shared" si="238"/>
        <v>Low Value</v>
      </c>
      <c r="J5084" t="str">
        <f t="shared" si="239"/>
        <v>High Risk</v>
      </c>
      <c r="K5084" s="3" t="str">
        <f t="shared" si="237"/>
        <v>0-1 Year</v>
      </c>
    </row>
    <row r="5085" spans="1:11" x14ac:dyDescent="0.3">
      <c r="A5085" t="s">
        <v>5102</v>
      </c>
      <c r="B5085" t="s">
        <v>14</v>
      </c>
      <c r="C5085" t="s">
        <v>10</v>
      </c>
      <c r="D5085" t="s">
        <v>24</v>
      </c>
      <c r="E5085">
        <v>30.5</v>
      </c>
      <c r="F5085">
        <v>6</v>
      </c>
      <c r="G5085">
        <v>183</v>
      </c>
      <c r="H5085" t="s">
        <v>18</v>
      </c>
      <c r="I5085" t="str">
        <f t="shared" si="238"/>
        <v>Low Value</v>
      </c>
      <c r="J5085" t="str">
        <f t="shared" si="239"/>
        <v>High Risk</v>
      </c>
      <c r="K5085" s="3" t="str">
        <f t="shared" si="237"/>
        <v>0-1 Year</v>
      </c>
    </row>
    <row r="5086" spans="1:11" x14ac:dyDescent="0.3">
      <c r="A5086" t="s">
        <v>5103</v>
      </c>
      <c r="B5086" t="s">
        <v>9</v>
      </c>
      <c r="C5086" t="s">
        <v>10</v>
      </c>
      <c r="D5086" t="s">
        <v>16</v>
      </c>
      <c r="E5086">
        <v>20.45</v>
      </c>
      <c r="F5086">
        <v>7</v>
      </c>
      <c r="G5086">
        <v>143.15</v>
      </c>
      <c r="H5086" t="s">
        <v>12</v>
      </c>
      <c r="I5086" t="str">
        <f t="shared" si="238"/>
        <v>Low Value</v>
      </c>
      <c r="J5086" t="str">
        <f t="shared" si="239"/>
        <v>High Risk</v>
      </c>
      <c r="K5086" s="3" t="str">
        <f t="shared" si="237"/>
        <v>0-1 Year</v>
      </c>
    </row>
    <row r="5087" spans="1:11" x14ac:dyDescent="0.3">
      <c r="A5087" t="s">
        <v>5104</v>
      </c>
      <c r="B5087" t="s">
        <v>14</v>
      </c>
      <c r="C5087" t="s">
        <v>30</v>
      </c>
      <c r="D5087" t="s">
        <v>20</v>
      </c>
      <c r="E5087">
        <v>66.150000000000006</v>
      </c>
      <c r="F5087">
        <v>49</v>
      </c>
      <c r="G5087">
        <v>3241.35</v>
      </c>
      <c r="H5087" t="s">
        <v>12</v>
      </c>
      <c r="I5087" t="str">
        <f t="shared" si="238"/>
        <v>Medium Value</v>
      </c>
      <c r="J5087" t="str">
        <f t="shared" si="239"/>
        <v>Low Risk</v>
      </c>
      <c r="K5087" s="3" t="str">
        <f t="shared" si="237"/>
        <v>4+ Years</v>
      </c>
    </row>
    <row r="5088" spans="1:11" x14ac:dyDescent="0.3">
      <c r="A5088" t="s">
        <v>5105</v>
      </c>
      <c r="B5088" t="s">
        <v>9</v>
      </c>
      <c r="C5088" t="s">
        <v>15</v>
      </c>
      <c r="D5088" t="s">
        <v>11</v>
      </c>
      <c r="E5088">
        <v>89.85</v>
      </c>
      <c r="F5088">
        <v>65</v>
      </c>
      <c r="G5088">
        <v>5840.25</v>
      </c>
      <c r="H5088" t="s">
        <v>12</v>
      </c>
      <c r="I5088" t="str">
        <f t="shared" si="238"/>
        <v>High Value</v>
      </c>
      <c r="J5088" t="str">
        <f t="shared" si="239"/>
        <v>Low Risk</v>
      </c>
      <c r="K5088" s="3" t="str">
        <f t="shared" si="237"/>
        <v>4+ Years</v>
      </c>
    </row>
    <row r="5089" spans="1:11" x14ac:dyDescent="0.3">
      <c r="A5089" t="s">
        <v>5106</v>
      </c>
      <c r="B5089" t="s">
        <v>9</v>
      </c>
      <c r="C5089" t="s">
        <v>15</v>
      </c>
      <c r="D5089" t="s">
        <v>20</v>
      </c>
      <c r="E5089">
        <v>45.05</v>
      </c>
      <c r="F5089">
        <v>55</v>
      </c>
      <c r="G5089">
        <v>2477.75</v>
      </c>
      <c r="H5089" t="s">
        <v>12</v>
      </c>
      <c r="I5089" t="str">
        <f t="shared" si="238"/>
        <v>Medium Value</v>
      </c>
      <c r="J5089" t="str">
        <f t="shared" si="239"/>
        <v>Low Risk</v>
      </c>
      <c r="K5089" s="3" t="str">
        <f t="shared" si="237"/>
        <v>4+ Years</v>
      </c>
    </row>
    <row r="5090" spans="1:11" x14ac:dyDescent="0.3">
      <c r="A5090" t="s">
        <v>5107</v>
      </c>
      <c r="B5090" t="s">
        <v>14</v>
      </c>
      <c r="C5090" t="s">
        <v>30</v>
      </c>
      <c r="D5090" t="s">
        <v>20</v>
      </c>
      <c r="E5090">
        <v>86.85</v>
      </c>
      <c r="F5090">
        <v>71</v>
      </c>
      <c r="G5090">
        <v>6166.3499999999904</v>
      </c>
      <c r="H5090" t="s">
        <v>12</v>
      </c>
      <c r="I5090" t="str">
        <f t="shared" si="238"/>
        <v>High Value</v>
      </c>
      <c r="J5090" t="str">
        <f t="shared" si="239"/>
        <v>Low Risk</v>
      </c>
      <c r="K5090" s="3" t="str">
        <f t="shared" si="237"/>
        <v>4+ Years</v>
      </c>
    </row>
    <row r="5091" spans="1:11" x14ac:dyDescent="0.3">
      <c r="A5091" t="s">
        <v>5108</v>
      </c>
      <c r="B5091" t="s">
        <v>14</v>
      </c>
      <c r="C5091" t="s">
        <v>10</v>
      </c>
      <c r="D5091" t="s">
        <v>16</v>
      </c>
      <c r="E5091">
        <v>96.75</v>
      </c>
      <c r="F5091">
        <v>35</v>
      </c>
      <c r="G5091">
        <v>3386.25</v>
      </c>
      <c r="H5091" t="s">
        <v>12</v>
      </c>
      <c r="I5091" t="str">
        <f t="shared" si="238"/>
        <v>Medium Value</v>
      </c>
      <c r="J5091" t="str">
        <f t="shared" si="239"/>
        <v>Low Risk</v>
      </c>
      <c r="K5091" s="3" t="str">
        <f t="shared" si="237"/>
        <v>2-4 Years</v>
      </c>
    </row>
    <row r="5092" spans="1:11" x14ac:dyDescent="0.3">
      <c r="A5092" t="s">
        <v>5109</v>
      </c>
      <c r="B5092" t="s">
        <v>14</v>
      </c>
      <c r="C5092" t="s">
        <v>10</v>
      </c>
      <c r="D5092" t="s">
        <v>11</v>
      </c>
      <c r="E5092">
        <v>77</v>
      </c>
      <c r="F5092">
        <v>3</v>
      </c>
      <c r="G5092">
        <v>231</v>
      </c>
      <c r="H5092" t="s">
        <v>18</v>
      </c>
      <c r="I5092" t="str">
        <f t="shared" si="238"/>
        <v>Low Value</v>
      </c>
      <c r="J5092" t="str">
        <f t="shared" si="239"/>
        <v>High Risk</v>
      </c>
      <c r="K5092" s="3" t="str">
        <f t="shared" si="237"/>
        <v>0-1 Year</v>
      </c>
    </row>
    <row r="5093" spans="1:11" x14ac:dyDescent="0.3">
      <c r="A5093" t="s">
        <v>5110</v>
      </c>
      <c r="B5093" t="s">
        <v>9</v>
      </c>
      <c r="C5093" t="s">
        <v>10</v>
      </c>
      <c r="D5093" t="s">
        <v>24</v>
      </c>
      <c r="E5093">
        <v>20.100000000000001</v>
      </c>
      <c r="F5093">
        <v>11</v>
      </c>
      <c r="G5093">
        <v>221.1</v>
      </c>
      <c r="H5093" t="s">
        <v>18</v>
      </c>
      <c r="I5093" t="str">
        <f t="shared" si="238"/>
        <v>Low Value</v>
      </c>
      <c r="J5093" t="str">
        <f t="shared" si="239"/>
        <v>High Risk</v>
      </c>
      <c r="K5093" s="3" t="str">
        <f t="shared" si="237"/>
        <v>0-1 Year</v>
      </c>
    </row>
    <row r="5094" spans="1:11" x14ac:dyDescent="0.3">
      <c r="A5094" t="s">
        <v>5111</v>
      </c>
      <c r="B5094" t="s">
        <v>9</v>
      </c>
      <c r="C5094" t="s">
        <v>10</v>
      </c>
      <c r="D5094" t="s">
        <v>11</v>
      </c>
      <c r="E5094">
        <v>75.3</v>
      </c>
      <c r="F5094">
        <v>1</v>
      </c>
      <c r="G5094">
        <v>75.3</v>
      </c>
      <c r="H5094" t="s">
        <v>18</v>
      </c>
      <c r="I5094" t="str">
        <f t="shared" si="238"/>
        <v>Low Value</v>
      </c>
      <c r="J5094" t="str">
        <f t="shared" si="239"/>
        <v>High Risk</v>
      </c>
      <c r="K5094" s="3" t="str">
        <f t="shared" si="237"/>
        <v>0-1 Year</v>
      </c>
    </row>
    <row r="5095" spans="1:11" x14ac:dyDescent="0.3">
      <c r="A5095" t="s">
        <v>5112</v>
      </c>
      <c r="B5095" t="s">
        <v>14</v>
      </c>
      <c r="C5095" t="s">
        <v>10</v>
      </c>
      <c r="D5095" t="s">
        <v>20</v>
      </c>
      <c r="E5095">
        <v>106.65</v>
      </c>
      <c r="F5095">
        <v>17</v>
      </c>
      <c r="G5095">
        <v>1813.05</v>
      </c>
      <c r="H5095" t="s">
        <v>12</v>
      </c>
      <c r="I5095" t="str">
        <f t="shared" si="238"/>
        <v>Low Value</v>
      </c>
      <c r="J5095" t="str">
        <f t="shared" si="239"/>
        <v>Medium Risk</v>
      </c>
      <c r="K5095" s="3" t="str">
        <f t="shared" si="237"/>
        <v>1-2 Years</v>
      </c>
    </row>
    <row r="5096" spans="1:11" x14ac:dyDescent="0.3">
      <c r="A5096" t="s">
        <v>5113</v>
      </c>
      <c r="B5096" t="s">
        <v>9</v>
      </c>
      <c r="C5096" t="s">
        <v>30</v>
      </c>
      <c r="D5096" t="s">
        <v>24</v>
      </c>
      <c r="E5096">
        <v>110.15</v>
      </c>
      <c r="F5096">
        <v>72</v>
      </c>
      <c r="G5096">
        <v>7930.8</v>
      </c>
      <c r="H5096" t="s">
        <v>12</v>
      </c>
      <c r="I5096" t="str">
        <f t="shared" si="238"/>
        <v>High Value</v>
      </c>
      <c r="J5096" t="str">
        <f t="shared" si="239"/>
        <v>Low Risk</v>
      </c>
      <c r="K5096" s="3" t="str">
        <f t="shared" si="237"/>
        <v>4+ Years</v>
      </c>
    </row>
    <row r="5097" spans="1:11" x14ac:dyDescent="0.3">
      <c r="A5097" t="s">
        <v>5114</v>
      </c>
      <c r="B5097" t="s">
        <v>9</v>
      </c>
      <c r="C5097" t="s">
        <v>15</v>
      </c>
      <c r="D5097" t="s">
        <v>20</v>
      </c>
      <c r="E5097">
        <v>82.85</v>
      </c>
      <c r="F5097">
        <v>28</v>
      </c>
      <c r="G5097">
        <v>2319.7999999999902</v>
      </c>
      <c r="H5097" t="s">
        <v>12</v>
      </c>
      <c r="I5097" t="str">
        <f t="shared" si="238"/>
        <v>Medium Value</v>
      </c>
      <c r="J5097" t="str">
        <f t="shared" si="239"/>
        <v>Low Risk</v>
      </c>
      <c r="K5097" s="3" t="str">
        <f t="shared" si="237"/>
        <v>2-4 Years</v>
      </c>
    </row>
    <row r="5098" spans="1:11" x14ac:dyDescent="0.3">
      <c r="A5098" t="s">
        <v>5115</v>
      </c>
      <c r="B5098" t="s">
        <v>9</v>
      </c>
      <c r="C5098" t="s">
        <v>30</v>
      </c>
      <c r="D5098" t="s">
        <v>16</v>
      </c>
      <c r="E5098">
        <v>20.100000000000001</v>
      </c>
      <c r="F5098">
        <v>18</v>
      </c>
      <c r="G5098">
        <v>361.8</v>
      </c>
      <c r="H5098" t="s">
        <v>12</v>
      </c>
      <c r="I5098" t="str">
        <f t="shared" si="238"/>
        <v>Low Value</v>
      </c>
      <c r="J5098" t="str">
        <f t="shared" si="239"/>
        <v>Medium Risk</v>
      </c>
      <c r="K5098" s="3" t="str">
        <f t="shared" si="237"/>
        <v>1-2 Years</v>
      </c>
    </row>
    <row r="5099" spans="1:11" x14ac:dyDescent="0.3">
      <c r="A5099" t="s">
        <v>5116</v>
      </c>
      <c r="B5099" t="s">
        <v>9</v>
      </c>
      <c r="C5099" t="s">
        <v>15</v>
      </c>
      <c r="D5099" t="s">
        <v>24</v>
      </c>
      <c r="E5099">
        <v>99.2</v>
      </c>
      <c r="F5099">
        <v>40</v>
      </c>
      <c r="G5099">
        <v>3968</v>
      </c>
      <c r="H5099" t="s">
        <v>18</v>
      </c>
      <c r="I5099" t="str">
        <f t="shared" si="238"/>
        <v>Medium Value</v>
      </c>
      <c r="J5099" t="str">
        <f t="shared" si="239"/>
        <v>Low Risk</v>
      </c>
      <c r="K5099" s="3" t="str">
        <f t="shared" si="237"/>
        <v>2-4 Years</v>
      </c>
    </row>
    <row r="5100" spans="1:11" x14ac:dyDescent="0.3">
      <c r="A5100" t="s">
        <v>5117</v>
      </c>
      <c r="B5100" t="s">
        <v>9</v>
      </c>
      <c r="C5100" t="s">
        <v>10</v>
      </c>
      <c r="D5100" t="s">
        <v>11</v>
      </c>
      <c r="E5100">
        <v>59.45</v>
      </c>
      <c r="F5100">
        <v>52</v>
      </c>
      <c r="G5100">
        <v>3091.4</v>
      </c>
      <c r="H5100" t="s">
        <v>12</v>
      </c>
      <c r="I5100" t="str">
        <f t="shared" si="238"/>
        <v>Medium Value</v>
      </c>
      <c r="J5100" t="str">
        <f t="shared" si="239"/>
        <v>Low Risk</v>
      </c>
      <c r="K5100" s="3" t="str">
        <f t="shared" si="237"/>
        <v>4+ Years</v>
      </c>
    </row>
    <row r="5101" spans="1:11" x14ac:dyDescent="0.3">
      <c r="A5101" t="s">
        <v>5118</v>
      </c>
      <c r="B5101" t="s">
        <v>9</v>
      </c>
      <c r="C5101" t="s">
        <v>10</v>
      </c>
      <c r="D5101" t="s">
        <v>20</v>
      </c>
      <c r="E5101">
        <v>58.6</v>
      </c>
      <c r="F5101">
        <v>47</v>
      </c>
      <c r="G5101">
        <v>2754.2</v>
      </c>
      <c r="H5101" t="s">
        <v>12</v>
      </c>
      <c r="I5101" t="str">
        <f t="shared" si="238"/>
        <v>Medium Value</v>
      </c>
      <c r="J5101" t="str">
        <f t="shared" si="239"/>
        <v>Low Risk</v>
      </c>
      <c r="K5101" s="3" t="str">
        <f t="shared" si="237"/>
        <v>2-4 Years</v>
      </c>
    </row>
    <row r="5102" spans="1:11" x14ac:dyDescent="0.3">
      <c r="A5102" t="s">
        <v>5119</v>
      </c>
      <c r="B5102" t="s">
        <v>9</v>
      </c>
      <c r="C5102" t="s">
        <v>10</v>
      </c>
      <c r="D5102" t="s">
        <v>24</v>
      </c>
      <c r="E5102">
        <v>49.7</v>
      </c>
      <c r="F5102">
        <v>23</v>
      </c>
      <c r="G5102">
        <v>1143.0999999999999</v>
      </c>
      <c r="H5102" t="s">
        <v>12</v>
      </c>
      <c r="I5102" t="str">
        <f t="shared" si="238"/>
        <v>Low Value</v>
      </c>
      <c r="J5102" t="str">
        <f t="shared" si="239"/>
        <v>Medium Risk</v>
      </c>
      <c r="K5102" s="3" t="str">
        <f t="shared" si="237"/>
        <v>1-2 Years</v>
      </c>
    </row>
    <row r="5103" spans="1:11" x14ac:dyDescent="0.3">
      <c r="A5103" t="s">
        <v>5120</v>
      </c>
      <c r="B5103" t="s">
        <v>14</v>
      </c>
      <c r="C5103" t="s">
        <v>30</v>
      </c>
      <c r="D5103" t="s">
        <v>16</v>
      </c>
      <c r="E5103">
        <v>65.849999999999994</v>
      </c>
      <c r="F5103">
        <v>66</v>
      </c>
      <c r="G5103">
        <v>4346.0999999999904</v>
      </c>
      <c r="H5103" t="s">
        <v>12</v>
      </c>
      <c r="I5103" t="str">
        <f t="shared" si="238"/>
        <v>Medium Value</v>
      </c>
      <c r="J5103" t="str">
        <f t="shared" si="239"/>
        <v>Low Risk</v>
      </c>
      <c r="K5103" s="3" t="str">
        <f t="shared" si="237"/>
        <v>4+ Years</v>
      </c>
    </row>
    <row r="5104" spans="1:11" x14ac:dyDescent="0.3">
      <c r="A5104" t="s">
        <v>5121</v>
      </c>
      <c r="B5104" t="s">
        <v>9</v>
      </c>
      <c r="C5104" t="s">
        <v>10</v>
      </c>
      <c r="D5104" t="s">
        <v>11</v>
      </c>
      <c r="E5104">
        <v>73.5</v>
      </c>
      <c r="F5104">
        <v>8</v>
      </c>
      <c r="G5104">
        <v>588</v>
      </c>
      <c r="H5104" t="s">
        <v>12</v>
      </c>
      <c r="I5104" t="str">
        <f t="shared" si="238"/>
        <v>Low Value</v>
      </c>
      <c r="J5104" t="str">
        <f t="shared" si="239"/>
        <v>High Risk</v>
      </c>
      <c r="K5104" s="3" t="str">
        <f t="shared" si="237"/>
        <v>0-1 Year</v>
      </c>
    </row>
    <row r="5105" spans="1:11" x14ac:dyDescent="0.3">
      <c r="A5105" t="s">
        <v>5122</v>
      </c>
      <c r="B5105" t="s">
        <v>14</v>
      </c>
      <c r="C5105" t="s">
        <v>10</v>
      </c>
      <c r="D5105" t="s">
        <v>16</v>
      </c>
      <c r="E5105">
        <v>85.5</v>
      </c>
      <c r="F5105">
        <v>47</v>
      </c>
      <c r="G5105">
        <v>4018.5</v>
      </c>
      <c r="H5105" t="s">
        <v>18</v>
      </c>
      <c r="I5105" t="str">
        <f t="shared" si="238"/>
        <v>Medium Value</v>
      </c>
      <c r="J5105" t="str">
        <f t="shared" si="239"/>
        <v>Low Risk</v>
      </c>
      <c r="K5105" s="3" t="str">
        <f t="shared" si="237"/>
        <v>2-4 Years</v>
      </c>
    </row>
    <row r="5106" spans="1:11" x14ac:dyDescent="0.3">
      <c r="A5106" t="s">
        <v>5123</v>
      </c>
      <c r="B5106" t="s">
        <v>9</v>
      </c>
      <c r="C5106" t="s">
        <v>10</v>
      </c>
      <c r="D5106" t="s">
        <v>16</v>
      </c>
      <c r="E5106">
        <v>20.05</v>
      </c>
      <c r="F5106">
        <v>7</v>
      </c>
      <c r="G5106">
        <v>140.35</v>
      </c>
      <c r="H5106" t="s">
        <v>18</v>
      </c>
      <c r="I5106" t="str">
        <f t="shared" si="238"/>
        <v>Low Value</v>
      </c>
      <c r="J5106" t="str">
        <f t="shared" si="239"/>
        <v>High Risk</v>
      </c>
      <c r="K5106" s="3" t="str">
        <f t="shared" si="237"/>
        <v>0-1 Year</v>
      </c>
    </row>
    <row r="5107" spans="1:11" x14ac:dyDescent="0.3">
      <c r="A5107" t="s">
        <v>5124</v>
      </c>
      <c r="B5107" t="s">
        <v>9</v>
      </c>
      <c r="C5107" t="s">
        <v>30</v>
      </c>
      <c r="D5107" t="s">
        <v>24</v>
      </c>
      <c r="E5107">
        <v>113.65</v>
      </c>
      <c r="F5107">
        <v>71</v>
      </c>
      <c r="G5107">
        <v>8069.15</v>
      </c>
      <c r="H5107" t="s">
        <v>12</v>
      </c>
      <c r="I5107" t="str">
        <f t="shared" si="238"/>
        <v>High Value</v>
      </c>
      <c r="J5107" t="str">
        <f t="shared" si="239"/>
        <v>Low Risk</v>
      </c>
      <c r="K5107" s="3" t="str">
        <f t="shared" si="237"/>
        <v>4+ Years</v>
      </c>
    </row>
    <row r="5108" spans="1:11" x14ac:dyDescent="0.3">
      <c r="A5108" t="s">
        <v>5125</v>
      </c>
      <c r="B5108" t="s">
        <v>9</v>
      </c>
      <c r="C5108" t="s">
        <v>10</v>
      </c>
      <c r="D5108" t="s">
        <v>11</v>
      </c>
      <c r="E5108">
        <v>83.4</v>
      </c>
      <c r="F5108">
        <v>50</v>
      </c>
      <c r="G5108">
        <v>4170</v>
      </c>
      <c r="H5108" t="s">
        <v>12</v>
      </c>
      <c r="I5108" t="str">
        <f t="shared" si="238"/>
        <v>Medium Value</v>
      </c>
      <c r="J5108" t="str">
        <f t="shared" si="239"/>
        <v>Low Risk</v>
      </c>
      <c r="K5108" s="3" t="str">
        <f t="shared" si="237"/>
        <v>4+ Years</v>
      </c>
    </row>
    <row r="5109" spans="1:11" x14ac:dyDescent="0.3">
      <c r="A5109" t="s">
        <v>5126</v>
      </c>
      <c r="B5109" t="s">
        <v>14</v>
      </c>
      <c r="C5109" t="s">
        <v>30</v>
      </c>
      <c r="D5109" t="s">
        <v>16</v>
      </c>
      <c r="E5109">
        <v>65.650000000000006</v>
      </c>
      <c r="F5109">
        <v>46</v>
      </c>
      <c r="G5109">
        <v>3019.9</v>
      </c>
      <c r="H5109" t="s">
        <v>12</v>
      </c>
      <c r="I5109" t="str">
        <f t="shared" si="238"/>
        <v>Medium Value</v>
      </c>
      <c r="J5109" t="str">
        <f t="shared" si="239"/>
        <v>Low Risk</v>
      </c>
      <c r="K5109" s="3" t="str">
        <f t="shared" si="237"/>
        <v>2-4 Years</v>
      </c>
    </row>
    <row r="5110" spans="1:11" x14ac:dyDescent="0.3">
      <c r="A5110" t="s">
        <v>5127</v>
      </c>
      <c r="B5110" t="s">
        <v>14</v>
      </c>
      <c r="C5110" t="s">
        <v>10</v>
      </c>
      <c r="D5110" t="s">
        <v>11</v>
      </c>
      <c r="E5110">
        <v>70.400000000000006</v>
      </c>
      <c r="F5110">
        <v>1</v>
      </c>
      <c r="G5110">
        <v>70.400000000000006</v>
      </c>
      <c r="H5110" t="s">
        <v>18</v>
      </c>
      <c r="I5110" t="str">
        <f t="shared" si="238"/>
        <v>Low Value</v>
      </c>
      <c r="J5110" t="str">
        <f t="shared" si="239"/>
        <v>High Risk</v>
      </c>
      <c r="K5110" s="3" t="str">
        <f t="shared" si="237"/>
        <v>0-1 Year</v>
      </c>
    </row>
    <row r="5111" spans="1:11" x14ac:dyDescent="0.3">
      <c r="A5111" t="s">
        <v>5128</v>
      </c>
      <c r="B5111" t="s">
        <v>9</v>
      </c>
      <c r="C5111" t="s">
        <v>30</v>
      </c>
      <c r="D5111" t="s">
        <v>20</v>
      </c>
      <c r="E5111">
        <v>61.35</v>
      </c>
      <c r="F5111">
        <v>66</v>
      </c>
      <c r="G5111">
        <v>4049.1</v>
      </c>
      <c r="H5111" t="s">
        <v>12</v>
      </c>
      <c r="I5111" t="str">
        <f t="shared" si="238"/>
        <v>Medium Value</v>
      </c>
      <c r="J5111" t="str">
        <f t="shared" si="239"/>
        <v>Low Risk</v>
      </c>
      <c r="K5111" s="3" t="str">
        <f t="shared" si="237"/>
        <v>4+ Years</v>
      </c>
    </row>
    <row r="5112" spans="1:11" x14ac:dyDescent="0.3">
      <c r="A5112" t="s">
        <v>5129</v>
      </c>
      <c r="B5112" t="s">
        <v>9</v>
      </c>
      <c r="C5112" t="s">
        <v>10</v>
      </c>
      <c r="D5112" t="s">
        <v>24</v>
      </c>
      <c r="E5112">
        <v>85.9</v>
      </c>
      <c r="F5112">
        <v>42</v>
      </c>
      <c r="G5112">
        <v>3607.8</v>
      </c>
      <c r="H5112" t="s">
        <v>12</v>
      </c>
      <c r="I5112" t="str">
        <f t="shared" si="238"/>
        <v>Medium Value</v>
      </c>
      <c r="J5112" t="str">
        <f t="shared" si="239"/>
        <v>Low Risk</v>
      </c>
      <c r="K5112" s="3" t="str">
        <f t="shared" si="237"/>
        <v>2-4 Years</v>
      </c>
    </row>
    <row r="5113" spans="1:11" x14ac:dyDescent="0.3">
      <c r="A5113" t="s">
        <v>5130</v>
      </c>
      <c r="B5113" t="s">
        <v>9</v>
      </c>
      <c r="C5113" t="s">
        <v>10</v>
      </c>
      <c r="D5113" t="s">
        <v>16</v>
      </c>
      <c r="E5113">
        <v>75.650000000000006</v>
      </c>
      <c r="F5113">
        <v>5</v>
      </c>
      <c r="G5113">
        <v>378.25</v>
      </c>
      <c r="H5113" t="s">
        <v>12</v>
      </c>
      <c r="I5113" t="str">
        <f t="shared" si="238"/>
        <v>Low Value</v>
      </c>
      <c r="J5113" t="str">
        <f t="shared" si="239"/>
        <v>High Risk</v>
      </c>
      <c r="K5113" s="3" t="str">
        <f t="shared" si="237"/>
        <v>0-1 Year</v>
      </c>
    </row>
    <row r="5114" spans="1:11" x14ac:dyDescent="0.3">
      <c r="A5114" t="s">
        <v>5131</v>
      </c>
      <c r="B5114" t="s">
        <v>14</v>
      </c>
      <c r="C5114" t="s">
        <v>15</v>
      </c>
      <c r="D5114" t="s">
        <v>11</v>
      </c>
      <c r="E5114">
        <v>49.75</v>
      </c>
      <c r="F5114">
        <v>7</v>
      </c>
      <c r="G5114">
        <v>348.25</v>
      </c>
      <c r="H5114" t="s">
        <v>18</v>
      </c>
      <c r="I5114" t="str">
        <f t="shared" si="238"/>
        <v>Low Value</v>
      </c>
      <c r="J5114" t="str">
        <f t="shared" si="239"/>
        <v>High Risk</v>
      </c>
      <c r="K5114" s="3" t="str">
        <f t="shared" si="237"/>
        <v>0-1 Year</v>
      </c>
    </row>
    <row r="5115" spans="1:11" x14ac:dyDescent="0.3">
      <c r="A5115" t="s">
        <v>5132</v>
      </c>
      <c r="B5115" t="s">
        <v>14</v>
      </c>
      <c r="C5115" t="s">
        <v>15</v>
      </c>
      <c r="D5115" t="s">
        <v>24</v>
      </c>
      <c r="E5115">
        <v>70.900000000000006</v>
      </c>
      <c r="F5115">
        <v>29</v>
      </c>
      <c r="G5115">
        <v>2056.1</v>
      </c>
      <c r="H5115" t="s">
        <v>12</v>
      </c>
      <c r="I5115" t="str">
        <f t="shared" si="238"/>
        <v>Medium Value</v>
      </c>
      <c r="J5115" t="str">
        <f t="shared" si="239"/>
        <v>Low Risk</v>
      </c>
      <c r="K5115" s="3" t="str">
        <f t="shared" si="237"/>
        <v>2-4 Years</v>
      </c>
    </row>
    <row r="5116" spans="1:11" x14ac:dyDescent="0.3">
      <c r="A5116" t="s">
        <v>5133</v>
      </c>
      <c r="B5116" t="s">
        <v>9</v>
      </c>
      <c r="C5116" t="s">
        <v>10</v>
      </c>
      <c r="D5116" t="s">
        <v>16</v>
      </c>
      <c r="E5116">
        <v>49.85</v>
      </c>
      <c r="F5116">
        <v>27</v>
      </c>
      <c r="G5116">
        <v>1345.95</v>
      </c>
      <c r="H5116" t="s">
        <v>12</v>
      </c>
      <c r="I5116" t="str">
        <f t="shared" si="238"/>
        <v>Low Value</v>
      </c>
      <c r="J5116" t="str">
        <f t="shared" si="239"/>
        <v>Low Risk</v>
      </c>
      <c r="K5116" s="3" t="str">
        <f t="shared" si="237"/>
        <v>2-4 Years</v>
      </c>
    </row>
    <row r="5117" spans="1:11" x14ac:dyDescent="0.3">
      <c r="A5117" t="s">
        <v>5134</v>
      </c>
      <c r="B5117" t="s">
        <v>9</v>
      </c>
      <c r="C5117" t="s">
        <v>10</v>
      </c>
      <c r="D5117" t="s">
        <v>24</v>
      </c>
      <c r="E5117">
        <v>75.3</v>
      </c>
      <c r="F5117">
        <v>15</v>
      </c>
      <c r="G5117">
        <v>1129.5</v>
      </c>
      <c r="H5117" t="s">
        <v>18</v>
      </c>
      <c r="I5117" t="str">
        <f t="shared" si="238"/>
        <v>Low Value</v>
      </c>
      <c r="J5117" t="str">
        <f t="shared" si="239"/>
        <v>Medium Risk</v>
      </c>
      <c r="K5117" s="3" t="str">
        <f t="shared" si="237"/>
        <v>1-2 Years</v>
      </c>
    </row>
    <row r="5118" spans="1:11" x14ac:dyDescent="0.3">
      <c r="A5118" t="s">
        <v>5135</v>
      </c>
      <c r="B5118" t="s">
        <v>9</v>
      </c>
      <c r="C5118" t="s">
        <v>30</v>
      </c>
      <c r="D5118" t="s">
        <v>16</v>
      </c>
      <c r="E5118">
        <v>20.100000000000001</v>
      </c>
      <c r="F5118">
        <v>25</v>
      </c>
      <c r="G5118">
        <v>502.5</v>
      </c>
      <c r="H5118" t="s">
        <v>12</v>
      </c>
      <c r="I5118" t="str">
        <f t="shared" si="238"/>
        <v>Low Value</v>
      </c>
      <c r="J5118" t="str">
        <f t="shared" si="239"/>
        <v>Low Risk</v>
      </c>
      <c r="K5118" s="3" t="str">
        <f t="shared" si="237"/>
        <v>2-4 Years</v>
      </c>
    </row>
    <row r="5119" spans="1:11" x14ac:dyDescent="0.3">
      <c r="A5119" t="s">
        <v>5136</v>
      </c>
      <c r="B5119" t="s">
        <v>9</v>
      </c>
      <c r="C5119" t="s">
        <v>10</v>
      </c>
      <c r="D5119" t="s">
        <v>11</v>
      </c>
      <c r="E5119">
        <v>94</v>
      </c>
      <c r="F5119">
        <v>11</v>
      </c>
      <c r="G5119">
        <v>1034</v>
      </c>
      <c r="H5119" t="s">
        <v>18</v>
      </c>
      <c r="I5119" t="str">
        <f t="shared" si="238"/>
        <v>Low Value</v>
      </c>
      <c r="J5119" t="str">
        <f t="shared" si="239"/>
        <v>High Risk</v>
      </c>
      <c r="K5119" s="3" t="str">
        <f t="shared" si="237"/>
        <v>0-1 Year</v>
      </c>
    </row>
    <row r="5120" spans="1:11" x14ac:dyDescent="0.3">
      <c r="A5120" t="s">
        <v>5137</v>
      </c>
      <c r="B5120" t="s">
        <v>14</v>
      </c>
      <c r="C5120" t="s">
        <v>10</v>
      </c>
      <c r="D5120" t="s">
        <v>11</v>
      </c>
      <c r="E5120">
        <v>103.05</v>
      </c>
      <c r="F5120">
        <v>57</v>
      </c>
      <c r="G5120">
        <v>5873.8499999999904</v>
      </c>
      <c r="H5120" t="s">
        <v>12</v>
      </c>
      <c r="I5120" t="str">
        <f t="shared" si="238"/>
        <v>High Value</v>
      </c>
      <c r="J5120" t="str">
        <f t="shared" si="239"/>
        <v>Low Risk</v>
      </c>
      <c r="K5120" s="3" t="str">
        <f t="shared" si="237"/>
        <v>4+ Years</v>
      </c>
    </row>
    <row r="5121" spans="1:11" x14ac:dyDescent="0.3">
      <c r="A5121" t="s">
        <v>5138</v>
      </c>
      <c r="B5121" t="s">
        <v>14</v>
      </c>
      <c r="C5121" t="s">
        <v>15</v>
      </c>
      <c r="D5121" t="s">
        <v>20</v>
      </c>
      <c r="E5121">
        <v>118.35</v>
      </c>
      <c r="F5121">
        <v>67</v>
      </c>
      <c r="G5121">
        <v>7929.45</v>
      </c>
      <c r="H5121" t="s">
        <v>18</v>
      </c>
      <c r="I5121" t="str">
        <f t="shared" si="238"/>
        <v>High Value</v>
      </c>
      <c r="J5121" t="str">
        <f t="shared" si="239"/>
        <v>Low Risk</v>
      </c>
      <c r="K5121" s="3" t="str">
        <f t="shared" si="237"/>
        <v>4+ Years</v>
      </c>
    </row>
    <row r="5122" spans="1:11" x14ac:dyDescent="0.3">
      <c r="A5122" t="s">
        <v>5139</v>
      </c>
      <c r="B5122" t="s">
        <v>9</v>
      </c>
      <c r="C5122" t="s">
        <v>10</v>
      </c>
      <c r="D5122" t="s">
        <v>11</v>
      </c>
      <c r="E5122">
        <v>99.7</v>
      </c>
      <c r="F5122">
        <v>47</v>
      </c>
      <c r="G5122">
        <v>4685.8999999999996</v>
      </c>
      <c r="H5122" t="s">
        <v>12</v>
      </c>
      <c r="I5122" t="str">
        <f t="shared" si="238"/>
        <v>Medium Value</v>
      </c>
      <c r="J5122" t="str">
        <f t="shared" si="239"/>
        <v>Low Risk</v>
      </c>
      <c r="K5122" s="3" t="str">
        <f t="shared" si="237"/>
        <v>2-4 Years</v>
      </c>
    </row>
    <row r="5123" spans="1:11" x14ac:dyDescent="0.3">
      <c r="A5123" t="s">
        <v>5140</v>
      </c>
      <c r="B5123" t="s">
        <v>9</v>
      </c>
      <c r="C5123" t="s">
        <v>10</v>
      </c>
      <c r="D5123" t="s">
        <v>16</v>
      </c>
      <c r="E5123">
        <v>81.900000000000006</v>
      </c>
      <c r="F5123">
        <v>13</v>
      </c>
      <c r="G5123">
        <v>1064.7</v>
      </c>
      <c r="H5123" t="s">
        <v>12</v>
      </c>
      <c r="I5123" t="str">
        <f t="shared" si="238"/>
        <v>Low Value</v>
      </c>
      <c r="J5123" t="str">
        <f t="shared" si="239"/>
        <v>Medium Risk</v>
      </c>
      <c r="K5123" s="3" t="str">
        <f t="shared" ref="K5123:K5186" si="240">IF(F5123&lt;=12,"0-1 Year",
IF(F5123&lt;=24,"1-2 Years",
IF(F5123&lt;=48,"2-4 Years","4+ Years")))</f>
        <v>1-2 Years</v>
      </c>
    </row>
    <row r="5124" spans="1:11" x14ac:dyDescent="0.3">
      <c r="A5124" t="s">
        <v>5141</v>
      </c>
      <c r="B5124" t="s">
        <v>14</v>
      </c>
      <c r="C5124" t="s">
        <v>10</v>
      </c>
      <c r="D5124" t="s">
        <v>11</v>
      </c>
      <c r="E5124">
        <v>30.45</v>
      </c>
      <c r="F5124">
        <v>8</v>
      </c>
      <c r="G5124">
        <v>243.6</v>
      </c>
      <c r="H5124" t="s">
        <v>18</v>
      </c>
      <c r="I5124" t="str">
        <f t="shared" ref="I5124:I5187" si="241">IF(G5124&gt;5000,"High Value",
IF(G5124&gt;2000,"Medium Value","Low Value"))</f>
        <v>Low Value</v>
      </c>
      <c r="J5124" t="str">
        <f t="shared" ref="J5124:J5187" si="242">IF(F5124&lt;12,"High Risk",
IF(F5124&lt;24,"Medium Risk","Low Risk"))</f>
        <v>High Risk</v>
      </c>
      <c r="K5124" s="3" t="str">
        <f t="shared" si="240"/>
        <v>0-1 Year</v>
      </c>
    </row>
    <row r="5125" spans="1:11" x14ac:dyDescent="0.3">
      <c r="A5125" t="s">
        <v>5142</v>
      </c>
      <c r="B5125" t="s">
        <v>9</v>
      </c>
      <c r="C5125" t="s">
        <v>10</v>
      </c>
      <c r="D5125" t="s">
        <v>11</v>
      </c>
      <c r="E5125">
        <v>96.1</v>
      </c>
      <c r="F5125">
        <v>44</v>
      </c>
      <c r="G5125">
        <v>4228.3999999999996</v>
      </c>
      <c r="H5125" t="s">
        <v>18</v>
      </c>
      <c r="I5125" t="str">
        <f t="shared" si="241"/>
        <v>Medium Value</v>
      </c>
      <c r="J5125" t="str">
        <f t="shared" si="242"/>
        <v>Low Risk</v>
      </c>
      <c r="K5125" s="3" t="str">
        <f t="shared" si="240"/>
        <v>2-4 Years</v>
      </c>
    </row>
    <row r="5126" spans="1:11" x14ac:dyDescent="0.3">
      <c r="A5126" t="s">
        <v>5143</v>
      </c>
      <c r="B5126" t="s">
        <v>14</v>
      </c>
      <c r="C5126" t="s">
        <v>15</v>
      </c>
      <c r="D5126" t="s">
        <v>11</v>
      </c>
      <c r="E5126">
        <v>66.2</v>
      </c>
      <c r="F5126">
        <v>71</v>
      </c>
      <c r="G5126">
        <v>4700.2</v>
      </c>
      <c r="H5126" t="s">
        <v>12</v>
      </c>
      <c r="I5126" t="str">
        <f t="shared" si="241"/>
        <v>Medium Value</v>
      </c>
      <c r="J5126" t="str">
        <f t="shared" si="242"/>
        <v>Low Risk</v>
      </c>
      <c r="K5126" s="3" t="str">
        <f t="shared" si="240"/>
        <v>4+ Years</v>
      </c>
    </row>
    <row r="5127" spans="1:11" x14ac:dyDescent="0.3">
      <c r="A5127" t="s">
        <v>5144</v>
      </c>
      <c r="B5127" t="s">
        <v>14</v>
      </c>
      <c r="C5127" t="s">
        <v>10</v>
      </c>
      <c r="D5127" t="s">
        <v>11</v>
      </c>
      <c r="E5127">
        <v>104.25</v>
      </c>
      <c r="F5127">
        <v>24</v>
      </c>
      <c r="G5127">
        <v>2502</v>
      </c>
      <c r="H5127" t="s">
        <v>18</v>
      </c>
      <c r="I5127" t="str">
        <f t="shared" si="241"/>
        <v>Medium Value</v>
      </c>
      <c r="J5127" t="str">
        <f t="shared" si="242"/>
        <v>Low Risk</v>
      </c>
      <c r="K5127" s="3" t="str">
        <f t="shared" si="240"/>
        <v>1-2 Years</v>
      </c>
    </row>
    <row r="5128" spans="1:11" x14ac:dyDescent="0.3">
      <c r="A5128" t="s">
        <v>5145</v>
      </c>
      <c r="B5128" t="s">
        <v>14</v>
      </c>
      <c r="C5128" t="s">
        <v>10</v>
      </c>
      <c r="D5128" t="s">
        <v>11</v>
      </c>
      <c r="E5128">
        <v>80.2</v>
      </c>
      <c r="F5128">
        <v>15</v>
      </c>
      <c r="G5128">
        <v>1203</v>
      </c>
      <c r="H5128" t="s">
        <v>18</v>
      </c>
      <c r="I5128" t="str">
        <f t="shared" si="241"/>
        <v>Low Value</v>
      </c>
      <c r="J5128" t="str">
        <f t="shared" si="242"/>
        <v>Medium Risk</v>
      </c>
      <c r="K5128" s="3" t="str">
        <f t="shared" si="240"/>
        <v>1-2 Years</v>
      </c>
    </row>
    <row r="5129" spans="1:11" x14ac:dyDescent="0.3">
      <c r="A5129" t="s">
        <v>5146</v>
      </c>
      <c r="B5129" t="s">
        <v>9</v>
      </c>
      <c r="C5129" t="s">
        <v>10</v>
      </c>
      <c r="D5129" t="s">
        <v>11</v>
      </c>
      <c r="E5129">
        <v>19.75</v>
      </c>
      <c r="F5129">
        <v>1</v>
      </c>
      <c r="G5129">
        <v>19.75</v>
      </c>
      <c r="H5129" t="s">
        <v>12</v>
      </c>
      <c r="I5129" t="str">
        <f t="shared" si="241"/>
        <v>Low Value</v>
      </c>
      <c r="J5129" t="str">
        <f t="shared" si="242"/>
        <v>High Risk</v>
      </c>
      <c r="K5129" s="3" t="str">
        <f t="shared" si="240"/>
        <v>0-1 Year</v>
      </c>
    </row>
    <row r="5130" spans="1:11" x14ac:dyDescent="0.3">
      <c r="A5130" t="s">
        <v>5147</v>
      </c>
      <c r="B5130" t="s">
        <v>14</v>
      </c>
      <c r="C5130" t="s">
        <v>10</v>
      </c>
      <c r="D5130" t="s">
        <v>16</v>
      </c>
      <c r="E5130">
        <v>72.599999999999994</v>
      </c>
      <c r="F5130">
        <v>2</v>
      </c>
      <c r="G5130">
        <v>145.19999999999999</v>
      </c>
      <c r="H5130" t="s">
        <v>12</v>
      </c>
      <c r="I5130" t="str">
        <f t="shared" si="241"/>
        <v>Low Value</v>
      </c>
      <c r="J5130" t="str">
        <f t="shared" si="242"/>
        <v>High Risk</v>
      </c>
      <c r="K5130" s="3" t="str">
        <f t="shared" si="240"/>
        <v>0-1 Year</v>
      </c>
    </row>
    <row r="5131" spans="1:11" x14ac:dyDescent="0.3">
      <c r="A5131" t="s">
        <v>5148</v>
      </c>
      <c r="B5131" t="s">
        <v>14</v>
      </c>
      <c r="C5131" t="s">
        <v>10</v>
      </c>
      <c r="D5131" t="s">
        <v>11</v>
      </c>
      <c r="E5131">
        <v>116.5</v>
      </c>
      <c r="F5131">
        <v>55</v>
      </c>
      <c r="G5131">
        <v>6407.5</v>
      </c>
      <c r="H5131" t="s">
        <v>12</v>
      </c>
      <c r="I5131" t="str">
        <f t="shared" si="241"/>
        <v>High Value</v>
      </c>
      <c r="J5131" t="str">
        <f t="shared" si="242"/>
        <v>Low Risk</v>
      </c>
      <c r="K5131" s="3" t="str">
        <f t="shared" si="240"/>
        <v>4+ Years</v>
      </c>
    </row>
    <row r="5132" spans="1:11" x14ac:dyDescent="0.3">
      <c r="A5132" t="s">
        <v>5149</v>
      </c>
      <c r="B5132" t="s">
        <v>14</v>
      </c>
      <c r="C5132" t="s">
        <v>30</v>
      </c>
      <c r="D5132" t="s">
        <v>11</v>
      </c>
      <c r="E5132">
        <v>106.8</v>
      </c>
      <c r="F5132">
        <v>71</v>
      </c>
      <c r="G5132">
        <v>7582.8</v>
      </c>
      <c r="H5132" t="s">
        <v>12</v>
      </c>
      <c r="I5132" t="str">
        <f t="shared" si="241"/>
        <v>High Value</v>
      </c>
      <c r="J5132" t="str">
        <f t="shared" si="242"/>
        <v>Low Risk</v>
      </c>
      <c r="K5132" s="3" t="str">
        <f t="shared" si="240"/>
        <v>4+ Years</v>
      </c>
    </row>
    <row r="5133" spans="1:11" x14ac:dyDescent="0.3">
      <c r="A5133" t="s">
        <v>5150</v>
      </c>
      <c r="B5133" t="s">
        <v>14</v>
      </c>
      <c r="C5133" t="s">
        <v>30</v>
      </c>
      <c r="D5133" t="s">
        <v>16</v>
      </c>
      <c r="E5133">
        <v>24.95</v>
      </c>
      <c r="F5133">
        <v>50</v>
      </c>
      <c r="G5133">
        <v>1247.5</v>
      </c>
      <c r="H5133" t="s">
        <v>12</v>
      </c>
      <c r="I5133" t="str">
        <f t="shared" si="241"/>
        <v>Low Value</v>
      </c>
      <c r="J5133" t="str">
        <f t="shared" si="242"/>
        <v>Low Risk</v>
      </c>
      <c r="K5133" s="3" t="str">
        <f t="shared" si="240"/>
        <v>4+ Years</v>
      </c>
    </row>
    <row r="5134" spans="1:11" x14ac:dyDescent="0.3">
      <c r="A5134" t="s">
        <v>5151</v>
      </c>
      <c r="B5134" t="s">
        <v>14</v>
      </c>
      <c r="C5134" t="s">
        <v>10</v>
      </c>
      <c r="D5134" t="s">
        <v>11</v>
      </c>
      <c r="E5134">
        <v>89.25</v>
      </c>
      <c r="F5134">
        <v>1</v>
      </c>
      <c r="G5134">
        <v>89.25</v>
      </c>
      <c r="H5134" t="s">
        <v>12</v>
      </c>
      <c r="I5134" t="str">
        <f t="shared" si="241"/>
        <v>Low Value</v>
      </c>
      <c r="J5134" t="str">
        <f t="shared" si="242"/>
        <v>High Risk</v>
      </c>
      <c r="K5134" s="3" t="str">
        <f t="shared" si="240"/>
        <v>0-1 Year</v>
      </c>
    </row>
    <row r="5135" spans="1:11" x14ac:dyDescent="0.3">
      <c r="A5135" t="s">
        <v>5152</v>
      </c>
      <c r="B5135" t="s">
        <v>14</v>
      </c>
      <c r="C5135" t="s">
        <v>10</v>
      </c>
      <c r="D5135" t="s">
        <v>16</v>
      </c>
      <c r="E5135">
        <v>19.25</v>
      </c>
      <c r="F5135">
        <v>5</v>
      </c>
      <c r="G5135">
        <v>96.25</v>
      </c>
      <c r="H5135" t="s">
        <v>12</v>
      </c>
      <c r="I5135" t="str">
        <f t="shared" si="241"/>
        <v>Low Value</v>
      </c>
      <c r="J5135" t="str">
        <f t="shared" si="242"/>
        <v>High Risk</v>
      </c>
      <c r="K5135" s="3" t="str">
        <f t="shared" si="240"/>
        <v>0-1 Year</v>
      </c>
    </row>
    <row r="5136" spans="1:11" x14ac:dyDescent="0.3">
      <c r="A5136" t="s">
        <v>5153</v>
      </c>
      <c r="B5136" t="s">
        <v>9</v>
      </c>
      <c r="C5136" t="s">
        <v>15</v>
      </c>
      <c r="D5136" t="s">
        <v>20</v>
      </c>
      <c r="E5136">
        <v>104.55</v>
      </c>
      <c r="F5136">
        <v>66</v>
      </c>
      <c r="G5136">
        <v>6900.3</v>
      </c>
      <c r="H5136" t="s">
        <v>12</v>
      </c>
      <c r="I5136" t="str">
        <f t="shared" si="241"/>
        <v>High Value</v>
      </c>
      <c r="J5136" t="str">
        <f t="shared" si="242"/>
        <v>Low Risk</v>
      </c>
      <c r="K5136" s="3" t="str">
        <f t="shared" si="240"/>
        <v>4+ Years</v>
      </c>
    </row>
    <row r="5137" spans="1:11" x14ac:dyDescent="0.3">
      <c r="A5137" t="s">
        <v>5154</v>
      </c>
      <c r="B5137" t="s">
        <v>9</v>
      </c>
      <c r="C5137" t="s">
        <v>15</v>
      </c>
      <c r="D5137" t="s">
        <v>16</v>
      </c>
      <c r="E5137">
        <v>87.2</v>
      </c>
      <c r="F5137">
        <v>49</v>
      </c>
      <c r="G5137">
        <v>4272.8</v>
      </c>
      <c r="H5137" t="s">
        <v>12</v>
      </c>
      <c r="I5137" t="str">
        <f t="shared" si="241"/>
        <v>Medium Value</v>
      </c>
      <c r="J5137" t="str">
        <f t="shared" si="242"/>
        <v>Low Risk</v>
      </c>
      <c r="K5137" s="3" t="str">
        <f t="shared" si="240"/>
        <v>4+ Years</v>
      </c>
    </row>
    <row r="5138" spans="1:11" x14ac:dyDescent="0.3">
      <c r="A5138" t="s">
        <v>5155</v>
      </c>
      <c r="B5138" t="s">
        <v>9</v>
      </c>
      <c r="C5138" t="s">
        <v>10</v>
      </c>
      <c r="D5138" t="s">
        <v>11</v>
      </c>
      <c r="E5138">
        <v>30.75</v>
      </c>
      <c r="F5138">
        <v>3</v>
      </c>
      <c r="G5138">
        <v>92.25</v>
      </c>
      <c r="H5138" t="s">
        <v>12</v>
      </c>
      <c r="I5138" t="str">
        <f t="shared" si="241"/>
        <v>Low Value</v>
      </c>
      <c r="J5138" t="str">
        <f t="shared" si="242"/>
        <v>High Risk</v>
      </c>
      <c r="K5138" s="3" t="str">
        <f t="shared" si="240"/>
        <v>0-1 Year</v>
      </c>
    </row>
    <row r="5139" spans="1:11" x14ac:dyDescent="0.3">
      <c r="A5139" t="s">
        <v>5156</v>
      </c>
      <c r="B5139" t="s">
        <v>14</v>
      </c>
      <c r="C5139" t="s">
        <v>15</v>
      </c>
      <c r="D5139" t="s">
        <v>24</v>
      </c>
      <c r="E5139">
        <v>25.7</v>
      </c>
      <c r="F5139">
        <v>66</v>
      </c>
      <c r="G5139">
        <v>1696.2</v>
      </c>
      <c r="H5139" t="s">
        <v>12</v>
      </c>
      <c r="I5139" t="str">
        <f t="shared" si="241"/>
        <v>Low Value</v>
      </c>
      <c r="J5139" t="str">
        <f t="shared" si="242"/>
        <v>Low Risk</v>
      </c>
      <c r="K5139" s="3" t="str">
        <f t="shared" si="240"/>
        <v>4+ Years</v>
      </c>
    </row>
    <row r="5140" spans="1:11" x14ac:dyDescent="0.3">
      <c r="A5140" t="s">
        <v>5157</v>
      </c>
      <c r="B5140" t="s">
        <v>14</v>
      </c>
      <c r="C5140" t="s">
        <v>10</v>
      </c>
      <c r="D5140" t="s">
        <v>11</v>
      </c>
      <c r="E5140">
        <v>86.2</v>
      </c>
      <c r="F5140">
        <v>11</v>
      </c>
      <c r="G5140">
        <v>948.2</v>
      </c>
      <c r="H5140" t="s">
        <v>12</v>
      </c>
      <c r="I5140" t="str">
        <f t="shared" si="241"/>
        <v>Low Value</v>
      </c>
      <c r="J5140" t="str">
        <f t="shared" si="242"/>
        <v>High Risk</v>
      </c>
      <c r="K5140" s="3" t="str">
        <f t="shared" si="240"/>
        <v>0-1 Year</v>
      </c>
    </row>
    <row r="5141" spans="1:11" x14ac:dyDescent="0.3">
      <c r="A5141" t="s">
        <v>5158</v>
      </c>
      <c r="B5141" t="s">
        <v>14</v>
      </c>
      <c r="C5141" t="s">
        <v>10</v>
      </c>
      <c r="D5141" t="s">
        <v>24</v>
      </c>
      <c r="E5141">
        <v>30.1</v>
      </c>
      <c r="F5141">
        <v>28</v>
      </c>
      <c r="G5141">
        <v>842.8</v>
      </c>
      <c r="H5141" t="s">
        <v>12</v>
      </c>
      <c r="I5141" t="str">
        <f t="shared" si="241"/>
        <v>Low Value</v>
      </c>
      <c r="J5141" t="str">
        <f t="shared" si="242"/>
        <v>Low Risk</v>
      </c>
      <c r="K5141" s="3" t="str">
        <f t="shared" si="240"/>
        <v>2-4 Years</v>
      </c>
    </row>
    <row r="5142" spans="1:11" x14ac:dyDescent="0.3">
      <c r="A5142" t="s">
        <v>5159</v>
      </c>
      <c r="B5142" t="s">
        <v>14</v>
      </c>
      <c r="C5142" t="s">
        <v>30</v>
      </c>
      <c r="D5142" t="s">
        <v>11</v>
      </c>
      <c r="E5142">
        <v>99.35</v>
      </c>
      <c r="F5142">
        <v>65</v>
      </c>
      <c r="G5142">
        <v>6457.75</v>
      </c>
      <c r="H5142" t="s">
        <v>12</v>
      </c>
      <c r="I5142" t="str">
        <f t="shared" si="241"/>
        <v>High Value</v>
      </c>
      <c r="J5142" t="str">
        <f t="shared" si="242"/>
        <v>Low Risk</v>
      </c>
      <c r="K5142" s="3" t="str">
        <f t="shared" si="240"/>
        <v>4+ Years</v>
      </c>
    </row>
    <row r="5143" spans="1:11" x14ac:dyDescent="0.3">
      <c r="A5143" t="s">
        <v>5160</v>
      </c>
      <c r="B5143" t="s">
        <v>9</v>
      </c>
      <c r="C5143" t="s">
        <v>30</v>
      </c>
      <c r="D5143" t="s">
        <v>24</v>
      </c>
      <c r="E5143">
        <v>19.2</v>
      </c>
      <c r="F5143">
        <v>62</v>
      </c>
      <c r="G5143">
        <v>1190.3999999999901</v>
      </c>
      <c r="H5143" t="s">
        <v>12</v>
      </c>
      <c r="I5143" t="str">
        <f t="shared" si="241"/>
        <v>Low Value</v>
      </c>
      <c r="J5143" t="str">
        <f t="shared" si="242"/>
        <v>Low Risk</v>
      </c>
      <c r="K5143" s="3" t="str">
        <f t="shared" si="240"/>
        <v>4+ Years</v>
      </c>
    </row>
    <row r="5144" spans="1:11" x14ac:dyDescent="0.3">
      <c r="A5144" t="s">
        <v>5161</v>
      </c>
      <c r="B5144" t="s">
        <v>9</v>
      </c>
      <c r="C5144" t="s">
        <v>10</v>
      </c>
      <c r="D5144" t="s">
        <v>20</v>
      </c>
      <c r="E5144">
        <v>20.100000000000001</v>
      </c>
      <c r="F5144">
        <v>2</v>
      </c>
      <c r="G5144">
        <v>40.200000000000003</v>
      </c>
      <c r="H5144" t="s">
        <v>12</v>
      </c>
      <c r="I5144" t="str">
        <f t="shared" si="241"/>
        <v>Low Value</v>
      </c>
      <c r="J5144" t="str">
        <f t="shared" si="242"/>
        <v>High Risk</v>
      </c>
      <c r="K5144" s="3" t="str">
        <f t="shared" si="240"/>
        <v>0-1 Year</v>
      </c>
    </row>
    <row r="5145" spans="1:11" x14ac:dyDescent="0.3">
      <c r="A5145" t="s">
        <v>5162</v>
      </c>
      <c r="B5145" t="s">
        <v>9</v>
      </c>
      <c r="C5145" t="s">
        <v>10</v>
      </c>
      <c r="D5145" t="s">
        <v>24</v>
      </c>
      <c r="E5145">
        <v>20.350000000000001</v>
      </c>
      <c r="F5145">
        <v>2</v>
      </c>
      <c r="G5145">
        <v>40.700000000000003</v>
      </c>
      <c r="H5145" t="s">
        <v>12</v>
      </c>
      <c r="I5145" t="str">
        <f t="shared" si="241"/>
        <v>Low Value</v>
      </c>
      <c r="J5145" t="str">
        <f t="shared" si="242"/>
        <v>High Risk</v>
      </c>
      <c r="K5145" s="3" t="str">
        <f t="shared" si="240"/>
        <v>0-1 Year</v>
      </c>
    </row>
    <row r="5146" spans="1:11" x14ac:dyDescent="0.3">
      <c r="A5146" t="s">
        <v>5163</v>
      </c>
      <c r="B5146" t="s">
        <v>9</v>
      </c>
      <c r="C5146" t="s">
        <v>30</v>
      </c>
      <c r="D5146" t="s">
        <v>24</v>
      </c>
      <c r="E5146">
        <v>25.65</v>
      </c>
      <c r="F5146">
        <v>55</v>
      </c>
      <c r="G5146">
        <v>1410.75</v>
      </c>
      <c r="H5146" t="s">
        <v>12</v>
      </c>
      <c r="I5146" t="str">
        <f t="shared" si="241"/>
        <v>Low Value</v>
      </c>
      <c r="J5146" t="str">
        <f t="shared" si="242"/>
        <v>Low Risk</v>
      </c>
      <c r="K5146" s="3" t="str">
        <f t="shared" si="240"/>
        <v>4+ Years</v>
      </c>
    </row>
    <row r="5147" spans="1:11" x14ac:dyDescent="0.3">
      <c r="A5147" t="s">
        <v>5164</v>
      </c>
      <c r="B5147" t="s">
        <v>14</v>
      </c>
      <c r="C5147" t="s">
        <v>10</v>
      </c>
      <c r="D5147" t="s">
        <v>11</v>
      </c>
      <c r="E5147">
        <v>94.55</v>
      </c>
      <c r="F5147">
        <v>41</v>
      </c>
      <c r="G5147">
        <v>3876.5499999999902</v>
      </c>
      <c r="H5147" t="s">
        <v>12</v>
      </c>
      <c r="I5147" t="str">
        <f t="shared" si="241"/>
        <v>Medium Value</v>
      </c>
      <c r="J5147" t="str">
        <f t="shared" si="242"/>
        <v>Low Risk</v>
      </c>
      <c r="K5147" s="3" t="str">
        <f t="shared" si="240"/>
        <v>2-4 Years</v>
      </c>
    </row>
    <row r="5148" spans="1:11" x14ac:dyDescent="0.3">
      <c r="A5148" t="s">
        <v>5165</v>
      </c>
      <c r="B5148" t="s">
        <v>9</v>
      </c>
      <c r="C5148" t="s">
        <v>10</v>
      </c>
      <c r="D5148" t="s">
        <v>11</v>
      </c>
      <c r="E5148">
        <v>104.2</v>
      </c>
      <c r="F5148">
        <v>17</v>
      </c>
      <c r="G5148">
        <v>1771.4</v>
      </c>
      <c r="H5148" t="s">
        <v>18</v>
      </c>
      <c r="I5148" t="str">
        <f t="shared" si="241"/>
        <v>Low Value</v>
      </c>
      <c r="J5148" t="str">
        <f t="shared" si="242"/>
        <v>Medium Risk</v>
      </c>
      <c r="K5148" s="3" t="str">
        <f t="shared" si="240"/>
        <v>1-2 Years</v>
      </c>
    </row>
    <row r="5149" spans="1:11" x14ac:dyDescent="0.3">
      <c r="A5149" t="s">
        <v>5166</v>
      </c>
      <c r="B5149" t="s">
        <v>9</v>
      </c>
      <c r="C5149" t="s">
        <v>15</v>
      </c>
      <c r="D5149" t="s">
        <v>20</v>
      </c>
      <c r="E5149">
        <v>94.4</v>
      </c>
      <c r="F5149">
        <v>30</v>
      </c>
      <c r="G5149">
        <v>2832</v>
      </c>
      <c r="H5149" t="s">
        <v>12</v>
      </c>
      <c r="I5149" t="str">
        <f t="shared" si="241"/>
        <v>Medium Value</v>
      </c>
      <c r="J5149" t="str">
        <f t="shared" si="242"/>
        <v>Low Risk</v>
      </c>
      <c r="K5149" s="3" t="str">
        <f t="shared" si="240"/>
        <v>2-4 Years</v>
      </c>
    </row>
    <row r="5150" spans="1:11" x14ac:dyDescent="0.3">
      <c r="A5150" t="s">
        <v>5167</v>
      </c>
      <c r="B5150" t="s">
        <v>14</v>
      </c>
      <c r="C5150" t="s">
        <v>15</v>
      </c>
      <c r="D5150" t="s">
        <v>16</v>
      </c>
      <c r="E5150">
        <v>56.1</v>
      </c>
      <c r="F5150">
        <v>17</v>
      </c>
      <c r="G5150">
        <v>953.7</v>
      </c>
      <c r="H5150" t="s">
        <v>12</v>
      </c>
      <c r="I5150" t="str">
        <f t="shared" si="241"/>
        <v>Low Value</v>
      </c>
      <c r="J5150" t="str">
        <f t="shared" si="242"/>
        <v>Medium Risk</v>
      </c>
      <c r="K5150" s="3" t="str">
        <f t="shared" si="240"/>
        <v>1-2 Years</v>
      </c>
    </row>
    <row r="5151" spans="1:11" x14ac:dyDescent="0.3">
      <c r="A5151" t="s">
        <v>5168</v>
      </c>
      <c r="B5151" t="s">
        <v>9</v>
      </c>
      <c r="C5151" t="s">
        <v>30</v>
      </c>
      <c r="D5151" t="s">
        <v>20</v>
      </c>
      <c r="E5151">
        <v>68.25</v>
      </c>
      <c r="F5151">
        <v>16</v>
      </c>
      <c r="G5151">
        <v>1092</v>
      </c>
      <c r="H5151" t="s">
        <v>12</v>
      </c>
      <c r="I5151" t="str">
        <f t="shared" si="241"/>
        <v>Low Value</v>
      </c>
      <c r="J5151" t="str">
        <f t="shared" si="242"/>
        <v>Medium Risk</v>
      </c>
      <c r="K5151" s="3" t="str">
        <f t="shared" si="240"/>
        <v>1-2 Years</v>
      </c>
    </row>
    <row r="5152" spans="1:11" x14ac:dyDescent="0.3">
      <c r="A5152" t="s">
        <v>5169</v>
      </c>
      <c r="B5152" t="s">
        <v>14</v>
      </c>
      <c r="C5152" t="s">
        <v>30</v>
      </c>
      <c r="D5152" t="s">
        <v>20</v>
      </c>
      <c r="E5152">
        <v>24.75</v>
      </c>
      <c r="F5152">
        <v>72</v>
      </c>
      <c r="G5152">
        <v>1782</v>
      </c>
      <c r="H5152" t="s">
        <v>12</v>
      </c>
      <c r="I5152" t="str">
        <f t="shared" si="241"/>
        <v>Low Value</v>
      </c>
      <c r="J5152" t="str">
        <f t="shared" si="242"/>
        <v>Low Risk</v>
      </c>
      <c r="K5152" s="3" t="str">
        <f t="shared" si="240"/>
        <v>4+ Years</v>
      </c>
    </row>
    <row r="5153" spans="1:11" x14ac:dyDescent="0.3">
      <c r="A5153" t="s">
        <v>5170</v>
      </c>
      <c r="B5153" t="s">
        <v>14</v>
      </c>
      <c r="C5153" t="s">
        <v>10</v>
      </c>
      <c r="D5153" t="s">
        <v>11</v>
      </c>
      <c r="E5153">
        <v>76.25</v>
      </c>
      <c r="F5153">
        <v>9</v>
      </c>
      <c r="G5153">
        <v>686.25</v>
      </c>
      <c r="H5153" t="s">
        <v>12</v>
      </c>
      <c r="I5153" t="str">
        <f t="shared" si="241"/>
        <v>Low Value</v>
      </c>
      <c r="J5153" t="str">
        <f t="shared" si="242"/>
        <v>High Risk</v>
      </c>
      <c r="K5153" s="3" t="str">
        <f t="shared" si="240"/>
        <v>0-1 Year</v>
      </c>
    </row>
    <row r="5154" spans="1:11" x14ac:dyDescent="0.3">
      <c r="A5154" t="s">
        <v>5171</v>
      </c>
      <c r="B5154" t="s">
        <v>9</v>
      </c>
      <c r="C5154" t="s">
        <v>10</v>
      </c>
      <c r="D5154" t="s">
        <v>11</v>
      </c>
      <c r="E5154">
        <v>74.349999999999994</v>
      </c>
      <c r="F5154">
        <v>1</v>
      </c>
      <c r="G5154">
        <v>74.349999999999994</v>
      </c>
      <c r="H5154" t="s">
        <v>12</v>
      </c>
      <c r="I5154" t="str">
        <f t="shared" si="241"/>
        <v>Low Value</v>
      </c>
      <c r="J5154" t="str">
        <f t="shared" si="242"/>
        <v>High Risk</v>
      </c>
      <c r="K5154" s="3" t="str">
        <f t="shared" si="240"/>
        <v>0-1 Year</v>
      </c>
    </row>
    <row r="5155" spans="1:11" x14ac:dyDescent="0.3">
      <c r="A5155" t="s">
        <v>5172</v>
      </c>
      <c r="B5155" t="s">
        <v>14</v>
      </c>
      <c r="C5155" t="s">
        <v>10</v>
      </c>
      <c r="D5155" t="s">
        <v>11</v>
      </c>
      <c r="E5155">
        <v>54.15</v>
      </c>
      <c r="F5155">
        <v>23</v>
      </c>
      <c r="G5155">
        <v>1245.45</v>
      </c>
      <c r="H5155" t="s">
        <v>12</v>
      </c>
      <c r="I5155" t="str">
        <f t="shared" si="241"/>
        <v>Low Value</v>
      </c>
      <c r="J5155" t="str">
        <f t="shared" si="242"/>
        <v>Medium Risk</v>
      </c>
      <c r="K5155" s="3" t="str">
        <f t="shared" si="240"/>
        <v>1-2 Years</v>
      </c>
    </row>
    <row r="5156" spans="1:11" x14ac:dyDescent="0.3">
      <c r="A5156" t="s">
        <v>5173</v>
      </c>
      <c r="B5156" t="s">
        <v>14</v>
      </c>
      <c r="C5156" t="s">
        <v>10</v>
      </c>
      <c r="D5156" t="s">
        <v>20</v>
      </c>
      <c r="E5156">
        <v>19.45</v>
      </c>
      <c r="F5156">
        <v>8</v>
      </c>
      <c r="G5156">
        <v>155.6</v>
      </c>
      <c r="H5156" t="s">
        <v>12</v>
      </c>
      <c r="I5156" t="str">
        <f t="shared" si="241"/>
        <v>Low Value</v>
      </c>
      <c r="J5156" t="str">
        <f t="shared" si="242"/>
        <v>High Risk</v>
      </c>
      <c r="K5156" s="3" t="str">
        <f t="shared" si="240"/>
        <v>0-1 Year</v>
      </c>
    </row>
    <row r="5157" spans="1:11" x14ac:dyDescent="0.3">
      <c r="A5157" t="s">
        <v>5174</v>
      </c>
      <c r="B5157" t="s">
        <v>14</v>
      </c>
      <c r="C5157" t="s">
        <v>10</v>
      </c>
      <c r="D5157" t="s">
        <v>16</v>
      </c>
      <c r="E5157">
        <v>34.950000000000003</v>
      </c>
      <c r="F5157">
        <v>19</v>
      </c>
      <c r="G5157">
        <v>664.05</v>
      </c>
      <c r="H5157" t="s">
        <v>12</v>
      </c>
      <c r="I5157" t="str">
        <f t="shared" si="241"/>
        <v>Low Value</v>
      </c>
      <c r="J5157" t="str">
        <f t="shared" si="242"/>
        <v>Medium Risk</v>
      </c>
      <c r="K5157" s="3" t="str">
        <f t="shared" si="240"/>
        <v>1-2 Years</v>
      </c>
    </row>
    <row r="5158" spans="1:11" x14ac:dyDescent="0.3">
      <c r="A5158" t="s">
        <v>5175</v>
      </c>
      <c r="B5158" t="s">
        <v>9</v>
      </c>
      <c r="C5158" t="s">
        <v>10</v>
      </c>
      <c r="D5158" t="s">
        <v>11</v>
      </c>
      <c r="E5158">
        <v>53.65</v>
      </c>
      <c r="F5158">
        <v>7</v>
      </c>
      <c r="G5158">
        <v>375.55</v>
      </c>
      <c r="H5158" t="s">
        <v>12</v>
      </c>
      <c r="I5158" t="str">
        <f t="shared" si="241"/>
        <v>Low Value</v>
      </c>
      <c r="J5158" t="str">
        <f t="shared" si="242"/>
        <v>High Risk</v>
      </c>
      <c r="K5158" s="3" t="str">
        <f t="shared" si="240"/>
        <v>0-1 Year</v>
      </c>
    </row>
    <row r="5159" spans="1:11" x14ac:dyDescent="0.3">
      <c r="A5159" t="s">
        <v>5176</v>
      </c>
      <c r="B5159" t="s">
        <v>14</v>
      </c>
      <c r="C5159" t="s">
        <v>10</v>
      </c>
      <c r="D5159" t="s">
        <v>11</v>
      </c>
      <c r="E5159">
        <v>69.650000000000006</v>
      </c>
      <c r="F5159">
        <v>1</v>
      </c>
      <c r="G5159">
        <v>69.650000000000006</v>
      </c>
      <c r="H5159" t="s">
        <v>18</v>
      </c>
      <c r="I5159" t="str">
        <f t="shared" si="241"/>
        <v>Low Value</v>
      </c>
      <c r="J5159" t="str">
        <f t="shared" si="242"/>
        <v>High Risk</v>
      </c>
      <c r="K5159" s="3" t="str">
        <f t="shared" si="240"/>
        <v>0-1 Year</v>
      </c>
    </row>
    <row r="5160" spans="1:11" x14ac:dyDescent="0.3">
      <c r="A5160" t="s">
        <v>5177</v>
      </c>
      <c r="B5160" t="s">
        <v>14</v>
      </c>
      <c r="C5160" t="s">
        <v>15</v>
      </c>
      <c r="D5160" t="s">
        <v>11</v>
      </c>
      <c r="E5160">
        <v>104</v>
      </c>
      <c r="F5160">
        <v>61</v>
      </c>
      <c r="G5160">
        <v>6344</v>
      </c>
      <c r="H5160" t="s">
        <v>12</v>
      </c>
      <c r="I5160" t="str">
        <f t="shared" si="241"/>
        <v>High Value</v>
      </c>
      <c r="J5160" t="str">
        <f t="shared" si="242"/>
        <v>Low Risk</v>
      </c>
      <c r="K5160" s="3" t="str">
        <f t="shared" si="240"/>
        <v>4+ Years</v>
      </c>
    </row>
    <row r="5161" spans="1:11" x14ac:dyDescent="0.3">
      <c r="A5161" t="s">
        <v>5178</v>
      </c>
      <c r="B5161" t="s">
        <v>9</v>
      </c>
      <c r="C5161" t="s">
        <v>30</v>
      </c>
      <c r="D5161" t="s">
        <v>24</v>
      </c>
      <c r="E5161">
        <v>70.349999999999994</v>
      </c>
      <c r="F5161">
        <v>57</v>
      </c>
      <c r="G5161">
        <v>4009.95</v>
      </c>
      <c r="H5161" t="s">
        <v>12</v>
      </c>
      <c r="I5161" t="str">
        <f t="shared" si="241"/>
        <v>Medium Value</v>
      </c>
      <c r="J5161" t="str">
        <f t="shared" si="242"/>
        <v>Low Risk</v>
      </c>
      <c r="K5161" s="3" t="str">
        <f t="shared" si="240"/>
        <v>4+ Years</v>
      </c>
    </row>
    <row r="5162" spans="1:11" x14ac:dyDescent="0.3">
      <c r="A5162" t="s">
        <v>5179</v>
      </c>
      <c r="B5162" t="s">
        <v>14</v>
      </c>
      <c r="C5162" t="s">
        <v>10</v>
      </c>
      <c r="D5162" t="s">
        <v>11</v>
      </c>
      <c r="E5162">
        <v>80.8</v>
      </c>
      <c r="F5162">
        <v>9</v>
      </c>
      <c r="G5162">
        <v>727.19999999999902</v>
      </c>
      <c r="H5162" t="s">
        <v>18</v>
      </c>
      <c r="I5162" t="str">
        <f t="shared" si="241"/>
        <v>Low Value</v>
      </c>
      <c r="J5162" t="str">
        <f t="shared" si="242"/>
        <v>High Risk</v>
      </c>
      <c r="K5162" s="3" t="str">
        <f t="shared" si="240"/>
        <v>0-1 Year</v>
      </c>
    </row>
    <row r="5163" spans="1:11" x14ac:dyDescent="0.3">
      <c r="A5163" t="s">
        <v>5180</v>
      </c>
      <c r="B5163" t="s">
        <v>14</v>
      </c>
      <c r="C5163" t="s">
        <v>15</v>
      </c>
      <c r="D5163" t="s">
        <v>16</v>
      </c>
      <c r="E5163">
        <v>64.849999999999994</v>
      </c>
      <c r="F5163">
        <v>15</v>
      </c>
      <c r="G5163">
        <v>972.74999999999898</v>
      </c>
      <c r="H5163" t="s">
        <v>12</v>
      </c>
      <c r="I5163" t="str">
        <f t="shared" si="241"/>
        <v>Low Value</v>
      </c>
      <c r="J5163" t="str">
        <f t="shared" si="242"/>
        <v>Medium Risk</v>
      </c>
      <c r="K5163" s="3" t="str">
        <f t="shared" si="240"/>
        <v>1-2 Years</v>
      </c>
    </row>
    <row r="5164" spans="1:11" x14ac:dyDescent="0.3">
      <c r="A5164" t="s">
        <v>5181</v>
      </c>
      <c r="B5164" t="s">
        <v>9</v>
      </c>
      <c r="C5164" t="s">
        <v>10</v>
      </c>
      <c r="D5164" t="s">
        <v>16</v>
      </c>
      <c r="E5164">
        <v>19.649999999999999</v>
      </c>
      <c r="F5164">
        <v>1</v>
      </c>
      <c r="G5164">
        <v>19.649999999999999</v>
      </c>
      <c r="H5164" t="s">
        <v>12</v>
      </c>
      <c r="I5164" t="str">
        <f t="shared" si="241"/>
        <v>Low Value</v>
      </c>
      <c r="J5164" t="str">
        <f t="shared" si="242"/>
        <v>High Risk</v>
      </c>
      <c r="K5164" s="3" t="str">
        <f t="shared" si="240"/>
        <v>0-1 Year</v>
      </c>
    </row>
    <row r="5165" spans="1:11" x14ac:dyDescent="0.3">
      <c r="A5165" t="s">
        <v>5182</v>
      </c>
      <c r="B5165" t="s">
        <v>9</v>
      </c>
      <c r="C5165" t="s">
        <v>10</v>
      </c>
      <c r="D5165" t="s">
        <v>20</v>
      </c>
      <c r="E5165">
        <v>45.9</v>
      </c>
      <c r="F5165">
        <v>12</v>
      </c>
      <c r="G5165">
        <v>550.79999999999995</v>
      </c>
      <c r="H5165" t="s">
        <v>12</v>
      </c>
      <c r="I5165" t="str">
        <f t="shared" si="241"/>
        <v>Low Value</v>
      </c>
      <c r="J5165" t="str">
        <f t="shared" si="242"/>
        <v>Medium Risk</v>
      </c>
      <c r="K5165" s="3" t="str">
        <f t="shared" si="240"/>
        <v>0-1 Year</v>
      </c>
    </row>
    <row r="5166" spans="1:11" x14ac:dyDescent="0.3">
      <c r="A5166" t="s">
        <v>5183</v>
      </c>
      <c r="B5166" t="s">
        <v>14</v>
      </c>
      <c r="C5166" t="s">
        <v>30</v>
      </c>
      <c r="D5166" t="s">
        <v>16</v>
      </c>
      <c r="E5166">
        <v>20</v>
      </c>
      <c r="F5166">
        <v>54</v>
      </c>
      <c r="G5166">
        <v>1080</v>
      </c>
      <c r="H5166" t="s">
        <v>12</v>
      </c>
      <c r="I5166" t="str">
        <f t="shared" si="241"/>
        <v>Low Value</v>
      </c>
      <c r="J5166" t="str">
        <f t="shared" si="242"/>
        <v>Low Risk</v>
      </c>
      <c r="K5166" s="3" t="str">
        <f t="shared" si="240"/>
        <v>4+ Years</v>
      </c>
    </row>
    <row r="5167" spans="1:11" x14ac:dyDescent="0.3">
      <c r="A5167" t="s">
        <v>5184</v>
      </c>
      <c r="B5167" t="s">
        <v>14</v>
      </c>
      <c r="C5167" t="s">
        <v>10</v>
      </c>
      <c r="D5167" t="s">
        <v>11</v>
      </c>
      <c r="E5167">
        <v>44.8</v>
      </c>
      <c r="F5167">
        <v>4</v>
      </c>
      <c r="G5167">
        <v>179.2</v>
      </c>
      <c r="H5167" t="s">
        <v>12</v>
      </c>
      <c r="I5167" t="str">
        <f t="shared" si="241"/>
        <v>Low Value</v>
      </c>
      <c r="J5167" t="str">
        <f t="shared" si="242"/>
        <v>High Risk</v>
      </c>
      <c r="K5167" s="3" t="str">
        <f t="shared" si="240"/>
        <v>0-1 Year</v>
      </c>
    </row>
    <row r="5168" spans="1:11" x14ac:dyDescent="0.3">
      <c r="A5168" t="s">
        <v>5185</v>
      </c>
      <c r="B5168" t="s">
        <v>9</v>
      </c>
      <c r="C5168" t="s">
        <v>10</v>
      </c>
      <c r="D5168" t="s">
        <v>16</v>
      </c>
      <c r="E5168">
        <v>80.3</v>
      </c>
      <c r="F5168">
        <v>7</v>
      </c>
      <c r="G5168">
        <v>562.1</v>
      </c>
      <c r="H5168" t="s">
        <v>18</v>
      </c>
      <c r="I5168" t="str">
        <f t="shared" si="241"/>
        <v>Low Value</v>
      </c>
      <c r="J5168" t="str">
        <f t="shared" si="242"/>
        <v>High Risk</v>
      </c>
      <c r="K5168" s="3" t="str">
        <f t="shared" si="240"/>
        <v>0-1 Year</v>
      </c>
    </row>
    <row r="5169" spans="1:11" x14ac:dyDescent="0.3">
      <c r="A5169" t="s">
        <v>5186</v>
      </c>
      <c r="B5169" t="s">
        <v>9</v>
      </c>
      <c r="C5169" t="s">
        <v>15</v>
      </c>
      <c r="D5169" t="s">
        <v>16</v>
      </c>
      <c r="E5169">
        <v>20.350000000000001</v>
      </c>
      <c r="F5169">
        <v>20</v>
      </c>
      <c r="G5169">
        <v>407</v>
      </c>
      <c r="H5169" t="s">
        <v>12</v>
      </c>
      <c r="I5169" t="str">
        <f t="shared" si="241"/>
        <v>Low Value</v>
      </c>
      <c r="J5169" t="str">
        <f t="shared" si="242"/>
        <v>Medium Risk</v>
      </c>
      <c r="K5169" s="3" t="str">
        <f t="shared" si="240"/>
        <v>1-2 Years</v>
      </c>
    </row>
    <row r="5170" spans="1:11" x14ac:dyDescent="0.3">
      <c r="A5170" t="s">
        <v>5187</v>
      </c>
      <c r="B5170" t="s">
        <v>9</v>
      </c>
      <c r="C5170" t="s">
        <v>10</v>
      </c>
      <c r="D5170" t="s">
        <v>16</v>
      </c>
      <c r="E5170">
        <v>45.8</v>
      </c>
      <c r="F5170">
        <v>26</v>
      </c>
      <c r="G5170">
        <v>1190.8</v>
      </c>
      <c r="H5170" t="s">
        <v>12</v>
      </c>
      <c r="I5170" t="str">
        <f t="shared" si="241"/>
        <v>Low Value</v>
      </c>
      <c r="J5170" t="str">
        <f t="shared" si="242"/>
        <v>Low Risk</v>
      </c>
      <c r="K5170" s="3" t="str">
        <f t="shared" si="240"/>
        <v>2-4 Years</v>
      </c>
    </row>
    <row r="5171" spans="1:11" x14ac:dyDescent="0.3">
      <c r="A5171" t="s">
        <v>5188</v>
      </c>
      <c r="B5171" t="s">
        <v>14</v>
      </c>
      <c r="C5171" t="s">
        <v>10</v>
      </c>
      <c r="D5171" t="s">
        <v>11</v>
      </c>
      <c r="E5171">
        <v>84.1</v>
      </c>
      <c r="F5171">
        <v>36</v>
      </c>
      <c r="G5171">
        <v>3027.6</v>
      </c>
      <c r="H5171" t="s">
        <v>18</v>
      </c>
      <c r="I5171" t="str">
        <f t="shared" si="241"/>
        <v>Medium Value</v>
      </c>
      <c r="J5171" t="str">
        <f t="shared" si="242"/>
        <v>Low Risk</v>
      </c>
      <c r="K5171" s="3" t="str">
        <f t="shared" si="240"/>
        <v>2-4 Years</v>
      </c>
    </row>
    <row r="5172" spans="1:11" x14ac:dyDescent="0.3">
      <c r="A5172" t="s">
        <v>5189</v>
      </c>
      <c r="B5172" t="s">
        <v>9</v>
      </c>
      <c r="C5172" t="s">
        <v>15</v>
      </c>
      <c r="D5172" t="s">
        <v>20</v>
      </c>
      <c r="E5172">
        <v>108.95</v>
      </c>
      <c r="F5172">
        <v>53</v>
      </c>
      <c r="G5172">
        <v>5774.35</v>
      </c>
      <c r="H5172" t="s">
        <v>12</v>
      </c>
      <c r="I5172" t="str">
        <f t="shared" si="241"/>
        <v>High Value</v>
      </c>
      <c r="J5172" t="str">
        <f t="shared" si="242"/>
        <v>Low Risk</v>
      </c>
      <c r="K5172" s="3" t="str">
        <f t="shared" si="240"/>
        <v>4+ Years</v>
      </c>
    </row>
    <row r="5173" spans="1:11" x14ac:dyDescent="0.3">
      <c r="A5173" t="s">
        <v>5190</v>
      </c>
      <c r="B5173" t="s">
        <v>14</v>
      </c>
      <c r="C5173" t="s">
        <v>10</v>
      </c>
      <c r="D5173" t="s">
        <v>11</v>
      </c>
      <c r="E5173">
        <v>69.349999999999994</v>
      </c>
      <c r="F5173">
        <v>3</v>
      </c>
      <c r="G5173">
        <v>208.04999999999899</v>
      </c>
      <c r="H5173" t="s">
        <v>18</v>
      </c>
      <c r="I5173" t="str">
        <f t="shared" si="241"/>
        <v>Low Value</v>
      </c>
      <c r="J5173" t="str">
        <f t="shared" si="242"/>
        <v>High Risk</v>
      </c>
      <c r="K5173" s="3" t="str">
        <f t="shared" si="240"/>
        <v>0-1 Year</v>
      </c>
    </row>
    <row r="5174" spans="1:11" x14ac:dyDescent="0.3">
      <c r="A5174" t="s">
        <v>5191</v>
      </c>
      <c r="B5174" t="s">
        <v>9</v>
      </c>
      <c r="C5174" t="s">
        <v>30</v>
      </c>
      <c r="D5174" t="s">
        <v>24</v>
      </c>
      <c r="E5174">
        <v>64.349999999999994</v>
      </c>
      <c r="F5174">
        <v>68</v>
      </c>
      <c r="G5174">
        <v>4375.7999999999902</v>
      </c>
      <c r="H5174" t="s">
        <v>12</v>
      </c>
      <c r="I5174" t="str">
        <f t="shared" si="241"/>
        <v>Medium Value</v>
      </c>
      <c r="J5174" t="str">
        <f t="shared" si="242"/>
        <v>Low Risk</v>
      </c>
      <c r="K5174" s="3" t="str">
        <f t="shared" si="240"/>
        <v>4+ Years</v>
      </c>
    </row>
    <row r="5175" spans="1:11" x14ac:dyDescent="0.3">
      <c r="A5175" t="s">
        <v>5192</v>
      </c>
      <c r="B5175" t="s">
        <v>14</v>
      </c>
      <c r="C5175" t="s">
        <v>30</v>
      </c>
      <c r="D5175" t="s">
        <v>24</v>
      </c>
      <c r="E5175">
        <v>90.8</v>
      </c>
      <c r="F5175">
        <v>72</v>
      </c>
      <c r="G5175">
        <v>6537.5999999999904</v>
      </c>
      <c r="H5175" t="s">
        <v>12</v>
      </c>
      <c r="I5175" t="str">
        <f t="shared" si="241"/>
        <v>High Value</v>
      </c>
      <c r="J5175" t="str">
        <f t="shared" si="242"/>
        <v>Low Risk</v>
      </c>
      <c r="K5175" s="3" t="str">
        <f t="shared" si="240"/>
        <v>4+ Years</v>
      </c>
    </row>
    <row r="5176" spans="1:11" x14ac:dyDescent="0.3">
      <c r="A5176" t="s">
        <v>5193</v>
      </c>
      <c r="B5176" t="s">
        <v>14</v>
      </c>
      <c r="C5176" t="s">
        <v>15</v>
      </c>
      <c r="D5176" t="s">
        <v>24</v>
      </c>
      <c r="E5176">
        <v>24.95</v>
      </c>
      <c r="F5176">
        <v>12</v>
      </c>
      <c r="G5176">
        <v>299.39999999999998</v>
      </c>
      <c r="H5176" t="s">
        <v>12</v>
      </c>
      <c r="I5176" t="str">
        <f t="shared" si="241"/>
        <v>Low Value</v>
      </c>
      <c r="J5176" t="str">
        <f t="shared" si="242"/>
        <v>Medium Risk</v>
      </c>
      <c r="K5176" s="3" t="str">
        <f t="shared" si="240"/>
        <v>0-1 Year</v>
      </c>
    </row>
    <row r="5177" spans="1:11" x14ac:dyDescent="0.3">
      <c r="A5177" t="s">
        <v>5194</v>
      </c>
      <c r="B5177" t="s">
        <v>9</v>
      </c>
      <c r="C5177" t="s">
        <v>10</v>
      </c>
      <c r="D5177" t="s">
        <v>16</v>
      </c>
      <c r="E5177">
        <v>79.599999999999994</v>
      </c>
      <c r="F5177">
        <v>34</v>
      </c>
      <c r="G5177">
        <v>2706.3999999999901</v>
      </c>
      <c r="H5177" t="s">
        <v>18</v>
      </c>
      <c r="I5177" t="str">
        <f t="shared" si="241"/>
        <v>Medium Value</v>
      </c>
      <c r="J5177" t="str">
        <f t="shared" si="242"/>
        <v>Low Risk</v>
      </c>
      <c r="K5177" s="3" t="str">
        <f t="shared" si="240"/>
        <v>2-4 Years</v>
      </c>
    </row>
    <row r="5178" spans="1:11" x14ac:dyDescent="0.3">
      <c r="A5178" t="s">
        <v>5195</v>
      </c>
      <c r="B5178" t="s">
        <v>9</v>
      </c>
      <c r="C5178" t="s">
        <v>30</v>
      </c>
      <c r="D5178" t="s">
        <v>20</v>
      </c>
      <c r="E5178">
        <v>84.7</v>
      </c>
      <c r="F5178">
        <v>68</v>
      </c>
      <c r="G5178">
        <v>5759.6</v>
      </c>
      <c r="H5178" t="s">
        <v>12</v>
      </c>
      <c r="I5178" t="str">
        <f t="shared" si="241"/>
        <v>High Value</v>
      </c>
      <c r="J5178" t="str">
        <f t="shared" si="242"/>
        <v>Low Risk</v>
      </c>
      <c r="K5178" s="3" t="str">
        <f t="shared" si="240"/>
        <v>4+ Years</v>
      </c>
    </row>
    <row r="5179" spans="1:11" x14ac:dyDescent="0.3">
      <c r="A5179" t="s">
        <v>5196</v>
      </c>
      <c r="B5179" t="s">
        <v>9</v>
      </c>
      <c r="C5179" t="s">
        <v>15</v>
      </c>
      <c r="D5179" t="s">
        <v>24</v>
      </c>
      <c r="E5179">
        <v>70.8</v>
      </c>
      <c r="F5179">
        <v>50</v>
      </c>
      <c r="G5179">
        <v>3540</v>
      </c>
      <c r="H5179" t="s">
        <v>12</v>
      </c>
      <c r="I5179" t="str">
        <f t="shared" si="241"/>
        <v>Medium Value</v>
      </c>
      <c r="J5179" t="str">
        <f t="shared" si="242"/>
        <v>Low Risk</v>
      </c>
      <c r="K5179" s="3" t="str">
        <f t="shared" si="240"/>
        <v>4+ Years</v>
      </c>
    </row>
    <row r="5180" spans="1:11" x14ac:dyDescent="0.3">
      <c r="A5180" t="s">
        <v>5197</v>
      </c>
      <c r="B5180" t="s">
        <v>9</v>
      </c>
      <c r="C5180" t="s">
        <v>10</v>
      </c>
      <c r="D5180" t="s">
        <v>11</v>
      </c>
      <c r="E5180">
        <v>36.450000000000003</v>
      </c>
      <c r="F5180">
        <v>1</v>
      </c>
      <c r="G5180">
        <v>36.450000000000003</v>
      </c>
      <c r="H5180" t="s">
        <v>18</v>
      </c>
      <c r="I5180" t="str">
        <f t="shared" si="241"/>
        <v>Low Value</v>
      </c>
      <c r="J5180" t="str">
        <f t="shared" si="242"/>
        <v>High Risk</v>
      </c>
      <c r="K5180" s="3" t="str">
        <f t="shared" si="240"/>
        <v>0-1 Year</v>
      </c>
    </row>
    <row r="5181" spans="1:11" x14ac:dyDescent="0.3">
      <c r="A5181" t="s">
        <v>5198</v>
      </c>
      <c r="B5181" t="s">
        <v>9</v>
      </c>
      <c r="C5181" t="s">
        <v>10</v>
      </c>
      <c r="D5181" t="s">
        <v>11</v>
      </c>
      <c r="E5181">
        <v>104.4</v>
      </c>
      <c r="F5181">
        <v>41</v>
      </c>
      <c r="G5181">
        <v>4280.3999999999996</v>
      </c>
      <c r="H5181" t="s">
        <v>12</v>
      </c>
      <c r="I5181" t="str">
        <f t="shared" si="241"/>
        <v>Medium Value</v>
      </c>
      <c r="J5181" t="str">
        <f t="shared" si="242"/>
        <v>Low Risk</v>
      </c>
      <c r="K5181" s="3" t="str">
        <f t="shared" si="240"/>
        <v>2-4 Years</v>
      </c>
    </row>
    <row r="5182" spans="1:11" x14ac:dyDescent="0.3">
      <c r="A5182" t="s">
        <v>5199</v>
      </c>
      <c r="B5182" t="s">
        <v>14</v>
      </c>
      <c r="C5182" t="s">
        <v>10</v>
      </c>
      <c r="D5182" t="s">
        <v>11</v>
      </c>
      <c r="E5182">
        <v>101.5</v>
      </c>
      <c r="F5182">
        <v>30</v>
      </c>
      <c r="G5182">
        <v>3045</v>
      </c>
      <c r="H5182" t="s">
        <v>12</v>
      </c>
      <c r="I5182" t="str">
        <f t="shared" si="241"/>
        <v>Medium Value</v>
      </c>
      <c r="J5182" t="str">
        <f t="shared" si="242"/>
        <v>Low Risk</v>
      </c>
      <c r="K5182" s="3" t="str">
        <f t="shared" si="240"/>
        <v>2-4 Years</v>
      </c>
    </row>
    <row r="5183" spans="1:11" x14ac:dyDescent="0.3">
      <c r="A5183" t="s">
        <v>5200</v>
      </c>
      <c r="B5183" t="s">
        <v>14</v>
      </c>
      <c r="C5183" t="s">
        <v>10</v>
      </c>
      <c r="D5183" t="s">
        <v>11</v>
      </c>
      <c r="E5183">
        <v>54.3</v>
      </c>
      <c r="F5183">
        <v>1</v>
      </c>
      <c r="G5183">
        <v>54.3</v>
      </c>
      <c r="H5183" t="s">
        <v>12</v>
      </c>
      <c r="I5183" t="str">
        <f t="shared" si="241"/>
        <v>Low Value</v>
      </c>
      <c r="J5183" t="str">
        <f t="shared" si="242"/>
        <v>High Risk</v>
      </c>
      <c r="K5183" s="3" t="str">
        <f t="shared" si="240"/>
        <v>0-1 Year</v>
      </c>
    </row>
    <row r="5184" spans="1:11" x14ac:dyDescent="0.3">
      <c r="A5184" t="s">
        <v>5201</v>
      </c>
      <c r="B5184" t="s">
        <v>14</v>
      </c>
      <c r="C5184" t="s">
        <v>10</v>
      </c>
      <c r="D5184" t="s">
        <v>11</v>
      </c>
      <c r="E5184">
        <v>103.95</v>
      </c>
      <c r="F5184">
        <v>29</v>
      </c>
      <c r="G5184">
        <v>3014.55</v>
      </c>
      <c r="H5184" t="s">
        <v>12</v>
      </c>
      <c r="I5184" t="str">
        <f t="shared" si="241"/>
        <v>Medium Value</v>
      </c>
      <c r="J5184" t="str">
        <f t="shared" si="242"/>
        <v>Low Risk</v>
      </c>
      <c r="K5184" s="3" t="str">
        <f t="shared" si="240"/>
        <v>2-4 Years</v>
      </c>
    </row>
    <row r="5185" spans="1:11" x14ac:dyDescent="0.3">
      <c r="A5185" t="s">
        <v>5202</v>
      </c>
      <c r="B5185" t="s">
        <v>9</v>
      </c>
      <c r="C5185" t="s">
        <v>30</v>
      </c>
      <c r="D5185" t="s">
        <v>24</v>
      </c>
      <c r="E5185">
        <v>91.1</v>
      </c>
      <c r="F5185">
        <v>23</v>
      </c>
      <c r="G5185">
        <v>2095.2999999999902</v>
      </c>
      <c r="H5185" t="s">
        <v>12</v>
      </c>
      <c r="I5185" t="str">
        <f t="shared" si="241"/>
        <v>Medium Value</v>
      </c>
      <c r="J5185" t="str">
        <f t="shared" si="242"/>
        <v>Medium Risk</v>
      </c>
      <c r="K5185" s="3" t="str">
        <f t="shared" si="240"/>
        <v>1-2 Years</v>
      </c>
    </row>
    <row r="5186" spans="1:11" x14ac:dyDescent="0.3">
      <c r="A5186" t="s">
        <v>5203</v>
      </c>
      <c r="B5186" t="s">
        <v>14</v>
      </c>
      <c r="C5186" t="s">
        <v>30</v>
      </c>
      <c r="D5186" t="s">
        <v>16</v>
      </c>
      <c r="E5186">
        <v>19.95</v>
      </c>
      <c r="F5186">
        <v>60</v>
      </c>
      <c r="G5186">
        <v>1197</v>
      </c>
      <c r="H5186" t="s">
        <v>12</v>
      </c>
      <c r="I5186" t="str">
        <f t="shared" si="241"/>
        <v>Low Value</v>
      </c>
      <c r="J5186" t="str">
        <f t="shared" si="242"/>
        <v>Low Risk</v>
      </c>
      <c r="K5186" s="3" t="str">
        <f t="shared" si="240"/>
        <v>4+ Years</v>
      </c>
    </row>
    <row r="5187" spans="1:11" x14ac:dyDescent="0.3">
      <c r="A5187" t="s">
        <v>5204</v>
      </c>
      <c r="B5187" t="s">
        <v>9</v>
      </c>
      <c r="C5187" t="s">
        <v>30</v>
      </c>
      <c r="D5187" t="s">
        <v>24</v>
      </c>
      <c r="E5187">
        <v>26.45</v>
      </c>
      <c r="F5187">
        <v>72</v>
      </c>
      <c r="G5187">
        <v>1904.3999999999901</v>
      </c>
      <c r="H5187" t="s">
        <v>12</v>
      </c>
      <c r="I5187" t="str">
        <f t="shared" si="241"/>
        <v>Low Value</v>
      </c>
      <c r="J5187" t="str">
        <f t="shared" si="242"/>
        <v>Low Risk</v>
      </c>
      <c r="K5187" s="3" t="str">
        <f t="shared" ref="K5187:K5250" si="243">IF(F5187&lt;=12,"0-1 Year",
IF(F5187&lt;=24,"1-2 Years",
IF(F5187&lt;=48,"2-4 Years","4+ Years")))</f>
        <v>4+ Years</v>
      </c>
    </row>
    <row r="5188" spans="1:11" x14ac:dyDescent="0.3">
      <c r="A5188" t="s">
        <v>5205</v>
      </c>
      <c r="B5188" t="s">
        <v>14</v>
      </c>
      <c r="C5188" t="s">
        <v>10</v>
      </c>
      <c r="D5188" t="s">
        <v>11</v>
      </c>
      <c r="E5188">
        <v>89.4</v>
      </c>
      <c r="F5188">
        <v>22</v>
      </c>
      <c r="G5188">
        <v>1966.8</v>
      </c>
      <c r="H5188" t="s">
        <v>18</v>
      </c>
      <c r="I5188" t="str">
        <f t="shared" ref="I5188:I5251" si="244">IF(G5188&gt;5000,"High Value",
IF(G5188&gt;2000,"Medium Value","Low Value"))</f>
        <v>Low Value</v>
      </c>
      <c r="J5188" t="str">
        <f t="shared" ref="J5188:J5251" si="245">IF(F5188&lt;12,"High Risk",
IF(F5188&lt;24,"Medium Risk","Low Risk"))</f>
        <v>Medium Risk</v>
      </c>
      <c r="K5188" s="3" t="str">
        <f t="shared" si="243"/>
        <v>1-2 Years</v>
      </c>
    </row>
    <row r="5189" spans="1:11" x14ac:dyDescent="0.3">
      <c r="A5189" t="s">
        <v>5206</v>
      </c>
      <c r="B5189" t="s">
        <v>14</v>
      </c>
      <c r="C5189" t="s">
        <v>30</v>
      </c>
      <c r="D5189" t="s">
        <v>20</v>
      </c>
      <c r="E5189">
        <v>75.099999999999994</v>
      </c>
      <c r="F5189">
        <v>72</v>
      </c>
      <c r="G5189">
        <v>5407.2</v>
      </c>
      <c r="H5189" t="s">
        <v>12</v>
      </c>
      <c r="I5189" t="str">
        <f t="shared" si="244"/>
        <v>High Value</v>
      </c>
      <c r="J5189" t="str">
        <f t="shared" si="245"/>
        <v>Low Risk</v>
      </c>
      <c r="K5189" s="3" t="str">
        <f t="shared" si="243"/>
        <v>4+ Years</v>
      </c>
    </row>
    <row r="5190" spans="1:11" x14ac:dyDescent="0.3">
      <c r="A5190" t="s">
        <v>5207</v>
      </c>
      <c r="B5190" t="s">
        <v>9</v>
      </c>
      <c r="C5190" t="s">
        <v>15</v>
      </c>
      <c r="D5190" t="s">
        <v>20</v>
      </c>
      <c r="E5190">
        <v>108.1</v>
      </c>
      <c r="F5190">
        <v>66</v>
      </c>
      <c r="G5190">
        <v>7134.5999999999904</v>
      </c>
      <c r="H5190" t="s">
        <v>12</v>
      </c>
      <c r="I5190" t="str">
        <f t="shared" si="244"/>
        <v>High Value</v>
      </c>
      <c r="J5190" t="str">
        <f t="shared" si="245"/>
        <v>Low Risk</v>
      </c>
      <c r="K5190" s="3" t="str">
        <f t="shared" si="243"/>
        <v>4+ Years</v>
      </c>
    </row>
    <row r="5191" spans="1:11" x14ac:dyDescent="0.3">
      <c r="A5191" t="s">
        <v>5208</v>
      </c>
      <c r="B5191" t="s">
        <v>9</v>
      </c>
      <c r="C5191" t="s">
        <v>30</v>
      </c>
      <c r="D5191" t="s">
        <v>11</v>
      </c>
      <c r="E5191">
        <v>110.15</v>
      </c>
      <c r="F5191">
        <v>72</v>
      </c>
      <c r="G5191">
        <v>7930.8</v>
      </c>
      <c r="H5191" t="s">
        <v>12</v>
      </c>
      <c r="I5191" t="str">
        <f t="shared" si="244"/>
        <v>High Value</v>
      </c>
      <c r="J5191" t="str">
        <f t="shared" si="245"/>
        <v>Low Risk</v>
      </c>
      <c r="K5191" s="3" t="str">
        <f t="shared" si="243"/>
        <v>4+ Years</v>
      </c>
    </row>
    <row r="5192" spans="1:11" x14ac:dyDescent="0.3">
      <c r="A5192" t="s">
        <v>5209</v>
      </c>
      <c r="B5192" t="s">
        <v>9</v>
      </c>
      <c r="C5192" t="s">
        <v>10</v>
      </c>
      <c r="D5192" t="s">
        <v>11</v>
      </c>
      <c r="E5192">
        <v>80.349999999999994</v>
      </c>
      <c r="F5192">
        <v>47</v>
      </c>
      <c r="G5192">
        <v>3776.45</v>
      </c>
      <c r="H5192" t="s">
        <v>18</v>
      </c>
      <c r="I5192" t="str">
        <f t="shared" si="244"/>
        <v>Medium Value</v>
      </c>
      <c r="J5192" t="str">
        <f t="shared" si="245"/>
        <v>Low Risk</v>
      </c>
      <c r="K5192" s="3" t="str">
        <f t="shared" si="243"/>
        <v>2-4 Years</v>
      </c>
    </row>
    <row r="5193" spans="1:11" x14ac:dyDescent="0.3">
      <c r="A5193" t="s">
        <v>5210</v>
      </c>
      <c r="B5193" t="s">
        <v>9</v>
      </c>
      <c r="C5193" t="s">
        <v>15</v>
      </c>
      <c r="D5193" t="s">
        <v>11</v>
      </c>
      <c r="E5193">
        <v>111.5</v>
      </c>
      <c r="F5193">
        <v>51</v>
      </c>
      <c r="G5193">
        <v>5686.5</v>
      </c>
      <c r="H5193" t="s">
        <v>12</v>
      </c>
      <c r="I5193" t="str">
        <f t="shared" si="244"/>
        <v>High Value</v>
      </c>
      <c r="J5193" t="str">
        <f t="shared" si="245"/>
        <v>Low Risk</v>
      </c>
      <c r="K5193" s="3" t="str">
        <f t="shared" si="243"/>
        <v>4+ Years</v>
      </c>
    </row>
    <row r="5194" spans="1:11" x14ac:dyDescent="0.3">
      <c r="A5194" t="s">
        <v>5211</v>
      </c>
      <c r="B5194" t="s">
        <v>9</v>
      </c>
      <c r="C5194" t="s">
        <v>15</v>
      </c>
      <c r="D5194" t="s">
        <v>11</v>
      </c>
      <c r="E5194">
        <v>106.5</v>
      </c>
      <c r="F5194">
        <v>70</v>
      </c>
      <c r="G5194">
        <v>7455</v>
      </c>
      <c r="H5194" t="s">
        <v>12</v>
      </c>
      <c r="I5194" t="str">
        <f t="shared" si="244"/>
        <v>High Value</v>
      </c>
      <c r="J5194" t="str">
        <f t="shared" si="245"/>
        <v>Low Risk</v>
      </c>
      <c r="K5194" s="3" t="str">
        <f t="shared" si="243"/>
        <v>4+ Years</v>
      </c>
    </row>
    <row r="5195" spans="1:11" x14ac:dyDescent="0.3">
      <c r="A5195" t="s">
        <v>5212</v>
      </c>
      <c r="B5195" t="s">
        <v>14</v>
      </c>
      <c r="C5195" t="s">
        <v>15</v>
      </c>
      <c r="D5195" t="s">
        <v>11</v>
      </c>
      <c r="E5195">
        <v>19.899999999999999</v>
      </c>
      <c r="F5195">
        <v>9</v>
      </c>
      <c r="G5195">
        <v>179.1</v>
      </c>
      <c r="H5195" t="s">
        <v>12</v>
      </c>
      <c r="I5195" t="str">
        <f t="shared" si="244"/>
        <v>Low Value</v>
      </c>
      <c r="J5195" t="str">
        <f t="shared" si="245"/>
        <v>High Risk</v>
      </c>
      <c r="K5195" s="3" t="str">
        <f t="shared" si="243"/>
        <v>0-1 Year</v>
      </c>
    </row>
    <row r="5196" spans="1:11" x14ac:dyDescent="0.3">
      <c r="A5196" t="s">
        <v>5213</v>
      </c>
      <c r="B5196" t="s">
        <v>14</v>
      </c>
      <c r="C5196" t="s">
        <v>30</v>
      </c>
      <c r="D5196" t="s">
        <v>16</v>
      </c>
      <c r="E5196">
        <v>111.1</v>
      </c>
      <c r="F5196">
        <v>59</v>
      </c>
      <c r="G5196">
        <v>6554.9</v>
      </c>
      <c r="H5196" t="s">
        <v>12</v>
      </c>
      <c r="I5196" t="str">
        <f t="shared" si="244"/>
        <v>High Value</v>
      </c>
      <c r="J5196" t="str">
        <f t="shared" si="245"/>
        <v>Low Risk</v>
      </c>
      <c r="K5196" s="3" t="str">
        <f t="shared" si="243"/>
        <v>4+ Years</v>
      </c>
    </row>
    <row r="5197" spans="1:11" x14ac:dyDescent="0.3">
      <c r="A5197" t="s">
        <v>5214</v>
      </c>
      <c r="B5197" t="s">
        <v>14</v>
      </c>
      <c r="C5197" t="s">
        <v>10</v>
      </c>
      <c r="D5197" t="s">
        <v>16</v>
      </c>
      <c r="E5197">
        <v>70.7</v>
      </c>
      <c r="F5197">
        <v>3</v>
      </c>
      <c r="G5197">
        <v>212.1</v>
      </c>
      <c r="H5197" t="s">
        <v>12</v>
      </c>
      <c r="I5197" t="str">
        <f t="shared" si="244"/>
        <v>Low Value</v>
      </c>
      <c r="J5197" t="str">
        <f t="shared" si="245"/>
        <v>High Risk</v>
      </c>
      <c r="K5197" s="3" t="str">
        <f t="shared" si="243"/>
        <v>0-1 Year</v>
      </c>
    </row>
    <row r="5198" spans="1:11" x14ac:dyDescent="0.3">
      <c r="A5198" t="s">
        <v>5215</v>
      </c>
      <c r="B5198" t="s">
        <v>14</v>
      </c>
      <c r="C5198" t="s">
        <v>10</v>
      </c>
      <c r="D5198" t="s">
        <v>11</v>
      </c>
      <c r="E5198">
        <v>24.85</v>
      </c>
      <c r="F5198">
        <v>38</v>
      </c>
      <c r="G5198">
        <v>944.3</v>
      </c>
      <c r="H5198" t="s">
        <v>12</v>
      </c>
      <c r="I5198" t="str">
        <f t="shared" si="244"/>
        <v>Low Value</v>
      </c>
      <c r="J5198" t="str">
        <f t="shared" si="245"/>
        <v>Low Risk</v>
      </c>
      <c r="K5198" s="3" t="str">
        <f t="shared" si="243"/>
        <v>2-4 Years</v>
      </c>
    </row>
    <row r="5199" spans="1:11" x14ac:dyDescent="0.3">
      <c r="A5199" t="s">
        <v>5216</v>
      </c>
      <c r="B5199" t="s">
        <v>9</v>
      </c>
      <c r="C5199" t="s">
        <v>10</v>
      </c>
      <c r="D5199" t="s">
        <v>20</v>
      </c>
      <c r="E5199">
        <v>91.2</v>
      </c>
      <c r="F5199">
        <v>37</v>
      </c>
      <c r="G5199">
        <v>3374.4</v>
      </c>
      <c r="H5199" t="s">
        <v>12</v>
      </c>
      <c r="I5199" t="str">
        <f t="shared" si="244"/>
        <v>Medium Value</v>
      </c>
      <c r="J5199" t="str">
        <f t="shared" si="245"/>
        <v>Low Risk</v>
      </c>
      <c r="K5199" s="3" t="str">
        <f t="shared" si="243"/>
        <v>2-4 Years</v>
      </c>
    </row>
    <row r="5200" spans="1:11" x14ac:dyDescent="0.3">
      <c r="A5200" t="s">
        <v>5217</v>
      </c>
      <c r="B5200" t="s">
        <v>14</v>
      </c>
      <c r="C5200" t="s">
        <v>30</v>
      </c>
      <c r="D5200" t="s">
        <v>20</v>
      </c>
      <c r="E5200">
        <v>65.599999999999994</v>
      </c>
      <c r="F5200">
        <v>37</v>
      </c>
      <c r="G5200">
        <v>2427.1999999999998</v>
      </c>
      <c r="H5200" t="s">
        <v>12</v>
      </c>
      <c r="I5200" t="str">
        <f t="shared" si="244"/>
        <v>Medium Value</v>
      </c>
      <c r="J5200" t="str">
        <f t="shared" si="245"/>
        <v>Low Risk</v>
      </c>
      <c r="K5200" s="3" t="str">
        <f t="shared" si="243"/>
        <v>2-4 Years</v>
      </c>
    </row>
    <row r="5201" spans="1:11" x14ac:dyDescent="0.3">
      <c r="A5201" t="s">
        <v>5218</v>
      </c>
      <c r="B5201" t="s">
        <v>9</v>
      </c>
      <c r="C5201" t="s">
        <v>10</v>
      </c>
      <c r="D5201" t="s">
        <v>24</v>
      </c>
      <c r="E5201">
        <v>40.65</v>
      </c>
      <c r="F5201">
        <v>24</v>
      </c>
      <c r="G5201">
        <v>975.599999999999</v>
      </c>
      <c r="H5201" t="s">
        <v>18</v>
      </c>
      <c r="I5201" t="str">
        <f t="shared" si="244"/>
        <v>Low Value</v>
      </c>
      <c r="J5201" t="str">
        <f t="shared" si="245"/>
        <v>Low Risk</v>
      </c>
      <c r="K5201" s="3" t="str">
        <f t="shared" si="243"/>
        <v>1-2 Years</v>
      </c>
    </row>
    <row r="5202" spans="1:11" x14ac:dyDescent="0.3">
      <c r="A5202" t="s">
        <v>5219</v>
      </c>
      <c r="B5202" t="s">
        <v>9</v>
      </c>
      <c r="C5202" t="s">
        <v>10</v>
      </c>
      <c r="D5202" t="s">
        <v>20</v>
      </c>
      <c r="E5202">
        <v>59.45</v>
      </c>
      <c r="F5202">
        <v>14</v>
      </c>
      <c r="G5202">
        <v>832.3</v>
      </c>
      <c r="H5202" t="s">
        <v>12</v>
      </c>
      <c r="I5202" t="str">
        <f t="shared" si="244"/>
        <v>Low Value</v>
      </c>
      <c r="J5202" t="str">
        <f t="shared" si="245"/>
        <v>Medium Risk</v>
      </c>
      <c r="K5202" s="3" t="str">
        <f t="shared" si="243"/>
        <v>1-2 Years</v>
      </c>
    </row>
    <row r="5203" spans="1:11" x14ac:dyDescent="0.3">
      <c r="A5203" t="s">
        <v>5220</v>
      </c>
      <c r="B5203" t="s">
        <v>14</v>
      </c>
      <c r="C5203" t="s">
        <v>30</v>
      </c>
      <c r="D5203" t="s">
        <v>24</v>
      </c>
      <c r="E5203">
        <v>109.95</v>
      </c>
      <c r="F5203">
        <v>72</v>
      </c>
      <c r="G5203">
        <v>7916.4</v>
      </c>
      <c r="H5203" t="s">
        <v>12</v>
      </c>
      <c r="I5203" t="str">
        <f t="shared" si="244"/>
        <v>High Value</v>
      </c>
      <c r="J5203" t="str">
        <f t="shared" si="245"/>
        <v>Low Risk</v>
      </c>
      <c r="K5203" s="3" t="str">
        <f t="shared" si="243"/>
        <v>4+ Years</v>
      </c>
    </row>
    <row r="5204" spans="1:11" x14ac:dyDescent="0.3">
      <c r="A5204" t="s">
        <v>5221</v>
      </c>
      <c r="B5204" t="s">
        <v>14</v>
      </c>
      <c r="C5204" t="s">
        <v>15</v>
      </c>
      <c r="D5204" t="s">
        <v>11</v>
      </c>
      <c r="E5204">
        <v>60.45</v>
      </c>
      <c r="F5204">
        <v>53</v>
      </c>
      <c r="G5204">
        <v>3203.85</v>
      </c>
      <c r="H5204" t="s">
        <v>18</v>
      </c>
      <c r="I5204" t="str">
        <f t="shared" si="244"/>
        <v>Medium Value</v>
      </c>
      <c r="J5204" t="str">
        <f t="shared" si="245"/>
        <v>Low Risk</v>
      </c>
      <c r="K5204" s="3" t="str">
        <f t="shared" si="243"/>
        <v>4+ Years</v>
      </c>
    </row>
    <row r="5205" spans="1:11" x14ac:dyDescent="0.3">
      <c r="A5205" t="s">
        <v>5222</v>
      </c>
      <c r="B5205" t="s">
        <v>9</v>
      </c>
      <c r="C5205" t="s">
        <v>10</v>
      </c>
      <c r="D5205" t="s">
        <v>11</v>
      </c>
      <c r="E5205">
        <v>84.9</v>
      </c>
      <c r="F5205">
        <v>8</v>
      </c>
      <c r="G5205">
        <v>679.2</v>
      </c>
      <c r="H5205" t="s">
        <v>18</v>
      </c>
      <c r="I5205" t="str">
        <f t="shared" si="244"/>
        <v>Low Value</v>
      </c>
      <c r="J5205" t="str">
        <f t="shared" si="245"/>
        <v>High Risk</v>
      </c>
      <c r="K5205" s="3" t="str">
        <f t="shared" si="243"/>
        <v>0-1 Year</v>
      </c>
    </row>
    <row r="5206" spans="1:11" x14ac:dyDescent="0.3">
      <c r="A5206" t="s">
        <v>5223</v>
      </c>
      <c r="B5206" t="s">
        <v>14</v>
      </c>
      <c r="C5206" t="s">
        <v>30</v>
      </c>
      <c r="D5206" t="s">
        <v>24</v>
      </c>
      <c r="E5206">
        <v>38.5</v>
      </c>
      <c r="F5206">
        <v>72</v>
      </c>
      <c r="G5206">
        <v>2772</v>
      </c>
      <c r="H5206" t="s">
        <v>12</v>
      </c>
      <c r="I5206" t="str">
        <f t="shared" si="244"/>
        <v>Medium Value</v>
      </c>
      <c r="J5206" t="str">
        <f t="shared" si="245"/>
        <v>Low Risk</v>
      </c>
      <c r="K5206" s="3" t="str">
        <f t="shared" si="243"/>
        <v>4+ Years</v>
      </c>
    </row>
    <row r="5207" spans="1:11" x14ac:dyDescent="0.3">
      <c r="A5207" t="s">
        <v>5224</v>
      </c>
      <c r="B5207" t="s">
        <v>9</v>
      </c>
      <c r="C5207" t="s">
        <v>10</v>
      </c>
      <c r="D5207" t="s">
        <v>11</v>
      </c>
      <c r="E5207">
        <v>92.55</v>
      </c>
      <c r="F5207">
        <v>17</v>
      </c>
      <c r="G5207">
        <v>1573.35</v>
      </c>
      <c r="H5207" t="s">
        <v>12</v>
      </c>
      <c r="I5207" t="str">
        <f t="shared" si="244"/>
        <v>Low Value</v>
      </c>
      <c r="J5207" t="str">
        <f t="shared" si="245"/>
        <v>Medium Risk</v>
      </c>
      <c r="K5207" s="3" t="str">
        <f t="shared" si="243"/>
        <v>1-2 Years</v>
      </c>
    </row>
    <row r="5208" spans="1:11" x14ac:dyDescent="0.3">
      <c r="A5208" t="s">
        <v>5225</v>
      </c>
      <c r="B5208" t="s">
        <v>9</v>
      </c>
      <c r="C5208" t="s">
        <v>10</v>
      </c>
      <c r="D5208" t="s">
        <v>20</v>
      </c>
      <c r="E5208">
        <v>73.55</v>
      </c>
      <c r="F5208">
        <v>2</v>
      </c>
      <c r="G5208">
        <v>147.1</v>
      </c>
      <c r="H5208" t="s">
        <v>18</v>
      </c>
      <c r="I5208" t="str">
        <f t="shared" si="244"/>
        <v>Low Value</v>
      </c>
      <c r="J5208" t="str">
        <f t="shared" si="245"/>
        <v>High Risk</v>
      </c>
      <c r="K5208" s="3" t="str">
        <f t="shared" si="243"/>
        <v>0-1 Year</v>
      </c>
    </row>
    <row r="5209" spans="1:11" x14ac:dyDescent="0.3">
      <c r="A5209" t="s">
        <v>5226</v>
      </c>
      <c r="B5209" t="s">
        <v>9</v>
      </c>
      <c r="C5209" t="s">
        <v>10</v>
      </c>
      <c r="D5209" t="s">
        <v>20</v>
      </c>
      <c r="E5209">
        <v>20.149999999999999</v>
      </c>
      <c r="F5209">
        <v>8</v>
      </c>
      <c r="G5209">
        <v>161.19999999999999</v>
      </c>
      <c r="H5209" t="s">
        <v>18</v>
      </c>
      <c r="I5209" t="str">
        <f t="shared" si="244"/>
        <v>Low Value</v>
      </c>
      <c r="J5209" t="str">
        <f t="shared" si="245"/>
        <v>High Risk</v>
      </c>
      <c r="K5209" s="3" t="str">
        <f t="shared" si="243"/>
        <v>0-1 Year</v>
      </c>
    </row>
    <row r="5210" spans="1:11" x14ac:dyDescent="0.3">
      <c r="A5210" t="s">
        <v>5227</v>
      </c>
      <c r="B5210" t="s">
        <v>9</v>
      </c>
      <c r="C5210" t="s">
        <v>15</v>
      </c>
      <c r="D5210" t="s">
        <v>16</v>
      </c>
      <c r="E5210">
        <v>34.700000000000003</v>
      </c>
      <c r="F5210">
        <v>48</v>
      </c>
      <c r="G5210">
        <v>1665.6</v>
      </c>
      <c r="H5210" t="s">
        <v>18</v>
      </c>
      <c r="I5210" t="str">
        <f t="shared" si="244"/>
        <v>Low Value</v>
      </c>
      <c r="J5210" t="str">
        <f t="shared" si="245"/>
        <v>Low Risk</v>
      </c>
      <c r="K5210" s="3" t="str">
        <f t="shared" si="243"/>
        <v>2-4 Years</v>
      </c>
    </row>
    <row r="5211" spans="1:11" x14ac:dyDescent="0.3">
      <c r="A5211" t="s">
        <v>5228</v>
      </c>
      <c r="B5211" t="s">
        <v>9</v>
      </c>
      <c r="C5211" t="s">
        <v>10</v>
      </c>
      <c r="D5211" t="s">
        <v>16</v>
      </c>
      <c r="E5211">
        <v>24.5</v>
      </c>
      <c r="F5211">
        <v>10</v>
      </c>
      <c r="G5211">
        <v>245</v>
      </c>
      <c r="H5211" t="s">
        <v>12</v>
      </c>
      <c r="I5211" t="str">
        <f t="shared" si="244"/>
        <v>Low Value</v>
      </c>
      <c r="J5211" t="str">
        <f t="shared" si="245"/>
        <v>High Risk</v>
      </c>
      <c r="K5211" s="3" t="str">
        <f t="shared" si="243"/>
        <v>0-1 Year</v>
      </c>
    </row>
    <row r="5212" spans="1:11" x14ac:dyDescent="0.3">
      <c r="A5212" t="s">
        <v>5229</v>
      </c>
      <c r="B5212" t="s">
        <v>14</v>
      </c>
      <c r="C5212" t="s">
        <v>10</v>
      </c>
      <c r="D5212" t="s">
        <v>16</v>
      </c>
      <c r="E5212">
        <v>20.6</v>
      </c>
      <c r="F5212">
        <v>1</v>
      </c>
      <c r="G5212">
        <v>20.6</v>
      </c>
      <c r="H5212" t="s">
        <v>12</v>
      </c>
      <c r="I5212" t="str">
        <f t="shared" si="244"/>
        <v>Low Value</v>
      </c>
      <c r="J5212" t="str">
        <f t="shared" si="245"/>
        <v>High Risk</v>
      </c>
      <c r="K5212" s="3" t="str">
        <f t="shared" si="243"/>
        <v>0-1 Year</v>
      </c>
    </row>
    <row r="5213" spans="1:11" x14ac:dyDescent="0.3">
      <c r="A5213" t="s">
        <v>5230</v>
      </c>
      <c r="B5213" t="s">
        <v>9</v>
      </c>
      <c r="C5213" t="s">
        <v>15</v>
      </c>
      <c r="D5213" t="s">
        <v>24</v>
      </c>
      <c r="E5213">
        <v>58</v>
      </c>
      <c r="F5213">
        <v>29</v>
      </c>
      <c r="G5213">
        <v>1682</v>
      </c>
      <c r="H5213" t="s">
        <v>12</v>
      </c>
      <c r="I5213" t="str">
        <f t="shared" si="244"/>
        <v>Low Value</v>
      </c>
      <c r="J5213" t="str">
        <f t="shared" si="245"/>
        <v>Low Risk</v>
      </c>
      <c r="K5213" s="3" t="str">
        <f t="shared" si="243"/>
        <v>2-4 Years</v>
      </c>
    </row>
    <row r="5214" spans="1:11" x14ac:dyDescent="0.3">
      <c r="A5214" t="s">
        <v>5231</v>
      </c>
      <c r="B5214" t="s">
        <v>9</v>
      </c>
      <c r="C5214" t="s">
        <v>15</v>
      </c>
      <c r="D5214" t="s">
        <v>11</v>
      </c>
      <c r="E5214">
        <v>107.45</v>
      </c>
      <c r="F5214">
        <v>65</v>
      </c>
      <c r="G5214">
        <v>6984.25</v>
      </c>
      <c r="H5214" t="s">
        <v>12</v>
      </c>
      <c r="I5214" t="str">
        <f t="shared" si="244"/>
        <v>High Value</v>
      </c>
      <c r="J5214" t="str">
        <f t="shared" si="245"/>
        <v>Low Risk</v>
      </c>
      <c r="K5214" s="3" t="str">
        <f t="shared" si="243"/>
        <v>4+ Years</v>
      </c>
    </row>
    <row r="5215" spans="1:11" x14ac:dyDescent="0.3">
      <c r="A5215" t="s">
        <v>5232</v>
      </c>
      <c r="B5215" t="s">
        <v>9</v>
      </c>
      <c r="C5215" t="s">
        <v>10</v>
      </c>
      <c r="D5215" t="s">
        <v>20</v>
      </c>
      <c r="E5215">
        <v>65.5</v>
      </c>
      <c r="F5215">
        <v>8</v>
      </c>
      <c r="G5215">
        <v>524</v>
      </c>
      <c r="H5215" t="s">
        <v>12</v>
      </c>
      <c r="I5215" t="str">
        <f t="shared" si="244"/>
        <v>Low Value</v>
      </c>
      <c r="J5215" t="str">
        <f t="shared" si="245"/>
        <v>High Risk</v>
      </c>
      <c r="K5215" s="3" t="str">
        <f t="shared" si="243"/>
        <v>0-1 Year</v>
      </c>
    </row>
    <row r="5216" spans="1:11" x14ac:dyDescent="0.3">
      <c r="A5216" t="s">
        <v>5233</v>
      </c>
      <c r="B5216" t="s">
        <v>14</v>
      </c>
      <c r="C5216" t="s">
        <v>30</v>
      </c>
      <c r="D5216" t="s">
        <v>20</v>
      </c>
      <c r="E5216">
        <v>25.45</v>
      </c>
      <c r="F5216">
        <v>61</v>
      </c>
      <c r="G5216">
        <v>1552.45</v>
      </c>
      <c r="H5216" t="s">
        <v>12</v>
      </c>
      <c r="I5216" t="str">
        <f t="shared" si="244"/>
        <v>Low Value</v>
      </c>
      <c r="J5216" t="str">
        <f t="shared" si="245"/>
        <v>Low Risk</v>
      </c>
      <c r="K5216" s="3" t="str">
        <f t="shared" si="243"/>
        <v>4+ Years</v>
      </c>
    </row>
    <row r="5217" spans="1:11" x14ac:dyDescent="0.3">
      <c r="A5217" t="s">
        <v>5234</v>
      </c>
      <c r="B5217" t="s">
        <v>9</v>
      </c>
      <c r="C5217" t="s">
        <v>15</v>
      </c>
      <c r="D5217" t="s">
        <v>20</v>
      </c>
      <c r="E5217">
        <v>100.15</v>
      </c>
      <c r="F5217">
        <v>45</v>
      </c>
      <c r="G5217">
        <v>4506.75</v>
      </c>
      <c r="H5217" t="s">
        <v>12</v>
      </c>
      <c r="I5217" t="str">
        <f t="shared" si="244"/>
        <v>Medium Value</v>
      </c>
      <c r="J5217" t="str">
        <f t="shared" si="245"/>
        <v>Low Risk</v>
      </c>
      <c r="K5217" s="3" t="str">
        <f t="shared" si="243"/>
        <v>2-4 Years</v>
      </c>
    </row>
    <row r="5218" spans="1:11" x14ac:dyDescent="0.3">
      <c r="A5218" t="s">
        <v>5235</v>
      </c>
      <c r="B5218" t="s">
        <v>14</v>
      </c>
      <c r="C5218" t="s">
        <v>15</v>
      </c>
      <c r="D5218" t="s">
        <v>24</v>
      </c>
      <c r="E5218">
        <v>104.45</v>
      </c>
      <c r="F5218">
        <v>72</v>
      </c>
      <c r="G5218">
        <v>7520.4</v>
      </c>
      <c r="H5218" t="s">
        <v>12</v>
      </c>
      <c r="I5218" t="str">
        <f t="shared" si="244"/>
        <v>High Value</v>
      </c>
      <c r="J5218" t="str">
        <f t="shared" si="245"/>
        <v>Low Risk</v>
      </c>
      <c r="K5218" s="3" t="str">
        <f t="shared" si="243"/>
        <v>4+ Years</v>
      </c>
    </row>
    <row r="5219" spans="1:11" x14ac:dyDescent="0.3">
      <c r="A5219" t="s">
        <v>5236</v>
      </c>
      <c r="B5219" t="s">
        <v>14</v>
      </c>
      <c r="C5219" t="s">
        <v>10</v>
      </c>
      <c r="D5219" t="s">
        <v>11</v>
      </c>
      <c r="E5219">
        <v>21.15</v>
      </c>
      <c r="F5219">
        <v>12</v>
      </c>
      <c r="G5219">
        <v>253.79999999999899</v>
      </c>
      <c r="H5219" t="s">
        <v>12</v>
      </c>
      <c r="I5219" t="str">
        <f t="shared" si="244"/>
        <v>Low Value</v>
      </c>
      <c r="J5219" t="str">
        <f t="shared" si="245"/>
        <v>Medium Risk</v>
      </c>
      <c r="K5219" s="3" t="str">
        <f t="shared" si="243"/>
        <v>0-1 Year</v>
      </c>
    </row>
    <row r="5220" spans="1:11" x14ac:dyDescent="0.3">
      <c r="A5220" t="s">
        <v>5237</v>
      </c>
      <c r="B5220" t="s">
        <v>14</v>
      </c>
      <c r="C5220" t="s">
        <v>10</v>
      </c>
      <c r="D5220" t="s">
        <v>11</v>
      </c>
      <c r="E5220">
        <v>96.2</v>
      </c>
      <c r="F5220">
        <v>7</v>
      </c>
      <c r="G5220">
        <v>673.4</v>
      </c>
      <c r="H5220" t="s">
        <v>12</v>
      </c>
      <c r="I5220" t="str">
        <f t="shared" si="244"/>
        <v>Low Value</v>
      </c>
      <c r="J5220" t="str">
        <f t="shared" si="245"/>
        <v>High Risk</v>
      </c>
      <c r="K5220" s="3" t="str">
        <f t="shared" si="243"/>
        <v>0-1 Year</v>
      </c>
    </row>
    <row r="5221" spans="1:11" x14ac:dyDescent="0.3">
      <c r="A5221" t="s">
        <v>5238</v>
      </c>
      <c r="B5221" t="s">
        <v>14</v>
      </c>
      <c r="C5221" t="s">
        <v>10</v>
      </c>
      <c r="D5221" t="s">
        <v>16</v>
      </c>
      <c r="E5221">
        <v>44.4</v>
      </c>
      <c r="F5221">
        <v>9</v>
      </c>
      <c r="G5221">
        <v>399.599999999999</v>
      </c>
      <c r="H5221" t="s">
        <v>12</v>
      </c>
      <c r="I5221" t="str">
        <f t="shared" si="244"/>
        <v>Low Value</v>
      </c>
      <c r="J5221" t="str">
        <f t="shared" si="245"/>
        <v>High Risk</v>
      </c>
      <c r="K5221" s="3" t="str">
        <f t="shared" si="243"/>
        <v>0-1 Year</v>
      </c>
    </row>
    <row r="5222" spans="1:11" x14ac:dyDescent="0.3">
      <c r="A5222" t="s">
        <v>5239</v>
      </c>
      <c r="B5222" t="s">
        <v>9</v>
      </c>
      <c r="C5222" t="s">
        <v>15</v>
      </c>
      <c r="D5222" t="s">
        <v>11</v>
      </c>
      <c r="E5222">
        <v>107.55</v>
      </c>
      <c r="F5222">
        <v>43</v>
      </c>
      <c r="G5222">
        <v>4624.6499999999996</v>
      </c>
      <c r="H5222" t="s">
        <v>18</v>
      </c>
      <c r="I5222" t="str">
        <f t="shared" si="244"/>
        <v>Medium Value</v>
      </c>
      <c r="J5222" t="str">
        <f t="shared" si="245"/>
        <v>Low Risk</v>
      </c>
      <c r="K5222" s="3" t="str">
        <f t="shared" si="243"/>
        <v>2-4 Years</v>
      </c>
    </row>
    <row r="5223" spans="1:11" x14ac:dyDescent="0.3">
      <c r="A5223" t="s">
        <v>5240</v>
      </c>
      <c r="B5223" t="s">
        <v>14</v>
      </c>
      <c r="C5223" t="s">
        <v>30</v>
      </c>
      <c r="D5223" t="s">
        <v>20</v>
      </c>
      <c r="E5223">
        <v>94.35</v>
      </c>
      <c r="F5223">
        <v>58</v>
      </c>
      <c r="G5223">
        <v>5472.2999999999902</v>
      </c>
      <c r="H5223" t="s">
        <v>12</v>
      </c>
      <c r="I5223" t="str">
        <f t="shared" si="244"/>
        <v>High Value</v>
      </c>
      <c r="J5223" t="str">
        <f t="shared" si="245"/>
        <v>Low Risk</v>
      </c>
      <c r="K5223" s="3" t="str">
        <f t="shared" si="243"/>
        <v>4+ Years</v>
      </c>
    </row>
    <row r="5224" spans="1:11" x14ac:dyDescent="0.3">
      <c r="A5224" t="s">
        <v>5241</v>
      </c>
      <c r="B5224" t="s">
        <v>14</v>
      </c>
      <c r="C5224" t="s">
        <v>10</v>
      </c>
      <c r="D5224" t="s">
        <v>11</v>
      </c>
      <c r="E5224">
        <v>98.75</v>
      </c>
      <c r="F5224">
        <v>16</v>
      </c>
      <c r="G5224">
        <v>1580</v>
      </c>
      <c r="H5224" t="s">
        <v>18</v>
      </c>
      <c r="I5224" t="str">
        <f t="shared" si="244"/>
        <v>Low Value</v>
      </c>
      <c r="J5224" t="str">
        <f t="shared" si="245"/>
        <v>Medium Risk</v>
      </c>
      <c r="K5224" s="3" t="str">
        <f t="shared" si="243"/>
        <v>1-2 Years</v>
      </c>
    </row>
    <row r="5225" spans="1:11" x14ac:dyDescent="0.3">
      <c r="A5225" t="s">
        <v>5242</v>
      </c>
      <c r="B5225" t="s">
        <v>14</v>
      </c>
      <c r="C5225" t="s">
        <v>10</v>
      </c>
      <c r="D5225" t="s">
        <v>16</v>
      </c>
      <c r="E5225">
        <v>20.3</v>
      </c>
      <c r="F5225">
        <v>2</v>
      </c>
      <c r="G5225">
        <v>40.6</v>
      </c>
      <c r="H5225" t="s">
        <v>12</v>
      </c>
      <c r="I5225" t="str">
        <f t="shared" si="244"/>
        <v>Low Value</v>
      </c>
      <c r="J5225" t="str">
        <f t="shared" si="245"/>
        <v>High Risk</v>
      </c>
      <c r="K5225" s="3" t="str">
        <f t="shared" si="243"/>
        <v>0-1 Year</v>
      </c>
    </row>
    <row r="5226" spans="1:11" x14ac:dyDescent="0.3">
      <c r="A5226" t="s">
        <v>5243</v>
      </c>
      <c r="B5226" t="s">
        <v>9</v>
      </c>
      <c r="C5226" t="s">
        <v>10</v>
      </c>
      <c r="D5226" t="s">
        <v>11</v>
      </c>
      <c r="E5226">
        <v>101.15</v>
      </c>
      <c r="F5226">
        <v>8</v>
      </c>
      <c r="G5226">
        <v>809.2</v>
      </c>
      <c r="H5226" t="s">
        <v>18</v>
      </c>
      <c r="I5226" t="str">
        <f t="shared" si="244"/>
        <v>Low Value</v>
      </c>
      <c r="J5226" t="str">
        <f t="shared" si="245"/>
        <v>High Risk</v>
      </c>
      <c r="K5226" s="3" t="str">
        <f t="shared" si="243"/>
        <v>0-1 Year</v>
      </c>
    </row>
    <row r="5227" spans="1:11" x14ac:dyDescent="0.3">
      <c r="A5227" t="s">
        <v>5244</v>
      </c>
      <c r="B5227" t="s">
        <v>9</v>
      </c>
      <c r="C5227" t="s">
        <v>15</v>
      </c>
      <c r="D5227" t="s">
        <v>20</v>
      </c>
      <c r="E5227">
        <v>105.75</v>
      </c>
      <c r="F5227">
        <v>40</v>
      </c>
      <c r="G5227">
        <v>4230</v>
      </c>
      <c r="H5227" t="s">
        <v>12</v>
      </c>
      <c r="I5227" t="str">
        <f t="shared" si="244"/>
        <v>Medium Value</v>
      </c>
      <c r="J5227" t="str">
        <f t="shared" si="245"/>
        <v>Low Risk</v>
      </c>
      <c r="K5227" s="3" t="str">
        <f t="shared" si="243"/>
        <v>2-4 Years</v>
      </c>
    </row>
    <row r="5228" spans="1:11" x14ac:dyDescent="0.3">
      <c r="A5228" t="s">
        <v>5245</v>
      </c>
      <c r="B5228" t="s">
        <v>14</v>
      </c>
      <c r="C5228" t="s">
        <v>10</v>
      </c>
      <c r="D5228" t="s">
        <v>11</v>
      </c>
      <c r="E5228">
        <v>81.150000000000006</v>
      </c>
      <c r="F5228">
        <v>9</v>
      </c>
      <c r="G5228">
        <v>730.35</v>
      </c>
      <c r="H5228" t="s">
        <v>12</v>
      </c>
      <c r="I5228" t="str">
        <f t="shared" si="244"/>
        <v>Low Value</v>
      </c>
      <c r="J5228" t="str">
        <f t="shared" si="245"/>
        <v>High Risk</v>
      </c>
      <c r="K5228" s="3" t="str">
        <f t="shared" si="243"/>
        <v>0-1 Year</v>
      </c>
    </row>
    <row r="5229" spans="1:11" x14ac:dyDescent="0.3">
      <c r="A5229" t="s">
        <v>5246</v>
      </c>
      <c r="B5229" t="s">
        <v>14</v>
      </c>
      <c r="C5229" t="s">
        <v>15</v>
      </c>
      <c r="D5229" t="s">
        <v>11</v>
      </c>
      <c r="E5229">
        <v>89.55</v>
      </c>
      <c r="F5229">
        <v>41</v>
      </c>
      <c r="G5229">
        <v>3671.5499999999902</v>
      </c>
      <c r="H5229" t="s">
        <v>12</v>
      </c>
      <c r="I5229" t="str">
        <f t="shared" si="244"/>
        <v>Medium Value</v>
      </c>
      <c r="J5229" t="str">
        <f t="shared" si="245"/>
        <v>Low Risk</v>
      </c>
      <c r="K5229" s="3" t="str">
        <f t="shared" si="243"/>
        <v>2-4 Years</v>
      </c>
    </row>
    <row r="5230" spans="1:11" x14ac:dyDescent="0.3">
      <c r="A5230" t="s">
        <v>5247</v>
      </c>
      <c r="B5230" t="s">
        <v>9</v>
      </c>
      <c r="C5230" t="s">
        <v>10</v>
      </c>
      <c r="D5230" t="s">
        <v>24</v>
      </c>
      <c r="E5230">
        <v>54.75</v>
      </c>
      <c r="F5230">
        <v>26</v>
      </c>
      <c r="G5230">
        <v>1423.5</v>
      </c>
      <c r="H5230" t="s">
        <v>12</v>
      </c>
      <c r="I5230" t="str">
        <f t="shared" si="244"/>
        <v>Low Value</v>
      </c>
      <c r="J5230" t="str">
        <f t="shared" si="245"/>
        <v>Low Risk</v>
      </c>
      <c r="K5230" s="3" t="str">
        <f t="shared" si="243"/>
        <v>2-4 Years</v>
      </c>
    </row>
    <row r="5231" spans="1:11" x14ac:dyDescent="0.3">
      <c r="A5231" t="s">
        <v>5248</v>
      </c>
      <c r="B5231" t="s">
        <v>9</v>
      </c>
      <c r="C5231" t="s">
        <v>15</v>
      </c>
      <c r="D5231" t="s">
        <v>24</v>
      </c>
      <c r="E5231">
        <v>53.75</v>
      </c>
      <c r="F5231">
        <v>33</v>
      </c>
      <c r="G5231">
        <v>1773.75</v>
      </c>
      <c r="H5231" t="s">
        <v>12</v>
      </c>
      <c r="I5231" t="str">
        <f t="shared" si="244"/>
        <v>Low Value</v>
      </c>
      <c r="J5231" t="str">
        <f t="shared" si="245"/>
        <v>Low Risk</v>
      </c>
      <c r="K5231" s="3" t="str">
        <f t="shared" si="243"/>
        <v>2-4 Years</v>
      </c>
    </row>
    <row r="5232" spans="1:11" x14ac:dyDescent="0.3">
      <c r="A5232" t="s">
        <v>5249</v>
      </c>
      <c r="B5232" t="s">
        <v>14</v>
      </c>
      <c r="C5232" t="s">
        <v>15</v>
      </c>
      <c r="D5232" t="s">
        <v>24</v>
      </c>
      <c r="E5232">
        <v>105.75</v>
      </c>
      <c r="F5232">
        <v>68</v>
      </c>
      <c r="G5232">
        <v>7191</v>
      </c>
      <c r="H5232" t="s">
        <v>12</v>
      </c>
      <c r="I5232" t="str">
        <f t="shared" si="244"/>
        <v>High Value</v>
      </c>
      <c r="J5232" t="str">
        <f t="shared" si="245"/>
        <v>Low Risk</v>
      </c>
      <c r="K5232" s="3" t="str">
        <f t="shared" si="243"/>
        <v>4+ Years</v>
      </c>
    </row>
    <row r="5233" spans="1:11" x14ac:dyDescent="0.3">
      <c r="A5233" t="s">
        <v>5250</v>
      </c>
      <c r="B5233" t="s">
        <v>9</v>
      </c>
      <c r="C5233" t="s">
        <v>30</v>
      </c>
      <c r="D5233" t="s">
        <v>24</v>
      </c>
      <c r="E5233">
        <v>105.85</v>
      </c>
      <c r="F5233">
        <v>65</v>
      </c>
      <c r="G5233">
        <v>6880.25</v>
      </c>
      <c r="H5233" t="s">
        <v>12</v>
      </c>
      <c r="I5233" t="str">
        <f t="shared" si="244"/>
        <v>High Value</v>
      </c>
      <c r="J5233" t="str">
        <f t="shared" si="245"/>
        <v>Low Risk</v>
      </c>
      <c r="K5233" s="3" t="str">
        <f t="shared" si="243"/>
        <v>4+ Years</v>
      </c>
    </row>
    <row r="5234" spans="1:11" x14ac:dyDescent="0.3">
      <c r="A5234" t="s">
        <v>5251</v>
      </c>
      <c r="B5234" t="s">
        <v>14</v>
      </c>
      <c r="C5234" t="s">
        <v>15</v>
      </c>
      <c r="D5234" t="s">
        <v>11</v>
      </c>
      <c r="E5234">
        <v>64.2</v>
      </c>
      <c r="F5234">
        <v>55</v>
      </c>
      <c r="G5234">
        <v>3531</v>
      </c>
      <c r="H5234" t="s">
        <v>12</v>
      </c>
      <c r="I5234" t="str">
        <f t="shared" si="244"/>
        <v>Medium Value</v>
      </c>
      <c r="J5234" t="str">
        <f t="shared" si="245"/>
        <v>Low Risk</v>
      </c>
      <c r="K5234" s="3" t="str">
        <f t="shared" si="243"/>
        <v>4+ Years</v>
      </c>
    </row>
    <row r="5235" spans="1:11" x14ac:dyDescent="0.3">
      <c r="A5235" t="s">
        <v>5252</v>
      </c>
      <c r="B5235" t="s">
        <v>14</v>
      </c>
      <c r="C5235" t="s">
        <v>10</v>
      </c>
      <c r="D5235" t="s">
        <v>11</v>
      </c>
      <c r="E5235">
        <v>88.7</v>
      </c>
      <c r="F5235">
        <v>20</v>
      </c>
      <c r="G5235">
        <v>1774</v>
      </c>
      <c r="H5235" t="s">
        <v>18</v>
      </c>
      <c r="I5235" t="str">
        <f t="shared" si="244"/>
        <v>Low Value</v>
      </c>
      <c r="J5235" t="str">
        <f t="shared" si="245"/>
        <v>Medium Risk</v>
      </c>
      <c r="K5235" s="3" t="str">
        <f t="shared" si="243"/>
        <v>1-2 Years</v>
      </c>
    </row>
    <row r="5236" spans="1:11" x14ac:dyDescent="0.3">
      <c r="A5236" t="s">
        <v>5253</v>
      </c>
      <c r="B5236" t="s">
        <v>14</v>
      </c>
      <c r="C5236" t="s">
        <v>15</v>
      </c>
      <c r="D5236" t="s">
        <v>24</v>
      </c>
      <c r="E5236">
        <v>87.7</v>
      </c>
      <c r="F5236">
        <v>19</v>
      </c>
      <c r="G5236">
        <v>1666.3</v>
      </c>
      <c r="H5236" t="s">
        <v>12</v>
      </c>
      <c r="I5236" t="str">
        <f t="shared" si="244"/>
        <v>Low Value</v>
      </c>
      <c r="J5236" t="str">
        <f t="shared" si="245"/>
        <v>Medium Risk</v>
      </c>
      <c r="K5236" s="3" t="str">
        <f t="shared" si="243"/>
        <v>1-2 Years</v>
      </c>
    </row>
    <row r="5237" spans="1:11" x14ac:dyDescent="0.3">
      <c r="A5237" t="s">
        <v>5254</v>
      </c>
      <c r="B5237" t="s">
        <v>9</v>
      </c>
      <c r="C5237" t="s">
        <v>10</v>
      </c>
      <c r="D5237" t="s">
        <v>24</v>
      </c>
      <c r="E5237">
        <v>89.3</v>
      </c>
      <c r="F5237">
        <v>45</v>
      </c>
      <c r="G5237">
        <v>4018.5</v>
      </c>
      <c r="H5237" t="s">
        <v>12</v>
      </c>
      <c r="I5237" t="str">
        <f t="shared" si="244"/>
        <v>Medium Value</v>
      </c>
      <c r="J5237" t="str">
        <f t="shared" si="245"/>
        <v>Low Risk</v>
      </c>
      <c r="K5237" s="3" t="str">
        <f t="shared" si="243"/>
        <v>2-4 Years</v>
      </c>
    </row>
    <row r="5238" spans="1:11" x14ac:dyDescent="0.3">
      <c r="A5238" t="s">
        <v>5255</v>
      </c>
      <c r="B5238" t="s">
        <v>9</v>
      </c>
      <c r="C5238" t="s">
        <v>30</v>
      </c>
      <c r="D5238" t="s">
        <v>24</v>
      </c>
      <c r="E5238">
        <v>20.149999999999999</v>
      </c>
      <c r="F5238">
        <v>70</v>
      </c>
      <c r="G5238">
        <v>1410.5</v>
      </c>
      <c r="H5238" t="s">
        <v>12</v>
      </c>
      <c r="I5238" t="str">
        <f t="shared" si="244"/>
        <v>Low Value</v>
      </c>
      <c r="J5238" t="str">
        <f t="shared" si="245"/>
        <v>Low Risk</v>
      </c>
      <c r="K5238" s="3" t="str">
        <f t="shared" si="243"/>
        <v>4+ Years</v>
      </c>
    </row>
    <row r="5239" spans="1:11" x14ac:dyDescent="0.3">
      <c r="A5239" t="s">
        <v>5256</v>
      </c>
      <c r="B5239" t="s">
        <v>9</v>
      </c>
      <c r="C5239" t="s">
        <v>10</v>
      </c>
      <c r="D5239" t="s">
        <v>11</v>
      </c>
      <c r="E5239">
        <v>79.75</v>
      </c>
      <c r="F5239">
        <v>2</v>
      </c>
      <c r="G5239">
        <v>159.5</v>
      </c>
      <c r="H5239" t="s">
        <v>18</v>
      </c>
      <c r="I5239" t="str">
        <f t="shared" si="244"/>
        <v>Low Value</v>
      </c>
      <c r="J5239" t="str">
        <f t="shared" si="245"/>
        <v>High Risk</v>
      </c>
      <c r="K5239" s="3" t="str">
        <f t="shared" si="243"/>
        <v>0-1 Year</v>
      </c>
    </row>
    <row r="5240" spans="1:11" x14ac:dyDescent="0.3">
      <c r="A5240" t="s">
        <v>5257</v>
      </c>
      <c r="B5240" t="s">
        <v>9</v>
      </c>
      <c r="C5240" t="s">
        <v>10</v>
      </c>
      <c r="D5240" t="s">
        <v>16</v>
      </c>
      <c r="E5240">
        <v>94.55</v>
      </c>
      <c r="F5240">
        <v>27</v>
      </c>
      <c r="G5240">
        <v>2552.85</v>
      </c>
      <c r="H5240" t="s">
        <v>18</v>
      </c>
      <c r="I5240" t="str">
        <f t="shared" si="244"/>
        <v>Medium Value</v>
      </c>
      <c r="J5240" t="str">
        <f t="shared" si="245"/>
        <v>Low Risk</v>
      </c>
      <c r="K5240" s="3" t="str">
        <f t="shared" si="243"/>
        <v>2-4 Years</v>
      </c>
    </row>
    <row r="5241" spans="1:11" x14ac:dyDescent="0.3">
      <c r="A5241" t="s">
        <v>5258</v>
      </c>
      <c r="B5241" t="s">
        <v>9</v>
      </c>
      <c r="C5241" t="s">
        <v>30</v>
      </c>
      <c r="D5241" t="s">
        <v>11</v>
      </c>
      <c r="E5241">
        <v>20.05</v>
      </c>
      <c r="F5241">
        <v>12</v>
      </c>
      <c r="G5241">
        <v>240.6</v>
      </c>
      <c r="H5241" t="s">
        <v>12</v>
      </c>
      <c r="I5241" t="str">
        <f t="shared" si="244"/>
        <v>Low Value</v>
      </c>
      <c r="J5241" t="str">
        <f t="shared" si="245"/>
        <v>Medium Risk</v>
      </c>
      <c r="K5241" s="3" t="str">
        <f t="shared" si="243"/>
        <v>0-1 Year</v>
      </c>
    </row>
    <row r="5242" spans="1:11" x14ac:dyDescent="0.3">
      <c r="A5242" t="s">
        <v>5259</v>
      </c>
      <c r="B5242" t="s">
        <v>14</v>
      </c>
      <c r="C5242" t="s">
        <v>30</v>
      </c>
      <c r="D5242" t="s">
        <v>24</v>
      </c>
      <c r="E5242">
        <v>67.2</v>
      </c>
      <c r="F5242">
        <v>72</v>
      </c>
      <c r="G5242">
        <v>4838.3999999999996</v>
      </c>
      <c r="H5242" t="s">
        <v>12</v>
      </c>
      <c r="I5242" t="str">
        <f t="shared" si="244"/>
        <v>Medium Value</v>
      </c>
      <c r="J5242" t="str">
        <f t="shared" si="245"/>
        <v>Low Risk</v>
      </c>
      <c r="K5242" s="3" t="str">
        <f t="shared" si="243"/>
        <v>4+ Years</v>
      </c>
    </row>
    <row r="5243" spans="1:11" x14ac:dyDescent="0.3">
      <c r="A5243" t="s">
        <v>5260</v>
      </c>
      <c r="B5243" t="s">
        <v>14</v>
      </c>
      <c r="C5243" t="s">
        <v>10</v>
      </c>
      <c r="D5243" t="s">
        <v>11</v>
      </c>
      <c r="E5243">
        <v>94.55</v>
      </c>
      <c r="F5243">
        <v>12</v>
      </c>
      <c r="G5243">
        <v>1134.5999999999999</v>
      </c>
      <c r="H5243" t="s">
        <v>12</v>
      </c>
      <c r="I5243" t="str">
        <f t="shared" si="244"/>
        <v>Low Value</v>
      </c>
      <c r="J5243" t="str">
        <f t="shared" si="245"/>
        <v>Medium Risk</v>
      </c>
      <c r="K5243" s="3" t="str">
        <f t="shared" si="243"/>
        <v>0-1 Year</v>
      </c>
    </row>
    <row r="5244" spans="1:11" x14ac:dyDescent="0.3">
      <c r="A5244" t="s">
        <v>5261</v>
      </c>
      <c r="B5244" t="s">
        <v>9</v>
      </c>
      <c r="C5244" t="s">
        <v>10</v>
      </c>
      <c r="D5244" t="s">
        <v>16</v>
      </c>
      <c r="E5244">
        <v>69.05</v>
      </c>
      <c r="F5244">
        <v>5</v>
      </c>
      <c r="G5244">
        <v>345.25</v>
      </c>
      <c r="H5244" t="s">
        <v>18</v>
      </c>
      <c r="I5244" t="str">
        <f t="shared" si="244"/>
        <v>Low Value</v>
      </c>
      <c r="J5244" t="str">
        <f t="shared" si="245"/>
        <v>High Risk</v>
      </c>
      <c r="K5244" s="3" t="str">
        <f t="shared" si="243"/>
        <v>0-1 Year</v>
      </c>
    </row>
    <row r="5245" spans="1:11" x14ac:dyDescent="0.3">
      <c r="A5245" t="s">
        <v>5262</v>
      </c>
      <c r="B5245" t="s">
        <v>14</v>
      </c>
      <c r="C5245" t="s">
        <v>10</v>
      </c>
      <c r="D5245" t="s">
        <v>11</v>
      </c>
      <c r="E5245">
        <v>107.5</v>
      </c>
      <c r="F5245">
        <v>71</v>
      </c>
      <c r="G5245">
        <v>7632.5</v>
      </c>
      <c r="H5245" t="s">
        <v>12</v>
      </c>
      <c r="I5245" t="str">
        <f t="shared" si="244"/>
        <v>High Value</v>
      </c>
      <c r="J5245" t="str">
        <f t="shared" si="245"/>
        <v>Low Risk</v>
      </c>
      <c r="K5245" s="3" t="str">
        <f t="shared" si="243"/>
        <v>4+ Years</v>
      </c>
    </row>
    <row r="5246" spans="1:11" x14ac:dyDescent="0.3">
      <c r="A5246" t="s">
        <v>5263</v>
      </c>
      <c r="B5246" t="s">
        <v>14</v>
      </c>
      <c r="C5246" t="s">
        <v>15</v>
      </c>
      <c r="D5246" t="s">
        <v>11</v>
      </c>
      <c r="E5246">
        <v>73</v>
      </c>
      <c r="F5246">
        <v>35</v>
      </c>
      <c r="G5246">
        <v>2555</v>
      </c>
      <c r="H5246" t="s">
        <v>12</v>
      </c>
      <c r="I5246" t="str">
        <f t="shared" si="244"/>
        <v>Medium Value</v>
      </c>
      <c r="J5246" t="str">
        <f t="shared" si="245"/>
        <v>Low Risk</v>
      </c>
      <c r="K5246" s="3" t="str">
        <f t="shared" si="243"/>
        <v>2-4 Years</v>
      </c>
    </row>
    <row r="5247" spans="1:11" x14ac:dyDescent="0.3">
      <c r="A5247" t="s">
        <v>5264</v>
      </c>
      <c r="B5247" t="s">
        <v>14</v>
      </c>
      <c r="C5247" t="s">
        <v>30</v>
      </c>
      <c r="D5247" t="s">
        <v>24</v>
      </c>
      <c r="E5247">
        <v>114.75</v>
      </c>
      <c r="F5247">
        <v>70</v>
      </c>
      <c r="G5247">
        <v>8032.5</v>
      </c>
      <c r="H5247" t="s">
        <v>12</v>
      </c>
      <c r="I5247" t="str">
        <f t="shared" si="244"/>
        <v>High Value</v>
      </c>
      <c r="J5247" t="str">
        <f t="shared" si="245"/>
        <v>Low Risk</v>
      </c>
      <c r="K5247" s="3" t="str">
        <f t="shared" si="243"/>
        <v>4+ Years</v>
      </c>
    </row>
    <row r="5248" spans="1:11" x14ac:dyDescent="0.3">
      <c r="A5248" t="s">
        <v>5265</v>
      </c>
      <c r="B5248" t="s">
        <v>9</v>
      </c>
      <c r="C5248" t="s">
        <v>10</v>
      </c>
      <c r="D5248" t="s">
        <v>11</v>
      </c>
      <c r="E5248">
        <v>76.05</v>
      </c>
      <c r="F5248">
        <v>31</v>
      </c>
      <c r="G5248">
        <v>2357.5499999999902</v>
      </c>
      <c r="H5248" t="s">
        <v>12</v>
      </c>
      <c r="I5248" t="str">
        <f t="shared" si="244"/>
        <v>Medium Value</v>
      </c>
      <c r="J5248" t="str">
        <f t="shared" si="245"/>
        <v>Low Risk</v>
      </c>
      <c r="K5248" s="3" t="str">
        <f t="shared" si="243"/>
        <v>2-4 Years</v>
      </c>
    </row>
    <row r="5249" spans="1:11" x14ac:dyDescent="0.3">
      <c r="A5249" t="s">
        <v>5266</v>
      </c>
      <c r="B5249" t="s">
        <v>14</v>
      </c>
      <c r="C5249" t="s">
        <v>30</v>
      </c>
      <c r="D5249" t="s">
        <v>20</v>
      </c>
      <c r="E5249">
        <v>96.25</v>
      </c>
      <c r="F5249">
        <v>52</v>
      </c>
      <c r="G5249">
        <v>5005</v>
      </c>
      <c r="H5249" t="s">
        <v>18</v>
      </c>
      <c r="I5249" t="str">
        <f t="shared" si="244"/>
        <v>High Value</v>
      </c>
      <c r="J5249" t="str">
        <f t="shared" si="245"/>
        <v>Low Risk</v>
      </c>
      <c r="K5249" s="3" t="str">
        <f t="shared" si="243"/>
        <v>4+ Years</v>
      </c>
    </row>
    <row r="5250" spans="1:11" x14ac:dyDescent="0.3">
      <c r="A5250" t="s">
        <v>5267</v>
      </c>
      <c r="B5250" t="s">
        <v>14</v>
      </c>
      <c r="C5250" t="s">
        <v>10</v>
      </c>
      <c r="D5250" t="s">
        <v>11</v>
      </c>
      <c r="E5250">
        <v>101.1</v>
      </c>
      <c r="F5250">
        <v>37</v>
      </c>
      <c r="G5250">
        <v>3740.7</v>
      </c>
      <c r="H5250" t="s">
        <v>18</v>
      </c>
      <c r="I5250" t="str">
        <f t="shared" si="244"/>
        <v>Medium Value</v>
      </c>
      <c r="J5250" t="str">
        <f t="shared" si="245"/>
        <v>Low Risk</v>
      </c>
      <c r="K5250" s="3" t="str">
        <f t="shared" si="243"/>
        <v>2-4 Years</v>
      </c>
    </row>
    <row r="5251" spans="1:11" x14ac:dyDescent="0.3">
      <c r="A5251" t="s">
        <v>5268</v>
      </c>
      <c r="B5251" t="s">
        <v>14</v>
      </c>
      <c r="C5251" t="s">
        <v>15</v>
      </c>
      <c r="D5251" t="s">
        <v>20</v>
      </c>
      <c r="E5251">
        <v>104.7</v>
      </c>
      <c r="F5251">
        <v>69</v>
      </c>
      <c r="G5251">
        <v>7224.3</v>
      </c>
      <c r="H5251" t="s">
        <v>18</v>
      </c>
      <c r="I5251" t="str">
        <f t="shared" si="244"/>
        <v>High Value</v>
      </c>
      <c r="J5251" t="str">
        <f t="shared" si="245"/>
        <v>Low Risk</v>
      </c>
      <c r="K5251" s="3" t="str">
        <f t="shared" ref="K5251:K5314" si="246">IF(F5251&lt;=12,"0-1 Year",
IF(F5251&lt;=24,"1-2 Years",
IF(F5251&lt;=48,"2-4 Years","4+ Years")))</f>
        <v>4+ Years</v>
      </c>
    </row>
    <row r="5252" spans="1:11" x14ac:dyDescent="0.3">
      <c r="A5252" t="s">
        <v>5269</v>
      </c>
      <c r="B5252" t="s">
        <v>14</v>
      </c>
      <c r="C5252" t="s">
        <v>10</v>
      </c>
      <c r="D5252" t="s">
        <v>16</v>
      </c>
      <c r="E5252">
        <v>77.900000000000006</v>
      </c>
      <c r="F5252">
        <v>30</v>
      </c>
      <c r="G5252">
        <v>2337</v>
      </c>
      <c r="H5252" t="s">
        <v>12</v>
      </c>
      <c r="I5252" t="str">
        <f t="shared" ref="I5252:I5315" si="247">IF(G5252&gt;5000,"High Value",
IF(G5252&gt;2000,"Medium Value","Low Value"))</f>
        <v>Medium Value</v>
      </c>
      <c r="J5252" t="str">
        <f t="shared" ref="J5252:J5315" si="248">IF(F5252&lt;12,"High Risk",
IF(F5252&lt;24,"Medium Risk","Low Risk"))</f>
        <v>Low Risk</v>
      </c>
      <c r="K5252" s="3" t="str">
        <f t="shared" si="246"/>
        <v>2-4 Years</v>
      </c>
    </row>
    <row r="5253" spans="1:11" x14ac:dyDescent="0.3">
      <c r="A5253" t="s">
        <v>5270</v>
      </c>
      <c r="B5253" t="s">
        <v>9</v>
      </c>
      <c r="C5253" t="s">
        <v>10</v>
      </c>
      <c r="D5253" t="s">
        <v>11</v>
      </c>
      <c r="E5253">
        <v>90.65</v>
      </c>
      <c r="F5253">
        <v>33</v>
      </c>
      <c r="G5253">
        <v>2991.45</v>
      </c>
      <c r="H5253" t="s">
        <v>12</v>
      </c>
      <c r="I5253" t="str">
        <f t="shared" si="247"/>
        <v>Medium Value</v>
      </c>
      <c r="J5253" t="str">
        <f t="shared" si="248"/>
        <v>Low Risk</v>
      </c>
      <c r="K5253" s="3" t="str">
        <f t="shared" si="246"/>
        <v>2-4 Years</v>
      </c>
    </row>
    <row r="5254" spans="1:11" x14ac:dyDescent="0.3">
      <c r="A5254" t="s">
        <v>5271</v>
      </c>
      <c r="B5254" t="s">
        <v>14</v>
      </c>
      <c r="C5254" t="s">
        <v>30</v>
      </c>
      <c r="D5254" t="s">
        <v>11</v>
      </c>
      <c r="E5254">
        <v>110.45</v>
      </c>
      <c r="F5254">
        <v>54</v>
      </c>
      <c r="G5254">
        <v>5964.3</v>
      </c>
      <c r="H5254" t="s">
        <v>12</v>
      </c>
      <c r="I5254" t="str">
        <f t="shared" si="247"/>
        <v>High Value</v>
      </c>
      <c r="J5254" t="str">
        <f t="shared" si="248"/>
        <v>Low Risk</v>
      </c>
      <c r="K5254" s="3" t="str">
        <f t="shared" si="246"/>
        <v>4+ Years</v>
      </c>
    </row>
    <row r="5255" spans="1:11" x14ac:dyDescent="0.3">
      <c r="A5255" t="s">
        <v>5272</v>
      </c>
      <c r="B5255" t="s">
        <v>9</v>
      </c>
      <c r="C5255" t="s">
        <v>15</v>
      </c>
      <c r="D5255" t="s">
        <v>20</v>
      </c>
      <c r="E5255">
        <v>68.7</v>
      </c>
      <c r="F5255">
        <v>59</v>
      </c>
      <c r="G5255">
        <v>4053.3</v>
      </c>
      <c r="H5255" t="s">
        <v>12</v>
      </c>
      <c r="I5255" t="str">
        <f t="shared" si="247"/>
        <v>Medium Value</v>
      </c>
      <c r="J5255" t="str">
        <f t="shared" si="248"/>
        <v>Low Risk</v>
      </c>
      <c r="K5255" s="3" t="str">
        <f t="shared" si="246"/>
        <v>4+ Years</v>
      </c>
    </row>
    <row r="5256" spans="1:11" x14ac:dyDescent="0.3">
      <c r="A5256" t="s">
        <v>5273</v>
      </c>
      <c r="B5256" t="s">
        <v>14</v>
      </c>
      <c r="C5256" t="s">
        <v>10</v>
      </c>
      <c r="D5256" t="s">
        <v>11</v>
      </c>
      <c r="E5256">
        <v>44.85</v>
      </c>
      <c r="F5256">
        <v>55</v>
      </c>
      <c r="G5256">
        <v>2466.75</v>
      </c>
      <c r="H5256" t="s">
        <v>12</v>
      </c>
      <c r="I5256" t="str">
        <f t="shared" si="247"/>
        <v>Medium Value</v>
      </c>
      <c r="J5256" t="str">
        <f t="shared" si="248"/>
        <v>Low Risk</v>
      </c>
      <c r="K5256" s="3" t="str">
        <f t="shared" si="246"/>
        <v>4+ Years</v>
      </c>
    </row>
    <row r="5257" spans="1:11" x14ac:dyDescent="0.3">
      <c r="A5257" t="s">
        <v>5274</v>
      </c>
      <c r="B5257" t="s">
        <v>14</v>
      </c>
      <c r="C5257" t="s">
        <v>15</v>
      </c>
      <c r="D5257" t="s">
        <v>24</v>
      </c>
      <c r="E5257">
        <v>29.8</v>
      </c>
      <c r="F5257">
        <v>69</v>
      </c>
      <c r="G5257">
        <v>2056.1999999999998</v>
      </c>
      <c r="H5257" t="s">
        <v>12</v>
      </c>
      <c r="I5257" t="str">
        <f t="shared" si="247"/>
        <v>Medium Value</v>
      </c>
      <c r="J5257" t="str">
        <f t="shared" si="248"/>
        <v>Low Risk</v>
      </c>
      <c r="K5257" s="3" t="str">
        <f t="shared" si="246"/>
        <v>4+ Years</v>
      </c>
    </row>
    <row r="5258" spans="1:11" x14ac:dyDescent="0.3">
      <c r="A5258" t="s">
        <v>5275</v>
      </c>
      <c r="B5258" t="s">
        <v>9</v>
      </c>
      <c r="C5258" t="s">
        <v>15</v>
      </c>
      <c r="D5258" t="s">
        <v>20</v>
      </c>
      <c r="E5258">
        <v>88.9</v>
      </c>
      <c r="F5258">
        <v>66</v>
      </c>
      <c r="G5258">
        <v>5867.4</v>
      </c>
      <c r="H5258" t="s">
        <v>12</v>
      </c>
      <c r="I5258" t="str">
        <f t="shared" si="247"/>
        <v>High Value</v>
      </c>
      <c r="J5258" t="str">
        <f t="shared" si="248"/>
        <v>Low Risk</v>
      </c>
      <c r="K5258" s="3" t="str">
        <f t="shared" si="246"/>
        <v>4+ Years</v>
      </c>
    </row>
    <row r="5259" spans="1:11" x14ac:dyDescent="0.3">
      <c r="A5259" t="s">
        <v>5276</v>
      </c>
      <c r="B5259" t="s">
        <v>14</v>
      </c>
      <c r="C5259" t="s">
        <v>15</v>
      </c>
      <c r="D5259" t="s">
        <v>16</v>
      </c>
      <c r="E5259">
        <v>58.75</v>
      </c>
      <c r="F5259">
        <v>37</v>
      </c>
      <c r="G5259">
        <v>2173.75</v>
      </c>
      <c r="H5259" t="s">
        <v>12</v>
      </c>
      <c r="I5259" t="str">
        <f t="shared" si="247"/>
        <v>Medium Value</v>
      </c>
      <c r="J5259" t="str">
        <f t="shared" si="248"/>
        <v>Low Risk</v>
      </c>
      <c r="K5259" s="3" t="str">
        <f t="shared" si="246"/>
        <v>2-4 Years</v>
      </c>
    </row>
    <row r="5260" spans="1:11" x14ac:dyDescent="0.3">
      <c r="A5260" t="s">
        <v>5277</v>
      </c>
      <c r="B5260" t="s">
        <v>14</v>
      </c>
      <c r="C5260" t="s">
        <v>15</v>
      </c>
      <c r="D5260" t="s">
        <v>24</v>
      </c>
      <c r="E5260">
        <v>19.850000000000001</v>
      </c>
      <c r="F5260">
        <v>9</v>
      </c>
      <c r="G5260">
        <v>178.65</v>
      </c>
      <c r="H5260" t="s">
        <v>12</v>
      </c>
      <c r="I5260" t="str">
        <f t="shared" si="247"/>
        <v>Low Value</v>
      </c>
      <c r="J5260" t="str">
        <f t="shared" si="248"/>
        <v>High Risk</v>
      </c>
      <c r="K5260" s="3" t="str">
        <f t="shared" si="246"/>
        <v>0-1 Year</v>
      </c>
    </row>
    <row r="5261" spans="1:11" x14ac:dyDescent="0.3">
      <c r="A5261" t="s">
        <v>5278</v>
      </c>
      <c r="B5261" t="s">
        <v>14</v>
      </c>
      <c r="C5261" t="s">
        <v>30</v>
      </c>
      <c r="D5261" t="s">
        <v>20</v>
      </c>
      <c r="E5261">
        <v>86.9</v>
      </c>
      <c r="F5261">
        <v>69</v>
      </c>
      <c r="G5261">
        <v>5996.1</v>
      </c>
      <c r="H5261" t="s">
        <v>12</v>
      </c>
      <c r="I5261" t="str">
        <f t="shared" si="247"/>
        <v>High Value</v>
      </c>
      <c r="J5261" t="str">
        <f t="shared" si="248"/>
        <v>Low Risk</v>
      </c>
      <c r="K5261" s="3" t="str">
        <f t="shared" si="246"/>
        <v>4+ Years</v>
      </c>
    </row>
    <row r="5262" spans="1:11" x14ac:dyDescent="0.3">
      <c r="A5262" t="s">
        <v>5279</v>
      </c>
      <c r="B5262" t="s">
        <v>14</v>
      </c>
      <c r="C5262" t="s">
        <v>10</v>
      </c>
      <c r="D5262" t="s">
        <v>16</v>
      </c>
      <c r="E5262">
        <v>59.65</v>
      </c>
      <c r="F5262">
        <v>10</v>
      </c>
      <c r="G5262">
        <v>596.5</v>
      </c>
      <c r="H5262" t="s">
        <v>12</v>
      </c>
      <c r="I5262" t="str">
        <f t="shared" si="247"/>
        <v>Low Value</v>
      </c>
      <c r="J5262" t="str">
        <f t="shared" si="248"/>
        <v>High Risk</v>
      </c>
      <c r="K5262" s="3" t="str">
        <f t="shared" si="246"/>
        <v>0-1 Year</v>
      </c>
    </row>
    <row r="5263" spans="1:11" x14ac:dyDescent="0.3">
      <c r="A5263" t="s">
        <v>5280</v>
      </c>
      <c r="B5263" t="s">
        <v>14</v>
      </c>
      <c r="C5263" t="s">
        <v>10</v>
      </c>
      <c r="D5263" t="s">
        <v>16</v>
      </c>
      <c r="E5263">
        <v>55.25</v>
      </c>
      <c r="F5263">
        <v>40</v>
      </c>
      <c r="G5263">
        <v>2210</v>
      </c>
      <c r="H5263" t="s">
        <v>18</v>
      </c>
      <c r="I5263" t="str">
        <f t="shared" si="247"/>
        <v>Medium Value</v>
      </c>
      <c r="J5263" t="str">
        <f t="shared" si="248"/>
        <v>Low Risk</v>
      </c>
      <c r="K5263" s="3" t="str">
        <f t="shared" si="246"/>
        <v>2-4 Years</v>
      </c>
    </row>
    <row r="5264" spans="1:11" x14ac:dyDescent="0.3">
      <c r="A5264" t="s">
        <v>5281</v>
      </c>
      <c r="B5264" t="s">
        <v>14</v>
      </c>
      <c r="C5264" t="s">
        <v>10</v>
      </c>
      <c r="D5264" t="s">
        <v>24</v>
      </c>
      <c r="E5264">
        <v>66.400000000000006</v>
      </c>
      <c r="F5264">
        <v>13</v>
      </c>
      <c r="G5264">
        <v>863.2</v>
      </c>
      <c r="H5264" t="s">
        <v>12</v>
      </c>
      <c r="I5264" t="str">
        <f t="shared" si="247"/>
        <v>Low Value</v>
      </c>
      <c r="J5264" t="str">
        <f t="shared" si="248"/>
        <v>Medium Risk</v>
      </c>
      <c r="K5264" s="3" t="str">
        <f t="shared" si="246"/>
        <v>1-2 Years</v>
      </c>
    </row>
    <row r="5265" spans="1:11" x14ac:dyDescent="0.3">
      <c r="A5265" t="s">
        <v>5282</v>
      </c>
      <c r="B5265" t="s">
        <v>9</v>
      </c>
      <c r="C5265" t="s">
        <v>10</v>
      </c>
      <c r="D5265" t="s">
        <v>11</v>
      </c>
      <c r="E5265">
        <v>90.1</v>
      </c>
      <c r="F5265">
        <v>6</v>
      </c>
      <c r="G5265">
        <v>540.599999999999</v>
      </c>
      <c r="H5265" t="s">
        <v>18</v>
      </c>
      <c r="I5265" t="str">
        <f t="shared" si="247"/>
        <v>Low Value</v>
      </c>
      <c r="J5265" t="str">
        <f t="shared" si="248"/>
        <v>High Risk</v>
      </c>
      <c r="K5265" s="3" t="str">
        <f t="shared" si="246"/>
        <v>0-1 Year</v>
      </c>
    </row>
    <row r="5266" spans="1:11" x14ac:dyDescent="0.3">
      <c r="A5266" t="s">
        <v>5283</v>
      </c>
      <c r="B5266" t="s">
        <v>9</v>
      </c>
      <c r="C5266" t="s">
        <v>30</v>
      </c>
      <c r="D5266" t="s">
        <v>20</v>
      </c>
      <c r="E5266">
        <v>20.149999999999999</v>
      </c>
      <c r="F5266">
        <v>69</v>
      </c>
      <c r="G5266">
        <v>1390.35</v>
      </c>
      <c r="H5266" t="s">
        <v>12</v>
      </c>
      <c r="I5266" t="str">
        <f t="shared" si="247"/>
        <v>Low Value</v>
      </c>
      <c r="J5266" t="str">
        <f t="shared" si="248"/>
        <v>Low Risk</v>
      </c>
      <c r="K5266" s="3" t="str">
        <f t="shared" si="246"/>
        <v>4+ Years</v>
      </c>
    </row>
    <row r="5267" spans="1:11" x14ac:dyDescent="0.3">
      <c r="A5267" t="s">
        <v>5284</v>
      </c>
      <c r="B5267" t="s">
        <v>9</v>
      </c>
      <c r="C5267" t="s">
        <v>15</v>
      </c>
      <c r="D5267" t="s">
        <v>24</v>
      </c>
      <c r="E5267">
        <v>108.1</v>
      </c>
      <c r="F5267">
        <v>66</v>
      </c>
      <c r="G5267">
        <v>7134.5999999999904</v>
      </c>
      <c r="H5267" t="s">
        <v>12</v>
      </c>
      <c r="I5267" t="str">
        <f t="shared" si="247"/>
        <v>High Value</v>
      </c>
      <c r="J5267" t="str">
        <f t="shared" si="248"/>
        <v>Low Risk</v>
      </c>
      <c r="K5267" s="3" t="str">
        <f t="shared" si="246"/>
        <v>4+ Years</v>
      </c>
    </row>
    <row r="5268" spans="1:11" x14ac:dyDescent="0.3">
      <c r="A5268" t="s">
        <v>5285</v>
      </c>
      <c r="B5268" t="s">
        <v>14</v>
      </c>
      <c r="C5268" t="s">
        <v>10</v>
      </c>
      <c r="D5268" t="s">
        <v>11</v>
      </c>
      <c r="E5268">
        <v>53.75</v>
      </c>
      <c r="F5268">
        <v>11</v>
      </c>
      <c r="G5268">
        <v>591.25</v>
      </c>
      <c r="H5268" t="s">
        <v>18</v>
      </c>
      <c r="I5268" t="str">
        <f t="shared" si="247"/>
        <v>Low Value</v>
      </c>
      <c r="J5268" t="str">
        <f t="shared" si="248"/>
        <v>High Risk</v>
      </c>
      <c r="K5268" s="3" t="str">
        <f t="shared" si="246"/>
        <v>0-1 Year</v>
      </c>
    </row>
    <row r="5269" spans="1:11" x14ac:dyDescent="0.3">
      <c r="A5269" t="s">
        <v>5286</v>
      </c>
      <c r="B5269" t="s">
        <v>14</v>
      </c>
      <c r="C5269" t="s">
        <v>15</v>
      </c>
      <c r="D5269" t="s">
        <v>16</v>
      </c>
      <c r="E5269">
        <v>56.9</v>
      </c>
      <c r="F5269">
        <v>46</v>
      </c>
      <c r="G5269">
        <v>2617.4</v>
      </c>
      <c r="H5269" t="s">
        <v>12</v>
      </c>
      <c r="I5269" t="str">
        <f t="shared" si="247"/>
        <v>Medium Value</v>
      </c>
      <c r="J5269" t="str">
        <f t="shared" si="248"/>
        <v>Low Risk</v>
      </c>
      <c r="K5269" s="3" t="str">
        <f t="shared" si="246"/>
        <v>2-4 Years</v>
      </c>
    </row>
    <row r="5270" spans="1:11" x14ac:dyDescent="0.3">
      <c r="A5270" t="s">
        <v>5287</v>
      </c>
      <c r="B5270" t="s">
        <v>9</v>
      </c>
      <c r="C5270" t="s">
        <v>10</v>
      </c>
      <c r="D5270" t="s">
        <v>11</v>
      </c>
      <c r="E5270">
        <v>89.3</v>
      </c>
      <c r="F5270">
        <v>6</v>
      </c>
      <c r="G5270">
        <v>535.79999999999995</v>
      </c>
      <c r="H5270" t="s">
        <v>18</v>
      </c>
      <c r="I5270" t="str">
        <f t="shared" si="247"/>
        <v>Low Value</v>
      </c>
      <c r="J5270" t="str">
        <f t="shared" si="248"/>
        <v>High Risk</v>
      </c>
      <c r="K5270" s="3" t="str">
        <f t="shared" si="246"/>
        <v>0-1 Year</v>
      </c>
    </row>
    <row r="5271" spans="1:11" x14ac:dyDescent="0.3">
      <c r="A5271" t="s">
        <v>5288</v>
      </c>
      <c r="B5271" t="s">
        <v>9</v>
      </c>
      <c r="C5271" t="s">
        <v>10</v>
      </c>
      <c r="D5271" t="s">
        <v>16</v>
      </c>
      <c r="E5271">
        <v>109.6</v>
      </c>
      <c r="F5271">
        <v>56</v>
      </c>
      <c r="G5271">
        <v>6137.5999999999904</v>
      </c>
      <c r="H5271" t="s">
        <v>12</v>
      </c>
      <c r="I5271" t="str">
        <f t="shared" si="247"/>
        <v>High Value</v>
      </c>
      <c r="J5271" t="str">
        <f t="shared" si="248"/>
        <v>Low Risk</v>
      </c>
      <c r="K5271" s="3" t="str">
        <f t="shared" si="246"/>
        <v>4+ Years</v>
      </c>
    </row>
    <row r="5272" spans="1:11" x14ac:dyDescent="0.3">
      <c r="A5272" t="s">
        <v>5289</v>
      </c>
      <c r="B5272" t="s">
        <v>14</v>
      </c>
      <c r="C5272" t="s">
        <v>30</v>
      </c>
      <c r="D5272" t="s">
        <v>24</v>
      </c>
      <c r="E5272">
        <v>25.15</v>
      </c>
      <c r="F5272">
        <v>70</v>
      </c>
      <c r="G5272">
        <v>1760.5</v>
      </c>
      <c r="H5272" t="s">
        <v>12</v>
      </c>
      <c r="I5272" t="str">
        <f t="shared" si="247"/>
        <v>Low Value</v>
      </c>
      <c r="J5272" t="str">
        <f t="shared" si="248"/>
        <v>Low Risk</v>
      </c>
      <c r="K5272" s="3" t="str">
        <f t="shared" si="246"/>
        <v>4+ Years</v>
      </c>
    </row>
    <row r="5273" spans="1:11" x14ac:dyDescent="0.3">
      <c r="A5273" t="s">
        <v>5290</v>
      </c>
      <c r="B5273" t="s">
        <v>9</v>
      </c>
      <c r="C5273" t="s">
        <v>15</v>
      </c>
      <c r="D5273" t="s">
        <v>11</v>
      </c>
      <c r="E5273">
        <v>79.150000000000006</v>
      </c>
      <c r="F5273">
        <v>33</v>
      </c>
      <c r="G5273">
        <v>2611.9499999999998</v>
      </c>
      <c r="H5273" t="s">
        <v>12</v>
      </c>
      <c r="I5273" t="str">
        <f t="shared" si="247"/>
        <v>Medium Value</v>
      </c>
      <c r="J5273" t="str">
        <f t="shared" si="248"/>
        <v>Low Risk</v>
      </c>
      <c r="K5273" s="3" t="str">
        <f t="shared" si="246"/>
        <v>2-4 Years</v>
      </c>
    </row>
    <row r="5274" spans="1:11" x14ac:dyDescent="0.3">
      <c r="A5274" t="s">
        <v>5291</v>
      </c>
      <c r="B5274" t="s">
        <v>9</v>
      </c>
      <c r="C5274" t="s">
        <v>30</v>
      </c>
      <c r="D5274" t="s">
        <v>24</v>
      </c>
      <c r="E5274">
        <v>66.75</v>
      </c>
      <c r="F5274">
        <v>72</v>
      </c>
      <c r="G5274">
        <v>4806</v>
      </c>
      <c r="H5274" t="s">
        <v>12</v>
      </c>
      <c r="I5274" t="str">
        <f t="shared" si="247"/>
        <v>Medium Value</v>
      </c>
      <c r="J5274" t="str">
        <f t="shared" si="248"/>
        <v>Low Risk</v>
      </c>
      <c r="K5274" s="3" t="str">
        <f t="shared" si="246"/>
        <v>4+ Years</v>
      </c>
    </row>
    <row r="5275" spans="1:11" x14ac:dyDescent="0.3">
      <c r="A5275" t="s">
        <v>5292</v>
      </c>
      <c r="B5275" t="s">
        <v>9</v>
      </c>
      <c r="C5275" t="s">
        <v>10</v>
      </c>
      <c r="D5275" t="s">
        <v>11</v>
      </c>
      <c r="E5275">
        <v>95.2</v>
      </c>
      <c r="F5275">
        <v>3</v>
      </c>
      <c r="G5275">
        <v>285.60000000000002</v>
      </c>
      <c r="H5275" t="s">
        <v>18</v>
      </c>
      <c r="I5275" t="str">
        <f t="shared" si="247"/>
        <v>Low Value</v>
      </c>
      <c r="J5275" t="str">
        <f t="shared" si="248"/>
        <v>High Risk</v>
      </c>
      <c r="K5275" s="3" t="str">
        <f t="shared" si="246"/>
        <v>0-1 Year</v>
      </c>
    </row>
    <row r="5276" spans="1:11" x14ac:dyDescent="0.3">
      <c r="A5276" t="s">
        <v>5293</v>
      </c>
      <c r="B5276" t="s">
        <v>9</v>
      </c>
      <c r="C5276" t="s">
        <v>10</v>
      </c>
      <c r="D5276" t="s">
        <v>16</v>
      </c>
      <c r="E5276">
        <v>48.8</v>
      </c>
      <c r="F5276">
        <v>19</v>
      </c>
      <c r="G5276">
        <v>927.19999999999902</v>
      </c>
      <c r="H5276" t="s">
        <v>12</v>
      </c>
      <c r="I5276" t="str">
        <f t="shared" si="247"/>
        <v>Low Value</v>
      </c>
      <c r="J5276" t="str">
        <f t="shared" si="248"/>
        <v>Medium Risk</v>
      </c>
      <c r="K5276" s="3" t="str">
        <f t="shared" si="246"/>
        <v>1-2 Years</v>
      </c>
    </row>
    <row r="5277" spans="1:11" x14ac:dyDescent="0.3">
      <c r="A5277" t="s">
        <v>5294</v>
      </c>
      <c r="B5277" t="s">
        <v>9</v>
      </c>
      <c r="C5277" t="s">
        <v>10</v>
      </c>
      <c r="D5277" t="s">
        <v>11</v>
      </c>
      <c r="E5277">
        <v>45.7</v>
      </c>
      <c r="F5277">
        <v>5</v>
      </c>
      <c r="G5277">
        <v>228.5</v>
      </c>
      <c r="H5277" t="s">
        <v>18</v>
      </c>
      <c r="I5277" t="str">
        <f t="shared" si="247"/>
        <v>Low Value</v>
      </c>
      <c r="J5277" t="str">
        <f t="shared" si="248"/>
        <v>High Risk</v>
      </c>
      <c r="K5277" s="3" t="str">
        <f t="shared" si="246"/>
        <v>0-1 Year</v>
      </c>
    </row>
    <row r="5278" spans="1:11" x14ac:dyDescent="0.3">
      <c r="A5278" t="s">
        <v>5295</v>
      </c>
      <c r="B5278" t="s">
        <v>9</v>
      </c>
      <c r="C5278" t="s">
        <v>30</v>
      </c>
      <c r="D5278" t="s">
        <v>24</v>
      </c>
      <c r="E5278">
        <v>80.7</v>
      </c>
      <c r="F5278">
        <v>71</v>
      </c>
      <c r="G5278">
        <v>5729.7</v>
      </c>
      <c r="H5278" t="s">
        <v>12</v>
      </c>
      <c r="I5278" t="str">
        <f t="shared" si="247"/>
        <v>High Value</v>
      </c>
      <c r="J5278" t="str">
        <f t="shared" si="248"/>
        <v>Low Risk</v>
      </c>
      <c r="K5278" s="3" t="str">
        <f t="shared" si="246"/>
        <v>4+ Years</v>
      </c>
    </row>
    <row r="5279" spans="1:11" x14ac:dyDescent="0.3">
      <c r="A5279" t="s">
        <v>5296</v>
      </c>
      <c r="B5279" t="s">
        <v>14</v>
      </c>
      <c r="C5279" t="s">
        <v>10</v>
      </c>
      <c r="D5279" t="s">
        <v>11</v>
      </c>
      <c r="E5279">
        <v>74.5</v>
      </c>
      <c r="F5279">
        <v>8</v>
      </c>
      <c r="G5279">
        <v>596</v>
      </c>
      <c r="H5279" t="s">
        <v>18</v>
      </c>
      <c r="I5279" t="str">
        <f t="shared" si="247"/>
        <v>Low Value</v>
      </c>
      <c r="J5279" t="str">
        <f t="shared" si="248"/>
        <v>High Risk</v>
      </c>
      <c r="K5279" s="3" t="str">
        <f t="shared" si="246"/>
        <v>0-1 Year</v>
      </c>
    </row>
    <row r="5280" spans="1:11" x14ac:dyDescent="0.3">
      <c r="A5280" t="s">
        <v>5297</v>
      </c>
      <c r="B5280" t="s">
        <v>14</v>
      </c>
      <c r="C5280" t="s">
        <v>10</v>
      </c>
      <c r="D5280" t="s">
        <v>24</v>
      </c>
      <c r="E5280">
        <v>20.55</v>
      </c>
      <c r="F5280">
        <v>1</v>
      </c>
      <c r="G5280">
        <v>20.55</v>
      </c>
      <c r="H5280" t="s">
        <v>12</v>
      </c>
      <c r="I5280" t="str">
        <f t="shared" si="247"/>
        <v>Low Value</v>
      </c>
      <c r="J5280" t="str">
        <f t="shared" si="248"/>
        <v>High Risk</v>
      </c>
      <c r="K5280" s="3" t="str">
        <f t="shared" si="246"/>
        <v>0-1 Year</v>
      </c>
    </row>
    <row r="5281" spans="1:11" x14ac:dyDescent="0.3">
      <c r="A5281" t="s">
        <v>5298</v>
      </c>
      <c r="B5281" t="s">
        <v>9</v>
      </c>
      <c r="C5281" t="s">
        <v>10</v>
      </c>
      <c r="D5281" t="s">
        <v>11</v>
      </c>
      <c r="E5281">
        <v>79.650000000000006</v>
      </c>
      <c r="F5281">
        <v>1</v>
      </c>
      <c r="G5281">
        <v>79.650000000000006</v>
      </c>
      <c r="H5281" t="s">
        <v>18</v>
      </c>
      <c r="I5281" t="str">
        <f t="shared" si="247"/>
        <v>Low Value</v>
      </c>
      <c r="J5281" t="str">
        <f t="shared" si="248"/>
        <v>High Risk</v>
      </c>
      <c r="K5281" s="3" t="str">
        <f t="shared" si="246"/>
        <v>0-1 Year</v>
      </c>
    </row>
    <row r="5282" spans="1:11" x14ac:dyDescent="0.3">
      <c r="A5282" t="s">
        <v>5299</v>
      </c>
      <c r="B5282" t="s">
        <v>9</v>
      </c>
      <c r="C5282" t="s">
        <v>15</v>
      </c>
      <c r="D5282" t="s">
        <v>16</v>
      </c>
      <c r="E5282">
        <v>115.1</v>
      </c>
      <c r="F5282">
        <v>61</v>
      </c>
      <c r="G5282">
        <v>7021.0999999999904</v>
      </c>
      <c r="H5282" t="s">
        <v>12</v>
      </c>
      <c r="I5282" t="str">
        <f t="shared" si="247"/>
        <v>High Value</v>
      </c>
      <c r="J5282" t="str">
        <f t="shared" si="248"/>
        <v>Low Risk</v>
      </c>
      <c r="K5282" s="3" t="str">
        <f t="shared" si="246"/>
        <v>4+ Years</v>
      </c>
    </row>
    <row r="5283" spans="1:11" x14ac:dyDescent="0.3">
      <c r="A5283" t="s">
        <v>5300</v>
      </c>
      <c r="B5283" t="s">
        <v>9</v>
      </c>
      <c r="C5283" t="s">
        <v>30</v>
      </c>
      <c r="D5283" t="s">
        <v>20</v>
      </c>
      <c r="E5283">
        <v>59.7</v>
      </c>
      <c r="F5283">
        <v>71</v>
      </c>
      <c r="G5283">
        <v>4238.7</v>
      </c>
      <c r="H5283" t="s">
        <v>12</v>
      </c>
      <c r="I5283" t="str">
        <f t="shared" si="247"/>
        <v>Medium Value</v>
      </c>
      <c r="J5283" t="str">
        <f t="shared" si="248"/>
        <v>Low Risk</v>
      </c>
      <c r="K5283" s="3" t="str">
        <f t="shared" si="246"/>
        <v>4+ Years</v>
      </c>
    </row>
    <row r="5284" spans="1:11" x14ac:dyDescent="0.3">
      <c r="A5284" t="s">
        <v>5301</v>
      </c>
      <c r="B5284" t="s">
        <v>9</v>
      </c>
      <c r="C5284" t="s">
        <v>15</v>
      </c>
      <c r="D5284" t="s">
        <v>24</v>
      </c>
      <c r="E5284">
        <v>86.45</v>
      </c>
      <c r="F5284">
        <v>68</v>
      </c>
      <c r="G5284">
        <v>5878.6</v>
      </c>
      <c r="H5284" t="s">
        <v>12</v>
      </c>
      <c r="I5284" t="str">
        <f t="shared" si="247"/>
        <v>High Value</v>
      </c>
      <c r="J5284" t="str">
        <f t="shared" si="248"/>
        <v>Low Risk</v>
      </c>
      <c r="K5284" s="3" t="str">
        <f t="shared" si="246"/>
        <v>4+ Years</v>
      </c>
    </row>
    <row r="5285" spans="1:11" x14ac:dyDescent="0.3">
      <c r="A5285" t="s">
        <v>5302</v>
      </c>
      <c r="B5285" t="s">
        <v>14</v>
      </c>
      <c r="C5285" t="s">
        <v>15</v>
      </c>
      <c r="D5285" t="s">
        <v>24</v>
      </c>
      <c r="E5285">
        <v>33.700000000000003</v>
      </c>
      <c r="F5285">
        <v>46</v>
      </c>
      <c r="G5285">
        <v>1550.2</v>
      </c>
      <c r="H5285" t="s">
        <v>12</v>
      </c>
      <c r="I5285" t="str">
        <f t="shared" si="247"/>
        <v>Low Value</v>
      </c>
      <c r="J5285" t="str">
        <f t="shared" si="248"/>
        <v>Low Risk</v>
      </c>
      <c r="K5285" s="3" t="str">
        <f t="shared" si="246"/>
        <v>2-4 Years</v>
      </c>
    </row>
    <row r="5286" spans="1:11" x14ac:dyDescent="0.3">
      <c r="A5286" t="s">
        <v>5303</v>
      </c>
      <c r="B5286" t="s">
        <v>14</v>
      </c>
      <c r="C5286" t="s">
        <v>15</v>
      </c>
      <c r="D5286" t="s">
        <v>20</v>
      </c>
      <c r="E5286">
        <v>80.099999999999994</v>
      </c>
      <c r="F5286">
        <v>33</v>
      </c>
      <c r="G5286">
        <v>2643.2999999999902</v>
      </c>
      <c r="H5286" t="s">
        <v>12</v>
      </c>
      <c r="I5286" t="str">
        <f t="shared" si="247"/>
        <v>Medium Value</v>
      </c>
      <c r="J5286" t="str">
        <f t="shared" si="248"/>
        <v>Low Risk</v>
      </c>
      <c r="K5286" s="3" t="str">
        <f t="shared" si="246"/>
        <v>2-4 Years</v>
      </c>
    </row>
    <row r="5287" spans="1:11" x14ac:dyDescent="0.3">
      <c r="A5287" t="s">
        <v>5304</v>
      </c>
      <c r="B5287" t="s">
        <v>9</v>
      </c>
      <c r="C5287" t="s">
        <v>30</v>
      </c>
      <c r="D5287" t="s">
        <v>20</v>
      </c>
      <c r="E5287">
        <v>104.05</v>
      </c>
      <c r="F5287">
        <v>53</v>
      </c>
      <c r="G5287">
        <v>5514.65</v>
      </c>
      <c r="H5287" t="s">
        <v>12</v>
      </c>
      <c r="I5287" t="str">
        <f t="shared" si="247"/>
        <v>High Value</v>
      </c>
      <c r="J5287" t="str">
        <f t="shared" si="248"/>
        <v>Low Risk</v>
      </c>
      <c r="K5287" s="3" t="str">
        <f t="shared" si="246"/>
        <v>4+ Years</v>
      </c>
    </row>
    <row r="5288" spans="1:11" x14ac:dyDescent="0.3">
      <c r="A5288" t="s">
        <v>5305</v>
      </c>
      <c r="B5288" t="s">
        <v>9</v>
      </c>
      <c r="C5288" t="s">
        <v>10</v>
      </c>
      <c r="D5288" t="s">
        <v>20</v>
      </c>
      <c r="E5288">
        <v>108.75</v>
      </c>
      <c r="F5288">
        <v>50</v>
      </c>
      <c r="G5288">
        <v>5437.5</v>
      </c>
      <c r="H5288" t="s">
        <v>12</v>
      </c>
      <c r="I5288" t="str">
        <f t="shared" si="247"/>
        <v>High Value</v>
      </c>
      <c r="J5288" t="str">
        <f t="shared" si="248"/>
        <v>Low Risk</v>
      </c>
      <c r="K5288" s="3" t="str">
        <f t="shared" si="246"/>
        <v>4+ Years</v>
      </c>
    </row>
    <row r="5289" spans="1:11" x14ac:dyDescent="0.3">
      <c r="A5289" t="s">
        <v>5306</v>
      </c>
      <c r="B5289" t="s">
        <v>9</v>
      </c>
      <c r="C5289" t="s">
        <v>15</v>
      </c>
      <c r="D5289" t="s">
        <v>24</v>
      </c>
      <c r="E5289">
        <v>41.1</v>
      </c>
      <c r="F5289">
        <v>57</v>
      </c>
      <c r="G5289">
        <v>2342.6999999999998</v>
      </c>
      <c r="H5289" t="s">
        <v>12</v>
      </c>
      <c r="I5289" t="str">
        <f t="shared" si="247"/>
        <v>Medium Value</v>
      </c>
      <c r="J5289" t="str">
        <f t="shared" si="248"/>
        <v>Low Risk</v>
      </c>
      <c r="K5289" s="3" t="str">
        <f t="shared" si="246"/>
        <v>4+ Years</v>
      </c>
    </row>
    <row r="5290" spans="1:11" x14ac:dyDescent="0.3">
      <c r="A5290" t="s">
        <v>5307</v>
      </c>
      <c r="B5290" t="s">
        <v>9</v>
      </c>
      <c r="C5290" t="s">
        <v>30</v>
      </c>
      <c r="D5290" t="s">
        <v>20</v>
      </c>
      <c r="E5290">
        <v>20.350000000000001</v>
      </c>
      <c r="F5290">
        <v>54</v>
      </c>
      <c r="G5290">
        <v>1098.9000000000001</v>
      </c>
      <c r="H5290" t="s">
        <v>12</v>
      </c>
      <c r="I5290" t="str">
        <f t="shared" si="247"/>
        <v>Low Value</v>
      </c>
      <c r="J5290" t="str">
        <f t="shared" si="248"/>
        <v>Low Risk</v>
      </c>
      <c r="K5290" s="3" t="str">
        <f t="shared" si="246"/>
        <v>4+ Years</v>
      </c>
    </row>
    <row r="5291" spans="1:11" x14ac:dyDescent="0.3">
      <c r="A5291" t="s">
        <v>5308</v>
      </c>
      <c r="B5291" t="s">
        <v>9</v>
      </c>
      <c r="C5291" t="s">
        <v>10</v>
      </c>
      <c r="D5291" t="s">
        <v>11</v>
      </c>
      <c r="E5291">
        <v>105.9</v>
      </c>
      <c r="F5291">
        <v>60</v>
      </c>
      <c r="G5291">
        <v>6354</v>
      </c>
      <c r="H5291" t="s">
        <v>12</v>
      </c>
      <c r="I5291" t="str">
        <f t="shared" si="247"/>
        <v>High Value</v>
      </c>
      <c r="J5291" t="str">
        <f t="shared" si="248"/>
        <v>Low Risk</v>
      </c>
      <c r="K5291" s="3" t="str">
        <f t="shared" si="246"/>
        <v>4+ Years</v>
      </c>
    </row>
    <row r="5292" spans="1:11" x14ac:dyDescent="0.3">
      <c r="A5292" t="s">
        <v>5309</v>
      </c>
      <c r="B5292" t="s">
        <v>9</v>
      </c>
      <c r="C5292" t="s">
        <v>10</v>
      </c>
      <c r="D5292" t="s">
        <v>24</v>
      </c>
      <c r="E5292">
        <v>101.3</v>
      </c>
      <c r="F5292">
        <v>28</v>
      </c>
      <c r="G5292">
        <v>2836.4</v>
      </c>
      <c r="H5292" t="s">
        <v>18</v>
      </c>
      <c r="I5292" t="str">
        <f t="shared" si="247"/>
        <v>Medium Value</v>
      </c>
      <c r="J5292" t="str">
        <f t="shared" si="248"/>
        <v>Low Risk</v>
      </c>
      <c r="K5292" s="3" t="str">
        <f t="shared" si="246"/>
        <v>2-4 Years</v>
      </c>
    </row>
    <row r="5293" spans="1:11" x14ac:dyDescent="0.3">
      <c r="A5293" t="s">
        <v>5310</v>
      </c>
      <c r="B5293" t="s">
        <v>9</v>
      </c>
      <c r="C5293" t="s">
        <v>10</v>
      </c>
      <c r="D5293" t="s">
        <v>16</v>
      </c>
      <c r="E5293">
        <v>80.05</v>
      </c>
      <c r="F5293">
        <v>1</v>
      </c>
      <c r="G5293">
        <v>80.05</v>
      </c>
      <c r="H5293" t="s">
        <v>18</v>
      </c>
      <c r="I5293" t="str">
        <f t="shared" si="247"/>
        <v>Low Value</v>
      </c>
      <c r="J5293" t="str">
        <f t="shared" si="248"/>
        <v>High Risk</v>
      </c>
      <c r="K5293" s="3" t="str">
        <f t="shared" si="246"/>
        <v>0-1 Year</v>
      </c>
    </row>
    <row r="5294" spans="1:11" x14ac:dyDescent="0.3">
      <c r="A5294" t="s">
        <v>5311</v>
      </c>
      <c r="B5294" t="s">
        <v>14</v>
      </c>
      <c r="C5294" t="s">
        <v>10</v>
      </c>
      <c r="D5294" t="s">
        <v>11</v>
      </c>
      <c r="E5294">
        <v>89.2</v>
      </c>
      <c r="F5294">
        <v>29</v>
      </c>
      <c r="G5294">
        <v>2586.8000000000002</v>
      </c>
      <c r="H5294" t="s">
        <v>18</v>
      </c>
      <c r="I5294" t="str">
        <f t="shared" si="247"/>
        <v>Medium Value</v>
      </c>
      <c r="J5294" t="str">
        <f t="shared" si="248"/>
        <v>Low Risk</v>
      </c>
      <c r="K5294" s="3" t="str">
        <f t="shared" si="246"/>
        <v>2-4 Years</v>
      </c>
    </row>
    <row r="5295" spans="1:11" x14ac:dyDescent="0.3">
      <c r="A5295" t="s">
        <v>5312</v>
      </c>
      <c r="B5295" t="s">
        <v>9</v>
      </c>
      <c r="C5295" t="s">
        <v>10</v>
      </c>
      <c r="D5295" t="s">
        <v>11</v>
      </c>
      <c r="E5295">
        <v>65.5</v>
      </c>
      <c r="F5295">
        <v>10</v>
      </c>
      <c r="G5295">
        <v>655</v>
      </c>
      <c r="H5295" t="s">
        <v>12</v>
      </c>
      <c r="I5295" t="str">
        <f t="shared" si="247"/>
        <v>Low Value</v>
      </c>
      <c r="J5295" t="str">
        <f t="shared" si="248"/>
        <v>High Risk</v>
      </c>
      <c r="K5295" s="3" t="str">
        <f t="shared" si="246"/>
        <v>0-1 Year</v>
      </c>
    </row>
    <row r="5296" spans="1:11" x14ac:dyDescent="0.3">
      <c r="A5296" t="s">
        <v>5313</v>
      </c>
      <c r="B5296" t="s">
        <v>14</v>
      </c>
      <c r="C5296" t="s">
        <v>10</v>
      </c>
      <c r="D5296" t="s">
        <v>11</v>
      </c>
      <c r="E5296">
        <v>40.450000000000003</v>
      </c>
      <c r="F5296">
        <v>43</v>
      </c>
      <c r="G5296">
        <v>1739.35</v>
      </c>
      <c r="H5296" t="s">
        <v>12</v>
      </c>
      <c r="I5296" t="str">
        <f t="shared" si="247"/>
        <v>Low Value</v>
      </c>
      <c r="J5296" t="str">
        <f t="shared" si="248"/>
        <v>Low Risk</v>
      </c>
      <c r="K5296" s="3" t="str">
        <f t="shared" si="246"/>
        <v>2-4 Years</v>
      </c>
    </row>
    <row r="5297" spans="1:11" x14ac:dyDescent="0.3">
      <c r="A5297" t="s">
        <v>5314</v>
      </c>
      <c r="B5297" t="s">
        <v>14</v>
      </c>
      <c r="C5297" t="s">
        <v>10</v>
      </c>
      <c r="D5297" t="s">
        <v>20</v>
      </c>
      <c r="E5297">
        <v>70.45</v>
      </c>
      <c r="F5297">
        <v>13</v>
      </c>
      <c r="G5297">
        <v>915.85</v>
      </c>
      <c r="H5297" t="s">
        <v>12</v>
      </c>
      <c r="I5297" t="str">
        <f t="shared" si="247"/>
        <v>Low Value</v>
      </c>
      <c r="J5297" t="str">
        <f t="shared" si="248"/>
        <v>Medium Risk</v>
      </c>
      <c r="K5297" s="3" t="str">
        <f t="shared" si="246"/>
        <v>1-2 Years</v>
      </c>
    </row>
    <row r="5298" spans="1:11" x14ac:dyDescent="0.3">
      <c r="A5298" t="s">
        <v>5315</v>
      </c>
      <c r="B5298" t="s">
        <v>9</v>
      </c>
      <c r="C5298" t="s">
        <v>30</v>
      </c>
      <c r="D5298" t="s">
        <v>11</v>
      </c>
      <c r="E5298">
        <v>78.8</v>
      </c>
      <c r="F5298">
        <v>43</v>
      </c>
      <c r="G5298">
        <v>3388.4</v>
      </c>
      <c r="H5298" t="s">
        <v>12</v>
      </c>
      <c r="I5298" t="str">
        <f t="shared" si="247"/>
        <v>Medium Value</v>
      </c>
      <c r="J5298" t="str">
        <f t="shared" si="248"/>
        <v>Low Risk</v>
      </c>
      <c r="K5298" s="3" t="str">
        <f t="shared" si="246"/>
        <v>2-4 Years</v>
      </c>
    </row>
    <row r="5299" spans="1:11" x14ac:dyDescent="0.3">
      <c r="A5299" t="s">
        <v>5316</v>
      </c>
      <c r="B5299" t="s">
        <v>14</v>
      </c>
      <c r="C5299" t="s">
        <v>10</v>
      </c>
      <c r="D5299" t="s">
        <v>11</v>
      </c>
      <c r="E5299">
        <v>83.65</v>
      </c>
      <c r="F5299">
        <v>19</v>
      </c>
      <c r="G5299">
        <v>1589.35</v>
      </c>
      <c r="H5299" t="s">
        <v>18</v>
      </c>
      <c r="I5299" t="str">
        <f t="shared" si="247"/>
        <v>Low Value</v>
      </c>
      <c r="J5299" t="str">
        <f t="shared" si="248"/>
        <v>Medium Risk</v>
      </c>
      <c r="K5299" s="3" t="str">
        <f t="shared" si="246"/>
        <v>1-2 Years</v>
      </c>
    </row>
    <row r="5300" spans="1:11" x14ac:dyDescent="0.3">
      <c r="A5300" t="s">
        <v>5317</v>
      </c>
      <c r="B5300" t="s">
        <v>14</v>
      </c>
      <c r="C5300" t="s">
        <v>10</v>
      </c>
      <c r="D5300" t="s">
        <v>11</v>
      </c>
      <c r="E5300">
        <v>90.1</v>
      </c>
      <c r="F5300">
        <v>1</v>
      </c>
      <c r="G5300">
        <v>90.1</v>
      </c>
      <c r="H5300" t="s">
        <v>12</v>
      </c>
      <c r="I5300" t="str">
        <f t="shared" si="247"/>
        <v>Low Value</v>
      </c>
      <c r="J5300" t="str">
        <f t="shared" si="248"/>
        <v>High Risk</v>
      </c>
      <c r="K5300" s="3" t="str">
        <f t="shared" si="246"/>
        <v>0-1 Year</v>
      </c>
    </row>
    <row r="5301" spans="1:11" x14ac:dyDescent="0.3">
      <c r="A5301" t="s">
        <v>5318</v>
      </c>
      <c r="B5301" t="s">
        <v>9</v>
      </c>
      <c r="C5301" t="s">
        <v>30</v>
      </c>
      <c r="D5301" t="s">
        <v>24</v>
      </c>
      <c r="E5301">
        <v>82.45</v>
      </c>
      <c r="F5301">
        <v>69</v>
      </c>
      <c r="G5301">
        <v>5689.05</v>
      </c>
      <c r="H5301" t="s">
        <v>12</v>
      </c>
      <c r="I5301" t="str">
        <f t="shared" si="247"/>
        <v>High Value</v>
      </c>
      <c r="J5301" t="str">
        <f t="shared" si="248"/>
        <v>Low Risk</v>
      </c>
      <c r="K5301" s="3" t="str">
        <f t="shared" si="246"/>
        <v>4+ Years</v>
      </c>
    </row>
    <row r="5302" spans="1:11" x14ac:dyDescent="0.3">
      <c r="A5302" t="s">
        <v>5319</v>
      </c>
      <c r="B5302" t="s">
        <v>9</v>
      </c>
      <c r="C5302" t="s">
        <v>30</v>
      </c>
      <c r="D5302" t="s">
        <v>24</v>
      </c>
      <c r="E5302">
        <v>20.25</v>
      </c>
      <c r="F5302">
        <v>61</v>
      </c>
      <c r="G5302">
        <v>1235.25</v>
      </c>
      <c r="H5302" t="s">
        <v>12</v>
      </c>
      <c r="I5302" t="str">
        <f t="shared" si="247"/>
        <v>Low Value</v>
      </c>
      <c r="J5302" t="str">
        <f t="shared" si="248"/>
        <v>Low Risk</v>
      </c>
      <c r="K5302" s="3" t="str">
        <f t="shared" si="246"/>
        <v>4+ Years</v>
      </c>
    </row>
    <row r="5303" spans="1:11" x14ac:dyDescent="0.3">
      <c r="A5303" t="s">
        <v>5320</v>
      </c>
      <c r="B5303" t="s">
        <v>14</v>
      </c>
      <c r="C5303" t="s">
        <v>10</v>
      </c>
      <c r="D5303" t="s">
        <v>20</v>
      </c>
      <c r="E5303">
        <v>66.25</v>
      </c>
      <c r="F5303">
        <v>43</v>
      </c>
      <c r="G5303">
        <v>2848.75</v>
      </c>
      <c r="H5303" t="s">
        <v>12</v>
      </c>
      <c r="I5303" t="str">
        <f t="shared" si="247"/>
        <v>Medium Value</v>
      </c>
      <c r="J5303" t="str">
        <f t="shared" si="248"/>
        <v>Low Risk</v>
      </c>
      <c r="K5303" s="3" t="str">
        <f t="shared" si="246"/>
        <v>2-4 Years</v>
      </c>
    </row>
    <row r="5304" spans="1:11" x14ac:dyDescent="0.3">
      <c r="A5304" t="s">
        <v>5321</v>
      </c>
      <c r="B5304" t="s">
        <v>9</v>
      </c>
      <c r="C5304" t="s">
        <v>10</v>
      </c>
      <c r="D5304" t="s">
        <v>20</v>
      </c>
      <c r="E5304">
        <v>19.5</v>
      </c>
      <c r="F5304">
        <v>6</v>
      </c>
      <c r="G5304">
        <v>117</v>
      </c>
      <c r="H5304" t="s">
        <v>18</v>
      </c>
      <c r="I5304" t="str">
        <f t="shared" si="247"/>
        <v>Low Value</v>
      </c>
      <c r="J5304" t="str">
        <f t="shared" si="248"/>
        <v>High Risk</v>
      </c>
      <c r="K5304" s="3" t="str">
        <f t="shared" si="246"/>
        <v>0-1 Year</v>
      </c>
    </row>
    <row r="5305" spans="1:11" x14ac:dyDescent="0.3">
      <c r="A5305" t="s">
        <v>5322</v>
      </c>
      <c r="B5305" t="s">
        <v>14</v>
      </c>
      <c r="C5305" t="s">
        <v>10</v>
      </c>
      <c r="D5305" t="s">
        <v>16</v>
      </c>
      <c r="E5305">
        <v>51.25</v>
      </c>
      <c r="F5305">
        <v>1</v>
      </c>
      <c r="G5305">
        <v>51.25</v>
      </c>
      <c r="H5305" t="s">
        <v>18</v>
      </c>
      <c r="I5305" t="str">
        <f t="shared" si="247"/>
        <v>Low Value</v>
      </c>
      <c r="J5305" t="str">
        <f t="shared" si="248"/>
        <v>High Risk</v>
      </c>
      <c r="K5305" s="3" t="str">
        <f t="shared" si="246"/>
        <v>0-1 Year</v>
      </c>
    </row>
    <row r="5306" spans="1:11" x14ac:dyDescent="0.3">
      <c r="A5306" t="s">
        <v>5323</v>
      </c>
      <c r="B5306" t="s">
        <v>14</v>
      </c>
      <c r="C5306" t="s">
        <v>10</v>
      </c>
      <c r="D5306" t="s">
        <v>16</v>
      </c>
      <c r="E5306">
        <v>89.7</v>
      </c>
      <c r="F5306">
        <v>56</v>
      </c>
      <c r="G5306">
        <v>5023.2</v>
      </c>
      <c r="H5306" t="s">
        <v>12</v>
      </c>
      <c r="I5306" t="str">
        <f t="shared" si="247"/>
        <v>High Value</v>
      </c>
      <c r="J5306" t="str">
        <f t="shared" si="248"/>
        <v>Low Risk</v>
      </c>
      <c r="K5306" s="3" t="str">
        <f t="shared" si="246"/>
        <v>4+ Years</v>
      </c>
    </row>
    <row r="5307" spans="1:11" x14ac:dyDescent="0.3">
      <c r="A5307" t="s">
        <v>5324</v>
      </c>
      <c r="B5307" t="s">
        <v>9</v>
      </c>
      <c r="C5307" t="s">
        <v>30</v>
      </c>
      <c r="D5307" t="s">
        <v>20</v>
      </c>
      <c r="E5307">
        <v>64.55</v>
      </c>
      <c r="F5307">
        <v>70</v>
      </c>
      <c r="G5307">
        <v>4518.5</v>
      </c>
      <c r="H5307" t="s">
        <v>12</v>
      </c>
      <c r="I5307" t="str">
        <f t="shared" si="247"/>
        <v>Medium Value</v>
      </c>
      <c r="J5307" t="str">
        <f t="shared" si="248"/>
        <v>Low Risk</v>
      </c>
      <c r="K5307" s="3" t="str">
        <f t="shared" si="246"/>
        <v>4+ Years</v>
      </c>
    </row>
    <row r="5308" spans="1:11" x14ac:dyDescent="0.3">
      <c r="A5308" t="s">
        <v>5325</v>
      </c>
      <c r="B5308" t="s">
        <v>14</v>
      </c>
      <c r="C5308" t="s">
        <v>10</v>
      </c>
      <c r="D5308" t="s">
        <v>11</v>
      </c>
      <c r="E5308">
        <v>45.6</v>
      </c>
      <c r="F5308">
        <v>1</v>
      </c>
      <c r="G5308">
        <v>45.6</v>
      </c>
      <c r="H5308" t="s">
        <v>18</v>
      </c>
      <c r="I5308" t="str">
        <f t="shared" si="247"/>
        <v>Low Value</v>
      </c>
      <c r="J5308" t="str">
        <f t="shared" si="248"/>
        <v>High Risk</v>
      </c>
      <c r="K5308" s="3" t="str">
        <f t="shared" si="246"/>
        <v>0-1 Year</v>
      </c>
    </row>
    <row r="5309" spans="1:11" x14ac:dyDescent="0.3">
      <c r="A5309" t="s">
        <v>5326</v>
      </c>
      <c r="B5309" t="s">
        <v>14</v>
      </c>
      <c r="C5309" t="s">
        <v>15</v>
      </c>
      <c r="D5309" t="s">
        <v>11</v>
      </c>
      <c r="E5309">
        <v>93.65</v>
      </c>
      <c r="F5309">
        <v>49</v>
      </c>
      <c r="G5309">
        <v>4588.8500000000004</v>
      </c>
      <c r="H5309" t="s">
        <v>12</v>
      </c>
      <c r="I5309" t="str">
        <f t="shared" si="247"/>
        <v>Medium Value</v>
      </c>
      <c r="J5309" t="str">
        <f t="shared" si="248"/>
        <v>Low Risk</v>
      </c>
      <c r="K5309" s="3" t="str">
        <f t="shared" si="246"/>
        <v>4+ Years</v>
      </c>
    </row>
    <row r="5310" spans="1:11" x14ac:dyDescent="0.3">
      <c r="A5310" t="s">
        <v>5327</v>
      </c>
      <c r="B5310" t="s">
        <v>9</v>
      </c>
      <c r="C5310" t="s">
        <v>10</v>
      </c>
      <c r="D5310" t="s">
        <v>20</v>
      </c>
      <c r="E5310">
        <v>49.65</v>
      </c>
      <c r="F5310">
        <v>6</v>
      </c>
      <c r="G5310">
        <v>297.89999999999998</v>
      </c>
      <c r="H5310" t="s">
        <v>18</v>
      </c>
      <c r="I5310" t="str">
        <f t="shared" si="247"/>
        <v>Low Value</v>
      </c>
      <c r="J5310" t="str">
        <f t="shared" si="248"/>
        <v>High Risk</v>
      </c>
      <c r="K5310" s="3" t="str">
        <f t="shared" si="246"/>
        <v>0-1 Year</v>
      </c>
    </row>
    <row r="5311" spans="1:11" x14ac:dyDescent="0.3">
      <c r="A5311" t="s">
        <v>5328</v>
      </c>
      <c r="B5311" t="s">
        <v>9</v>
      </c>
      <c r="C5311" t="s">
        <v>30</v>
      </c>
      <c r="D5311" t="s">
        <v>16</v>
      </c>
      <c r="E5311">
        <v>73.599999999999994</v>
      </c>
      <c r="F5311">
        <v>32</v>
      </c>
      <c r="G5311">
        <v>2355.1999999999998</v>
      </c>
      <c r="H5311" t="s">
        <v>12</v>
      </c>
      <c r="I5311" t="str">
        <f t="shared" si="247"/>
        <v>Medium Value</v>
      </c>
      <c r="J5311" t="str">
        <f t="shared" si="248"/>
        <v>Low Risk</v>
      </c>
      <c r="K5311" s="3" t="str">
        <f t="shared" si="246"/>
        <v>2-4 Years</v>
      </c>
    </row>
    <row r="5312" spans="1:11" x14ac:dyDescent="0.3">
      <c r="A5312" t="s">
        <v>5329</v>
      </c>
      <c r="B5312" t="s">
        <v>9</v>
      </c>
      <c r="C5312" t="s">
        <v>30</v>
      </c>
      <c r="D5312" t="s">
        <v>16</v>
      </c>
      <c r="E5312">
        <v>109.75</v>
      </c>
      <c r="F5312">
        <v>72</v>
      </c>
      <c r="G5312">
        <v>7902</v>
      </c>
      <c r="H5312" t="s">
        <v>12</v>
      </c>
      <c r="I5312" t="str">
        <f t="shared" si="247"/>
        <v>High Value</v>
      </c>
      <c r="J5312" t="str">
        <f t="shared" si="248"/>
        <v>Low Risk</v>
      </c>
      <c r="K5312" s="3" t="str">
        <f t="shared" si="246"/>
        <v>4+ Years</v>
      </c>
    </row>
    <row r="5313" spans="1:11" x14ac:dyDescent="0.3">
      <c r="A5313" t="s">
        <v>5330</v>
      </c>
      <c r="B5313" t="s">
        <v>14</v>
      </c>
      <c r="C5313" t="s">
        <v>30</v>
      </c>
      <c r="D5313" t="s">
        <v>24</v>
      </c>
      <c r="E5313">
        <v>61.45</v>
      </c>
      <c r="F5313">
        <v>37</v>
      </c>
      <c r="G5313">
        <v>2273.65</v>
      </c>
      <c r="H5313" t="s">
        <v>12</v>
      </c>
      <c r="I5313" t="str">
        <f t="shared" si="247"/>
        <v>Medium Value</v>
      </c>
      <c r="J5313" t="str">
        <f t="shared" si="248"/>
        <v>Low Risk</v>
      </c>
      <c r="K5313" s="3" t="str">
        <f t="shared" si="246"/>
        <v>2-4 Years</v>
      </c>
    </row>
    <row r="5314" spans="1:11" x14ac:dyDescent="0.3">
      <c r="A5314" t="s">
        <v>5331</v>
      </c>
      <c r="B5314" t="s">
        <v>9</v>
      </c>
      <c r="C5314" t="s">
        <v>15</v>
      </c>
      <c r="D5314" t="s">
        <v>24</v>
      </c>
      <c r="E5314">
        <v>106.4</v>
      </c>
      <c r="F5314">
        <v>69</v>
      </c>
      <c r="G5314">
        <v>7341.6</v>
      </c>
      <c r="H5314" t="s">
        <v>12</v>
      </c>
      <c r="I5314" t="str">
        <f t="shared" si="247"/>
        <v>High Value</v>
      </c>
      <c r="J5314" t="str">
        <f t="shared" si="248"/>
        <v>Low Risk</v>
      </c>
      <c r="K5314" s="3" t="str">
        <f t="shared" si="246"/>
        <v>4+ Years</v>
      </c>
    </row>
    <row r="5315" spans="1:11" x14ac:dyDescent="0.3">
      <c r="A5315" t="s">
        <v>5332</v>
      </c>
      <c r="B5315" t="s">
        <v>9</v>
      </c>
      <c r="C5315" t="s">
        <v>10</v>
      </c>
      <c r="D5315" t="s">
        <v>20</v>
      </c>
      <c r="E5315">
        <v>81.900000000000006</v>
      </c>
      <c r="F5315">
        <v>26</v>
      </c>
      <c r="G5315">
        <v>2129.4</v>
      </c>
      <c r="H5315" t="s">
        <v>12</v>
      </c>
      <c r="I5315" t="str">
        <f t="shared" si="247"/>
        <v>Medium Value</v>
      </c>
      <c r="J5315" t="str">
        <f t="shared" si="248"/>
        <v>Low Risk</v>
      </c>
      <c r="K5315" s="3" t="str">
        <f t="shared" ref="K5315:K5378" si="249">IF(F5315&lt;=12,"0-1 Year",
IF(F5315&lt;=24,"1-2 Years",
IF(F5315&lt;=48,"2-4 Years","4+ Years")))</f>
        <v>2-4 Years</v>
      </c>
    </row>
    <row r="5316" spans="1:11" x14ac:dyDescent="0.3">
      <c r="A5316" t="s">
        <v>5333</v>
      </c>
      <c r="B5316" t="s">
        <v>9</v>
      </c>
      <c r="C5316" t="s">
        <v>15</v>
      </c>
      <c r="D5316" t="s">
        <v>24</v>
      </c>
      <c r="E5316">
        <v>105.2</v>
      </c>
      <c r="F5316">
        <v>58</v>
      </c>
      <c r="G5316">
        <v>6101.6</v>
      </c>
      <c r="H5316" t="s">
        <v>12</v>
      </c>
      <c r="I5316" t="str">
        <f t="shared" ref="I5316:I5379" si="250">IF(G5316&gt;5000,"High Value",
IF(G5316&gt;2000,"Medium Value","Low Value"))</f>
        <v>High Value</v>
      </c>
      <c r="J5316" t="str">
        <f t="shared" ref="J5316:J5379" si="251">IF(F5316&lt;12,"High Risk",
IF(F5316&lt;24,"Medium Risk","Low Risk"))</f>
        <v>Low Risk</v>
      </c>
      <c r="K5316" s="3" t="str">
        <f t="shared" si="249"/>
        <v>4+ Years</v>
      </c>
    </row>
    <row r="5317" spans="1:11" x14ac:dyDescent="0.3">
      <c r="A5317" t="s">
        <v>5334</v>
      </c>
      <c r="B5317" t="s">
        <v>14</v>
      </c>
      <c r="C5317" t="s">
        <v>15</v>
      </c>
      <c r="D5317" t="s">
        <v>20</v>
      </c>
      <c r="E5317">
        <v>54.6</v>
      </c>
      <c r="F5317">
        <v>24</v>
      </c>
      <c r="G5317">
        <v>1310.4000000000001</v>
      </c>
      <c r="H5317" t="s">
        <v>12</v>
      </c>
      <c r="I5317" t="str">
        <f t="shared" si="250"/>
        <v>Low Value</v>
      </c>
      <c r="J5317" t="str">
        <f t="shared" si="251"/>
        <v>Low Risk</v>
      </c>
      <c r="K5317" s="3" t="str">
        <f t="shared" si="249"/>
        <v>1-2 Years</v>
      </c>
    </row>
    <row r="5318" spans="1:11" x14ac:dyDescent="0.3">
      <c r="A5318" t="s">
        <v>5335</v>
      </c>
      <c r="B5318" t="s">
        <v>14</v>
      </c>
      <c r="C5318" t="s">
        <v>15</v>
      </c>
      <c r="D5318" t="s">
        <v>11</v>
      </c>
      <c r="E5318">
        <v>20.55</v>
      </c>
      <c r="F5318">
        <v>5</v>
      </c>
      <c r="G5318">
        <v>102.75</v>
      </c>
      <c r="H5318" t="s">
        <v>12</v>
      </c>
      <c r="I5318" t="str">
        <f t="shared" si="250"/>
        <v>Low Value</v>
      </c>
      <c r="J5318" t="str">
        <f t="shared" si="251"/>
        <v>High Risk</v>
      </c>
      <c r="K5318" s="3" t="str">
        <f t="shared" si="249"/>
        <v>0-1 Year</v>
      </c>
    </row>
    <row r="5319" spans="1:11" x14ac:dyDescent="0.3">
      <c r="A5319" t="s">
        <v>5336</v>
      </c>
      <c r="B5319" t="s">
        <v>14</v>
      </c>
      <c r="C5319" t="s">
        <v>10</v>
      </c>
      <c r="D5319" t="s">
        <v>11</v>
      </c>
      <c r="E5319">
        <v>20</v>
      </c>
      <c r="F5319">
        <v>15</v>
      </c>
      <c r="G5319">
        <v>300</v>
      </c>
      <c r="H5319" t="s">
        <v>18</v>
      </c>
      <c r="I5319" t="str">
        <f t="shared" si="250"/>
        <v>Low Value</v>
      </c>
      <c r="J5319" t="str">
        <f t="shared" si="251"/>
        <v>Medium Risk</v>
      </c>
      <c r="K5319" s="3" t="str">
        <f t="shared" si="249"/>
        <v>1-2 Years</v>
      </c>
    </row>
    <row r="5320" spans="1:11" x14ac:dyDescent="0.3">
      <c r="A5320" t="s">
        <v>5337</v>
      </c>
      <c r="B5320" t="s">
        <v>9</v>
      </c>
      <c r="C5320" t="s">
        <v>30</v>
      </c>
      <c r="D5320" t="s">
        <v>16</v>
      </c>
      <c r="E5320">
        <v>19.7</v>
      </c>
      <c r="F5320">
        <v>30</v>
      </c>
      <c r="G5320">
        <v>591</v>
      </c>
      <c r="H5320" t="s">
        <v>12</v>
      </c>
      <c r="I5320" t="str">
        <f t="shared" si="250"/>
        <v>Low Value</v>
      </c>
      <c r="J5320" t="str">
        <f t="shared" si="251"/>
        <v>Low Risk</v>
      </c>
      <c r="K5320" s="3" t="str">
        <f t="shared" si="249"/>
        <v>2-4 Years</v>
      </c>
    </row>
    <row r="5321" spans="1:11" x14ac:dyDescent="0.3">
      <c r="A5321" t="s">
        <v>5338</v>
      </c>
      <c r="B5321" t="s">
        <v>9</v>
      </c>
      <c r="C5321" t="s">
        <v>15</v>
      </c>
      <c r="D5321" t="s">
        <v>24</v>
      </c>
      <c r="E5321">
        <v>66.05</v>
      </c>
      <c r="F5321">
        <v>55</v>
      </c>
      <c r="G5321">
        <v>3632.75</v>
      </c>
      <c r="H5321" t="s">
        <v>12</v>
      </c>
      <c r="I5321" t="str">
        <f t="shared" si="250"/>
        <v>Medium Value</v>
      </c>
      <c r="J5321" t="str">
        <f t="shared" si="251"/>
        <v>Low Risk</v>
      </c>
      <c r="K5321" s="3" t="str">
        <f t="shared" si="249"/>
        <v>4+ Years</v>
      </c>
    </row>
    <row r="5322" spans="1:11" x14ac:dyDescent="0.3">
      <c r="A5322" t="s">
        <v>5339</v>
      </c>
      <c r="B5322" t="s">
        <v>9</v>
      </c>
      <c r="C5322" t="s">
        <v>10</v>
      </c>
      <c r="D5322" t="s">
        <v>20</v>
      </c>
      <c r="E5322">
        <v>34</v>
      </c>
      <c r="F5322">
        <v>25</v>
      </c>
      <c r="G5322">
        <v>850</v>
      </c>
      <c r="H5322" t="s">
        <v>18</v>
      </c>
      <c r="I5322" t="str">
        <f t="shared" si="250"/>
        <v>Low Value</v>
      </c>
      <c r="J5322" t="str">
        <f t="shared" si="251"/>
        <v>Low Risk</v>
      </c>
      <c r="K5322" s="3" t="str">
        <f t="shared" si="249"/>
        <v>2-4 Years</v>
      </c>
    </row>
    <row r="5323" spans="1:11" x14ac:dyDescent="0.3">
      <c r="A5323" t="s">
        <v>5340</v>
      </c>
      <c r="B5323" t="s">
        <v>14</v>
      </c>
      <c r="C5323" t="s">
        <v>10</v>
      </c>
      <c r="D5323" t="s">
        <v>16</v>
      </c>
      <c r="E5323">
        <v>92.5</v>
      </c>
      <c r="F5323">
        <v>10</v>
      </c>
      <c r="G5323">
        <v>925</v>
      </c>
      <c r="H5323" t="s">
        <v>18</v>
      </c>
      <c r="I5323" t="str">
        <f t="shared" si="250"/>
        <v>Low Value</v>
      </c>
      <c r="J5323" t="str">
        <f t="shared" si="251"/>
        <v>High Risk</v>
      </c>
      <c r="K5323" s="3" t="str">
        <f t="shared" si="249"/>
        <v>0-1 Year</v>
      </c>
    </row>
    <row r="5324" spans="1:11" x14ac:dyDescent="0.3">
      <c r="A5324" t="s">
        <v>5341</v>
      </c>
      <c r="B5324" t="s">
        <v>14</v>
      </c>
      <c r="C5324" t="s">
        <v>30</v>
      </c>
      <c r="D5324" t="s">
        <v>24</v>
      </c>
      <c r="E5324">
        <v>54.05</v>
      </c>
      <c r="F5324">
        <v>44</v>
      </c>
      <c r="G5324">
        <v>2378.1999999999998</v>
      </c>
      <c r="H5324" t="s">
        <v>12</v>
      </c>
      <c r="I5324" t="str">
        <f t="shared" si="250"/>
        <v>Medium Value</v>
      </c>
      <c r="J5324" t="str">
        <f t="shared" si="251"/>
        <v>Low Risk</v>
      </c>
      <c r="K5324" s="3" t="str">
        <f t="shared" si="249"/>
        <v>2-4 Years</v>
      </c>
    </row>
    <row r="5325" spans="1:11" x14ac:dyDescent="0.3">
      <c r="A5325" t="s">
        <v>5342</v>
      </c>
      <c r="B5325" t="s">
        <v>9</v>
      </c>
      <c r="C5325" t="s">
        <v>15</v>
      </c>
      <c r="D5325" t="s">
        <v>16</v>
      </c>
      <c r="E5325">
        <v>58.9</v>
      </c>
      <c r="F5325">
        <v>47</v>
      </c>
      <c r="G5325">
        <v>2768.2999999999902</v>
      </c>
      <c r="H5325" t="s">
        <v>12</v>
      </c>
      <c r="I5325" t="str">
        <f t="shared" si="250"/>
        <v>Medium Value</v>
      </c>
      <c r="J5325" t="str">
        <f t="shared" si="251"/>
        <v>Low Risk</v>
      </c>
      <c r="K5325" s="3" t="str">
        <f t="shared" si="249"/>
        <v>2-4 Years</v>
      </c>
    </row>
    <row r="5326" spans="1:11" x14ac:dyDescent="0.3">
      <c r="A5326" t="s">
        <v>5343</v>
      </c>
      <c r="B5326" t="s">
        <v>9</v>
      </c>
      <c r="C5326" t="s">
        <v>10</v>
      </c>
      <c r="D5326" t="s">
        <v>11</v>
      </c>
      <c r="E5326">
        <v>88.35</v>
      </c>
      <c r="F5326">
        <v>13</v>
      </c>
      <c r="G5326">
        <v>1148.55</v>
      </c>
      <c r="H5326" t="s">
        <v>18</v>
      </c>
      <c r="I5326" t="str">
        <f t="shared" si="250"/>
        <v>Low Value</v>
      </c>
      <c r="J5326" t="str">
        <f t="shared" si="251"/>
        <v>Medium Risk</v>
      </c>
      <c r="K5326" s="3" t="str">
        <f t="shared" si="249"/>
        <v>1-2 Years</v>
      </c>
    </row>
    <row r="5327" spans="1:11" x14ac:dyDescent="0.3">
      <c r="A5327" t="s">
        <v>5344</v>
      </c>
      <c r="B5327" t="s">
        <v>9</v>
      </c>
      <c r="C5327" t="s">
        <v>30</v>
      </c>
      <c r="D5327" t="s">
        <v>20</v>
      </c>
      <c r="E5327">
        <v>107.95</v>
      </c>
      <c r="F5327">
        <v>49</v>
      </c>
      <c r="G5327">
        <v>5289.55</v>
      </c>
      <c r="H5327" t="s">
        <v>18</v>
      </c>
      <c r="I5327" t="str">
        <f t="shared" si="250"/>
        <v>High Value</v>
      </c>
      <c r="J5327" t="str">
        <f t="shared" si="251"/>
        <v>Low Risk</v>
      </c>
      <c r="K5327" s="3" t="str">
        <f t="shared" si="249"/>
        <v>4+ Years</v>
      </c>
    </row>
    <row r="5328" spans="1:11" x14ac:dyDescent="0.3">
      <c r="A5328" t="s">
        <v>5345</v>
      </c>
      <c r="B5328" t="s">
        <v>9</v>
      </c>
      <c r="C5328" t="s">
        <v>15</v>
      </c>
      <c r="D5328" t="s">
        <v>16</v>
      </c>
      <c r="E5328">
        <v>96.9</v>
      </c>
      <c r="F5328">
        <v>64</v>
      </c>
      <c r="G5328">
        <v>6201.6</v>
      </c>
      <c r="H5328" t="s">
        <v>12</v>
      </c>
      <c r="I5328" t="str">
        <f t="shared" si="250"/>
        <v>High Value</v>
      </c>
      <c r="J5328" t="str">
        <f t="shared" si="251"/>
        <v>Low Risk</v>
      </c>
      <c r="K5328" s="3" t="str">
        <f t="shared" si="249"/>
        <v>4+ Years</v>
      </c>
    </row>
    <row r="5329" spans="1:11" x14ac:dyDescent="0.3">
      <c r="A5329" t="s">
        <v>5346</v>
      </c>
      <c r="B5329" t="s">
        <v>14</v>
      </c>
      <c r="C5329" t="s">
        <v>10</v>
      </c>
      <c r="D5329" t="s">
        <v>16</v>
      </c>
      <c r="E5329">
        <v>19.100000000000001</v>
      </c>
      <c r="F5329">
        <v>1</v>
      </c>
      <c r="G5329">
        <v>19.100000000000001</v>
      </c>
      <c r="H5329" t="s">
        <v>12</v>
      </c>
      <c r="I5329" t="str">
        <f t="shared" si="250"/>
        <v>Low Value</v>
      </c>
      <c r="J5329" t="str">
        <f t="shared" si="251"/>
        <v>High Risk</v>
      </c>
      <c r="K5329" s="3" t="str">
        <f t="shared" si="249"/>
        <v>0-1 Year</v>
      </c>
    </row>
    <row r="5330" spans="1:11" x14ac:dyDescent="0.3">
      <c r="A5330" t="s">
        <v>5347</v>
      </c>
      <c r="B5330" t="s">
        <v>14</v>
      </c>
      <c r="C5330" t="s">
        <v>10</v>
      </c>
      <c r="D5330" t="s">
        <v>16</v>
      </c>
      <c r="E5330">
        <v>50</v>
      </c>
      <c r="F5330">
        <v>20</v>
      </c>
      <c r="G5330">
        <v>1000</v>
      </c>
      <c r="H5330" t="s">
        <v>12</v>
      </c>
      <c r="I5330" t="str">
        <f t="shared" si="250"/>
        <v>Low Value</v>
      </c>
      <c r="J5330" t="str">
        <f t="shared" si="251"/>
        <v>Medium Risk</v>
      </c>
      <c r="K5330" s="3" t="str">
        <f t="shared" si="249"/>
        <v>1-2 Years</v>
      </c>
    </row>
    <row r="5331" spans="1:11" x14ac:dyDescent="0.3">
      <c r="A5331" t="s">
        <v>5348</v>
      </c>
      <c r="B5331" t="s">
        <v>9</v>
      </c>
      <c r="C5331" t="s">
        <v>30</v>
      </c>
      <c r="D5331" t="s">
        <v>11</v>
      </c>
      <c r="E5331">
        <v>45.4</v>
      </c>
      <c r="F5331">
        <v>37</v>
      </c>
      <c r="G5331">
        <v>1679.8</v>
      </c>
      <c r="H5331" t="s">
        <v>12</v>
      </c>
      <c r="I5331" t="str">
        <f t="shared" si="250"/>
        <v>Low Value</v>
      </c>
      <c r="J5331" t="str">
        <f t="shared" si="251"/>
        <v>Low Risk</v>
      </c>
      <c r="K5331" s="3" t="str">
        <f t="shared" si="249"/>
        <v>2-4 Years</v>
      </c>
    </row>
    <row r="5332" spans="1:11" x14ac:dyDescent="0.3">
      <c r="A5332" t="s">
        <v>5349</v>
      </c>
      <c r="B5332" t="s">
        <v>14</v>
      </c>
      <c r="C5332" t="s">
        <v>10</v>
      </c>
      <c r="D5332" t="s">
        <v>11</v>
      </c>
      <c r="E5332">
        <v>85.45</v>
      </c>
      <c r="F5332">
        <v>30</v>
      </c>
      <c r="G5332">
        <v>2563.5</v>
      </c>
      <c r="H5332" t="s">
        <v>12</v>
      </c>
      <c r="I5332" t="str">
        <f t="shared" si="250"/>
        <v>Medium Value</v>
      </c>
      <c r="J5332" t="str">
        <f t="shared" si="251"/>
        <v>Low Risk</v>
      </c>
      <c r="K5332" s="3" t="str">
        <f t="shared" si="249"/>
        <v>2-4 Years</v>
      </c>
    </row>
    <row r="5333" spans="1:11" x14ac:dyDescent="0.3">
      <c r="A5333" t="s">
        <v>5350</v>
      </c>
      <c r="B5333" t="s">
        <v>9</v>
      </c>
      <c r="C5333" t="s">
        <v>15</v>
      </c>
      <c r="D5333" t="s">
        <v>20</v>
      </c>
      <c r="E5333">
        <v>84.1</v>
      </c>
      <c r="F5333">
        <v>38</v>
      </c>
      <c r="G5333">
        <v>3195.7999999999902</v>
      </c>
      <c r="H5333" t="s">
        <v>12</v>
      </c>
      <c r="I5333" t="str">
        <f t="shared" si="250"/>
        <v>Medium Value</v>
      </c>
      <c r="J5333" t="str">
        <f t="shared" si="251"/>
        <v>Low Risk</v>
      </c>
      <c r="K5333" s="3" t="str">
        <f t="shared" si="249"/>
        <v>2-4 Years</v>
      </c>
    </row>
    <row r="5334" spans="1:11" x14ac:dyDescent="0.3">
      <c r="A5334" t="s">
        <v>5351</v>
      </c>
      <c r="B5334" t="s">
        <v>9</v>
      </c>
      <c r="C5334" t="s">
        <v>10</v>
      </c>
      <c r="D5334" t="s">
        <v>16</v>
      </c>
      <c r="E5334">
        <v>74.45</v>
      </c>
      <c r="F5334">
        <v>1</v>
      </c>
      <c r="G5334">
        <v>74.45</v>
      </c>
      <c r="H5334" t="s">
        <v>18</v>
      </c>
      <c r="I5334" t="str">
        <f t="shared" si="250"/>
        <v>Low Value</v>
      </c>
      <c r="J5334" t="str">
        <f t="shared" si="251"/>
        <v>High Risk</v>
      </c>
      <c r="K5334" s="3" t="str">
        <f t="shared" si="249"/>
        <v>0-1 Year</v>
      </c>
    </row>
    <row r="5335" spans="1:11" x14ac:dyDescent="0.3">
      <c r="A5335" t="s">
        <v>5352</v>
      </c>
      <c r="B5335" t="s">
        <v>9</v>
      </c>
      <c r="C5335" t="s">
        <v>10</v>
      </c>
      <c r="D5335" t="s">
        <v>11</v>
      </c>
      <c r="E5335">
        <v>64.75</v>
      </c>
      <c r="F5335">
        <v>37</v>
      </c>
      <c r="G5335">
        <v>2395.75</v>
      </c>
      <c r="H5335" t="s">
        <v>18</v>
      </c>
      <c r="I5335" t="str">
        <f t="shared" si="250"/>
        <v>Medium Value</v>
      </c>
      <c r="J5335" t="str">
        <f t="shared" si="251"/>
        <v>Low Risk</v>
      </c>
      <c r="K5335" s="3" t="str">
        <f t="shared" si="249"/>
        <v>2-4 Years</v>
      </c>
    </row>
    <row r="5336" spans="1:11" x14ac:dyDescent="0.3">
      <c r="A5336" t="s">
        <v>5353</v>
      </c>
      <c r="B5336" t="s">
        <v>9</v>
      </c>
      <c r="C5336" t="s">
        <v>30</v>
      </c>
      <c r="D5336" t="s">
        <v>24</v>
      </c>
      <c r="E5336">
        <v>66.25</v>
      </c>
      <c r="F5336">
        <v>52</v>
      </c>
      <c r="G5336">
        <v>3445</v>
      </c>
      <c r="H5336" t="s">
        <v>12</v>
      </c>
      <c r="I5336" t="str">
        <f t="shared" si="250"/>
        <v>Medium Value</v>
      </c>
      <c r="J5336" t="str">
        <f t="shared" si="251"/>
        <v>Low Risk</v>
      </c>
      <c r="K5336" s="3" t="str">
        <f t="shared" si="249"/>
        <v>4+ Years</v>
      </c>
    </row>
    <row r="5337" spans="1:11" x14ac:dyDescent="0.3">
      <c r="A5337" t="s">
        <v>5354</v>
      </c>
      <c r="B5337" t="s">
        <v>14</v>
      </c>
      <c r="C5337" t="s">
        <v>30</v>
      </c>
      <c r="D5337" t="s">
        <v>24</v>
      </c>
      <c r="E5337">
        <v>76.900000000000006</v>
      </c>
      <c r="F5337">
        <v>71</v>
      </c>
      <c r="G5337">
        <v>5459.9</v>
      </c>
      <c r="H5337" t="s">
        <v>12</v>
      </c>
      <c r="I5337" t="str">
        <f t="shared" si="250"/>
        <v>High Value</v>
      </c>
      <c r="J5337" t="str">
        <f t="shared" si="251"/>
        <v>Low Risk</v>
      </c>
      <c r="K5337" s="3" t="str">
        <f t="shared" si="249"/>
        <v>4+ Years</v>
      </c>
    </row>
    <row r="5338" spans="1:11" x14ac:dyDescent="0.3">
      <c r="A5338" t="s">
        <v>5355</v>
      </c>
      <c r="B5338" t="s">
        <v>14</v>
      </c>
      <c r="C5338" t="s">
        <v>10</v>
      </c>
      <c r="D5338" t="s">
        <v>11</v>
      </c>
      <c r="E5338">
        <v>89.8</v>
      </c>
      <c r="F5338">
        <v>26</v>
      </c>
      <c r="G5338">
        <v>2334.7999999999902</v>
      </c>
      <c r="H5338" t="s">
        <v>18</v>
      </c>
      <c r="I5338" t="str">
        <f t="shared" si="250"/>
        <v>Medium Value</v>
      </c>
      <c r="J5338" t="str">
        <f t="shared" si="251"/>
        <v>Low Risk</v>
      </c>
      <c r="K5338" s="3" t="str">
        <f t="shared" si="249"/>
        <v>2-4 Years</v>
      </c>
    </row>
    <row r="5339" spans="1:11" x14ac:dyDescent="0.3">
      <c r="A5339" t="s">
        <v>5356</v>
      </c>
      <c r="B5339" t="s">
        <v>14</v>
      </c>
      <c r="C5339" t="s">
        <v>30</v>
      </c>
      <c r="D5339" t="s">
        <v>24</v>
      </c>
      <c r="E5339">
        <v>74.599999999999994</v>
      </c>
      <c r="F5339">
        <v>66</v>
      </c>
      <c r="G5339">
        <v>4923.5999999999904</v>
      </c>
      <c r="H5339" t="s">
        <v>12</v>
      </c>
      <c r="I5339" t="str">
        <f t="shared" si="250"/>
        <v>Medium Value</v>
      </c>
      <c r="J5339" t="str">
        <f t="shared" si="251"/>
        <v>Low Risk</v>
      </c>
      <c r="K5339" s="3" t="str">
        <f t="shared" si="249"/>
        <v>4+ Years</v>
      </c>
    </row>
    <row r="5340" spans="1:11" x14ac:dyDescent="0.3">
      <c r="A5340" t="s">
        <v>5357</v>
      </c>
      <c r="B5340" t="s">
        <v>14</v>
      </c>
      <c r="C5340" t="s">
        <v>30</v>
      </c>
      <c r="D5340" t="s">
        <v>24</v>
      </c>
      <c r="E5340">
        <v>116.95</v>
      </c>
      <c r="F5340">
        <v>72</v>
      </c>
      <c r="G5340">
        <v>8420.4</v>
      </c>
      <c r="H5340" t="s">
        <v>12</v>
      </c>
      <c r="I5340" t="str">
        <f t="shared" si="250"/>
        <v>High Value</v>
      </c>
      <c r="J5340" t="str">
        <f t="shared" si="251"/>
        <v>Low Risk</v>
      </c>
      <c r="K5340" s="3" t="str">
        <f t="shared" si="249"/>
        <v>4+ Years</v>
      </c>
    </row>
    <row r="5341" spans="1:11" x14ac:dyDescent="0.3">
      <c r="A5341" t="s">
        <v>5358</v>
      </c>
      <c r="B5341" t="s">
        <v>14</v>
      </c>
      <c r="C5341" t="s">
        <v>15</v>
      </c>
      <c r="D5341" t="s">
        <v>24</v>
      </c>
      <c r="E5341">
        <v>40.65</v>
      </c>
      <c r="F5341">
        <v>25</v>
      </c>
      <c r="G5341">
        <v>1016.25</v>
      </c>
      <c r="H5341" t="s">
        <v>12</v>
      </c>
      <c r="I5341" t="str">
        <f t="shared" si="250"/>
        <v>Low Value</v>
      </c>
      <c r="J5341" t="str">
        <f t="shared" si="251"/>
        <v>Low Risk</v>
      </c>
      <c r="K5341" s="3" t="str">
        <f t="shared" si="249"/>
        <v>2-4 Years</v>
      </c>
    </row>
    <row r="5342" spans="1:11" x14ac:dyDescent="0.3">
      <c r="A5342" t="s">
        <v>5359</v>
      </c>
      <c r="B5342" t="s">
        <v>14</v>
      </c>
      <c r="C5342" t="s">
        <v>30</v>
      </c>
      <c r="D5342" t="s">
        <v>20</v>
      </c>
      <c r="E5342">
        <v>114.35</v>
      </c>
      <c r="F5342">
        <v>69</v>
      </c>
      <c r="G5342">
        <v>7890.15</v>
      </c>
      <c r="H5342" t="s">
        <v>12</v>
      </c>
      <c r="I5342" t="str">
        <f t="shared" si="250"/>
        <v>High Value</v>
      </c>
      <c r="J5342" t="str">
        <f t="shared" si="251"/>
        <v>Low Risk</v>
      </c>
      <c r="K5342" s="3" t="str">
        <f t="shared" si="249"/>
        <v>4+ Years</v>
      </c>
    </row>
    <row r="5343" spans="1:11" x14ac:dyDescent="0.3">
      <c r="A5343" t="s">
        <v>5360</v>
      </c>
      <c r="B5343" t="s">
        <v>14</v>
      </c>
      <c r="C5343" t="s">
        <v>30</v>
      </c>
      <c r="D5343" t="s">
        <v>20</v>
      </c>
      <c r="E5343">
        <v>69.7</v>
      </c>
      <c r="F5343">
        <v>53</v>
      </c>
      <c r="G5343">
        <v>3694.1</v>
      </c>
      <c r="H5343" t="s">
        <v>12</v>
      </c>
      <c r="I5343" t="str">
        <f t="shared" si="250"/>
        <v>Medium Value</v>
      </c>
      <c r="J5343" t="str">
        <f t="shared" si="251"/>
        <v>Low Risk</v>
      </c>
      <c r="K5343" s="3" t="str">
        <f t="shared" si="249"/>
        <v>4+ Years</v>
      </c>
    </row>
    <row r="5344" spans="1:11" x14ac:dyDescent="0.3">
      <c r="A5344" t="s">
        <v>5361</v>
      </c>
      <c r="B5344" t="s">
        <v>9</v>
      </c>
      <c r="C5344" t="s">
        <v>15</v>
      </c>
      <c r="D5344" t="s">
        <v>16</v>
      </c>
      <c r="E5344">
        <v>95.5</v>
      </c>
      <c r="F5344">
        <v>12</v>
      </c>
      <c r="G5344">
        <v>1146</v>
      </c>
      <c r="H5344" t="s">
        <v>18</v>
      </c>
      <c r="I5344" t="str">
        <f t="shared" si="250"/>
        <v>Low Value</v>
      </c>
      <c r="J5344" t="str">
        <f t="shared" si="251"/>
        <v>Medium Risk</v>
      </c>
      <c r="K5344" s="3" t="str">
        <f t="shared" si="249"/>
        <v>0-1 Year</v>
      </c>
    </row>
    <row r="5345" spans="1:11" x14ac:dyDescent="0.3">
      <c r="A5345" t="s">
        <v>5362</v>
      </c>
      <c r="B5345" t="s">
        <v>14</v>
      </c>
      <c r="C5345" t="s">
        <v>10</v>
      </c>
      <c r="D5345" t="s">
        <v>11</v>
      </c>
      <c r="E5345">
        <v>98.65</v>
      </c>
      <c r="F5345">
        <v>26</v>
      </c>
      <c r="G5345">
        <v>2564.9</v>
      </c>
      <c r="H5345" t="s">
        <v>12</v>
      </c>
      <c r="I5345" t="str">
        <f t="shared" si="250"/>
        <v>Medium Value</v>
      </c>
      <c r="J5345" t="str">
        <f t="shared" si="251"/>
        <v>Low Risk</v>
      </c>
      <c r="K5345" s="3" t="str">
        <f t="shared" si="249"/>
        <v>2-4 Years</v>
      </c>
    </row>
    <row r="5346" spans="1:11" x14ac:dyDescent="0.3">
      <c r="A5346" t="s">
        <v>5363</v>
      </c>
      <c r="B5346" t="s">
        <v>14</v>
      </c>
      <c r="C5346" t="s">
        <v>10</v>
      </c>
      <c r="D5346" t="s">
        <v>16</v>
      </c>
      <c r="E5346">
        <v>61.65</v>
      </c>
      <c r="F5346">
        <v>21</v>
      </c>
      <c r="G5346">
        <v>1294.6499999999901</v>
      </c>
      <c r="H5346" t="s">
        <v>12</v>
      </c>
      <c r="I5346" t="str">
        <f t="shared" si="250"/>
        <v>Low Value</v>
      </c>
      <c r="J5346" t="str">
        <f t="shared" si="251"/>
        <v>Medium Risk</v>
      </c>
      <c r="K5346" s="3" t="str">
        <f t="shared" si="249"/>
        <v>1-2 Years</v>
      </c>
    </row>
    <row r="5347" spans="1:11" x14ac:dyDescent="0.3">
      <c r="A5347" t="s">
        <v>5364</v>
      </c>
      <c r="B5347" t="s">
        <v>9</v>
      </c>
      <c r="C5347" t="s">
        <v>10</v>
      </c>
      <c r="D5347" t="s">
        <v>11</v>
      </c>
      <c r="E5347">
        <v>89.35</v>
      </c>
      <c r="F5347">
        <v>1</v>
      </c>
      <c r="G5347">
        <v>89.35</v>
      </c>
      <c r="H5347" t="s">
        <v>12</v>
      </c>
      <c r="I5347" t="str">
        <f t="shared" si="250"/>
        <v>Low Value</v>
      </c>
      <c r="J5347" t="str">
        <f t="shared" si="251"/>
        <v>High Risk</v>
      </c>
      <c r="K5347" s="3" t="str">
        <f t="shared" si="249"/>
        <v>0-1 Year</v>
      </c>
    </row>
    <row r="5348" spans="1:11" x14ac:dyDescent="0.3">
      <c r="A5348" t="s">
        <v>5365</v>
      </c>
      <c r="B5348" t="s">
        <v>14</v>
      </c>
      <c r="C5348" t="s">
        <v>10</v>
      </c>
      <c r="D5348" t="s">
        <v>11</v>
      </c>
      <c r="E5348">
        <v>95.4</v>
      </c>
      <c r="F5348">
        <v>48</v>
      </c>
      <c r="G5348">
        <v>4579.2</v>
      </c>
      <c r="H5348" t="s">
        <v>12</v>
      </c>
      <c r="I5348" t="str">
        <f t="shared" si="250"/>
        <v>Medium Value</v>
      </c>
      <c r="J5348" t="str">
        <f t="shared" si="251"/>
        <v>Low Risk</v>
      </c>
      <c r="K5348" s="3" t="str">
        <f t="shared" si="249"/>
        <v>2-4 Years</v>
      </c>
    </row>
    <row r="5349" spans="1:11" x14ac:dyDescent="0.3">
      <c r="A5349" t="s">
        <v>5366</v>
      </c>
      <c r="B5349" t="s">
        <v>9</v>
      </c>
      <c r="C5349" t="s">
        <v>15</v>
      </c>
      <c r="D5349" t="s">
        <v>24</v>
      </c>
      <c r="E5349">
        <v>35.4</v>
      </c>
      <c r="F5349">
        <v>26</v>
      </c>
      <c r="G5349">
        <v>920.4</v>
      </c>
      <c r="H5349" t="s">
        <v>12</v>
      </c>
      <c r="I5349" t="str">
        <f t="shared" si="250"/>
        <v>Low Value</v>
      </c>
      <c r="J5349" t="str">
        <f t="shared" si="251"/>
        <v>Low Risk</v>
      </c>
      <c r="K5349" s="3" t="str">
        <f t="shared" si="249"/>
        <v>2-4 Years</v>
      </c>
    </row>
    <row r="5350" spans="1:11" x14ac:dyDescent="0.3">
      <c r="A5350" t="s">
        <v>5367</v>
      </c>
      <c r="B5350" t="s">
        <v>14</v>
      </c>
      <c r="C5350" t="s">
        <v>30</v>
      </c>
      <c r="D5350" t="s">
        <v>16</v>
      </c>
      <c r="E5350">
        <v>19.95</v>
      </c>
      <c r="F5350">
        <v>60</v>
      </c>
      <c r="G5350">
        <v>1197</v>
      </c>
      <c r="H5350" t="s">
        <v>12</v>
      </c>
      <c r="I5350" t="str">
        <f t="shared" si="250"/>
        <v>Low Value</v>
      </c>
      <c r="J5350" t="str">
        <f t="shared" si="251"/>
        <v>Low Risk</v>
      </c>
      <c r="K5350" s="3" t="str">
        <f t="shared" si="249"/>
        <v>4+ Years</v>
      </c>
    </row>
    <row r="5351" spans="1:11" x14ac:dyDescent="0.3">
      <c r="A5351" t="s">
        <v>5368</v>
      </c>
      <c r="B5351" t="s">
        <v>14</v>
      </c>
      <c r="C5351" t="s">
        <v>10</v>
      </c>
      <c r="D5351" t="s">
        <v>16</v>
      </c>
      <c r="E5351">
        <v>19.25</v>
      </c>
      <c r="F5351">
        <v>18</v>
      </c>
      <c r="G5351">
        <v>346.5</v>
      </c>
      <c r="H5351" t="s">
        <v>12</v>
      </c>
      <c r="I5351" t="str">
        <f t="shared" si="250"/>
        <v>Low Value</v>
      </c>
      <c r="J5351" t="str">
        <f t="shared" si="251"/>
        <v>Medium Risk</v>
      </c>
      <c r="K5351" s="3" t="str">
        <f t="shared" si="249"/>
        <v>1-2 Years</v>
      </c>
    </row>
    <row r="5352" spans="1:11" x14ac:dyDescent="0.3">
      <c r="A5352" t="s">
        <v>5369</v>
      </c>
      <c r="B5352" t="s">
        <v>9</v>
      </c>
      <c r="C5352" t="s">
        <v>10</v>
      </c>
      <c r="D5352" t="s">
        <v>11</v>
      </c>
      <c r="E5352">
        <v>29.65</v>
      </c>
      <c r="F5352">
        <v>10</v>
      </c>
      <c r="G5352">
        <v>296.5</v>
      </c>
      <c r="H5352" t="s">
        <v>18</v>
      </c>
      <c r="I5352" t="str">
        <f t="shared" si="250"/>
        <v>Low Value</v>
      </c>
      <c r="J5352" t="str">
        <f t="shared" si="251"/>
        <v>High Risk</v>
      </c>
      <c r="K5352" s="3" t="str">
        <f t="shared" si="249"/>
        <v>0-1 Year</v>
      </c>
    </row>
    <row r="5353" spans="1:11" x14ac:dyDescent="0.3">
      <c r="A5353" t="s">
        <v>5370</v>
      </c>
      <c r="B5353" t="s">
        <v>14</v>
      </c>
      <c r="C5353" t="s">
        <v>10</v>
      </c>
      <c r="D5353" t="s">
        <v>11</v>
      </c>
      <c r="E5353">
        <v>84.5</v>
      </c>
      <c r="F5353">
        <v>5</v>
      </c>
      <c r="G5353">
        <v>422.5</v>
      </c>
      <c r="H5353" t="s">
        <v>18</v>
      </c>
      <c r="I5353" t="str">
        <f t="shared" si="250"/>
        <v>Low Value</v>
      </c>
      <c r="J5353" t="str">
        <f t="shared" si="251"/>
        <v>High Risk</v>
      </c>
      <c r="K5353" s="3" t="str">
        <f t="shared" si="249"/>
        <v>0-1 Year</v>
      </c>
    </row>
    <row r="5354" spans="1:11" x14ac:dyDescent="0.3">
      <c r="A5354" t="s">
        <v>5371</v>
      </c>
      <c r="B5354" t="s">
        <v>9</v>
      </c>
      <c r="C5354" t="s">
        <v>15</v>
      </c>
      <c r="D5354" t="s">
        <v>16</v>
      </c>
      <c r="E5354">
        <v>20.399999999999999</v>
      </c>
      <c r="F5354">
        <v>4</v>
      </c>
      <c r="G5354">
        <v>81.599999999999994</v>
      </c>
      <c r="H5354" t="s">
        <v>12</v>
      </c>
      <c r="I5354" t="str">
        <f t="shared" si="250"/>
        <v>Low Value</v>
      </c>
      <c r="J5354" t="str">
        <f t="shared" si="251"/>
        <v>High Risk</v>
      </c>
      <c r="K5354" s="3" t="str">
        <f t="shared" si="249"/>
        <v>0-1 Year</v>
      </c>
    </row>
    <row r="5355" spans="1:11" x14ac:dyDescent="0.3">
      <c r="A5355" t="s">
        <v>5372</v>
      </c>
      <c r="B5355" t="s">
        <v>14</v>
      </c>
      <c r="C5355" t="s">
        <v>30</v>
      </c>
      <c r="D5355" t="s">
        <v>24</v>
      </c>
      <c r="E5355">
        <v>24.75</v>
      </c>
      <c r="F5355">
        <v>65</v>
      </c>
      <c r="G5355">
        <v>1608.75</v>
      </c>
      <c r="H5355" t="s">
        <v>12</v>
      </c>
      <c r="I5355" t="str">
        <f t="shared" si="250"/>
        <v>Low Value</v>
      </c>
      <c r="J5355" t="str">
        <f t="shared" si="251"/>
        <v>Low Risk</v>
      </c>
      <c r="K5355" s="3" t="str">
        <f t="shared" si="249"/>
        <v>4+ Years</v>
      </c>
    </row>
    <row r="5356" spans="1:11" x14ac:dyDescent="0.3">
      <c r="A5356" t="s">
        <v>5373</v>
      </c>
      <c r="B5356" t="s">
        <v>14</v>
      </c>
      <c r="C5356" t="s">
        <v>30</v>
      </c>
      <c r="D5356" t="s">
        <v>16</v>
      </c>
      <c r="E5356">
        <v>25.35</v>
      </c>
      <c r="F5356">
        <v>70</v>
      </c>
      <c r="G5356">
        <v>1774.5</v>
      </c>
      <c r="H5356" t="s">
        <v>12</v>
      </c>
      <c r="I5356" t="str">
        <f t="shared" si="250"/>
        <v>Low Value</v>
      </c>
      <c r="J5356" t="str">
        <f t="shared" si="251"/>
        <v>Low Risk</v>
      </c>
      <c r="K5356" s="3" t="str">
        <f t="shared" si="249"/>
        <v>4+ Years</v>
      </c>
    </row>
    <row r="5357" spans="1:11" x14ac:dyDescent="0.3">
      <c r="A5357" t="s">
        <v>5374</v>
      </c>
      <c r="B5357" t="s">
        <v>14</v>
      </c>
      <c r="C5357" t="s">
        <v>10</v>
      </c>
      <c r="D5357" t="s">
        <v>24</v>
      </c>
      <c r="E5357">
        <v>90.7</v>
      </c>
      <c r="F5357">
        <v>18</v>
      </c>
      <c r="G5357">
        <v>1632.6</v>
      </c>
      <c r="H5357" t="s">
        <v>18</v>
      </c>
      <c r="I5357" t="str">
        <f t="shared" si="250"/>
        <v>Low Value</v>
      </c>
      <c r="J5357" t="str">
        <f t="shared" si="251"/>
        <v>Medium Risk</v>
      </c>
      <c r="K5357" s="3" t="str">
        <f t="shared" si="249"/>
        <v>1-2 Years</v>
      </c>
    </row>
    <row r="5358" spans="1:11" x14ac:dyDescent="0.3">
      <c r="A5358" t="s">
        <v>5375</v>
      </c>
      <c r="B5358" t="s">
        <v>14</v>
      </c>
      <c r="C5358" t="s">
        <v>30</v>
      </c>
      <c r="D5358" t="s">
        <v>20</v>
      </c>
      <c r="E5358">
        <v>20</v>
      </c>
      <c r="F5358">
        <v>62</v>
      </c>
      <c r="G5358">
        <v>1240</v>
      </c>
      <c r="H5358" t="s">
        <v>12</v>
      </c>
      <c r="I5358" t="str">
        <f t="shared" si="250"/>
        <v>Low Value</v>
      </c>
      <c r="J5358" t="str">
        <f t="shared" si="251"/>
        <v>Low Risk</v>
      </c>
      <c r="K5358" s="3" t="str">
        <f t="shared" si="249"/>
        <v>4+ Years</v>
      </c>
    </row>
    <row r="5359" spans="1:11" x14ac:dyDescent="0.3">
      <c r="A5359" t="s">
        <v>5376</v>
      </c>
      <c r="B5359" t="s">
        <v>9</v>
      </c>
      <c r="C5359" t="s">
        <v>30</v>
      </c>
      <c r="D5359" t="s">
        <v>11</v>
      </c>
      <c r="E5359">
        <v>59.75</v>
      </c>
      <c r="F5359">
        <v>66</v>
      </c>
      <c r="G5359">
        <v>3943.5</v>
      </c>
      <c r="H5359" t="s">
        <v>12</v>
      </c>
      <c r="I5359" t="str">
        <f t="shared" si="250"/>
        <v>Medium Value</v>
      </c>
      <c r="J5359" t="str">
        <f t="shared" si="251"/>
        <v>Low Risk</v>
      </c>
      <c r="K5359" s="3" t="str">
        <f t="shared" si="249"/>
        <v>4+ Years</v>
      </c>
    </row>
    <row r="5360" spans="1:11" x14ac:dyDescent="0.3">
      <c r="A5360" t="s">
        <v>5377</v>
      </c>
      <c r="B5360" t="s">
        <v>9</v>
      </c>
      <c r="C5360" t="s">
        <v>30</v>
      </c>
      <c r="D5360" t="s">
        <v>20</v>
      </c>
      <c r="E5360">
        <v>82.5</v>
      </c>
      <c r="F5360">
        <v>65</v>
      </c>
      <c r="G5360">
        <v>5362.5</v>
      </c>
      <c r="H5360" t="s">
        <v>12</v>
      </c>
      <c r="I5360" t="str">
        <f t="shared" si="250"/>
        <v>High Value</v>
      </c>
      <c r="J5360" t="str">
        <f t="shared" si="251"/>
        <v>Low Risk</v>
      </c>
      <c r="K5360" s="3" t="str">
        <f t="shared" si="249"/>
        <v>4+ Years</v>
      </c>
    </row>
    <row r="5361" spans="1:11" x14ac:dyDescent="0.3">
      <c r="A5361" t="s">
        <v>5378</v>
      </c>
      <c r="B5361" t="s">
        <v>9</v>
      </c>
      <c r="C5361" t="s">
        <v>10</v>
      </c>
      <c r="D5361" t="s">
        <v>11</v>
      </c>
      <c r="E5361">
        <v>70.3</v>
      </c>
      <c r="F5361">
        <v>3</v>
      </c>
      <c r="G5361">
        <v>210.89999999999901</v>
      </c>
      <c r="H5361" t="s">
        <v>18</v>
      </c>
      <c r="I5361" t="str">
        <f t="shared" si="250"/>
        <v>Low Value</v>
      </c>
      <c r="J5361" t="str">
        <f t="shared" si="251"/>
        <v>High Risk</v>
      </c>
      <c r="K5361" s="3" t="str">
        <f t="shared" si="249"/>
        <v>0-1 Year</v>
      </c>
    </row>
    <row r="5362" spans="1:11" x14ac:dyDescent="0.3">
      <c r="A5362" t="s">
        <v>5379</v>
      </c>
      <c r="B5362" t="s">
        <v>9</v>
      </c>
      <c r="C5362" t="s">
        <v>10</v>
      </c>
      <c r="D5362" t="s">
        <v>16</v>
      </c>
      <c r="E5362">
        <v>20.350000000000001</v>
      </c>
      <c r="F5362">
        <v>34</v>
      </c>
      <c r="G5362">
        <v>691.9</v>
      </c>
      <c r="H5362" t="s">
        <v>12</v>
      </c>
      <c r="I5362" t="str">
        <f t="shared" si="250"/>
        <v>Low Value</v>
      </c>
      <c r="J5362" t="str">
        <f t="shared" si="251"/>
        <v>Low Risk</v>
      </c>
      <c r="K5362" s="3" t="str">
        <f t="shared" si="249"/>
        <v>2-4 Years</v>
      </c>
    </row>
    <row r="5363" spans="1:11" x14ac:dyDescent="0.3">
      <c r="A5363" t="s">
        <v>5380</v>
      </c>
      <c r="B5363" t="s">
        <v>14</v>
      </c>
      <c r="C5363" t="s">
        <v>10</v>
      </c>
      <c r="D5363" t="s">
        <v>20</v>
      </c>
      <c r="E5363">
        <v>90.8</v>
      </c>
      <c r="F5363">
        <v>16</v>
      </c>
      <c r="G5363">
        <v>1452.8</v>
      </c>
      <c r="H5363" t="s">
        <v>12</v>
      </c>
      <c r="I5363" t="str">
        <f t="shared" si="250"/>
        <v>Low Value</v>
      </c>
      <c r="J5363" t="str">
        <f t="shared" si="251"/>
        <v>Medium Risk</v>
      </c>
      <c r="K5363" s="3" t="str">
        <f t="shared" si="249"/>
        <v>1-2 Years</v>
      </c>
    </row>
    <row r="5364" spans="1:11" x14ac:dyDescent="0.3">
      <c r="A5364" t="s">
        <v>5381</v>
      </c>
      <c r="B5364" t="s">
        <v>9</v>
      </c>
      <c r="C5364" t="s">
        <v>15</v>
      </c>
      <c r="D5364" t="s">
        <v>20</v>
      </c>
      <c r="E5364">
        <v>103.95</v>
      </c>
      <c r="F5364">
        <v>54</v>
      </c>
      <c r="G5364">
        <v>5613.3</v>
      </c>
      <c r="H5364" t="s">
        <v>18</v>
      </c>
      <c r="I5364" t="str">
        <f t="shared" si="250"/>
        <v>High Value</v>
      </c>
      <c r="J5364" t="str">
        <f t="shared" si="251"/>
        <v>Low Risk</v>
      </c>
      <c r="K5364" s="3" t="str">
        <f t="shared" si="249"/>
        <v>4+ Years</v>
      </c>
    </row>
    <row r="5365" spans="1:11" x14ac:dyDescent="0.3">
      <c r="A5365" t="s">
        <v>5382</v>
      </c>
      <c r="B5365" t="s">
        <v>9</v>
      </c>
      <c r="C5365" t="s">
        <v>10</v>
      </c>
      <c r="D5365" t="s">
        <v>11</v>
      </c>
      <c r="E5365">
        <v>104.95</v>
      </c>
      <c r="F5365">
        <v>50</v>
      </c>
      <c r="G5365">
        <v>5247.5</v>
      </c>
      <c r="H5365" t="s">
        <v>12</v>
      </c>
      <c r="I5365" t="str">
        <f t="shared" si="250"/>
        <v>High Value</v>
      </c>
      <c r="J5365" t="str">
        <f t="shared" si="251"/>
        <v>Low Risk</v>
      </c>
      <c r="K5365" s="3" t="str">
        <f t="shared" si="249"/>
        <v>4+ Years</v>
      </c>
    </row>
    <row r="5366" spans="1:11" x14ac:dyDescent="0.3">
      <c r="A5366" t="s">
        <v>5383</v>
      </c>
      <c r="B5366" t="s">
        <v>14</v>
      </c>
      <c r="C5366" t="s">
        <v>30</v>
      </c>
      <c r="D5366" t="s">
        <v>11</v>
      </c>
      <c r="E5366">
        <v>105.25</v>
      </c>
      <c r="F5366">
        <v>71</v>
      </c>
      <c r="G5366">
        <v>7472.75</v>
      </c>
      <c r="H5366" t="s">
        <v>12</v>
      </c>
      <c r="I5366" t="str">
        <f t="shared" si="250"/>
        <v>High Value</v>
      </c>
      <c r="J5366" t="str">
        <f t="shared" si="251"/>
        <v>Low Risk</v>
      </c>
      <c r="K5366" s="3" t="str">
        <f t="shared" si="249"/>
        <v>4+ Years</v>
      </c>
    </row>
    <row r="5367" spans="1:11" x14ac:dyDescent="0.3">
      <c r="A5367" t="s">
        <v>5384</v>
      </c>
      <c r="B5367" t="s">
        <v>9</v>
      </c>
      <c r="C5367" t="s">
        <v>10</v>
      </c>
      <c r="D5367" t="s">
        <v>11</v>
      </c>
      <c r="E5367">
        <v>74.75</v>
      </c>
      <c r="F5367">
        <v>10</v>
      </c>
      <c r="G5367">
        <v>747.5</v>
      </c>
      <c r="H5367" t="s">
        <v>18</v>
      </c>
      <c r="I5367" t="str">
        <f t="shared" si="250"/>
        <v>Low Value</v>
      </c>
      <c r="J5367" t="str">
        <f t="shared" si="251"/>
        <v>High Risk</v>
      </c>
      <c r="K5367" s="3" t="str">
        <f t="shared" si="249"/>
        <v>0-1 Year</v>
      </c>
    </row>
    <row r="5368" spans="1:11" x14ac:dyDescent="0.3">
      <c r="A5368" t="s">
        <v>5385</v>
      </c>
      <c r="B5368" t="s">
        <v>9</v>
      </c>
      <c r="C5368" t="s">
        <v>10</v>
      </c>
      <c r="D5368" t="s">
        <v>11</v>
      </c>
      <c r="E5368">
        <v>50.8</v>
      </c>
      <c r="F5368">
        <v>1</v>
      </c>
      <c r="G5368">
        <v>50.8</v>
      </c>
      <c r="H5368" t="s">
        <v>18</v>
      </c>
      <c r="I5368" t="str">
        <f t="shared" si="250"/>
        <v>Low Value</v>
      </c>
      <c r="J5368" t="str">
        <f t="shared" si="251"/>
        <v>High Risk</v>
      </c>
      <c r="K5368" s="3" t="str">
        <f t="shared" si="249"/>
        <v>0-1 Year</v>
      </c>
    </row>
    <row r="5369" spans="1:11" x14ac:dyDescent="0.3">
      <c r="A5369" t="s">
        <v>5386</v>
      </c>
      <c r="B5369" t="s">
        <v>14</v>
      </c>
      <c r="C5369" t="s">
        <v>15</v>
      </c>
      <c r="D5369" t="s">
        <v>16</v>
      </c>
      <c r="E5369">
        <v>23.75</v>
      </c>
      <c r="F5369">
        <v>18</v>
      </c>
      <c r="G5369">
        <v>427.5</v>
      </c>
      <c r="H5369" t="s">
        <v>12</v>
      </c>
      <c r="I5369" t="str">
        <f t="shared" si="250"/>
        <v>Low Value</v>
      </c>
      <c r="J5369" t="str">
        <f t="shared" si="251"/>
        <v>Medium Risk</v>
      </c>
      <c r="K5369" s="3" t="str">
        <f t="shared" si="249"/>
        <v>1-2 Years</v>
      </c>
    </row>
    <row r="5370" spans="1:11" x14ac:dyDescent="0.3">
      <c r="A5370" t="s">
        <v>5387</v>
      </c>
      <c r="B5370" t="s">
        <v>14</v>
      </c>
      <c r="C5370" t="s">
        <v>10</v>
      </c>
      <c r="D5370" t="s">
        <v>11</v>
      </c>
      <c r="E5370">
        <v>61.3</v>
      </c>
      <c r="F5370">
        <v>4</v>
      </c>
      <c r="G5370">
        <v>245.2</v>
      </c>
      <c r="H5370" t="s">
        <v>12</v>
      </c>
      <c r="I5370" t="str">
        <f t="shared" si="250"/>
        <v>Low Value</v>
      </c>
      <c r="J5370" t="str">
        <f t="shared" si="251"/>
        <v>High Risk</v>
      </c>
      <c r="K5370" s="3" t="str">
        <f t="shared" si="249"/>
        <v>0-1 Year</v>
      </c>
    </row>
    <row r="5371" spans="1:11" x14ac:dyDescent="0.3">
      <c r="A5371" t="s">
        <v>5388</v>
      </c>
      <c r="B5371" t="s">
        <v>9</v>
      </c>
      <c r="C5371" t="s">
        <v>30</v>
      </c>
      <c r="D5371" t="s">
        <v>16</v>
      </c>
      <c r="E5371">
        <v>75.8</v>
      </c>
      <c r="F5371">
        <v>58</v>
      </c>
      <c r="G5371">
        <v>4396.3999999999996</v>
      </c>
      <c r="H5371" t="s">
        <v>12</v>
      </c>
      <c r="I5371" t="str">
        <f t="shared" si="250"/>
        <v>Medium Value</v>
      </c>
      <c r="J5371" t="str">
        <f t="shared" si="251"/>
        <v>Low Risk</v>
      </c>
      <c r="K5371" s="3" t="str">
        <f t="shared" si="249"/>
        <v>4+ Years</v>
      </c>
    </row>
    <row r="5372" spans="1:11" x14ac:dyDescent="0.3">
      <c r="A5372" t="s">
        <v>5389</v>
      </c>
      <c r="B5372" t="s">
        <v>9</v>
      </c>
      <c r="C5372" t="s">
        <v>15</v>
      </c>
      <c r="D5372" t="s">
        <v>11</v>
      </c>
      <c r="E5372">
        <v>98</v>
      </c>
      <c r="F5372">
        <v>56</v>
      </c>
      <c r="G5372">
        <v>5488</v>
      </c>
      <c r="H5372" t="s">
        <v>12</v>
      </c>
      <c r="I5372" t="str">
        <f t="shared" si="250"/>
        <v>High Value</v>
      </c>
      <c r="J5372" t="str">
        <f t="shared" si="251"/>
        <v>Low Risk</v>
      </c>
      <c r="K5372" s="3" t="str">
        <f t="shared" si="249"/>
        <v>4+ Years</v>
      </c>
    </row>
    <row r="5373" spans="1:11" x14ac:dyDescent="0.3">
      <c r="A5373" t="s">
        <v>5390</v>
      </c>
      <c r="B5373" t="s">
        <v>14</v>
      </c>
      <c r="C5373" t="s">
        <v>10</v>
      </c>
      <c r="D5373" t="s">
        <v>11</v>
      </c>
      <c r="E5373">
        <v>80.25</v>
      </c>
      <c r="F5373">
        <v>2</v>
      </c>
      <c r="G5373">
        <v>160.5</v>
      </c>
      <c r="H5373" t="s">
        <v>18</v>
      </c>
      <c r="I5373" t="str">
        <f t="shared" si="250"/>
        <v>Low Value</v>
      </c>
      <c r="J5373" t="str">
        <f t="shared" si="251"/>
        <v>High Risk</v>
      </c>
      <c r="K5373" s="3" t="str">
        <f t="shared" si="249"/>
        <v>0-1 Year</v>
      </c>
    </row>
    <row r="5374" spans="1:11" x14ac:dyDescent="0.3">
      <c r="A5374" t="s">
        <v>5391</v>
      </c>
      <c r="B5374" t="s">
        <v>14</v>
      </c>
      <c r="C5374" t="s">
        <v>10</v>
      </c>
      <c r="D5374" t="s">
        <v>11</v>
      </c>
      <c r="E5374">
        <v>78.900000000000006</v>
      </c>
      <c r="F5374">
        <v>32</v>
      </c>
      <c r="G5374">
        <v>2524.8000000000002</v>
      </c>
      <c r="H5374" t="s">
        <v>18</v>
      </c>
      <c r="I5374" t="str">
        <f t="shared" si="250"/>
        <v>Medium Value</v>
      </c>
      <c r="J5374" t="str">
        <f t="shared" si="251"/>
        <v>Low Risk</v>
      </c>
      <c r="K5374" s="3" t="str">
        <f t="shared" si="249"/>
        <v>2-4 Years</v>
      </c>
    </row>
    <row r="5375" spans="1:11" x14ac:dyDescent="0.3">
      <c r="A5375" t="s">
        <v>5392</v>
      </c>
      <c r="B5375" t="s">
        <v>14</v>
      </c>
      <c r="C5375" t="s">
        <v>15</v>
      </c>
      <c r="D5375" t="s">
        <v>16</v>
      </c>
      <c r="E5375">
        <v>52</v>
      </c>
      <c r="F5375">
        <v>56</v>
      </c>
      <c r="G5375">
        <v>2912</v>
      </c>
      <c r="H5375" t="s">
        <v>12</v>
      </c>
      <c r="I5375" t="str">
        <f t="shared" si="250"/>
        <v>Medium Value</v>
      </c>
      <c r="J5375" t="str">
        <f t="shared" si="251"/>
        <v>Low Risk</v>
      </c>
      <c r="K5375" s="3" t="str">
        <f t="shared" si="249"/>
        <v>4+ Years</v>
      </c>
    </row>
    <row r="5376" spans="1:11" x14ac:dyDescent="0.3">
      <c r="A5376" t="s">
        <v>5393</v>
      </c>
      <c r="B5376" t="s">
        <v>14</v>
      </c>
      <c r="C5376" t="s">
        <v>10</v>
      </c>
      <c r="D5376" t="s">
        <v>11</v>
      </c>
      <c r="E5376">
        <v>84.75</v>
      </c>
      <c r="F5376">
        <v>36</v>
      </c>
      <c r="G5376">
        <v>3051</v>
      </c>
      <c r="H5376" t="s">
        <v>18</v>
      </c>
      <c r="I5376" t="str">
        <f t="shared" si="250"/>
        <v>Medium Value</v>
      </c>
      <c r="J5376" t="str">
        <f t="shared" si="251"/>
        <v>Low Risk</v>
      </c>
      <c r="K5376" s="3" t="str">
        <f t="shared" si="249"/>
        <v>2-4 Years</v>
      </c>
    </row>
    <row r="5377" spans="1:11" x14ac:dyDescent="0.3">
      <c r="A5377" t="s">
        <v>5394</v>
      </c>
      <c r="B5377" t="s">
        <v>9</v>
      </c>
      <c r="C5377" t="s">
        <v>10</v>
      </c>
      <c r="D5377" t="s">
        <v>16</v>
      </c>
      <c r="E5377">
        <v>64.400000000000006</v>
      </c>
      <c r="F5377">
        <v>4</v>
      </c>
      <c r="G5377">
        <v>257.60000000000002</v>
      </c>
      <c r="H5377" t="s">
        <v>12</v>
      </c>
      <c r="I5377" t="str">
        <f t="shared" si="250"/>
        <v>Low Value</v>
      </c>
      <c r="J5377" t="str">
        <f t="shared" si="251"/>
        <v>High Risk</v>
      </c>
      <c r="K5377" s="3" t="str">
        <f t="shared" si="249"/>
        <v>0-1 Year</v>
      </c>
    </row>
    <row r="5378" spans="1:11" x14ac:dyDescent="0.3">
      <c r="A5378" t="s">
        <v>5395</v>
      </c>
      <c r="B5378" t="s">
        <v>14</v>
      </c>
      <c r="C5378" t="s">
        <v>10</v>
      </c>
      <c r="D5378" t="s">
        <v>20</v>
      </c>
      <c r="E5378">
        <v>85.45</v>
      </c>
      <c r="F5378">
        <v>53</v>
      </c>
      <c r="G5378">
        <v>4528.8500000000004</v>
      </c>
      <c r="H5378" t="s">
        <v>18</v>
      </c>
      <c r="I5378" t="str">
        <f t="shared" si="250"/>
        <v>Medium Value</v>
      </c>
      <c r="J5378" t="str">
        <f t="shared" si="251"/>
        <v>Low Risk</v>
      </c>
      <c r="K5378" s="3" t="str">
        <f t="shared" si="249"/>
        <v>4+ Years</v>
      </c>
    </row>
    <row r="5379" spans="1:11" x14ac:dyDescent="0.3">
      <c r="A5379" t="s">
        <v>5396</v>
      </c>
      <c r="B5379" t="s">
        <v>14</v>
      </c>
      <c r="C5379" t="s">
        <v>10</v>
      </c>
      <c r="D5379" t="s">
        <v>24</v>
      </c>
      <c r="E5379">
        <v>45.8</v>
      </c>
      <c r="F5379">
        <v>10</v>
      </c>
      <c r="G5379">
        <v>458</v>
      </c>
      <c r="H5379" t="s">
        <v>12</v>
      </c>
      <c r="I5379" t="str">
        <f t="shared" si="250"/>
        <v>Low Value</v>
      </c>
      <c r="J5379" t="str">
        <f t="shared" si="251"/>
        <v>High Risk</v>
      </c>
      <c r="K5379" s="3" t="str">
        <f t="shared" ref="K5379:K5442" si="252">IF(F5379&lt;=12,"0-1 Year",
IF(F5379&lt;=24,"1-2 Years",
IF(F5379&lt;=48,"2-4 Years","4+ Years")))</f>
        <v>0-1 Year</v>
      </c>
    </row>
    <row r="5380" spans="1:11" x14ac:dyDescent="0.3">
      <c r="A5380" t="s">
        <v>5397</v>
      </c>
      <c r="B5380" t="s">
        <v>14</v>
      </c>
      <c r="C5380" t="s">
        <v>10</v>
      </c>
      <c r="D5380" t="s">
        <v>11</v>
      </c>
      <c r="E5380">
        <v>30.5</v>
      </c>
      <c r="F5380">
        <v>4</v>
      </c>
      <c r="G5380">
        <v>122</v>
      </c>
      <c r="H5380" t="s">
        <v>12</v>
      </c>
      <c r="I5380" t="str">
        <f t="shared" ref="I5380:I5443" si="253">IF(G5380&gt;5000,"High Value",
IF(G5380&gt;2000,"Medium Value","Low Value"))</f>
        <v>Low Value</v>
      </c>
      <c r="J5380" t="str">
        <f t="shared" ref="J5380:J5443" si="254">IF(F5380&lt;12,"High Risk",
IF(F5380&lt;24,"Medium Risk","Low Risk"))</f>
        <v>High Risk</v>
      </c>
      <c r="K5380" s="3" t="str">
        <f t="shared" si="252"/>
        <v>0-1 Year</v>
      </c>
    </row>
    <row r="5381" spans="1:11" x14ac:dyDescent="0.3">
      <c r="A5381" t="s">
        <v>5398</v>
      </c>
      <c r="B5381" t="s">
        <v>14</v>
      </c>
      <c r="C5381" t="s">
        <v>10</v>
      </c>
      <c r="D5381" t="s">
        <v>16</v>
      </c>
      <c r="E5381">
        <v>19.899999999999999</v>
      </c>
      <c r="F5381">
        <v>1</v>
      </c>
      <c r="G5381">
        <v>19.899999999999999</v>
      </c>
      <c r="H5381" t="s">
        <v>18</v>
      </c>
      <c r="I5381" t="str">
        <f t="shared" si="253"/>
        <v>Low Value</v>
      </c>
      <c r="J5381" t="str">
        <f t="shared" si="254"/>
        <v>High Risk</v>
      </c>
      <c r="K5381" s="3" t="str">
        <f t="shared" si="252"/>
        <v>0-1 Year</v>
      </c>
    </row>
    <row r="5382" spans="1:11" x14ac:dyDescent="0.3">
      <c r="A5382" t="s">
        <v>5399</v>
      </c>
      <c r="B5382" t="s">
        <v>9</v>
      </c>
      <c r="C5382" t="s">
        <v>10</v>
      </c>
      <c r="D5382" t="s">
        <v>16</v>
      </c>
      <c r="E5382">
        <v>69.150000000000006</v>
      </c>
      <c r="F5382">
        <v>51</v>
      </c>
      <c r="G5382">
        <v>3526.65</v>
      </c>
      <c r="H5382" t="s">
        <v>12</v>
      </c>
      <c r="I5382" t="str">
        <f t="shared" si="253"/>
        <v>Medium Value</v>
      </c>
      <c r="J5382" t="str">
        <f t="shared" si="254"/>
        <v>Low Risk</v>
      </c>
      <c r="K5382" s="3" t="str">
        <f t="shared" si="252"/>
        <v>4+ Years</v>
      </c>
    </row>
    <row r="5383" spans="1:11" x14ac:dyDescent="0.3">
      <c r="A5383" t="s">
        <v>5400</v>
      </c>
      <c r="B5383" t="s">
        <v>14</v>
      </c>
      <c r="C5383" t="s">
        <v>10</v>
      </c>
      <c r="D5383" t="s">
        <v>11</v>
      </c>
      <c r="E5383">
        <v>99.45</v>
      </c>
      <c r="F5383">
        <v>12</v>
      </c>
      <c r="G5383">
        <v>1193.4000000000001</v>
      </c>
      <c r="H5383" t="s">
        <v>18</v>
      </c>
      <c r="I5383" t="str">
        <f t="shared" si="253"/>
        <v>Low Value</v>
      </c>
      <c r="J5383" t="str">
        <f t="shared" si="254"/>
        <v>Medium Risk</v>
      </c>
      <c r="K5383" s="3" t="str">
        <f t="shared" si="252"/>
        <v>0-1 Year</v>
      </c>
    </row>
    <row r="5384" spans="1:11" x14ac:dyDescent="0.3">
      <c r="A5384" t="s">
        <v>5401</v>
      </c>
      <c r="B5384" t="s">
        <v>9</v>
      </c>
      <c r="C5384" t="s">
        <v>15</v>
      </c>
      <c r="D5384" t="s">
        <v>16</v>
      </c>
      <c r="E5384">
        <v>49.25</v>
      </c>
      <c r="F5384">
        <v>6</v>
      </c>
      <c r="G5384">
        <v>295.5</v>
      </c>
      <c r="H5384" t="s">
        <v>12</v>
      </c>
      <c r="I5384" t="str">
        <f t="shared" si="253"/>
        <v>Low Value</v>
      </c>
      <c r="J5384" t="str">
        <f t="shared" si="254"/>
        <v>High Risk</v>
      </c>
      <c r="K5384" s="3" t="str">
        <f t="shared" si="252"/>
        <v>0-1 Year</v>
      </c>
    </row>
    <row r="5385" spans="1:11" x14ac:dyDescent="0.3">
      <c r="A5385" t="s">
        <v>5402</v>
      </c>
      <c r="B5385" t="s">
        <v>14</v>
      </c>
      <c r="C5385" t="s">
        <v>30</v>
      </c>
      <c r="D5385" t="s">
        <v>20</v>
      </c>
      <c r="E5385">
        <v>39.35</v>
      </c>
      <c r="F5385">
        <v>63</v>
      </c>
      <c r="G5385">
        <v>2479.0500000000002</v>
      </c>
      <c r="H5385" t="s">
        <v>12</v>
      </c>
      <c r="I5385" t="str">
        <f t="shared" si="253"/>
        <v>Medium Value</v>
      </c>
      <c r="J5385" t="str">
        <f t="shared" si="254"/>
        <v>Low Risk</v>
      </c>
      <c r="K5385" s="3" t="str">
        <f t="shared" si="252"/>
        <v>4+ Years</v>
      </c>
    </row>
    <row r="5386" spans="1:11" x14ac:dyDescent="0.3">
      <c r="A5386" t="s">
        <v>5403</v>
      </c>
      <c r="B5386" t="s">
        <v>9</v>
      </c>
      <c r="C5386" t="s">
        <v>10</v>
      </c>
      <c r="D5386" t="s">
        <v>11</v>
      </c>
      <c r="E5386">
        <v>70.599999999999994</v>
      </c>
      <c r="F5386">
        <v>1</v>
      </c>
      <c r="G5386">
        <v>70.599999999999994</v>
      </c>
      <c r="H5386" t="s">
        <v>18</v>
      </c>
      <c r="I5386" t="str">
        <f t="shared" si="253"/>
        <v>Low Value</v>
      </c>
      <c r="J5386" t="str">
        <f t="shared" si="254"/>
        <v>High Risk</v>
      </c>
      <c r="K5386" s="3" t="str">
        <f t="shared" si="252"/>
        <v>0-1 Year</v>
      </c>
    </row>
    <row r="5387" spans="1:11" x14ac:dyDescent="0.3">
      <c r="A5387" t="s">
        <v>5404</v>
      </c>
      <c r="B5387" t="s">
        <v>9</v>
      </c>
      <c r="C5387" t="s">
        <v>10</v>
      </c>
      <c r="D5387" t="s">
        <v>24</v>
      </c>
      <c r="E5387">
        <v>105.1</v>
      </c>
      <c r="F5387">
        <v>48</v>
      </c>
      <c r="G5387">
        <v>5044.7999999999902</v>
      </c>
      <c r="H5387" t="s">
        <v>12</v>
      </c>
      <c r="I5387" t="str">
        <f t="shared" si="253"/>
        <v>High Value</v>
      </c>
      <c r="J5387" t="str">
        <f t="shared" si="254"/>
        <v>Low Risk</v>
      </c>
      <c r="K5387" s="3" t="str">
        <f t="shared" si="252"/>
        <v>2-4 Years</v>
      </c>
    </row>
    <row r="5388" spans="1:11" x14ac:dyDescent="0.3">
      <c r="A5388" t="s">
        <v>5405</v>
      </c>
      <c r="B5388" t="s">
        <v>9</v>
      </c>
      <c r="C5388" t="s">
        <v>10</v>
      </c>
      <c r="D5388" t="s">
        <v>24</v>
      </c>
      <c r="E5388">
        <v>81</v>
      </c>
      <c r="F5388">
        <v>5</v>
      </c>
      <c r="G5388">
        <v>405</v>
      </c>
      <c r="H5388" t="s">
        <v>18</v>
      </c>
      <c r="I5388" t="str">
        <f t="shared" si="253"/>
        <v>Low Value</v>
      </c>
      <c r="J5388" t="str">
        <f t="shared" si="254"/>
        <v>High Risk</v>
      </c>
      <c r="K5388" s="3" t="str">
        <f t="shared" si="252"/>
        <v>0-1 Year</v>
      </c>
    </row>
    <row r="5389" spans="1:11" x14ac:dyDescent="0.3">
      <c r="A5389" t="s">
        <v>5406</v>
      </c>
      <c r="B5389" t="s">
        <v>9</v>
      </c>
      <c r="C5389" t="s">
        <v>15</v>
      </c>
      <c r="D5389" t="s">
        <v>24</v>
      </c>
      <c r="E5389">
        <v>20.100000000000001</v>
      </c>
      <c r="F5389">
        <v>35</v>
      </c>
      <c r="G5389">
        <v>703.5</v>
      </c>
      <c r="H5389" t="s">
        <v>12</v>
      </c>
      <c r="I5389" t="str">
        <f t="shared" si="253"/>
        <v>Low Value</v>
      </c>
      <c r="J5389" t="str">
        <f t="shared" si="254"/>
        <v>Low Risk</v>
      </c>
      <c r="K5389" s="3" t="str">
        <f t="shared" si="252"/>
        <v>2-4 Years</v>
      </c>
    </row>
    <row r="5390" spans="1:11" x14ac:dyDescent="0.3">
      <c r="A5390" t="s">
        <v>5407</v>
      </c>
      <c r="B5390" t="s">
        <v>14</v>
      </c>
      <c r="C5390" t="s">
        <v>10</v>
      </c>
      <c r="D5390" t="s">
        <v>11</v>
      </c>
      <c r="E5390">
        <v>84.85</v>
      </c>
      <c r="F5390">
        <v>6</v>
      </c>
      <c r="G5390">
        <v>509.099999999999</v>
      </c>
      <c r="H5390" t="s">
        <v>18</v>
      </c>
      <c r="I5390" t="str">
        <f t="shared" si="253"/>
        <v>Low Value</v>
      </c>
      <c r="J5390" t="str">
        <f t="shared" si="254"/>
        <v>High Risk</v>
      </c>
      <c r="K5390" s="3" t="str">
        <f t="shared" si="252"/>
        <v>0-1 Year</v>
      </c>
    </row>
    <row r="5391" spans="1:11" x14ac:dyDescent="0.3">
      <c r="A5391" t="s">
        <v>5408</v>
      </c>
      <c r="B5391" t="s">
        <v>14</v>
      </c>
      <c r="C5391" t="s">
        <v>10</v>
      </c>
      <c r="D5391" t="s">
        <v>16</v>
      </c>
      <c r="E5391">
        <v>19.75</v>
      </c>
      <c r="F5391">
        <v>2</v>
      </c>
      <c r="G5391">
        <v>39.5</v>
      </c>
      <c r="H5391" t="s">
        <v>12</v>
      </c>
      <c r="I5391" t="str">
        <f t="shared" si="253"/>
        <v>Low Value</v>
      </c>
      <c r="J5391" t="str">
        <f t="shared" si="254"/>
        <v>High Risk</v>
      </c>
      <c r="K5391" s="3" t="str">
        <f t="shared" si="252"/>
        <v>0-1 Year</v>
      </c>
    </row>
    <row r="5392" spans="1:11" x14ac:dyDescent="0.3">
      <c r="A5392" t="s">
        <v>5409</v>
      </c>
      <c r="B5392" t="s">
        <v>9</v>
      </c>
      <c r="C5392" t="s">
        <v>15</v>
      </c>
      <c r="D5392" t="s">
        <v>20</v>
      </c>
      <c r="E5392">
        <v>19.75</v>
      </c>
      <c r="F5392">
        <v>50</v>
      </c>
      <c r="G5392">
        <v>987.5</v>
      </c>
      <c r="H5392" t="s">
        <v>12</v>
      </c>
      <c r="I5392" t="str">
        <f t="shared" si="253"/>
        <v>Low Value</v>
      </c>
      <c r="J5392" t="str">
        <f t="shared" si="254"/>
        <v>Low Risk</v>
      </c>
      <c r="K5392" s="3" t="str">
        <f t="shared" si="252"/>
        <v>4+ Years</v>
      </c>
    </row>
    <row r="5393" spans="1:11" x14ac:dyDescent="0.3">
      <c r="A5393" t="s">
        <v>5410</v>
      </c>
      <c r="B5393" t="s">
        <v>9</v>
      </c>
      <c r="C5393" t="s">
        <v>10</v>
      </c>
      <c r="D5393" t="s">
        <v>20</v>
      </c>
      <c r="E5393">
        <v>70.400000000000006</v>
      </c>
      <c r="F5393">
        <v>33</v>
      </c>
      <c r="G5393">
        <v>2323.1999999999998</v>
      </c>
      <c r="H5393" t="s">
        <v>12</v>
      </c>
      <c r="I5393" t="str">
        <f t="shared" si="253"/>
        <v>Medium Value</v>
      </c>
      <c r="J5393" t="str">
        <f t="shared" si="254"/>
        <v>Low Risk</v>
      </c>
      <c r="K5393" s="3" t="str">
        <f t="shared" si="252"/>
        <v>2-4 Years</v>
      </c>
    </row>
    <row r="5394" spans="1:11" x14ac:dyDescent="0.3">
      <c r="A5394" t="s">
        <v>5411</v>
      </c>
      <c r="B5394" t="s">
        <v>14</v>
      </c>
      <c r="C5394" t="s">
        <v>30</v>
      </c>
      <c r="D5394" t="s">
        <v>16</v>
      </c>
      <c r="E5394">
        <v>20.45</v>
      </c>
      <c r="F5394">
        <v>31</v>
      </c>
      <c r="G5394">
        <v>633.94999999999902</v>
      </c>
      <c r="H5394" t="s">
        <v>12</v>
      </c>
      <c r="I5394" t="str">
        <f t="shared" si="253"/>
        <v>Low Value</v>
      </c>
      <c r="J5394" t="str">
        <f t="shared" si="254"/>
        <v>Low Risk</v>
      </c>
      <c r="K5394" s="3" t="str">
        <f t="shared" si="252"/>
        <v>2-4 Years</v>
      </c>
    </row>
    <row r="5395" spans="1:11" x14ac:dyDescent="0.3">
      <c r="A5395" t="s">
        <v>5412</v>
      </c>
      <c r="B5395" t="s">
        <v>9</v>
      </c>
      <c r="C5395" t="s">
        <v>30</v>
      </c>
      <c r="D5395" t="s">
        <v>16</v>
      </c>
      <c r="E5395">
        <v>20.350000000000001</v>
      </c>
      <c r="F5395">
        <v>9</v>
      </c>
      <c r="G5395">
        <v>183.15</v>
      </c>
      <c r="H5395" t="s">
        <v>12</v>
      </c>
      <c r="I5395" t="str">
        <f t="shared" si="253"/>
        <v>Low Value</v>
      </c>
      <c r="J5395" t="str">
        <f t="shared" si="254"/>
        <v>High Risk</v>
      </c>
      <c r="K5395" s="3" t="str">
        <f t="shared" si="252"/>
        <v>0-1 Year</v>
      </c>
    </row>
    <row r="5396" spans="1:11" x14ac:dyDescent="0.3">
      <c r="A5396" t="s">
        <v>5413</v>
      </c>
      <c r="B5396" t="s">
        <v>9</v>
      </c>
      <c r="C5396" t="s">
        <v>10</v>
      </c>
      <c r="D5396" t="s">
        <v>11</v>
      </c>
      <c r="E5396">
        <v>86.2</v>
      </c>
      <c r="F5396">
        <v>54</v>
      </c>
      <c r="G5396">
        <v>4654.8</v>
      </c>
      <c r="H5396" t="s">
        <v>12</v>
      </c>
      <c r="I5396" t="str">
        <f t="shared" si="253"/>
        <v>Medium Value</v>
      </c>
      <c r="J5396" t="str">
        <f t="shared" si="254"/>
        <v>Low Risk</v>
      </c>
      <c r="K5396" s="3" t="str">
        <f t="shared" si="252"/>
        <v>4+ Years</v>
      </c>
    </row>
    <row r="5397" spans="1:11" x14ac:dyDescent="0.3">
      <c r="A5397" t="s">
        <v>5414</v>
      </c>
      <c r="B5397" t="s">
        <v>9</v>
      </c>
      <c r="C5397" t="s">
        <v>15</v>
      </c>
      <c r="D5397" t="s">
        <v>24</v>
      </c>
      <c r="E5397">
        <v>95.65</v>
      </c>
      <c r="F5397">
        <v>46</v>
      </c>
      <c r="G5397">
        <v>4399.8999999999996</v>
      </c>
      <c r="H5397" t="s">
        <v>12</v>
      </c>
      <c r="I5397" t="str">
        <f t="shared" si="253"/>
        <v>Medium Value</v>
      </c>
      <c r="J5397" t="str">
        <f t="shared" si="254"/>
        <v>Low Risk</v>
      </c>
      <c r="K5397" s="3" t="str">
        <f t="shared" si="252"/>
        <v>2-4 Years</v>
      </c>
    </row>
    <row r="5398" spans="1:11" x14ac:dyDescent="0.3">
      <c r="A5398" t="s">
        <v>5415</v>
      </c>
      <c r="B5398" t="s">
        <v>14</v>
      </c>
      <c r="C5398" t="s">
        <v>15</v>
      </c>
      <c r="D5398" t="s">
        <v>11</v>
      </c>
      <c r="E5398">
        <v>103.8</v>
      </c>
      <c r="F5398">
        <v>34</v>
      </c>
      <c r="G5398">
        <v>3529.2</v>
      </c>
      <c r="H5398" t="s">
        <v>12</v>
      </c>
      <c r="I5398" t="str">
        <f t="shared" si="253"/>
        <v>Medium Value</v>
      </c>
      <c r="J5398" t="str">
        <f t="shared" si="254"/>
        <v>Low Risk</v>
      </c>
      <c r="K5398" s="3" t="str">
        <f t="shared" si="252"/>
        <v>2-4 Years</v>
      </c>
    </row>
    <row r="5399" spans="1:11" x14ac:dyDescent="0.3">
      <c r="A5399" t="s">
        <v>5416</v>
      </c>
      <c r="B5399" t="s">
        <v>14</v>
      </c>
      <c r="C5399" t="s">
        <v>30</v>
      </c>
      <c r="D5399" t="s">
        <v>11</v>
      </c>
      <c r="E5399">
        <v>97.2</v>
      </c>
      <c r="F5399">
        <v>71</v>
      </c>
      <c r="G5399">
        <v>6901.2</v>
      </c>
      <c r="H5399" t="s">
        <v>12</v>
      </c>
      <c r="I5399" t="str">
        <f t="shared" si="253"/>
        <v>High Value</v>
      </c>
      <c r="J5399" t="str">
        <f t="shared" si="254"/>
        <v>Low Risk</v>
      </c>
      <c r="K5399" s="3" t="str">
        <f t="shared" si="252"/>
        <v>4+ Years</v>
      </c>
    </row>
    <row r="5400" spans="1:11" x14ac:dyDescent="0.3">
      <c r="A5400" t="s">
        <v>5417</v>
      </c>
      <c r="B5400" t="s">
        <v>9</v>
      </c>
      <c r="C5400" t="s">
        <v>30</v>
      </c>
      <c r="D5400" t="s">
        <v>16</v>
      </c>
      <c r="E5400">
        <v>63.55</v>
      </c>
      <c r="F5400">
        <v>63</v>
      </c>
      <c r="G5400">
        <v>4003.6499999999901</v>
      </c>
      <c r="H5400" t="s">
        <v>12</v>
      </c>
      <c r="I5400" t="str">
        <f t="shared" si="253"/>
        <v>Medium Value</v>
      </c>
      <c r="J5400" t="str">
        <f t="shared" si="254"/>
        <v>Low Risk</v>
      </c>
      <c r="K5400" s="3" t="str">
        <f t="shared" si="252"/>
        <v>4+ Years</v>
      </c>
    </row>
    <row r="5401" spans="1:11" x14ac:dyDescent="0.3">
      <c r="A5401" t="s">
        <v>5418</v>
      </c>
      <c r="B5401" t="s">
        <v>9</v>
      </c>
      <c r="C5401" t="s">
        <v>30</v>
      </c>
      <c r="D5401" t="s">
        <v>20</v>
      </c>
      <c r="E5401">
        <v>24.95</v>
      </c>
      <c r="F5401">
        <v>51</v>
      </c>
      <c r="G5401">
        <v>1272.45</v>
      </c>
      <c r="H5401" t="s">
        <v>12</v>
      </c>
      <c r="I5401" t="str">
        <f t="shared" si="253"/>
        <v>Low Value</v>
      </c>
      <c r="J5401" t="str">
        <f t="shared" si="254"/>
        <v>Low Risk</v>
      </c>
      <c r="K5401" s="3" t="str">
        <f t="shared" si="252"/>
        <v>4+ Years</v>
      </c>
    </row>
    <row r="5402" spans="1:11" x14ac:dyDescent="0.3">
      <c r="A5402" t="s">
        <v>5419</v>
      </c>
      <c r="B5402" t="s">
        <v>9</v>
      </c>
      <c r="C5402" t="s">
        <v>10</v>
      </c>
      <c r="D5402" t="s">
        <v>11</v>
      </c>
      <c r="E5402">
        <v>89.15</v>
      </c>
      <c r="F5402">
        <v>26</v>
      </c>
      <c r="G5402">
        <v>2317.9</v>
      </c>
      <c r="H5402" t="s">
        <v>18</v>
      </c>
      <c r="I5402" t="str">
        <f t="shared" si="253"/>
        <v>Medium Value</v>
      </c>
      <c r="J5402" t="str">
        <f t="shared" si="254"/>
        <v>Low Risk</v>
      </c>
      <c r="K5402" s="3" t="str">
        <f t="shared" si="252"/>
        <v>2-4 Years</v>
      </c>
    </row>
    <row r="5403" spans="1:11" x14ac:dyDescent="0.3">
      <c r="A5403" t="s">
        <v>5420</v>
      </c>
      <c r="B5403" t="s">
        <v>9</v>
      </c>
      <c r="C5403" t="s">
        <v>30</v>
      </c>
      <c r="D5403" t="s">
        <v>20</v>
      </c>
      <c r="E5403">
        <v>99</v>
      </c>
      <c r="F5403">
        <v>64</v>
      </c>
      <c r="G5403">
        <v>6336</v>
      </c>
      <c r="H5403" t="s">
        <v>12</v>
      </c>
      <c r="I5403" t="str">
        <f t="shared" si="253"/>
        <v>High Value</v>
      </c>
      <c r="J5403" t="str">
        <f t="shared" si="254"/>
        <v>Low Risk</v>
      </c>
      <c r="K5403" s="3" t="str">
        <f t="shared" si="252"/>
        <v>4+ Years</v>
      </c>
    </row>
    <row r="5404" spans="1:11" x14ac:dyDescent="0.3">
      <c r="A5404" t="s">
        <v>5421</v>
      </c>
      <c r="B5404" t="s">
        <v>9</v>
      </c>
      <c r="C5404" t="s">
        <v>10</v>
      </c>
      <c r="D5404" t="s">
        <v>11</v>
      </c>
      <c r="E5404">
        <v>24.8</v>
      </c>
      <c r="F5404">
        <v>1</v>
      </c>
      <c r="G5404">
        <v>24.8</v>
      </c>
      <c r="H5404" t="s">
        <v>18</v>
      </c>
      <c r="I5404" t="str">
        <f t="shared" si="253"/>
        <v>Low Value</v>
      </c>
      <c r="J5404" t="str">
        <f t="shared" si="254"/>
        <v>High Risk</v>
      </c>
      <c r="K5404" s="3" t="str">
        <f t="shared" si="252"/>
        <v>0-1 Year</v>
      </c>
    </row>
    <row r="5405" spans="1:11" x14ac:dyDescent="0.3">
      <c r="A5405" t="s">
        <v>5422</v>
      </c>
      <c r="B5405" t="s">
        <v>14</v>
      </c>
      <c r="C5405" t="s">
        <v>15</v>
      </c>
      <c r="D5405" t="s">
        <v>20</v>
      </c>
      <c r="E5405">
        <v>85.55</v>
      </c>
      <c r="F5405">
        <v>61</v>
      </c>
      <c r="G5405">
        <v>5218.55</v>
      </c>
      <c r="H5405" t="s">
        <v>12</v>
      </c>
      <c r="I5405" t="str">
        <f t="shared" si="253"/>
        <v>High Value</v>
      </c>
      <c r="J5405" t="str">
        <f t="shared" si="254"/>
        <v>Low Risk</v>
      </c>
      <c r="K5405" s="3" t="str">
        <f t="shared" si="252"/>
        <v>4+ Years</v>
      </c>
    </row>
    <row r="5406" spans="1:11" x14ac:dyDescent="0.3">
      <c r="A5406" t="s">
        <v>5423</v>
      </c>
      <c r="B5406" t="s">
        <v>9</v>
      </c>
      <c r="C5406" t="s">
        <v>10</v>
      </c>
      <c r="D5406" t="s">
        <v>24</v>
      </c>
      <c r="E5406">
        <v>94</v>
      </c>
      <c r="F5406">
        <v>15</v>
      </c>
      <c r="G5406">
        <v>1410</v>
      </c>
      <c r="H5406" t="s">
        <v>12</v>
      </c>
      <c r="I5406" t="str">
        <f t="shared" si="253"/>
        <v>Low Value</v>
      </c>
      <c r="J5406" t="str">
        <f t="shared" si="254"/>
        <v>Medium Risk</v>
      </c>
      <c r="K5406" s="3" t="str">
        <f t="shared" si="252"/>
        <v>1-2 Years</v>
      </c>
    </row>
    <row r="5407" spans="1:11" x14ac:dyDescent="0.3">
      <c r="A5407" t="s">
        <v>5424</v>
      </c>
      <c r="B5407" t="s">
        <v>14</v>
      </c>
      <c r="C5407" t="s">
        <v>15</v>
      </c>
      <c r="D5407" t="s">
        <v>24</v>
      </c>
      <c r="E5407">
        <v>105.65</v>
      </c>
      <c r="F5407">
        <v>64</v>
      </c>
      <c r="G5407">
        <v>6761.6</v>
      </c>
      <c r="H5407" t="s">
        <v>18</v>
      </c>
      <c r="I5407" t="str">
        <f t="shared" si="253"/>
        <v>High Value</v>
      </c>
      <c r="J5407" t="str">
        <f t="shared" si="254"/>
        <v>Low Risk</v>
      </c>
      <c r="K5407" s="3" t="str">
        <f t="shared" si="252"/>
        <v>4+ Years</v>
      </c>
    </row>
    <row r="5408" spans="1:11" x14ac:dyDescent="0.3">
      <c r="A5408" t="s">
        <v>5425</v>
      </c>
      <c r="B5408" t="s">
        <v>9</v>
      </c>
      <c r="C5408" t="s">
        <v>10</v>
      </c>
      <c r="D5408" t="s">
        <v>11</v>
      </c>
      <c r="E5408">
        <v>50.3</v>
      </c>
      <c r="F5408">
        <v>18</v>
      </c>
      <c r="G5408">
        <v>905.4</v>
      </c>
      <c r="H5408" t="s">
        <v>12</v>
      </c>
      <c r="I5408" t="str">
        <f t="shared" si="253"/>
        <v>Low Value</v>
      </c>
      <c r="J5408" t="str">
        <f t="shared" si="254"/>
        <v>Medium Risk</v>
      </c>
      <c r="K5408" s="3" t="str">
        <f t="shared" si="252"/>
        <v>1-2 Years</v>
      </c>
    </row>
    <row r="5409" spans="1:11" x14ac:dyDescent="0.3">
      <c r="A5409" t="s">
        <v>5426</v>
      </c>
      <c r="B5409" t="s">
        <v>9</v>
      </c>
      <c r="C5409" t="s">
        <v>15</v>
      </c>
      <c r="D5409" t="s">
        <v>11</v>
      </c>
      <c r="E5409">
        <v>95</v>
      </c>
      <c r="F5409">
        <v>57</v>
      </c>
      <c r="G5409">
        <v>5415</v>
      </c>
      <c r="H5409" t="s">
        <v>12</v>
      </c>
      <c r="I5409" t="str">
        <f t="shared" si="253"/>
        <v>High Value</v>
      </c>
      <c r="J5409" t="str">
        <f t="shared" si="254"/>
        <v>Low Risk</v>
      </c>
      <c r="K5409" s="3" t="str">
        <f t="shared" si="252"/>
        <v>4+ Years</v>
      </c>
    </row>
    <row r="5410" spans="1:11" x14ac:dyDescent="0.3">
      <c r="A5410" t="s">
        <v>5427</v>
      </c>
      <c r="B5410" t="s">
        <v>14</v>
      </c>
      <c r="C5410" t="s">
        <v>30</v>
      </c>
      <c r="D5410" t="s">
        <v>20</v>
      </c>
      <c r="E5410">
        <v>61.4</v>
      </c>
      <c r="F5410">
        <v>14</v>
      </c>
      <c r="G5410">
        <v>859.6</v>
      </c>
      <c r="H5410" t="s">
        <v>12</v>
      </c>
      <c r="I5410" t="str">
        <f t="shared" si="253"/>
        <v>Low Value</v>
      </c>
      <c r="J5410" t="str">
        <f t="shared" si="254"/>
        <v>Medium Risk</v>
      </c>
      <c r="K5410" s="3" t="str">
        <f t="shared" si="252"/>
        <v>1-2 Years</v>
      </c>
    </row>
    <row r="5411" spans="1:11" x14ac:dyDescent="0.3">
      <c r="A5411" t="s">
        <v>5428</v>
      </c>
      <c r="B5411" t="s">
        <v>14</v>
      </c>
      <c r="C5411" t="s">
        <v>10</v>
      </c>
      <c r="D5411" t="s">
        <v>24</v>
      </c>
      <c r="E5411">
        <v>80.55</v>
      </c>
      <c r="F5411">
        <v>18</v>
      </c>
      <c r="G5411">
        <v>1449.8999999999901</v>
      </c>
      <c r="H5411" t="s">
        <v>12</v>
      </c>
      <c r="I5411" t="str">
        <f t="shared" si="253"/>
        <v>Low Value</v>
      </c>
      <c r="J5411" t="str">
        <f t="shared" si="254"/>
        <v>Medium Risk</v>
      </c>
      <c r="K5411" s="3" t="str">
        <f t="shared" si="252"/>
        <v>1-2 Years</v>
      </c>
    </row>
    <row r="5412" spans="1:11" x14ac:dyDescent="0.3">
      <c r="A5412" t="s">
        <v>5429</v>
      </c>
      <c r="B5412" t="s">
        <v>9</v>
      </c>
      <c r="C5412" t="s">
        <v>30</v>
      </c>
      <c r="D5412" t="s">
        <v>20</v>
      </c>
      <c r="E5412">
        <v>78.5</v>
      </c>
      <c r="F5412">
        <v>72</v>
      </c>
      <c r="G5412">
        <v>5652</v>
      </c>
      <c r="H5412" t="s">
        <v>12</v>
      </c>
      <c r="I5412" t="str">
        <f t="shared" si="253"/>
        <v>High Value</v>
      </c>
      <c r="J5412" t="str">
        <f t="shared" si="254"/>
        <v>Low Risk</v>
      </c>
      <c r="K5412" s="3" t="str">
        <f t="shared" si="252"/>
        <v>4+ Years</v>
      </c>
    </row>
    <row r="5413" spans="1:11" x14ac:dyDescent="0.3">
      <c r="A5413" t="s">
        <v>5430</v>
      </c>
      <c r="B5413" t="s">
        <v>14</v>
      </c>
      <c r="C5413" t="s">
        <v>30</v>
      </c>
      <c r="D5413" t="s">
        <v>24</v>
      </c>
      <c r="E5413">
        <v>114.3</v>
      </c>
      <c r="F5413">
        <v>70</v>
      </c>
      <c r="G5413">
        <v>8001</v>
      </c>
      <c r="H5413" t="s">
        <v>12</v>
      </c>
      <c r="I5413" t="str">
        <f t="shared" si="253"/>
        <v>High Value</v>
      </c>
      <c r="J5413" t="str">
        <f t="shared" si="254"/>
        <v>Low Risk</v>
      </c>
      <c r="K5413" s="3" t="str">
        <f t="shared" si="252"/>
        <v>4+ Years</v>
      </c>
    </row>
    <row r="5414" spans="1:11" x14ac:dyDescent="0.3">
      <c r="A5414" t="s">
        <v>5431</v>
      </c>
      <c r="B5414" t="s">
        <v>9</v>
      </c>
      <c r="C5414" t="s">
        <v>30</v>
      </c>
      <c r="D5414" t="s">
        <v>16</v>
      </c>
      <c r="E5414">
        <v>20.05</v>
      </c>
      <c r="F5414">
        <v>38</v>
      </c>
      <c r="G5414">
        <v>761.9</v>
      </c>
      <c r="H5414" t="s">
        <v>12</v>
      </c>
      <c r="I5414" t="str">
        <f t="shared" si="253"/>
        <v>Low Value</v>
      </c>
      <c r="J5414" t="str">
        <f t="shared" si="254"/>
        <v>Low Risk</v>
      </c>
      <c r="K5414" s="3" t="str">
        <f t="shared" si="252"/>
        <v>2-4 Years</v>
      </c>
    </row>
    <row r="5415" spans="1:11" x14ac:dyDescent="0.3">
      <c r="A5415" t="s">
        <v>5432</v>
      </c>
      <c r="B5415" t="s">
        <v>14</v>
      </c>
      <c r="C5415" t="s">
        <v>30</v>
      </c>
      <c r="D5415" t="s">
        <v>24</v>
      </c>
      <c r="E5415">
        <v>62.65</v>
      </c>
      <c r="F5415">
        <v>68</v>
      </c>
      <c r="G5415">
        <v>4260.2</v>
      </c>
      <c r="H5415" t="s">
        <v>12</v>
      </c>
      <c r="I5415" t="str">
        <f t="shared" si="253"/>
        <v>Medium Value</v>
      </c>
      <c r="J5415" t="str">
        <f t="shared" si="254"/>
        <v>Low Risk</v>
      </c>
      <c r="K5415" s="3" t="str">
        <f t="shared" si="252"/>
        <v>4+ Years</v>
      </c>
    </row>
    <row r="5416" spans="1:11" x14ac:dyDescent="0.3">
      <c r="A5416" t="s">
        <v>5433</v>
      </c>
      <c r="B5416" t="s">
        <v>14</v>
      </c>
      <c r="C5416" t="s">
        <v>10</v>
      </c>
      <c r="D5416" t="s">
        <v>11</v>
      </c>
      <c r="E5416">
        <v>80.849999999999994</v>
      </c>
      <c r="F5416">
        <v>13</v>
      </c>
      <c r="G5416">
        <v>1051.05</v>
      </c>
      <c r="H5416" t="s">
        <v>18</v>
      </c>
      <c r="I5416" t="str">
        <f t="shared" si="253"/>
        <v>Low Value</v>
      </c>
      <c r="J5416" t="str">
        <f t="shared" si="254"/>
        <v>Medium Risk</v>
      </c>
      <c r="K5416" s="3" t="str">
        <f t="shared" si="252"/>
        <v>1-2 Years</v>
      </c>
    </row>
    <row r="5417" spans="1:11" x14ac:dyDescent="0.3">
      <c r="A5417" t="s">
        <v>5434</v>
      </c>
      <c r="B5417" t="s">
        <v>14</v>
      </c>
      <c r="C5417" t="s">
        <v>30</v>
      </c>
      <c r="D5417" t="s">
        <v>24</v>
      </c>
      <c r="E5417">
        <v>92.7</v>
      </c>
      <c r="F5417">
        <v>65</v>
      </c>
      <c r="G5417">
        <v>6025.5</v>
      </c>
      <c r="H5417" t="s">
        <v>12</v>
      </c>
      <c r="I5417" t="str">
        <f t="shared" si="253"/>
        <v>High Value</v>
      </c>
      <c r="J5417" t="str">
        <f t="shared" si="254"/>
        <v>Low Risk</v>
      </c>
      <c r="K5417" s="3" t="str">
        <f t="shared" si="252"/>
        <v>4+ Years</v>
      </c>
    </row>
    <row r="5418" spans="1:11" x14ac:dyDescent="0.3">
      <c r="A5418" t="s">
        <v>5435</v>
      </c>
      <c r="B5418" t="s">
        <v>9</v>
      </c>
      <c r="C5418" t="s">
        <v>10</v>
      </c>
      <c r="D5418" t="s">
        <v>11</v>
      </c>
      <c r="E5418">
        <v>100.45</v>
      </c>
      <c r="F5418">
        <v>30</v>
      </c>
      <c r="G5418">
        <v>3013.5</v>
      </c>
      <c r="H5418" t="s">
        <v>12</v>
      </c>
      <c r="I5418" t="str">
        <f t="shared" si="253"/>
        <v>Medium Value</v>
      </c>
      <c r="J5418" t="str">
        <f t="shared" si="254"/>
        <v>Low Risk</v>
      </c>
      <c r="K5418" s="3" t="str">
        <f t="shared" si="252"/>
        <v>2-4 Years</v>
      </c>
    </row>
    <row r="5419" spans="1:11" x14ac:dyDescent="0.3">
      <c r="A5419" t="s">
        <v>5436</v>
      </c>
      <c r="B5419" t="s">
        <v>14</v>
      </c>
      <c r="C5419" t="s">
        <v>30</v>
      </c>
      <c r="D5419" t="s">
        <v>20</v>
      </c>
      <c r="E5419">
        <v>75.2</v>
      </c>
      <c r="F5419">
        <v>51</v>
      </c>
      <c r="G5419">
        <v>3835.2</v>
      </c>
      <c r="H5419" t="s">
        <v>12</v>
      </c>
      <c r="I5419" t="str">
        <f t="shared" si="253"/>
        <v>Medium Value</v>
      </c>
      <c r="J5419" t="str">
        <f t="shared" si="254"/>
        <v>Low Risk</v>
      </c>
      <c r="K5419" s="3" t="str">
        <f t="shared" si="252"/>
        <v>4+ Years</v>
      </c>
    </row>
    <row r="5420" spans="1:11" x14ac:dyDescent="0.3">
      <c r="A5420" t="s">
        <v>5437</v>
      </c>
      <c r="B5420" t="s">
        <v>9</v>
      </c>
      <c r="C5420" t="s">
        <v>10</v>
      </c>
      <c r="D5420" t="s">
        <v>24</v>
      </c>
      <c r="E5420">
        <v>84.75</v>
      </c>
      <c r="F5420">
        <v>31</v>
      </c>
      <c r="G5420">
        <v>2627.25</v>
      </c>
      <c r="H5420" t="s">
        <v>12</v>
      </c>
      <c r="I5420" t="str">
        <f t="shared" si="253"/>
        <v>Medium Value</v>
      </c>
      <c r="J5420" t="str">
        <f t="shared" si="254"/>
        <v>Low Risk</v>
      </c>
      <c r="K5420" s="3" t="str">
        <f t="shared" si="252"/>
        <v>2-4 Years</v>
      </c>
    </row>
    <row r="5421" spans="1:11" x14ac:dyDescent="0.3">
      <c r="A5421" t="s">
        <v>5438</v>
      </c>
      <c r="B5421" t="s">
        <v>9</v>
      </c>
      <c r="C5421" t="s">
        <v>10</v>
      </c>
      <c r="D5421" t="s">
        <v>11</v>
      </c>
      <c r="E5421">
        <v>89.45</v>
      </c>
      <c r="F5421">
        <v>9</v>
      </c>
      <c r="G5421">
        <v>805.05</v>
      </c>
      <c r="H5421" t="s">
        <v>18</v>
      </c>
      <c r="I5421" t="str">
        <f t="shared" si="253"/>
        <v>Low Value</v>
      </c>
      <c r="J5421" t="str">
        <f t="shared" si="254"/>
        <v>High Risk</v>
      </c>
      <c r="K5421" s="3" t="str">
        <f t="shared" si="252"/>
        <v>0-1 Year</v>
      </c>
    </row>
    <row r="5422" spans="1:11" x14ac:dyDescent="0.3">
      <c r="A5422" t="s">
        <v>5439</v>
      </c>
      <c r="B5422" t="s">
        <v>9</v>
      </c>
      <c r="C5422" t="s">
        <v>30</v>
      </c>
      <c r="D5422" t="s">
        <v>20</v>
      </c>
      <c r="E5422">
        <v>79.5</v>
      </c>
      <c r="F5422">
        <v>72</v>
      </c>
      <c r="G5422">
        <v>5724</v>
      </c>
      <c r="H5422" t="s">
        <v>12</v>
      </c>
      <c r="I5422" t="str">
        <f t="shared" si="253"/>
        <v>High Value</v>
      </c>
      <c r="J5422" t="str">
        <f t="shared" si="254"/>
        <v>Low Risk</v>
      </c>
      <c r="K5422" s="3" t="str">
        <f t="shared" si="252"/>
        <v>4+ Years</v>
      </c>
    </row>
    <row r="5423" spans="1:11" x14ac:dyDescent="0.3">
      <c r="A5423" t="s">
        <v>5440</v>
      </c>
      <c r="B5423" t="s">
        <v>14</v>
      </c>
      <c r="C5423" t="s">
        <v>10</v>
      </c>
      <c r="D5423" t="s">
        <v>24</v>
      </c>
      <c r="E5423">
        <v>72.150000000000006</v>
      </c>
      <c r="F5423">
        <v>10</v>
      </c>
      <c r="G5423">
        <v>721.5</v>
      </c>
      <c r="H5423" t="s">
        <v>18</v>
      </c>
      <c r="I5423" t="str">
        <f t="shared" si="253"/>
        <v>Low Value</v>
      </c>
      <c r="J5423" t="str">
        <f t="shared" si="254"/>
        <v>High Risk</v>
      </c>
      <c r="K5423" s="3" t="str">
        <f t="shared" si="252"/>
        <v>0-1 Year</v>
      </c>
    </row>
    <row r="5424" spans="1:11" x14ac:dyDescent="0.3">
      <c r="A5424" t="s">
        <v>5441</v>
      </c>
      <c r="B5424" t="s">
        <v>9</v>
      </c>
      <c r="C5424" t="s">
        <v>15</v>
      </c>
      <c r="D5424" t="s">
        <v>11</v>
      </c>
      <c r="E5424">
        <v>19.8</v>
      </c>
      <c r="F5424">
        <v>37</v>
      </c>
      <c r="G5424">
        <v>732.6</v>
      </c>
      <c r="H5424" t="s">
        <v>12</v>
      </c>
      <c r="I5424" t="str">
        <f t="shared" si="253"/>
        <v>Low Value</v>
      </c>
      <c r="J5424" t="str">
        <f t="shared" si="254"/>
        <v>Low Risk</v>
      </c>
      <c r="K5424" s="3" t="str">
        <f t="shared" si="252"/>
        <v>2-4 Years</v>
      </c>
    </row>
    <row r="5425" spans="1:11" x14ac:dyDescent="0.3">
      <c r="A5425" t="s">
        <v>5442</v>
      </c>
      <c r="B5425" t="s">
        <v>9</v>
      </c>
      <c r="C5425" t="s">
        <v>10</v>
      </c>
      <c r="D5425" t="s">
        <v>11</v>
      </c>
      <c r="E5425">
        <v>76.400000000000006</v>
      </c>
      <c r="F5425">
        <v>2</v>
      </c>
      <c r="G5425">
        <v>152.80000000000001</v>
      </c>
      <c r="H5425" t="s">
        <v>18</v>
      </c>
      <c r="I5425" t="str">
        <f t="shared" si="253"/>
        <v>Low Value</v>
      </c>
      <c r="J5425" t="str">
        <f t="shared" si="254"/>
        <v>High Risk</v>
      </c>
      <c r="K5425" s="3" t="str">
        <f t="shared" si="252"/>
        <v>0-1 Year</v>
      </c>
    </row>
    <row r="5426" spans="1:11" x14ac:dyDescent="0.3">
      <c r="A5426" t="s">
        <v>5443</v>
      </c>
      <c r="B5426" t="s">
        <v>14</v>
      </c>
      <c r="C5426" t="s">
        <v>15</v>
      </c>
      <c r="D5426" t="s">
        <v>16</v>
      </c>
      <c r="E5426">
        <v>100.9</v>
      </c>
      <c r="F5426">
        <v>55</v>
      </c>
      <c r="G5426">
        <v>5549.5</v>
      </c>
      <c r="H5426" t="s">
        <v>12</v>
      </c>
      <c r="I5426" t="str">
        <f t="shared" si="253"/>
        <v>High Value</v>
      </c>
      <c r="J5426" t="str">
        <f t="shared" si="254"/>
        <v>Low Risk</v>
      </c>
      <c r="K5426" s="3" t="str">
        <f t="shared" si="252"/>
        <v>4+ Years</v>
      </c>
    </row>
    <row r="5427" spans="1:11" x14ac:dyDescent="0.3">
      <c r="A5427" t="s">
        <v>5444</v>
      </c>
      <c r="B5427" t="s">
        <v>14</v>
      </c>
      <c r="C5427" t="s">
        <v>10</v>
      </c>
      <c r="D5427" t="s">
        <v>20</v>
      </c>
      <c r="E5427">
        <v>95.3</v>
      </c>
      <c r="F5427">
        <v>33</v>
      </c>
      <c r="G5427">
        <v>3144.9</v>
      </c>
      <c r="H5427" t="s">
        <v>12</v>
      </c>
      <c r="I5427" t="str">
        <f t="shared" si="253"/>
        <v>Medium Value</v>
      </c>
      <c r="J5427" t="str">
        <f t="shared" si="254"/>
        <v>Low Risk</v>
      </c>
      <c r="K5427" s="3" t="str">
        <f t="shared" si="252"/>
        <v>2-4 Years</v>
      </c>
    </row>
    <row r="5428" spans="1:11" x14ac:dyDescent="0.3">
      <c r="A5428" t="s">
        <v>5445</v>
      </c>
      <c r="B5428" t="s">
        <v>9</v>
      </c>
      <c r="C5428" t="s">
        <v>15</v>
      </c>
      <c r="D5428" t="s">
        <v>20</v>
      </c>
      <c r="E5428">
        <v>90.95</v>
      </c>
      <c r="F5428">
        <v>46</v>
      </c>
      <c r="G5428">
        <v>4183.7</v>
      </c>
      <c r="H5428" t="s">
        <v>12</v>
      </c>
      <c r="I5428" t="str">
        <f t="shared" si="253"/>
        <v>Medium Value</v>
      </c>
      <c r="J5428" t="str">
        <f t="shared" si="254"/>
        <v>Low Risk</v>
      </c>
      <c r="K5428" s="3" t="str">
        <f t="shared" si="252"/>
        <v>2-4 Years</v>
      </c>
    </row>
    <row r="5429" spans="1:11" x14ac:dyDescent="0.3">
      <c r="A5429" t="s">
        <v>5446</v>
      </c>
      <c r="B5429" t="s">
        <v>9</v>
      </c>
      <c r="C5429" t="s">
        <v>10</v>
      </c>
      <c r="D5429" t="s">
        <v>11</v>
      </c>
      <c r="E5429">
        <v>54.5</v>
      </c>
      <c r="F5429">
        <v>1</v>
      </c>
      <c r="G5429">
        <v>54.5</v>
      </c>
      <c r="H5429" t="s">
        <v>12</v>
      </c>
      <c r="I5429" t="str">
        <f t="shared" si="253"/>
        <v>Low Value</v>
      </c>
      <c r="J5429" t="str">
        <f t="shared" si="254"/>
        <v>High Risk</v>
      </c>
      <c r="K5429" s="3" t="str">
        <f t="shared" si="252"/>
        <v>0-1 Year</v>
      </c>
    </row>
    <row r="5430" spans="1:11" x14ac:dyDescent="0.3">
      <c r="A5430" t="s">
        <v>5447</v>
      </c>
      <c r="B5430" t="s">
        <v>9</v>
      </c>
      <c r="C5430" t="s">
        <v>10</v>
      </c>
      <c r="D5430" t="s">
        <v>16</v>
      </c>
      <c r="E5430">
        <v>61.6</v>
      </c>
      <c r="F5430">
        <v>20</v>
      </c>
      <c r="G5430">
        <v>1232</v>
      </c>
      <c r="H5430" t="s">
        <v>18</v>
      </c>
      <c r="I5430" t="str">
        <f t="shared" si="253"/>
        <v>Low Value</v>
      </c>
      <c r="J5430" t="str">
        <f t="shared" si="254"/>
        <v>Medium Risk</v>
      </c>
      <c r="K5430" s="3" t="str">
        <f t="shared" si="252"/>
        <v>1-2 Years</v>
      </c>
    </row>
    <row r="5431" spans="1:11" x14ac:dyDescent="0.3">
      <c r="A5431" t="s">
        <v>5448</v>
      </c>
      <c r="B5431" t="s">
        <v>14</v>
      </c>
      <c r="C5431" t="s">
        <v>10</v>
      </c>
      <c r="D5431" t="s">
        <v>11</v>
      </c>
      <c r="E5431">
        <v>79.900000000000006</v>
      </c>
      <c r="F5431">
        <v>9</v>
      </c>
      <c r="G5431">
        <v>719.1</v>
      </c>
      <c r="H5431" t="s">
        <v>18</v>
      </c>
      <c r="I5431" t="str">
        <f t="shared" si="253"/>
        <v>Low Value</v>
      </c>
      <c r="J5431" t="str">
        <f t="shared" si="254"/>
        <v>High Risk</v>
      </c>
      <c r="K5431" s="3" t="str">
        <f t="shared" si="252"/>
        <v>0-1 Year</v>
      </c>
    </row>
    <row r="5432" spans="1:11" x14ac:dyDescent="0.3">
      <c r="A5432" t="s">
        <v>5449</v>
      </c>
      <c r="B5432" t="s">
        <v>14</v>
      </c>
      <c r="C5432" t="s">
        <v>10</v>
      </c>
      <c r="D5432" t="s">
        <v>24</v>
      </c>
      <c r="E5432">
        <v>96.15</v>
      </c>
      <c r="F5432">
        <v>32</v>
      </c>
      <c r="G5432">
        <v>3076.8</v>
      </c>
      <c r="H5432" t="s">
        <v>18</v>
      </c>
      <c r="I5432" t="str">
        <f t="shared" si="253"/>
        <v>Medium Value</v>
      </c>
      <c r="J5432" t="str">
        <f t="shared" si="254"/>
        <v>Low Risk</v>
      </c>
      <c r="K5432" s="3" t="str">
        <f t="shared" si="252"/>
        <v>2-4 Years</v>
      </c>
    </row>
    <row r="5433" spans="1:11" x14ac:dyDescent="0.3">
      <c r="A5433" t="s">
        <v>5450</v>
      </c>
      <c r="B5433" t="s">
        <v>9</v>
      </c>
      <c r="C5433" t="s">
        <v>10</v>
      </c>
      <c r="D5433" t="s">
        <v>20</v>
      </c>
      <c r="E5433">
        <v>49.6</v>
      </c>
      <c r="F5433">
        <v>19</v>
      </c>
      <c r="G5433">
        <v>942.4</v>
      </c>
      <c r="H5433" t="s">
        <v>12</v>
      </c>
      <c r="I5433" t="str">
        <f t="shared" si="253"/>
        <v>Low Value</v>
      </c>
      <c r="J5433" t="str">
        <f t="shared" si="254"/>
        <v>Medium Risk</v>
      </c>
      <c r="K5433" s="3" t="str">
        <f t="shared" si="252"/>
        <v>1-2 Years</v>
      </c>
    </row>
    <row r="5434" spans="1:11" x14ac:dyDescent="0.3">
      <c r="A5434" t="s">
        <v>5451</v>
      </c>
      <c r="B5434" t="s">
        <v>9</v>
      </c>
      <c r="C5434" t="s">
        <v>30</v>
      </c>
      <c r="D5434" t="s">
        <v>24</v>
      </c>
      <c r="E5434">
        <v>65.3</v>
      </c>
      <c r="F5434">
        <v>70</v>
      </c>
      <c r="G5434">
        <v>4571</v>
      </c>
      <c r="H5434" t="s">
        <v>18</v>
      </c>
      <c r="I5434" t="str">
        <f t="shared" si="253"/>
        <v>Medium Value</v>
      </c>
      <c r="J5434" t="str">
        <f t="shared" si="254"/>
        <v>Low Risk</v>
      </c>
      <c r="K5434" s="3" t="str">
        <f t="shared" si="252"/>
        <v>4+ Years</v>
      </c>
    </row>
    <row r="5435" spans="1:11" x14ac:dyDescent="0.3">
      <c r="A5435" t="s">
        <v>5452</v>
      </c>
      <c r="B5435" t="s">
        <v>9</v>
      </c>
      <c r="C5435" t="s">
        <v>30</v>
      </c>
      <c r="D5435" t="s">
        <v>24</v>
      </c>
      <c r="E5435">
        <v>25</v>
      </c>
      <c r="F5435">
        <v>61</v>
      </c>
      <c r="G5435">
        <v>1525</v>
      </c>
      <c r="H5435" t="s">
        <v>12</v>
      </c>
      <c r="I5435" t="str">
        <f t="shared" si="253"/>
        <v>Low Value</v>
      </c>
      <c r="J5435" t="str">
        <f t="shared" si="254"/>
        <v>Low Risk</v>
      </c>
      <c r="K5435" s="3" t="str">
        <f t="shared" si="252"/>
        <v>4+ Years</v>
      </c>
    </row>
    <row r="5436" spans="1:11" x14ac:dyDescent="0.3">
      <c r="A5436" t="s">
        <v>5453</v>
      </c>
      <c r="B5436" t="s">
        <v>14</v>
      </c>
      <c r="C5436" t="s">
        <v>10</v>
      </c>
      <c r="D5436" t="s">
        <v>11</v>
      </c>
      <c r="E5436">
        <v>45.45</v>
      </c>
      <c r="F5436">
        <v>26</v>
      </c>
      <c r="G5436">
        <v>1181.7</v>
      </c>
      <c r="H5436" t="s">
        <v>12</v>
      </c>
      <c r="I5436" t="str">
        <f t="shared" si="253"/>
        <v>Low Value</v>
      </c>
      <c r="J5436" t="str">
        <f t="shared" si="254"/>
        <v>Low Risk</v>
      </c>
      <c r="K5436" s="3" t="str">
        <f t="shared" si="252"/>
        <v>2-4 Years</v>
      </c>
    </row>
    <row r="5437" spans="1:11" x14ac:dyDescent="0.3">
      <c r="A5437" t="s">
        <v>5454</v>
      </c>
      <c r="B5437" t="s">
        <v>14</v>
      </c>
      <c r="C5437" t="s">
        <v>10</v>
      </c>
      <c r="D5437" t="s">
        <v>20</v>
      </c>
      <c r="E5437">
        <v>107.75</v>
      </c>
      <c r="F5437">
        <v>45</v>
      </c>
      <c r="G5437">
        <v>4848.75</v>
      </c>
      <c r="H5437" t="s">
        <v>12</v>
      </c>
      <c r="I5437" t="str">
        <f t="shared" si="253"/>
        <v>Medium Value</v>
      </c>
      <c r="J5437" t="str">
        <f t="shared" si="254"/>
        <v>Low Risk</v>
      </c>
      <c r="K5437" s="3" t="str">
        <f t="shared" si="252"/>
        <v>2-4 Years</v>
      </c>
    </row>
    <row r="5438" spans="1:11" x14ac:dyDescent="0.3">
      <c r="A5438" t="s">
        <v>5455</v>
      </c>
      <c r="B5438" t="s">
        <v>14</v>
      </c>
      <c r="C5438" t="s">
        <v>30</v>
      </c>
      <c r="D5438" t="s">
        <v>24</v>
      </c>
      <c r="E5438">
        <v>89.1</v>
      </c>
      <c r="F5438">
        <v>62</v>
      </c>
      <c r="G5438">
        <v>5524.2</v>
      </c>
      <c r="H5438" t="s">
        <v>12</v>
      </c>
      <c r="I5438" t="str">
        <f t="shared" si="253"/>
        <v>High Value</v>
      </c>
      <c r="J5438" t="str">
        <f t="shared" si="254"/>
        <v>Low Risk</v>
      </c>
      <c r="K5438" s="3" t="str">
        <f t="shared" si="252"/>
        <v>4+ Years</v>
      </c>
    </row>
    <row r="5439" spans="1:11" x14ac:dyDescent="0.3">
      <c r="A5439" t="s">
        <v>5456</v>
      </c>
      <c r="B5439" t="s">
        <v>14</v>
      </c>
      <c r="C5439" t="s">
        <v>10</v>
      </c>
      <c r="D5439" t="s">
        <v>16</v>
      </c>
      <c r="E5439">
        <v>19.649999999999999</v>
      </c>
      <c r="F5439">
        <v>1</v>
      </c>
      <c r="G5439">
        <v>19.649999999999999</v>
      </c>
      <c r="H5439" t="s">
        <v>18</v>
      </c>
      <c r="I5439" t="str">
        <f t="shared" si="253"/>
        <v>Low Value</v>
      </c>
      <c r="J5439" t="str">
        <f t="shared" si="254"/>
        <v>High Risk</v>
      </c>
      <c r="K5439" s="3" t="str">
        <f t="shared" si="252"/>
        <v>0-1 Year</v>
      </c>
    </row>
    <row r="5440" spans="1:11" x14ac:dyDescent="0.3">
      <c r="A5440" t="s">
        <v>5457</v>
      </c>
      <c r="B5440" t="s">
        <v>9</v>
      </c>
      <c r="C5440" t="s">
        <v>10</v>
      </c>
      <c r="D5440" t="s">
        <v>16</v>
      </c>
      <c r="E5440">
        <v>44.75</v>
      </c>
      <c r="F5440">
        <v>3</v>
      </c>
      <c r="G5440">
        <v>134.25</v>
      </c>
      <c r="H5440" t="s">
        <v>12</v>
      </c>
      <c r="I5440" t="str">
        <f t="shared" si="253"/>
        <v>Low Value</v>
      </c>
      <c r="J5440" t="str">
        <f t="shared" si="254"/>
        <v>High Risk</v>
      </c>
      <c r="K5440" s="3" t="str">
        <f t="shared" si="252"/>
        <v>0-1 Year</v>
      </c>
    </row>
    <row r="5441" spans="1:11" x14ac:dyDescent="0.3">
      <c r="A5441" t="s">
        <v>5458</v>
      </c>
      <c r="B5441" t="s">
        <v>9</v>
      </c>
      <c r="C5441" t="s">
        <v>15</v>
      </c>
      <c r="D5441" t="s">
        <v>20</v>
      </c>
      <c r="E5441">
        <v>101.6</v>
      </c>
      <c r="F5441">
        <v>41</v>
      </c>
      <c r="G5441">
        <v>4165.5999999999904</v>
      </c>
      <c r="H5441" t="s">
        <v>12</v>
      </c>
      <c r="I5441" t="str">
        <f t="shared" si="253"/>
        <v>Medium Value</v>
      </c>
      <c r="J5441" t="str">
        <f t="shared" si="254"/>
        <v>Low Risk</v>
      </c>
      <c r="K5441" s="3" t="str">
        <f t="shared" si="252"/>
        <v>2-4 Years</v>
      </c>
    </row>
    <row r="5442" spans="1:11" x14ac:dyDescent="0.3">
      <c r="A5442" t="s">
        <v>5459</v>
      </c>
      <c r="B5442" t="s">
        <v>14</v>
      </c>
      <c r="C5442" t="s">
        <v>30</v>
      </c>
      <c r="D5442" t="s">
        <v>20</v>
      </c>
      <c r="E5442">
        <v>103.15</v>
      </c>
      <c r="F5442">
        <v>67</v>
      </c>
      <c r="G5442">
        <v>6911.05</v>
      </c>
      <c r="H5442" t="s">
        <v>12</v>
      </c>
      <c r="I5442" t="str">
        <f t="shared" si="253"/>
        <v>High Value</v>
      </c>
      <c r="J5442" t="str">
        <f t="shared" si="254"/>
        <v>Low Risk</v>
      </c>
      <c r="K5442" s="3" t="str">
        <f t="shared" si="252"/>
        <v>4+ Years</v>
      </c>
    </row>
    <row r="5443" spans="1:11" x14ac:dyDescent="0.3">
      <c r="A5443" t="s">
        <v>5460</v>
      </c>
      <c r="B5443" t="s">
        <v>14</v>
      </c>
      <c r="C5443" t="s">
        <v>10</v>
      </c>
      <c r="D5443" t="s">
        <v>16</v>
      </c>
      <c r="E5443">
        <v>84.65</v>
      </c>
      <c r="F5443">
        <v>1</v>
      </c>
      <c r="G5443">
        <v>84.65</v>
      </c>
      <c r="H5443" t="s">
        <v>18</v>
      </c>
      <c r="I5443" t="str">
        <f t="shared" si="253"/>
        <v>Low Value</v>
      </c>
      <c r="J5443" t="str">
        <f t="shared" si="254"/>
        <v>High Risk</v>
      </c>
      <c r="K5443" s="3" t="str">
        <f t="shared" ref="K5443:K5506" si="255">IF(F5443&lt;=12,"0-1 Year",
IF(F5443&lt;=24,"1-2 Years",
IF(F5443&lt;=48,"2-4 Years","4+ Years")))</f>
        <v>0-1 Year</v>
      </c>
    </row>
    <row r="5444" spans="1:11" x14ac:dyDescent="0.3">
      <c r="A5444" t="s">
        <v>5461</v>
      </c>
      <c r="B5444" t="s">
        <v>9</v>
      </c>
      <c r="C5444" t="s">
        <v>15</v>
      </c>
      <c r="D5444" t="s">
        <v>16</v>
      </c>
      <c r="E5444">
        <v>95.65</v>
      </c>
      <c r="F5444">
        <v>71</v>
      </c>
      <c r="G5444">
        <v>6791.15</v>
      </c>
      <c r="H5444" t="s">
        <v>12</v>
      </c>
      <c r="I5444" t="str">
        <f t="shared" ref="I5444:I5507" si="256">IF(G5444&gt;5000,"High Value",
IF(G5444&gt;2000,"Medium Value","Low Value"))</f>
        <v>High Value</v>
      </c>
      <c r="J5444" t="str">
        <f t="shared" ref="J5444:J5507" si="257">IF(F5444&lt;12,"High Risk",
IF(F5444&lt;24,"Medium Risk","Low Risk"))</f>
        <v>Low Risk</v>
      </c>
      <c r="K5444" s="3" t="str">
        <f t="shared" si="255"/>
        <v>4+ Years</v>
      </c>
    </row>
    <row r="5445" spans="1:11" x14ac:dyDescent="0.3">
      <c r="A5445" t="s">
        <v>5462</v>
      </c>
      <c r="B5445" t="s">
        <v>9</v>
      </c>
      <c r="C5445" t="s">
        <v>15</v>
      </c>
      <c r="D5445" t="s">
        <v>20</v>
      </c>
      <c r="E5445">
        <v>75.099999999999994</v>
      </c>
      <c r="F5445">
        <v>37</v>
      </c>
      <c r="G5445">
        <v>2778.7</v>
      </c>
      <c r="H5445" t="s">
        <v>12</v>
      </c>
      <c r="I5445" t="str">
        <f t="shared" si="256"/>
        <v>Medium Value</v>
      </c>
      <c r="J5445" t="str">
        <f t="shared" si="257"/>
        <v>Low Risk</v>
      </c>
      <c r="K5445" s="3" t="str">
        <f t="shared" si="255"/>
        <v>2-4 Years</v>
      </c>
    </row>
    <row r="5446" spans="1:11" x14ac:dyDescent="0.3">
      <c r="A5446" t="s">
        <v>5463</v>
      </c>
      <c r="B5446" t="s">
        <v>14</v>
      </c>
      <c r="C5446" t="s">
        <v>30</v>
      </c>
      <c r="D5446" t="s">
        <v>16</v>
      </c>
      <c r="E5446">
        <v>61.35</v>
      </c>
      <c r="F5446">
        <v>60</v>
      </c>
      <c r="G5446">
        <v>3681</v>
      </c>
      <c r="H5446" t="s">
        <v>12</v>
      </c>
      <c r="I5446" t="str">
        <f t="shared" si="256"/>
        <v>Medium Value</v>
      </c>
      <c r="J5446" t="str">
        <f t="shared" si="257"/>
        <v>Low Risk</v>
      </c>
      <c r="K5446" s="3" t="str">
        <f t="shared" si="255"/>
        <v>4+ Years</v>
      </c>
    </row>
    <row r="5447" spans="1:11" x14ac:dyDescent="0.3">
      <c r="A5447" t="s">
        <v>5464</v>
      </c>
      <c r="B5447" t="s">
        <v>9</v>
      </c>
      <c r="C5447" t="s">
        <v>10</v>
      </c>
      <c r="D5447" t="s">
        <v>11</v>
      </c>
      <c r="E5447">
        <v>69.55</v>
      </c>
      <c r="F5447">
        <v>1</v>
      </c>
      <c r="G5447">
        <v>69.55</v>
      </c>
      <c r="H5447" t="s">
        <v>18</v>
      </c>
      <c r="I5447" t="str">
        <f t="shared" si="256"/>
        <v>Low Value</v>
      </c>
      <c r="J5447" t="str">
        <f t="shared" si="257"/>
        <v>High Risk</v>
      </c>
      <c r="K5447" s="3" t="str">
        <f t="shared" si="255"/>
        <v>0-1 Year</v>
      </c>
    </row>
    <row r="5448" spans="1:11" x14ac:dyDescent="0.3">
      <c r="A5448" t="s">
        <v>5465</v>
      </c>
      <c r="B5448" t="s">
        <v>9</v>
      </c>
      <c r="C5448" t="s">
        <v>10</v>
      </c>
      <c r="D5448" t="s">
        <v>24</v>
      </c>
      <c r="E5448">
        <v>19.7</v>
      </c>
      <c r="F5448">
        <v>6</v>
      </c>
      <c r="G5448">
        <v>118.19999999999899</v>
      </c>
      <c r="H5448" t="s">
        <v>12</v>
      </c>
      <c r="I5448" t="str">
        <f t="shared" si="256"/>
        <v>Low Value</v>
      </c>
      <c r="J5448" t="str">
        <f t="shared" si="257"/>
        <v>High Risk</v>
      </c>
      <c r="K5448" s="3" t="str">
        <f t="shared" si="255"/>
        <v>0-1 Year</v>
      </c>
    </row>
    <row r="5449" spans="1:11" x14ac:dyDescent="0.3">
      <c r="A5449" t="s">
        <v>5466</v>
      </c>
      <c r="B5449" t="s">
        <v>9</v>
      </c>
      <c r="C5449" t="s">
        <v>10</v>
      </c>
      <c r="D5449" t="s">
        <v>11</v>
      </c>
      <c r="E5449">
        <v>31.05</v>
      </c>
      <c r="F5449">
        <v>13</v>
      </c>
      <c r="G5449">
        <v>403.65</v>
      </c>
      <c r="H5449" t="s">
        <v>18</v>
      </c>
      <c r="I5449" t="str">
        <f t="shared" si="256"/>
        <v>Low Value</v>
      </c>
      <c r="J5449" t="str">
        <f t="shared" si="257"/>
        <v>Medium Risk</v>
      </c>
      <c r="K5449" s="3" t="str">
        <f t="shared" si="255"/>
        <v>1-2 Years</v>
      </c>
    </row>
    <row r="5450" spans="1:11" x14ac:dyDescent="0.3">
      <c r="A5450" t="s">
        <v>5467</v>
      </c>
      <c r="B5450" t="s">
        <v>9</v>
      </c>
      <c r="C5450" t="s">
        <v>10</v>
      </c>
      <c r="D5450" t="s">
        <v>20</v>
      </c>
      <c r="E5450">
        <v>51</v>
      </c>
      <c r="F5450">
        <v>11</v>
      </c>
      <c r="G5450">
        <v>561</v>
      </c>
      <c r="H5450" t="s">
        <v>12</v>
      </c>
      <c r="I5450" t="str">
        <f t="shared" si="256"/>
        <v>Low Value</v>
      </c>
      <c r="J5450" t="str">
        <f t="shared" si="257"/>
        <v>High Risk</v>
      </c>
      <c r="K5450" s="3" t="str">
        <f t="shared" si="255"/>
        <v>0-1 Year</v>
      </c>
    </row>
    <row r="5451" spans="1:11" x14ac:dyDescent="0.3">
      <c r="A5451" t="s">
        <v>5468</v>
      </c>
      <c r="B5451" t="s">
        <v>14</v>
      </c>
      <c r="C5451" t="s">
        <v>10</v>
      </c>
      <c r="D5451" t="s">
        <v>16</v>
      </c>
      <c r="E5451">
        <v>51</v>
      </c>
      <c r="F5451">
        <v>7</v>
      </c>
      <c r="G5451">
        <v>357</v>
      </c>
      <c r="H5451" t="s">
        <v>18</v>
      </c>
      <c r="I5451" t="str">
        <f t="shared" si="256"/>
        <v>Low Value</v>
      </c>
      <c r="J5451" t="str">
        <f t="shared" si="257"/>
        <v>High Risk</v>
      </c>
      <c r="K5451" s="3" t="str">
        <f t="shared" si="255"/>
        <v>0-1 Year</v>
      </c>
    </row>
    <row r="5452" spans="1:11" x14ac:dyDescent="0.3">
      <c r="A5452" t="s">
        <v>5469</v>
      </c>
      <c r="B5452" t="s">
        <v>9</v>
      </c>
      <c r="C5452" t="s">
        <v>10</v>
      </c>
      <c r="D5452" t="s">
        <v>11</v>
      </c>
      <c r="E5452">
        <v>88.85</v>
      </c>
      <c r="F5452">
        <v>10</v>
      </c>
      <c r="G5452">
        <v>888.5</v>
      </c>
      <c r="H5452" t="s">
        <v>12</v>
      </c>
      <c r="I5452" t="str">
        <f t="shared" si="256"/>
        <v>Low Value</v>
      </c>
      <c r="J5452" t="str">
        <f t="shared" si="257"/>
        <v>High Risk</v>
      </c>
      <c r="K5452" s="3" t="str">
        <f t="shared" si="255"/>
        <v>0-1 Year</v>
      </c>
    </row>
    <row r="5453" spans="1:11" x14ac:dyDescent="0.3">
      <c r="A5453" t="s">
        <v>5470</v>
      </c>
      <c r="B5453" t="s">
        <v>14</v>
      </c>
      <c r="C5453" t="s">
        <v>30</v>
      </c>
      <c r="D5453" t="s">
        <v>24</v>
      </c>
      <c r="E5453">
        <v>20.05</v>
      </c>
      <c r="F5453">
        <v>34</v>
      </c>
      <c r="G5453">
        <v>681.7</v>
      </c>
      <c r="H5453" t="s">
        <v>12</v>
      </c>
      <c r="I5453" t="str">
        <f t="shared" si="256"/>
        <v>Low Value</v>
      </c>
      <c r="J5453" t="str">
        <f t="shared" si="257"/>
        <v>Low Risk</v>
      </c>
      <c r="K5453" s="3" t="str">
        <f t="shared" si="255"/>
        <v>2-4 Years</v>
      </c>
    </row>
    <row r="5454" spans="1:11" x14ac:dyDescent="0.3">
      <c r="A5454" t="s">
        <v>5471</v>
      </c>
      <c r="B5454" t="s">
        <v>9</v>
      </c>
      <c r="C5454" t="s">
        <v>30</v>
      </c>
      <c r="D5454" t="s">
        <v>16</v>
      </c>
      <c r="E5454">
        <v>65.099999999999994</v>
      </c>
      <c r="F5454">
        <v>62</v>
      </c>
      <c r="G5454">
        <v>4036.2</v>
      </c>
      <c r="H5454" t="s">
        <v>12</v>
      </c>
      <c r="I5454" t="str">
        <f t="shared" si="256"/>
        <v>Medium Value</v>
      </c>
      <c r="J5454" t="str">
        <f t="shared" si="257"/>
        <v>Low Risk</v>
      </c>
      <c r="K5454" s="3" t="str">
        <f t="shared" si="255"/>
        <v>4+ Years</v>
      </c>
    </row>
    <row r="5455" spans="1:11" x14ac:dyDescent="0.3">
      <c r="A5455" t="s">
        <v>5472</v>
      </c>
      <c r="B5455" t="s">
        <v>14</v>
      </c>
      <c r="C5455" t="s">
        <v>15</v>
      </c>
      <c r="D5455" t="s">
        <v>16</v>
      </c>
      <c r="E5455">
        <v>70.150000000000006</v>
      </c>
      <c r="F5455">
        <v>64</v>
      </c>
      <c r="G5455">
        <v>4489.6000000000004</v>
      </c>
      <c r="H5455" t="s">
        <v>12</v>
      </c>
      <c r="I5455" t="str">
        <f t="shared" si="256"/>
        <v>Medium Value</v>
      </c>
      <c r="J5455" t="str">
        <f t="shared" si="257"/>
        <v>Low Risk</v>
      </c>
      <c r="K5455" s="3" t="str">
        <f t="shared" si="255"/>
        <v>4+ Years</v>
      </c>
    </row>
    <row r="5456" spans="1:11" x14ac:dyDescent="0.3">
      <c r="A5456" t="s">
        <v>5473</v>
      </c>
      <c r="B5456" t="s">
        <v>9</v>
      </c>
      <c r="C5456" t="s">
        <v>10</v>
      </c>
      <c r="D5456" t="s">
        <v>20</v>
      </c>
      <c r="E5456">
        <v>44.35</v>
      </c>
      <c r="F5456">
        <v>1</v>
      </c>
      <c r="G5456">
        <v>44.35</v>
      </c>
      <c r="H5456" t="s">
        <v>18</v>
      </c>
      <c r="I5456" t="str">
        <f t="shared" si="256"/>
        <v>Low Value</v>
      </c>
      <c r="J5456" t="str">
        <f t="shared" si="257"/>
        <v>High Risk</v>
      </c>
      <c r="K5456" s="3" t="str">
        <f t="shared" si="255"/>
        <v>0-1 Year</v>
      </c>
    </row>
    <row r="5457" spans="1:11" x14ac:dyDescent="0.3">
      <c r="A5457" t="s">
        <v>5474</v>
      </c>
      <c r="B5457" t="s">
        <v>14</v>
      </c>
      <c r="C5457" t="s">
        <v>30</v>
      </c>
      <c r="D5457" t="s">
        <v>16</v>
      </c>
      <c r="E5457">
        <v>20.75</v>
      </c>
      <c r="F5457">
        <v>25</v>
      </c>
      <c r="G5457">
        <v>518.75</v>
      </c>
      <c r="H5457" t="s">
        <v>12</v>
      </c>
      <c r="I5457" t="str">
        <f t="shared" si="256"/>
        <v>Low Value</v>
      </c>
      <c r="J5457" t="str">
        <f t="shared" si="257"/>
        <v>Low Risk</v>
      </c>
      <c r="K5457" s="3" t="str">
        <f t="shared" si="255"/>
        <v>2-4 Years</v>
      </c>
    </row>
    <row r="5458" spans="1:11" x14ac:dyDescent="0.3">
      <c r="A5458" t="s">
        <v>5475</v>
      </c>
      <c r="B5458" t="s">
        <v>9</v>
      </c>
      <c r="C5458" t="s">
        <v>15</v>
      </c>
      <c r="D5458" t="s">
        <v>16</v>
      </c>
      <c r="E5458">
        <v>56.05</v>
      </c>
      <c r="F5458">
        <v>26</v>
      </c>
      <c r="G5458">
        <v>1457.3</v>
      </c>
      <c r="H5458" t="s">
        <v>12</v>
      </c>
      <c r="I5458" t="str">
        <f t="shared" si="256"/>
        <v>Low Value</v>
      </c>
      <c r="J5458" t="str">
        <f t="shared" si="257"/>
        <v>Low Risk</v>
      </c>
      <c r="K5458" s="3" t="str">
        <f t="shared" si="255"/>
        <v>2-4 Years</v>
      </c>
    </row>
    <row r="5459" spans="1:11" x14ac:dyDescent="0.3">
      <c r="A5459" t="s">
        <v>5476</v>
      </c>
      <c r="B5459" t="s">
        <v>14</v>
      </c>
      <c r="C5459" t="s">
        <v>15</v>
      </c>
      <c r="D5459" t="s">
        <v>20</v>
      </c>
      <c r="E5459">
        <v>19.95</v>
      </c>
      <c r="F5459">
        <v>10</v>
      </c>
      <c r="G5459">
        <v>199.5</v>
      </c>
      <c r="H5459" t="s">
        <v>12</v>
      </c>
      <c r="I5459" t="str">
        <f t="shared" si="256"/>
        <v>Low Value</v>
      </c>
      <c r="J5459" t="str">
        <f t="shared" si="257"/>
        <v>High Risk</v>
      </c>
      <c r="K5459" s="3" t="str">
        <f t="shared" si="255"/>
        <v>0-1 Year</v>
      </c>
    </row>
    <row r="5460" spans="1:11" x14ac:dyDescent="0.3">
      <c r="A5460" t="s">
        <v>5477</v>
      </c>
      <c r="B5460" t="s">
        <v>9</v>
      </c>
      <c r="C5460" t="s">
        <v>15</v>
      </c>
      <c r="D5460" t="s">
        <v>16</v>
      </c>
      <c r="E5460">
        <v>98.6</v>
      </c>
      <c r="F5460">
        <v>53</v>
      </c>
      <c r="G5460">
        <v>5225.7999999999902</v>
      </c>
      <c r="H5460" t="s">
        <v>12</v>
      </c>
      <c r="I5460" t="str">
        <f t="shared" si="256"/>
        <v>High Value</v>
      </c>
      <c r="J5460" t="str">
        <f t="shared" si="257"/>
        <v>Low Risk</v>
      </c>
      <c r="K5460" s="3" t="str">
        <f t="shared" si="255"/>
        <v>4+ Years</v>
      </c>
    </row>
    <row r="5461" spans="1:11" x14ac:dyDescent="0.3">
      <c r="A5461" t="s">
        <v>5478</v>
      </c>
      <c r="B5461" t="s">
        <v>9</v>
      </c>
      <c r="C5461" t="s">
        <v>10</v>
      </c>
      <c r="D5461" t="s">
        <v>11</v>
      </c>
      <c r="E5461">
        <v>79.7</v>
      </c>
      <c r="F5461">
        <v>7</v>
      </c>
      <c r="G5461">
        <v>557.9</v>
      </c>
      <c r="H5461" t="s">
        <v>18</v>
      </c>
      <c r="I5461" t="str">
        <f t="shared" si="256"/>
        <v>Low Value</v>
      </c>
      <c r="J5461" t="str">
        <f t="shared" si="257"/>
        <v>High Risk</v>
      </c>
      <c r="K5461" s="3" t="str">
        <f t="shared" si="255"/>
        <v>0-1 Year</v>
      </c>
    </row>
    <row r="5462" spans="1:11" x14ac:dyDescent="0.3">
      <c r="A5462" t="s">
        <v>5479</v>
      </c>
      <c r="B5462" t="s">
        <v>14</v>
      </c>
      <c r="C5462" t="s">
        <v>10</v>
      </c>
      <c r="D5462" t="s">
        <v>24</v>
      </c>
      <c r="E5462">
        <v>79</v>
      </c>
      <c r="F5462">
        <v>33</v>
      </c>
      <c r="G5462">
        <v>2607</v>
      </c>
      <c r="H5462" t="s">
        <v>12</v>
      </c>
      <c r="I5462" t="str">
        <f t="shared" si="256"/>
        <v>Medium Value</v>
      </c>
      <c r="J5462" t="str">
        <f t="shared" si="257"/>
        <v>Low Risk</v>
      </c>
      <c r="K5462" s="3" t="str">
        <f t="shared" si="255"/>
        <v>2-4 Years</v>
      </c>
    </row>
    <row r="5463" spans="1:11" x14ac:dyDescent="0.3">
      <c r="A5463" t="s">
        <v>5480</v>
      </c>
      <c r="B5463" t="s">
        <v>9</v>
      </c>
      <c r="C5463" t="s">
        <v>30</v>
      </c>
      <c r="D5463" t="s">
        <v>24</v>
      </c>
      <c r="E5463">
        <v>89.45</v>
      </c>
      <c r="F5463">
        <v>71</v>
      </c>
      <c r="G5463">
        <v>6350.95</v>
      </c>
      <c r="H5463" t="s">
        <v>12</v>
      </c>
      <c r="I5463" t="str">
        <f t="shared" si="256"/>
        <v>High Value</v>
      </c>
      <c r="J5463" t="str">
        <f t="shared" si="257"/>
        <v>Low Risk</v>
      </c>
      <c r="K5463" s="3" t="str">
        <f t="shared" si="255"/>
        <v>4+ Years</v>
      </c>
    </row>
    <row r="5464" spans="1:11" x14ac:dyDescent="0.3">
      <c r="A5464" t="s">
        <v>5481</v>
      </c>
      <c r="B5464" t="s">
        <v>9</v>
      </c>
      <c r="C5464" t="s">
        <v>10</v>
      </c>
      <c r="D5464" t="s">
        <v>11</v>
      </c>
      <c r="E5464">
        <v>74.2</v>
      </c>
      <c r="F5464">
        <v>29</v>
      </c>
      <c r="G5464">
        <v>2151.8000000000002</v>
      </c>
      <c r="H5464" t="s">
        <v>12</v>
      </c>
      <c r="I5464" t="str">
        <f t="shared" si="256"/>
        <v>Medium Value</v>
      </c>
      <c r="J5464" t="str">
        <f t="shared" si="257"/>
        <v>Low Risk</v>
      </c>
      <c r="K5464" s="3" t="str">
        <f t="shared" si="255"/>
        <v>2-4 Years</v>
      </c>
    </row>
    <row r="5465" spans="1:11" x14ac:dyDescent="0.3">
      <c r="A5465" t="s">
        <v>5482</v>
      </c>
      <c r="B5465" t="s">
        <v>14</v>
      </c>
      <c r="C5465" t="s">
        <v>10</v>
      </c>
      <c r="D5465" t="s">
        <v>20</v>
      </c>
      <c r="E5465">
        <v>81</v>
      </c>
      <c r="F5465">
        <v>24</v>
      </c>
      <c r="G5465">
        <v>1944</v>
      </c>
      <c r="H5465" t="s">
        <v>12</v>
      </c>
      <c r="I5465" t="str">
        <f t="shared" si="256"/>
        <v>Low Value</v>
      </c>
      <c r="J5465" t="str">
        <f t="shared" si="257"/>
        <v>Low Risk</v>
      </c>
      <c r="K5465" s="3" t="str">
        <f t="shared" si="255"/>
        <v>1-2 Years</v>
      </c>
    </row>
    <row r="5466" spans="1:11" x14ac:dyDescent="0.3">
      <c r="A5466" t="s">
        <v>5483</v>
      </c>
      <c r="B5466" t="s">
        <v>14</v>
      </c>
      <c r="C5466" t="s">
        <v>10</v>
      </c>
      <c r="D5466" t="s">
        <v>11</v>
      </c>
      <c r="E5466">
        <v>49.6</v>
      </c>
      <c r="F5466">
        <v>20</v>
      </c>
      <c r="G5466">
        <v>992</v>
      </c>
      <c r="H5466" t="s">
        <v>12</v>
      </c>
      <c r="I5466" t="str">
        <f t="shared" si="256"/>
        <v>Low Value</v>
      </c>
      <c r="J5466" t="str">
        <f t="shared" si="257"/>
        <v>Medium Risk</v>
      </c>
      <c r="K5466" s="3" t="str">
        <f t="shared" si="255"/>
        <v>1-2 Years</v>
      </c>
    </row>
    <row r="5467" spans="1:11" x14ac:dyDescent="0.3">
      <c r="A5467" t="s">
        <v>5484</v>
      </c>
      <c r="B5467" t="s">
        <v>9</v>
      </c>
      <c r="C5467" t="s">
        <v>10</v>
      </c>
      <c r="D5467" t="s">
        <v>11</v>
      </c>
      <c r="E5467">
        <v>84.6</v>
      </c>
      <c r="F5467">
        <v>1</v>
      </c>
      <c r="G5467">
        <v>84.6</v>
      </c>
      <c r="H5467" t="s">
        <v>12</v>
      </c>
      <c r="I5467" t="str">
        <f t="shared" si="256"/>
        <v>Low Value</v>
      </c>
      <c r="J5467" t="str">
        <f t="shared" si="257"/>
        <v>High Risk</v>
      </c>
      <c r="K5467" s="3" t="str">
        <f t="shared" si="255"/>
        <v>0-1 Year</v>
      </c>
    </row>
    <row r="5468" spans="1:11" x14ac:dyDescent="0.3">
      <c r="A5468" t="s">
        <v>5485</v>
      </c>
      <c r="B5468" t="s">
        <v>14</v>
      </c>
      <c r="C5468" t="s">
        <v>10</v>
      </c>
      <c r="D5468" t="s">
        <v>24</v>
      </c>
      <c r="E5468">
        <v>55</v>
      </c>
      <c r="F5468">
        <v>54</v>
      </c>
      <c r="G5468">
        <v>2970</v>
      </c>
      <c r="H5468" t="s">
        <v>18</v>
      </c>
      <c r="I5468" t="str">
        <f t="shared" si="256"/>
        <v>Medium Value</v>
      </c>
      <c r="J5468" t="str">
        <f t="shared" si="257"/>
        <v>Low Risk</v>
      </c>
      <c r="K5468" s="3" t="str">
        <f t="shared" si="255"/>
        <v>4+ Years</v>
      </c>
    </row>
    <row r="5469" spans="1:11" x14ac:dyDescent="0.3">
      <c r="A5469" t="s">
        <v>5486</v>
      </c>
      <c r="B5469" t="s">
        <v>9</v>
      </c>
      <c r="C5469" t="s">
        <v>10</v>
      </c>
      <c r="D5469" t="s">
        <v>16</v>
      </c>
      <c r="E5469">
        <v>84.85</v>
      </c>
      <c r="F5469">
        <v>5</v>
      </c>
      <c r="G5469">
        <v>424.25</v>
      </c>
      <c r="H5469" t="s">
        <v>18</v>
      </c>
      <c r="I5469" t="str">
        <f t="shared" si="256"/>
        <v>Low Value</v>
      </c>
      <c r="J5469" t="str">
        <f t="shared" si="257"/>
        <v>High Risk</v>
      </c>
      <c r="K5469" s="3" t="str">
        <f t="shared" si="255"/>
        <v>0-1 Year</v>
      </c>
    </row>
    <row r="5470" spans="1:11" x14ac:dyDescent="0.3">
      <c r="A5470" t="s">
        <v>5487</v>
      </c>
      <c r="B5470" t="s">
        <v>9</v>
      </c>
      <c r="C5470" t="s">
        <v>30</v>
      </c>
      <c r="D5470" t="s">
        <v>20</v>
      </c>
      <c r="E5470">
        <v>84.2</v>
      </c>
      <c r="F5470">
        <v>72</v>
      </c>
      <c r="G5470">
        <v>6062.4</v>
      </c>
      <c r="H5470" t="s">
        <v>12</v>
      </c>
      <c r="I5470" t="str">
        <f t="shared" si="256"/>
        <v>High Value</v>
      </c>
      <c r="J5470" t="str">
        <f t="shared" si="257"/>
        <v>Low Risk</v>
      </c>
      <c r="K5470" s="3" t="str">
        <f t="shared" si="255"/>
        <v>4+ Years</v>
      </c>
    </row>
    <row r="5471" spans="1:11" x14ac:dyDescent="0.3">
      <c r="A5471" t="s">
        <v>5488</v>
      </c>
      <c r="B5471" t="s">
        <v>14</v>
      </c>
      <c r="C5471" t="s">
        <v>30</v>
      </c>
      <c r="D5471" t="s">
        <v>11</v>
      </c>
      <c r="E5471">
        <v>106.3</v>
      </c>
      <c r="F5471">
        <v>52</v>
      </c>
      <c r="G5471">
        <v>5527.5999999999904</v>
      </c>
      <c r="H5471" t="s">
        <v>12</v>
      </c>
      <c r="I5471" t="str">
        <f t="shared" si="256"/>
        <v>High Value</v>
      </c>
      <c r="J5471" t="str">
        <f t="shared" si="257"/>
        <v>Low Risk</v>
      </c>
      <c r="K5471" s="3" t="str">
        <f t="shared" si="255"/>
        <v>4+ Years</v>
      </c>
    </row>
    <row r="5472" spans="1:11" x14ac:dyDescent="0.3">
      <c r="A5472" t="s">
        <v>5489</v>
      </c>
      <c r="B5472" t="s">
        <v>9</v>
      </c>
      <c r="C5472" t="s">
        <v>10</v>
      </c>
      <c r="D5472" t="s">
        <v>11</v>
      </c>
      <c r="E5472">
        <v>69.05</v>
      </c>
      <c r="F5472">
        <v>9</v>
      </c>
      <c r="G5472">
        <v>621.44999999999902</v>
      </c>
      <c r="H5472" t="s">
        <v>12</v>
      </c>
      <c r="I5472" t="str">
        <f t="shared" si="256"/>
        <v>Low Value</v>
      </c>
      <c r="J5472" t="str">
        <f t="shared" si="257"/>
        <v>High Risk</v>
      </c>
      <c r="K5472" s="3" t="str">
        <f t="shared" si="255"/>
        <v>0-1 Year</v>
      </c>
    </row>
    <row r="5473" spans="1:11" x14ac:dyDescent="0.3">
      <c r="A5473" t="s">
        <v>5490</v>
      </c>
      <c r="B5473" t="s">
        <v>9</v>
      </c>
      <c r="C5473" t="s">
        <v>10</v>
      </c>
      <c r="D5473" t="s">
        <v>16</v>
      </c>
      <c r="E5473">
        <v>45.4</v>
      </c>
      <c r="F5473">
        <v>1</v>
      </c>
      <c r="G5473">
        <v>45.4</v>
      </c>
      <c r="H5473" t="s">
        <v>12</v>
      </c>
      <c r="I5473" t="str">
        <f t="shared" si="256"/>
        <v>Low Value</v>
      </c>
      <c r="J5473" t="str">
        <f t="shared" si="257"/>
        <v>High Risk</v>
      </c>
      <c r="K5473" s="3" t="str">
        <f t="shared" si="255"/>
        <v>0-1 Year</v>
      </c>
    </row>
    <row r="5474" spans="1:11" x14ac:dyDescent="0.3">
      <c r="A5474" t="s">
        <v>5491</v>
      </c>
      <c r="B5474" t="s">
        <v>14</v>
      </c>
      <c r="C5474" t="s">
        <v>10</v>
      </c>
      <c r="D5474" t="s">
        <v>11</v>
      </c>
      <c r="E5474">
        <v>73.650000000000006</v>
      </c>
      <c r="F5474">
        <v>1</v>
      </c>
      <c r="G5474">
        <v>73.650000000000006</v>
      </c>
      <c r="H5474" t="s">
        <v>18</v>
      </c>
      <c r="I5474" t="str">
        <f t="shared" si="256"/>
        <v>Low Value</v>
      </c>
      <c r="J5474" t="str">
        <f t="shared" si="257"/>
        <v>High Risk</v>
      </c>
      <c r="K5474" s="3" t="str">
        <f t="shared" si="255"/>
        <v>0-1 Year</v>
      </c>
    </row>
    <row r="5475" spans="1:11" x14ac:dyDescent="0.3">
      <c r="A5475" t="s">
        <v>5492</v>
      </c>
      <c r="B5475" t="s">
        <v>14</v>
      </c>
      <c r="C5475" t="s">
        <v>15</v>
      </c>
      <c r="D5475" t="s">
        <v>16</v>
      </c>
      <c r="E5475">
        <v>73.900000000000006</v>
      </c>
      <c r="F5475">
        <v>33</v>
      </c>
      <c r="G5475">
        <v>2438.6999999999998</v>
      </c>
      <c r="H5475" t="s">
        <v>18</v>
      </c>
      <c r="I5475" t="str">
        <f t="shared" si="256"/>
        <v>Medium Value</v>
      </c>
      <c r="J5475" t="str">
        <f t="shared" si="257"/>
        <v>Low Risk</v>
      </c>
      <c r="K5475" s="3" t="str">
        <f t="shared" si="255"/>
        <v>2-4 Years</v>
      </c>
    </row>
    <row r="5476" spans="1:11" x14ac:dyDescent="0.3">
      <c r="A5476" t="s">
        <v>5493</v>
      </c>
      <c r="B5476" t="s">
        <v>9</v>
      </c>
      <c r="C5476" t="s">
        <v>10</v>
      </c>
      <c r="D5476" t="s">
        <v>11</v>
      </c>
      <c r="E5476">
        <v>77.75</v>
      </c>
      <c r="F5476">
        <v>55</v>
      </c>
      <c r="G5476">
        <v>4276.25</v>
      </c>
      <c r="H5476" t="s">
        <v>18</v>
      </c>
      <c r="I5476" t="str">
        <f t="shared" si="256"/>
        <v>Medium Value</v>
      </c>
      <c r="J5476" t="str">
        <f t="shared" si="257"/>
        <v>Low Risk</v>
      </c>
      <c r="K5476" s="3" t="str">
        <f t="shared" si="255"/>
        <v>4+ Years</v>
      </c>
    </row>
    <row r="5477" spans="1:11" x14ac:dyDescent="0.3">
      <c r="A5477" t="s">
        <v>5494</v>
      </c>
      <c r="B5477" t="s">
        <v>14</v>
      </c>
      <c r="C5477" t="s">
        <v>30</v>
      </c>
      <c r="D5477" t="s">
        <v>11</v>
      </c>
      <c r="E5477">
        <v>99.35</v>
      </c>
      <c r="F5477">
        <v>69</v>
      </c>
      <c r="G5477">
        <v>6855.15</v>
      </c>
      <c r="H5477" t="s">
        <v>12</v>
      </c>
      <c r="I5477" t="str">
        <f t="shared" si="256"/>
        <v>High Value</v>
      </c>
      <c r="J5477" t="str">
        <f t="shared" si="257"/>
        <v>Low Risk</v>
      </c>
      <c r="K5477" s="3" t="str">
        <f t="shared" si="255"/>
        <v>4+ Years</v>
      </c>
    </row>
    <row r="5478" spans="1:11" x14ac:dyDescent="0.3">
      <c r="A5478" t="s">
        <v>5495</v>
      </c>
      <c r="B5478" t="s">
        <v>14</v>
      </c>
      <c r="C5478" t="s">
        <v>10</v>
      </c>
      <c r="D5478" t="s">
        <v>16</v>
      </c>
      <c r="E5478">
        <v>50.75</v>
      </c>
      <c r="F5478">
        <v>1</v>
      </c>
      <c r="G5478">
        <v>50.75</v>
      </c>
      <c r="H5478" t="s">
        <v>12</v>
      </c>
      <c r="I5478" t="str">
        <f t="shared" si="256"/>
        <v>Low Value</v>
      </c>
      <c r="J5478" t="str">
        <f t="shared" si="257"/>
        <v>High Risk</v>
      </c>
      <c r="K5478" s="3" t="str">
        <f t="shared" si="255"/>
        <v>0-1 Year</v>
      </c>
    </row>
    <row r="5479" spans="1:11" x14ac:dyDescent="0.3">
      <c r="A5479" t="s">
        <v>5496</v>
      </c>
      <c r="B5479" t="s">
        <v>14</v>
      </c>
      <c r="C5479" t="s">
        <v>30</v>
      </c>
      <c r="D5479" t="s">
        <v>20</v>
      </c>
      <c r="E5479">
        <v>87.1</v>
      </c>
      <c r="F5479">
        <v>54</v>
      </c>
      <c r="G5479">
        <v>4703.3999999999996</v>
      </c>
      <c r="H5479" t="s">
        <v>12</v>
      </c>
      <c r="I5479" t="str">
        <f t="shared" si="256"/>
        <v>Medium Value</v>
      </c>
      <c r="J5479" t="str">
        <f t="shared" si="257"/>
        <v>Low Risk</v>
      </c>
      <c r="K5479" s="3" t="str">
        <f t="shared" si="255"/>
        <v>4+ Years</v>
      </c>
    </row>
    <row r="5480" spans="1:11" x14ac:dyDescent="0.3">
      <c r="A5480" t="s">
        <v>5497</v>
      </c>
      <c r="B5480" t="s">
        <v>14</v>
      </c>
      <c r="C5480" t="s">
        <v>15</v>
      </c>
      <c r="D5480" t="s">
        <v>16</v>
      </c>
      <c r="E5480">
        <v>20.149999999999999</v>
      </c>
      <c r="F5480">
        <v>33</v>
      </c>
      <c r="G5480">
        <v>664.94999999999902</v>
      </c>
      <c r="H5480" t="s">
        <v>12</v>
      </c>
      <c r="I5480" t="str">
        <f t="shared" si="256"/>
        <v>Low Value</v>
      </c>
      <c r="J5480" t="str">
        <f t="shared" si="257"/>
        <v>Low Risk</v>
      </c>
      <c r="K5480" s="3" t="str">
        <f t="shared" si="255"/>
        <v>2-4 Years</v>
      </c>
    </row>
    <row r="5481" spans="1:11" x14ac:dyDescent="0.3">
      <c r="A5481" t="s">
        <v>5498</v>
      </c>
      <c r="B5481" t="s">
        <v>14</v>
      </c>
      <c r="C5481" t="s">
        <v>15</v>
      </c>
      <c r="D5481" t="s">
        <v>20</v>
      </c>
      <c r="E5481">
        <v>98.7</v>
      </c>
      <c r="F5481">
        <v>45</v>
      </c>
      <c r="G5481">
        <v>4441.5</v>
      </c>
      <c r="H5481" t="s">
        <v>12</v>
      </c>
      <c r="I5481" t="str">
        <f t="shared" si="256"/>
        <v>Medium Value</v>
      </c>
      <c r="J5481" t="str">
        <f t="shared" si="257"/>
        <v>Low Risk</v>
      </c>
      <c r="K5481" s="3" t="str">
        <f t="shared" si="255"/>
        <v>2-4 Years</v>
      </c>
    </row>
    <row r="5482" spans="1:11" x14ac:dyDescent="0.3">
      <c r="A5482" t="s">
        <v>5499</v>
      </c>
      <c r="B5482" t="s">
        <v>9</v>
      </c>
      <c r="C5482" t="s">
        <v>10</v>
      </c>
      <c r="D5482" t="s">
        <v>11</v>
      </c>
      <c r="E5482">
        <v>25.2</v>
      </c>
      <c r="F5482">
        <v>11</v>
      </c>
      <c r="G5482">
        <v>277.2</v>
      </c>
      <c r="H5482" t="s">
        <v>12</v>
      </c>
      <c r="I5482" t="str">
        <f t="shared" si="256"/>
        <v>Low Value</v>
      </c>
      <c r="J5482" t="str">
        <f t="shared" si="257"/>
        <v>High Risk</v>
      </c>
      <c r="K5482" s="3" t="str">
        <f t="shared" si="255"/>
        <v>0-1 Year</v>
      </c>
    </row>
    <row r="5483" spans="1:11" x14ac:dyDescent="0.3">
      <c r="A5483" t="s">
        <v>5500</v>
      </c>
      <c r="B5483" t="s">
        <v>14</v>
      </c>
      <c r="C5483" t="s">
        <v>10</v>
      </c>
      <c r="D5483" t="s">
        <v>20</v>
      </c>
      <c r="E5483">
        <v>55.7</v>
      </c>
      <c r="F5483">
        <v>6</v>
      </c>
      <c r="G5483">
        <v>334.2</v>
      </c>
      <c r="H5483" t="s">
        <v>12</v>
      </c>
      <c r="I5483" t="str">
        <f t="shared" si="256"/>
        <v>Low Value</v>
      </c>
      <c r="J5483" t="str">
        <f t="shared" si="257"/>
        <v>High Risk</v>
      </c>
      <c r="K5483" s="3" t="str">
        <f t="shared" si="255"/>
        <v>0-1 Year</v>
      </c>
    </row>
    <row r="5484" spans="1:11" x14ac:dyDescent="0.3">
      <c r="A5484" t="s">
        <v>5501</v>
      </c>
      <c r="B5484" t="s">
        <v>14</v>
      </c>
      <c r="C5484" t="s">
        <v>10</v>
      </c>
      <c r="D5484" t="s">
        <v>20</v>
      </c>
      <c r="E5484">
        <v>65.349999999999994</v>
      </c>
      <c r="F5484">
        <v>21</v>
      </c>
      <c r="G5484">
        <v>1372.35</v>
      </c>
      <c r="H5484" t="s">
        <v>12</v>
      </c>
      <c r="I5484" t="str">
        <f t="shared" si="256"/>
        <v>Low Value</v>
      </c>
      <c r="J5484" t="str">
        <f t="shared" si="257"/>
        <v>Medium Risk</v>
      </c>
      <c r="K5484" s="3" t="str">
        <f t="shared" si="255"/>
        <v>1-2 Years</v>
      </c>
    </row>
    <row r="5485" spans="1:11" x14ac:dyDescent="0.3">
      <c r="A5485" t="s">
        <v>5502</v>
      </c>
      <c r="B5485" t="s">
        <v>9</v>
      </c>
      <c r="C5485" t="s">
        <v>30</v>
      </c>
      <c r="D5485" t="s">
        <v>20</v>
      </c>
      <c r="E5485">
        <v>25.3</v>
      </c>
      <c r="F5485">
        <v>65</v>
      </c>
      <c r="G5485">
        <v>1644.5</v>
      </c>
      <c r="H5485" t="s">
        <v>12</v>
      </c>
      <c r="I5485" t="str">
        <f t="shared" si="256"/>
        <v>Low Value</v>
      </c>
      <c r="J5485" t="str">
        <f t="shared" si="257"/>
        <v>Low Risk</v>
      </c>
      <c r="K5485" s="3" t="str">
        <f t="shared" si="255"/>
        <v>4+ Years</v>
      </c>
    </row>
    <row r="5486" spans="1:11" x14ac:dyDescent="0.3">
      <c r="A5486" t="s">
        <v>5503</v>
      </c>
      <c r="B5486" t="s">
        <v>9</v>
      </c>
      <c r="C5486" t="s">
        <v>10</v>
      </c>
      <c r="D5486" t="s">
        <v>11</v>
      </c>
      <c r="E5486">
        <v>84.35</v>
      </c>
      <c r="F5486">
        <v>6</v>
      </c>
      <c r="G5486">
        <v>506.099999999999</v>
      </c>
      <c r="H5486" t="s">
        <v>18</v>
      </c>
      <c r="I5486" t="str">
        <f t="shared" si="256"/>
        <v>Low Value</v>
      </c>
      <c r="J5486" t="str">
        <f t="shared" si="257"/>
        <v>High Risk</v>
      </c>
      <c r="K5486" s="3" t="str">
        <f t="shared" si="255"/>
        <v>0-1 Year</v>
      </c>
    </row>
    <row r="5487" spans="1:11" x14ac:dyDescent="0.3">
      <c r="A5487" t="s">
        <v>5504</v>
      </c>
      <c r="B5487" t="s">
        <v>9</v>
      </c>
      <c r="C5487" t="s">
        <v>10</v>
      </c>
      <c r="D5487" t="s">
        <v>11</v>
      </c>
      <c r="E5487">
        <v>84.95</v>
      </c>
      <c r="F5487">
        <v>8</v>
      </c>
      <c r="G5487">
        <v>679.6</v>
      </c>
      <c r="H5487" t="s">
        <v>18</v>
      </c>
      <c r="I5487" t="str">
        <f t="shared" si="256"/>
        <v>Low Value</v>
      </c>
      <c r="J5487" t="str">
        <f t="shared" si="257"/>
        <v>High Risk</v>
      </c>
      <c r="K5487" s="3" t="str">
        <f t="shared" si="255"/>
        <v>0-1 Year</v>
      </c>
    </row>
    <row r="5488" spans="1:11" x14ac:dyDescent="0.3">
      <c r="A5488" t="s">
        <v>5505</v>
      </c>
      <c r="B5488" t="s">
        <v>14</v>
      </c>
      <c r="C5488" t="s">
        <v>10</v>
      </c>
      <c r="D5488" t="s">
        <v>11</v>
      </c>
      <c r="E5488">
        <v>73.849999999999994</v>
      </c>
      <c r="F5488">
        <v>11</v>
      </c>
      <c r="G5488">
        <v>812.349999999999</v>
      </c>
      <c r="H5488" t="s">
        <v>18</v>
      </c>
      <c r="I5488" t="str">
        <f t="shared" si="256"/>
        <v>Low Value</v>
      </c>
      <c r="J5488" t="str">
        <f t="shared" si="257"/>
        <v>High Risk</v>
      </c>
      <c r="K5488" s="3" t="str">
        <f t="shared" si="255"/>
        <v>0-1 Year</v>
      </c>
    </row>
    <row r="5489" spans="1:11" x14ac:dyDescent="0.3">
      <c r="A5489" t="s">
        <v>5506</v>
      </c>
      <c r="B5489" t="s">
        <v>14</v>
      </c>
      <c r="C5489" t="s">
        <v>30</v>
      </c>
      <c r="D5489" t="s">
        <v>16</v>
      </c>
      <c r="E5489">
        <v>24.25</v>
      </c>
      <c r="F5489">
        <v>43</v>
      </c>
      <c r="G5489">
        <v>1042.75</v>
      </c>
      <c r="H5489" t="s">
        <v>12</v>
      </c>
      <c r="I5489" t="str">
        <f t="shared" si="256"/>
        <v>Low Value</v>
      </c>
      <c r="J5489" t="str">
        <f t="shared" si="257"/>
        <v>Low Risk</v>
      </c>
      <c r="K5489" s="3" t="str">
        <f t="shared" si="255"/>
        <v>2-4 Years</v>
      </c>
    </row>
    <row r="5490" spans="1:11" x14ac:dyDescent="0.3">
      <c r="A5490" t="s">
        <v>5507</v>
      </c>
      <c r="B5490" t="s">
        <v>14</v>
      </c>
      <c r="C5490" t="s">
        <v>15</v>
      </c>
      <c r="D5490" t="s">
        <v>20</v>
      </c>
      <c r="E5490">
        <v>51.8</v>
      </c>
      <c r="F5490">
        <v>49</v>
      </c>
      <c r="G5490">
        <v>2538.1999999999998</v>
      </c>
      <c r="H5490" t="s">
        <v>18</v>
      </c>
      <c r="I5490" t="str">
        <f t="shared" si="256"/>
        <v>Medium Value</v>
      </c>
      <c r="J5490" t="str">
        <f t="shared" si="257"/>
        <v>Low Risk</v>
      </c>
      <c r="K5490" s="3" t="str">
        <f t="shared" si="255"/>
        <v>4+ Years</v>
      </c>
    </row>
    <row r="5491" spans="1:11" x14ac:dyDescent="0.3">
      <c r="A5491" t="s">
        <v>5508</v>
      </c>
      <c r="B5491" t="s">
        <v>9</v>
      </c>
      <c r="C5491" t="s">
        <v>10</v>
      </c>
      <c r="D5491" t="s">
        <v>11</v>
      </c>
      <c r="E5491">
        <v>46</v>
      </c>
      <c r="F5491">
        <v>1</v>
      </c>
      <c r="G5491">
        <v>46</v>
      </c>
      <c r="H5491" t="s">
        <v>18</v>
      </c>
      <c r="I5491" t="str">
        <f t="shared" si="256"/>
        <v>Low Value</v>
      </c>
      <c r="J5491" t="str">
        <f t="shared" si="257"/>
        <v>High Risk</v>
      </c>
      <c r="K5491" s="3" t="str">
        <f t="shared" si="255"/>
        <v>0-1 Year</v>
      </c>
    </row>
    <row r="5492" spans="1:11" x14ac:dyDescent="0.3">
      <c r="A5492" t="s">
        <v>5509</v>
      </c>
      <c r="B5492" t="s">
        <v>14</v>
      </c>
      <c r="C5492" t="s">
        <v>10</v>
      </c>
      <c r="D5492" t="s">
        <v>11</v>
      </c>
      <c r="E5492">
        <v>79.400000000000006</v>
      </c>
      <c r="F5492">
        <v>15</v>
      </c>
      <c r="G5492">
        <v>1191</v>
      </c>
      <c r="H5492" t="s">
        <v>18</v>
      </c>
      <c r="I5492" t="str">
        <f t="shared" si="256"/>
        <v>Low Value</v>
      </c>
      <c r="J5492" t="str">
        <f t="shared" si="257"/>
        <v>Medium Risk</v>
      </c>
      <c r="K5492" s="3" t="str">
        <f t="shared" si="255"/>
        <v>1-2 Years</v>
      </c>
    </row>
    <row r="5493" spans="1:11" x14ac:dyDescent="0.3">
      <c r="A5493" t="s">
        <v>5510</v>
      </c>
      <c r="B5493" t="s">
        <v>14</v>
      </c>
      <c r="C5493" t="s">
        <v>30</v>
      </c>
      <c r="D5493" t="s">
        <v>20</v>
      </c>
      <c r="E5493">
        <v>60.5</v>
      </c>
      <c r="F5493">
        <v>60</v>
      </c>
      <c r="G5493">
        <v>3630</v>
      </c>
      <c r="H5493" t="s">
        <v>12</v>
      </c>
      <c r="I5493" t="str">
        <f t="shared" si="256"/>
        <v>Medium Value</v>
      </c>
      <c r="J5493" t="str">
        <f t="shared" si="257"/>
        <v>Low Risk</v>
      </c>
      <c r="K5493" s="3" t="str">
        <f t="shared" si="255"/>
        <v>4+ Years</v>
      </c>
    </row>
    <row r="5494" spans="1:11" x14ac:dyDescent="0.3">
      <c r="A5494" t="s">
        <v>5511</v>
      </c>
      <c r="B5494" t="s">
        <v>14</v>
      </c>
      <c r="C5494" t="s">
        <v>10</v>
      </c>
      <c r="D5494" t="s">
        <v>24</v>
      </c>
      <c r="E5494">
        <v>25.1</v>
      </c>
      <c r="F5494">
        <v>17</v>
      </c>
      <c r="G5494">
        <v>426.7</v>
      </c>
      <c r="H5494" t="s">
        <v>12</v>
      </c>
      <c r="I5494" t="str">
        <f t="shared" si="256"/>
        <v>Low Value</v>
      </c>
      <c r="J5494" t="str">
        <f t="shared" si="257"/>
        <v>Medium Risk</v>
      </c>
      <c r="K5494" s="3" t="str">
        <f t="shared" si="255"/>
        <v>1-2 Years</v>
      </c>
    </row>
    <row r="5495" spans="1:11" x14ac:dyDescent="0.3">
      <c r="A5495" t="s">
        <v>5512</v>
      </c>
      <c r="B5495" t="s">
        <v>14</v>
      </c>
      <c r="C5495" t="s">
        <v>10</v>
      </c>
      <c r="D5495" t="s">
        <v>20</v>
      </c>
      <c r="E5495">
        <v>71.8</v>
      </c>
      <c r="F5495">
        <v>16</v>
      </c>
      <c r="G5495">
        <v>1148.8</v>
      </c>
      <c r="H5495" t="s">
        <v>18</v>
      </c>
      <c r="I5495" t="str">
        <f t="shared" si="256"/>
        <v>Low Value</v>
      </c>
      <c r="J5495" t="str">
        <f t="shared" si="257"/>
        <v>Medium Risk</v>
      </c>
      <c r="K5495" s="3" t="str">
        <f t="shared" si="255"/>
        <v>1-2 Years</v>
      </c>
    </row>
    <row r="5496" spans="1:11" x14ac:dyDescent="0.3">
      <c r="A5496" t="s">
        <v>5513</v>
      </c>
      <c r="B5496" t="s">
        <v>14</v>
      </c>
      <c r="C5496" t="s">
        <v>15</v>
      </c>
      <c r="D5496" t="s">
        <v>20</v>
      </c>
      <c r="E5496">
        <v>20.05</v>
      </c>
      <c r="F5496">
        <v>35</v>
      </c>
      <c r="G5496">
        <v>701.75</v>
      </c>
      <c r="H5496" t="s">
        <v>12</v>
      </c>
      <c r="I5496" t="str">
        <f t="shared" si="256"/>
        <v>Low Value</v>
      </c>
      <c r="J5496" t="str">
        <f t="shared" si="257"/>
        <v>Low Risk</v>
      </c>
      <c r="K5496" s="3" t="str">
        <f t="shared" si="255"/>
        <v>2-4 Years</v>
      </c>
    </row>
    <row r="5497" spans="1:11" x14ac:dyDescent="0.3">
      <c r="A5497" t="s">
        <v>5514</v>
      </c>
      <c r="B5497" t="s">
        <v>14</v>
      </c>
      <c r="C5497" t="s">
        <v>15</v>
      </c>
      <c r="D5497" t="s">
        <v>16</v>
      </c>
      <c r="E5497">
        <v>88.4</v>
      </c>
      <c r="F5497">
        <v>44</v>
      </c>
      <c r="G5497">
        <v>3889.6</v>
      </c>
      <c r="H5497" t="s">
        <v>18</v>
      </c>
      <c r="I5497" t="str">
        <f t="shared" si="256"/>
        <v>Medium Value</v>
      </c>
      <c r="J5497" t="str">
        <f t="shared" si="257"/>
        <v>Low Risk</v>
      </c>
      <c r="K5497" s="3" t="str">
        <f t="shared" si="255"/>
        <v>2-4 Years</v>
      </c>
    </row>
    <row r="5498" spans="1:11" x14ac:dyDescent="0.3">
      <c r="A5498" t="s">
        <v>5515</v>
      </c>
      <c r="B5498" t="s">
        <v>9</v>
      </c>
      <c r="C5498" t="s">
        <v>15</v>
      </c>
      <c r="D5498" t="s">
        <v>24</v>
      </c>
      <c r="E5498">
        <v>30.25</v>
      </c>
      <c r="F5498">
        <v>12</v>
      </c>
      <c r="G5498">
        <v>363</v>
      </c>
      <c r="H5498" t="s">
        <v>12</v>
      </c>
      <c r="I5498" t="str">
        <f t="shared" si="256"/>
        <v>Low Value</v>
      </c>
      <c r="J5498" t="str">
        <f t="shared" si="257"/>
        <v>Medium Risk</v>
      </c>
      <c r="K5498" s="3" t="str">
        <f t="shared" si="255"/>
        <v>0-1 Year</v>
      </c>
    </row>
    <row r="5499" spans="1:11" x14ac:dyDescent="0.3">
      <c r="A5499" t="s">
        <v>5516</v>
      </c>
      <c r="B5499" t="s">
        <v>14</v>
      </c>
      <c r="C5499" t="s">
        <v>10</v>
      </c>
      <c r="D5499" t="s">
        <v>16</v>
      </c>
      <c r="E5499">
        <v>20.2</v>
      </c>
      <c r="F5499">
        <v>1</v>
      </c>
      <c r="G5499">
        <v>20.2</v>
      </c>
      <c r="H5499" t="s">
        <v>12</v>
      </c>
      <c r="I5499" t="str">
        <f t="shared" si="256"/>
        <v>Low Value</v>
      </c>
      <c r="J5499" t="str">
        <f t="shared" si="257"/>
        <v>High Risk</v>
      </c>
      <c r="K5499" s="3" t="str">
        <f t="shared" si="255"/>
        <v>0-1 Year</v>
      </c>
    </row>
    <row r="5500" spans="1:11" x14ac:dyDescent="0.3">
      <c r="A5500" t="s">
        <v>5517</v>
      </c>
      <c r="B5500" t="s">
        <v>9</v>
      </c>
      <c r="C5500" t="s">
        <v>15</v>
      </c>
      <c r="D5500" t="s">
        <v>11</v>
      </c>
      <c r="E5500">
        <v>59.9</v>
      </c>
      <c r="F5500">
        <v>28</v>
      </c>
      <c r="G5500">
        <v>1677.2</v>
      </c>
      <c r="H5500" t="s">
        <v>12</v>
      </c>
      <c r="I5500" t="str">
        <f t="shared" si="256"/>
        <v>Low Value</v>
      </c>
      <c r="J5500" t="str">
        <f t="shared" si="257"/>
        <v>Low Risk</v>
      </c>
      <c r="K5500" s="3" t="str">
        <f t="shared" si="255"/>
        <v>2-4 Years</v>
      </c>
    </row>
    <row r="5501" spans="1:11" x14ac:dyDescent="0.3">
      <c r="A5501" t="s">
        <v>5518</v>
      </c>
      <c r="B5501" t="s">
        <v>14</v>
      </c>
      <c r="C5501" t="s">
        <v>30</v>
      </c>
      <c r="D5501" t="s">
        <v>20</v>
      </c>
      <c r="E5501">
        <v>25.15</v>
      </c>
      <c r="F5501">
        <v>70</v>
      </c>
      <c r="G5501">
        <v>1760.5</v>
      </c>
      <c r="H5501" t="s">
        <v>12</v>
      </c>
      <c r="I5501" t="str">
        <f t="shared" si="256"/>
        <v>Low Value</v>
      </c>
      <c r="J5501" t="str">
        <f t="shared" si="257"/>
        <v>Low Risk</v>
      </c>
      <c r="K5501" s="3" t="str">
        <f t="shared" si="255"/>
        <v>4+ Years</v>
      </c>
    </row>
    <row r="5502" spans="1:11" x14ac:dyDescent="0.3">
      <c r="A5502" t="s">
        <v>5519</v>
      </c>
      <c r="B5502" t="s">
        <v>9</v>
      </c>
      <c r="C5502" t="s">
        <v>10</v>
      </c>
      <c r="D5502" t="s">
        <v>16</v>
      </c>
      <c r="E5502">
        <v>46</v>
      </c>
      <c r="F5502">
        <v>5</v>
      </c>
      <c r="G5502">
        <v>230</v>
      </c>
      <c r="H5502" t="s">
        <v>18</v>
      </c>
      <c r="I5502" t="str">
        <f t="shared" si="256"/>
        <v>Low Value</v>
      </c>
      <c r="J5502" t="str">
        <f t="shared" si="257"/>
        <v>High Risk</v>
      </c>
      <c r="K5502" s="3" t="str">
        <f t="shared" si="255"/>
        <v>0-1 Year</v>
      </c>
    </row>
    <row r="5503" spans="1:11" x14ac:dyDescent="0.3">
      <c r="A5503" t="s">
        <v>5520</v>
      </c>
      <c r="B5503" t="s">
        <v>14</v>
      </c>
      <c r="C5503" t="s">
        <v>10</v>
      </c>
      <c r="D5503" t="s">
        <v>24</v>
      </c>
      <c r="E5503">
        <v>101.3</v>
      </c>
      <c r="F5503">
        <v>18</v>
      </c>
      <c r="G5503">
        <v>1823.3999999999901</v>
      </c>
      <c r="H5503" t="s">
        <v>12</v>
      </c>
      <c r="I5503" t="str">
        <f t="shared" si="256"/>
        <v>Low Value</v>
      </c>
      <c r="J5503" t="str">
        <f t="shared" si="257"/>
        <v>Medium Risk</v>
      </c>
      <c r="K5503" s="3" t="str">
        <f t="shared" si="255"/>
        <v>1-2 Years</v>
      </c>
    </row>
    <row r="5504" spans="1:11" x14ac:dyDescent="0.3">
      <c r="A5504" t="s">
        <v>5521</v>
      </c>
      <c r="B5504" t="s">
        <v>14</v>
      </c>
      <c r="C5504" t="s">
        <v>30</v>
      </c>
      <c r="D5504" t="s">
        <v>24</v>
      </c>
      <c r="E5504">
        <v>76.95</v>
      </c>
      <c r="F5504">
        <v>70</v>
      </c>
      <c r="G5504">
        <v>5386.5</v>
      </c>
      <c r="H5504" t="s">
        <v>12</v>
      </c>
      <c r="I5504" t="str">
        <f t="shared" si="256"/>
        <v>High Value</v>
      </c>
      <c r="J5504" t="str">
        <f t="shared" si="257"/>
        <v>Low Risk</v>
      </c>
      <c r="K5504" s="3" t="str">
        <f t="shared" si="255"/>
        <v>4+ Years</v>
      </c>
    </row>
    <row r="5505" spans="1:11" x14ac:dyDescent="0.3">
      <c r="A5505" t="s">
        <v>5522</v>
      </c>
      <c r="B5505" t="s">
        <v>9</v>
      </c>
      <c r="C5505" t="s">
        <v>10</v>
      </c>
      <c r="D5505" t="s">
        <v>16</v>
      </c>
      <c r="E5505">
        <v>55.3</v>
      </c>
      <c r="F5505">
        <v>9</v>
      </c>
      <c r="G5505">
        <v>497.7</v>
      </c>
      <c r="H5505" t="s">
        <v>12</v>
      </c>
      <c r="I5505" t="str">
        <f t="shared" si="256"/>
        <v>Low Value</v>
      </c>
      <c r="J5505" t="str">
        <f t="shared" si="257"/>
        <v>High Risk</v>
      </c>
      <c r="K5505" s="3" t="str">
        <f t="shared" si="255"/>
        <v>0-1 Year</v>
      </c>
    </row>
    <row r="5506" spans="1:11" x14ac:dyDescent="0.3">
      <c r="A5506" t="s">
        <v>5523</v>
      </c>
      <c r="B5506" t="s">
        <v>9</v>
      </c>
      <c r="C5506" t="s">
        <v>30</v>
      </c>
      <c r="D5506" t="s">
        <v>20</v>
      </c>
      <c r="E5506">
        <v>92.45</v>
      </c>
      <c r="F5506">
        <v>67</v>
      </c>
      <c r="G5506">
        <v>6194.15</v>
      </c>
      <c r="H5506" t="s">
        <v>12</v>
      </c>
      <c r="I5506" t="str">
        <f t="shared" si="256"/>
        <v>High Value</v>
      </c>
      <c r="J5506" t="str">
        <f t="shared" si="257"/>
        <v>Low Risk</v>
      </c>
      <c r="K5506" s="3" t="str">
        <f t="shared" si="255"/>
        <v>4+ Years</v>
      </c>
    </row>
    <row r="5507" spans="1:11" x14ac:dyDescent="0.3">
      <c r="A5507" t="s">
        <v>5524</v>
      </c>
      <c r="B5507" t="s">
        <v>9</v>
      </c>
      <c r="C5507" t="s">
        <v>10</v>
      </c>
      <c r="D5507" t="s">
        <v>20</v>
      </c>
      <c r="E5507">
        <v>48.45</v>
      </c>
      <c r="F5507">
        <v>1</v>
      </c>
      <c r="G5507">
        <v>48.45</v>
      </c>
      <c r="H5507" t="s">
        <v>12</v>
      </c>
      <c r="I5507" t="str">
        <f t="shared" si="256"/>
        <v>Low Value</v>
      </c>
      <c r="J5507" t="str">
        <f t="shared" si="257"/>
        <v>High Risk</v>
      </c>
      <c r="K5507" s="3" t="str">
        <f t="shared" ref="K5507:K5570" si="258">IF(F5507&lt;=12,"0-1 Year",
IF(F5507&lt;=24,"1-2 Years",
IF(F5507&lt;=48,"2-4 Years","4+ Years")))</f>
        <v>0-1 Year</v>
      </c>
    </row>
    <row r="5508" spans="1:11" x14ac:dyDescent="0.3">
      <c r="A5508" t="s">
        <v>5525</v>
      </c>
      <c r="B5508" t="s">
        <v>9</v>
      </c>
      <c r="C5508" t="s">
        <v>30</v>
      </c>
      <c r="D5508" t="s">
        <v>16</v>
      </c>
      <c r="E5508">
        <v>19.350000000000001</v>
      </c>
      <c r="F5508">
        <v>18</v>
      </c>
      <c r="G5508">
        <v>348.3</v>
      </c>
      <c r="H5508" t="s">
        <v>12</v>
      </c>
      <c r="I5508" t="str">
        <f t="shared" ref="I5508:I5571" si="259">IF(G5508&gt;5000,"High Value",
IF(G5508&gt;2000,"Medium Value","Low Value"))</f>
        <v>Low Value</v>
      </c>
      <c r="J5508" t="str">
        <f t="shared" ref="J5508:J5571" si="260">IF(F5508&lt;12,"High Risk",
IF(F5508&lt;24,"Medium Risk","Low Risk"))</f>
        <v>Medium Risk</v>
      </c>
      <c r="K5508" s="3" t="str">
        <f t="shared" si="258"/>
        <v>1-2 Years</v>
      </c>
    </row>
    <row r="5509" spans="1:11" x14ac:dyDescent="0.3">
      <c r="A5509" t="s">
        <v>5526</v>
      </c>
      <c r="B5509" t="s">
        <v>14</v>
      </c>
      <c r="C5509" t="s">
        <v>10</v>
      </c>
      <c r="D5509" t="s">
        <v>24</v>
      </c>
      <c r="E5509">
        <v>51.75</v>
      </c>
      <c r="F5509">
        <v>4</v>
      </c>
      <c r="G5509">
        <v>207</v>
      </c>
      <c r="H5509" t="s">
        <v>18</v>
      </c>
      <c r="I5509" t="str">
        <f t="shared" si="259"/>
        <v>Low Value</v>
      </c>
      <c r="J5509" t="str">
        <f t="shared" si="260"/>
        <v>High Risk</v>
      </c>
      <c r="K5509" s="3" t="str">
        <f t="shared" si="258"/>
        <v>0-1 Year</v>
      </c>
    </row>
    <row r="5510" spans="1:11" x14ac:dyDescent="0.3">
      <c r="A5510" t="s">
        <v>5527</v>
      </c>
      <c r="B5510" t="s">
        <v>14</v>
      </c>
      <c r="C5510" t="s">
        <v>15</v>
      </c>
      <c r="D5510" t="s">
        <v>20</v>
      </c>
      <c r="E5510">
        <v>86.7</v>
      </c>
      <c r="F5510">
        <v>71</v>
      </c>
      <c r="G5510">
        <v>6155.7</v>
      </c>
      <c r="H5510" t="s">
        <v>12</v>
      </c>
      <c r="I5510" t="str">
        <f t="shared" si="259"/>
        <v>High Value</v>
      </c>
      <c r="J5510" t="str">
        <f t="shared" si="260"/>
        <v>Low Risk</v>
      </c>
      <c r="K5510" s="3" t="str">
        <f t="shared" si="258"/>
        <v>4+ Years</v>
      </c>
    </row>
    <row r="5511" spans="1:11" x14ac:dyDescent="0.3">
      <c r="A5511" t="s">
        <v>5528</v>
      </c>
      <c r="B5511" t="s">
        <v>14</v>
      </c>
      <c r="C5511" t="s">
        <v>10</v>
      </c>
      <c r="D5511" t="s">
        <v>11</v>
      </c>
      <c r="E5511">
        <v>94.4</v>
      </c>
      <c r="F5511">
        <v>30</v>
      </c>
      <c r="G5511">
        <v>2832</v>
      </c>
      <c r="H5511" t="s">
        <v>18</v>
      </c>
      <c r="I5511" t="str">
        <f t="shared" si="259"/>
        <v>Medium Value</v>
      </c>
      <c r="J5511" t="str">
        <f t="shared" si="260"/>
        <v>Low Risk</v>
      </c>
      <c r="K5511" s="3" t="str">
        <f t="shared" si="258"/>
        <v>2-4 Years</v>
      </c>
    </row>
    <row r="5512" spans="1:11" x14ac:dyDescent="0.3">
      <c r="A5512" t="s">
        <v>5529</v>
      </c>
      <c r="B5512" t="s">
        <v>14</v>
      </c>
      <c r="C5512" t="s">
        <v>10</v>
      </c>
      <c r="D5512" t="s">
        <v>16</v>
      </c>
      <c r="E5512">
        <v>55.7</v>
      </c>
      <c r="F5512">
        <v>1</v>
      </c>
      <c r="G5512">
        <v>55.7</v>
      </c>
      <c r="H5512" t="s">
        <v>12</v>
      </c>
      <c r="I5512" t="str">
        <f t="shared" si="259"/>
        <v>Low Value</v>
      </c>
      <c r="J5512" t="str">
        <f t="shared" si="260"/>
        <v>High Risk</v>
      </c>
      <c r="K5512" s="3" t="str">
        <f t="shared" si="258"/>
        <v>0-1 Year</v>
      </c>
    </row>
    <row r="5513" spans="1:11" x14ac:dyDescent="0.3">
      <c r="A5513" t="s">
        <v>5530</v>
      </c>
      <c r="B5513" t="s">
        <v>9</v>
      </c>
      <c r="C5513" t="s">
        <v>15</v>
      </c>
      <c r="D5513" t="s">
        <v>24</v>
      </c>
      <c r="E5513">
        <v>84.25</v>
      </c>
      <c r="F5513">
        <v>55</v>
      </c>
      <c r="G5513">
        <v>4633.75</v>
      </c>
      <c r="H5513" t="s">
        <v>12</v>
      </c>
      <c r="I5513" t="str">
        <f t="shared" si="259"/>
        <v>Medium Value</v>
      </c>
      <c r="J5513" t="str">
        <f t="shared" si="260"/>
        <v>Low Risk</v>
      </c>
      <c r="K5513" s="3" t="str">
        <f t="shared" si="258"/>
        <v>4+ Years</v>
      </c>
    </row>
    <row r="5514" spans="1:11" x14ac:dyDescent="0.3">
      <c r="A5514" t="s">
        <v>5531</v>
      </c>
      <c r="B5514" t="s">
        <v>14</v>
      </c>
      <c r="C5514" t="s">
        <v>10</v>
      </c>
      <c r="D5514" t="s">
        <v>11</v>
      </c>
      <c r="E5514">
        <v>64.650000000000006</v>
      </c>
      <c r="F5514">
        <v>59</v>
      </c>
      <c r="G5514">
        <v>3814.35</v>
      </c>
      <c r="H5514" t="s">
        <v>12</v>
      </c>
      <c r="I5514" t="str">
        <f t="shared" si="259"/>
        <v>Medium Value</v>
      </c>
      <c r="J5514" t="str">
        <f t="shared" si="260"/>
        <v>Low Risk</v>
      </c>
      <c r="K5514" s="3" t="str">
        <f t="shared" si="258"/>
        <v>4+ Years</v>
      </c>
    </row>
    <row r="5515" spans="1:11" x14ac:dyDescent="0.3">
      <c r="A5515" t="s">
        <v>5532</v>
      </c>
      <c r="B5515" t="s">
        <v>9</v>
      </c>
      <c r="C5515" t="s">
        <v>10</v>
      </c>
      <c r="D5515" t="s">
        <v>16</v>
      </c>
      <c r="E5515">
        <v>70.150000000000006</v>
      </c>
      <c r="F5515">
        <v>1</v>
      </c>
      <c r="G5515">
        <v>70.150000000000006</v>
      </c>
      <c r="H5515" t="s">
        <v>18</v>
      </c>
      <c r="I5515" t="str">
        <f t="shared" si="259"/>
        <v>Low Value</v>
      </c>
      <c r="J5515" t="str">
        <f t="shared" si="260"/>
        <v>High Risk</v>
      </c>
      <c r="K5515" s="3" t="str">
        <f t="shared" si="258"/>
        <v>0-1 Year</v>
      </c>
    </row>
    <row r="5516" spans="1:11" x14ac:dyDescent="0.3">
      <c r="A5516" t="s">
        <v>5533</v>
      </c>
      <c r="B5516" t="s">
        <v>9</v>
      </c>
      <c r="C5516" t="s">
        <v>10</v>
      </c>
      <c r="D5516" t="s">
        <v>20</v>
      </c>
      <c r="E5516">
        <v>69.2</v>
      </c>
      <c r="F5516">
        <v>7</v>
      </c>
      <c r="G5516">
        <v>484.4</v>
      </c>
      <c r="H5516" t="s">
        <v>12</v>
      </c>
      <c r="I5516" t="str">
        <f t="shared" si="259"/>
        <v>Low Value</v>
      </c>
      <c r="J5516" t="str">
        <f t="shared" si="260"/>
        <v>High Risk</v>
      </c>
      <c r="K5516" s="3" t="str">
        <f t="shared" si="258"/>
        <v>0-1 Year</v>
      </c>
    </row>
    <row r="5517" spans="1:11" x14ac:dyDescent="0.3">
      <c r="A5517" t="s">
        <v>5534</v>
      </c>
      <c r="B5517" t="s">
        <v>14</v>
      </c>
      <c r="C5517" t="s">
        <v>30</v>
      </c>
      <c r="D5517" t="s">
        <v>20</v>
      </c>
      <c r="E5517">
        <v>54.65</v>
      </c>
      <c r="F5517">
        <v>45</v>
      </c>
      <c r="G5517">
        <v>2459.25</v>
      </c>
      <c r="H5517" t="s">
        <v>12</v>
      </c>
      <c r="I5517" t="str">
        <f t="shared" si="259"/>
        <v>Medium Value</v>
      </c>
      <c r="J5517" t="str">
        <f t="shared" si="260"/>
        <v>Low Risk</v>
      </c>
      <c r="K5517" s="3" t="str">
        <f t="shared" si="258"/>
        <v>2-4 Years</v>
      </c>
    </row>
    <row r="5518" spans="1:11" x14ac:dyDescent="0.3">
      <c r="A5518" t="s">
        <v>5535</v>
      </c>
      <c r="B5518" t="s">
        <v>9</v>
      </c>
      <c r="C5518" t="s">
        <v>15</v>
      </c>
      <c r="D5518" t="s">
        <v>20</v>
      </c>
      <c r="E5518">
        <v>24.75</v>
      </c>
      <c r="F5518">
        <v>54</v>
      </c>
      <c r="G5518">
        <v>1336.5</v>
      </c>
      <c r="H5518" t="s">
        <v>12</v>
      </c>
      <c r="I5518" t="str">
        <f t="shared" si="259"/>
        <v>Low Value</v>
      </c>
      <c r="J5518" t="str">
        <f t="shared" si="260"/>
        <v>Low Risk</v>
      </c>
      <c r="K5518" s="3" t="str">
        <f t="shared" si="258"/>
        <v>4+ Years</v>
      </c>
    </row>
    <row r="5519" spans="1:11" x14ac:dyDescent="0.3">
      <c r="A5519" t="s">
        <v>5536</v>
      </c>
      <c r="B5519" t="s">
        <v>14</v>
      </c>
      <c r="C5519" t="s">
        <v>15</v>
      </c>
      <c r="D5519" t="s">
        <v>16</v>
      </c>
      <c r="E5519">
        <v>23.95</v>
      </c>
      <c r="F5519">
        <v>51</v>
      </c>
      <c r="G5519">
        <v>1221.45</v>
      </c>
      <c r="H5519" t="s">
        <v>12</v>
      </c>
      <c r="I5519" t="str">
        <f t="shared" si="259"/>
        <v>Low Value</v>
      </c>
      <c r="J5519" t="str">
        <f t="shared" si="260"/>
        <v>Low Risk</v>
      </c>
      <c r="K5519" s="3" t="str">
        <f t="shared" si="258"/>
        <v>4+ Years</v>
      </c>
    </row>
    <row r="5520" spans="1:11" x14ac:dyDescent="0.3">
      <c r="A5520" t="s">
        <v>5537</v>
      </c>
      <c r="B5520" t="s">
        <v>9</v>
      </c>
      <c r="C5520" t="s">
        <v>15</v>
      </c>
      <c r="D5520" t="s">
        <v>24</v>
      </c>
      <c r="E5520">
        <v>105</v>
      </c>
      <c r="F5520">
        <v>72</v>
      </c>
      <c r="G5520">
        <v>7560</v>
      </c>
      <c r="H5520" t="s">
        <v>12</v>
      </c>
      <c r="I5520" t="str">
        <f t="shared" si="259"/>
        <v>High Value</v>
      </c>
      <c r="J5520" t="str">
        <f t="shared" si="260"/>
        <v>Low Risk</v>
      </c>
      <c r="K5520" s="3" t="str">
        <f t="shared" si="258"/>
        <v>4+ Years</v>
      </c>
    </row>
    <row r="5521" spans="1:11" x14ac:dyDescent="0.3">
      <c r="A5521" t="s">
        <v>5538</v>
      </c>
      <c r="B5521" t="s">
        <v>14</v>
      </c>
      <c r="C5521" t="s">
        <v>15</v>
      </c>
      <c r="D5521" t="s">
        <v>20</v>
      </c>
      <c r="E5521">
        <v>59.85</v>
      </c>
      <c r="F5521">
        <v>44</v>
      </c>
      <c r="G5521">
        <v>2633.4</v>
      </c>
      <c r="H5521" t="s">
        <v>12</v>
      </c>
      <c r="I5521" t="str">
        <f t="shared" si="259"/>
        <v>Medium Value</v>
      </c>
      <c r="J5521" t="str">
        <f t="shared" si="260"/>
        <v>Low Risk</v>
      </c>
      <c r="K5521" s="3" t="str">
        <f t="shared" si="258"/>
        <v>2-4 Years</v>
      </c>
    </row>
    <row r="5522" spans="1:11" x14ac:dyDescent="0.3">
      <c r="A5522" t="s">
        <v>5539</v>
      </c>
      <c r="B5522" t="s">
        <v>14</v>
      </c>
      <c r="C5522" t="s">
        <v>10</v>
      </c>
      <c r="D5522" t="s">
        <v>16</v>
      </c>
      <c r="E5522">
        <v>20.05</v>
      </c>
      <c r="F5522">
        <v>2</v>
      </c>
      <c r="G5522">
        <v>40.1</v>
      </c>
      <c r="H5522" t="s">
        <v>12</v>
      </c>
      <c r="I5522" t="str">
        <f t="shared" si="259"/>
        <v>Low Value</v>
      </c>
      <c r="J5522" t="str">
        <f t="shared" si="260"/>
        <v>High Risk</v>
      </c>
      <c r="K5522" s="3" t="str">
        <f t="shared" si="258"/>
        <v>0-1 Year</v>
      </c>
    </row>
    <row r="5523" spans="1:11" x14ac:dyDescent="0.3">
      <c r="A5523" t="s">
        <v>5540</v>
      </c>
      <c r="B5523" t="s">
        <v>9</v>
      </c>
      <c r="C5523" t="s">
        <v>15</v>
      </c>
      <c r="D5523" t="s">
        <v>20</v>
      </c>
      <c r="E5523">
        <v>92.15</v>
      </c>
      <c r="F5523">
        <v>66</v>
      </c>
      <c r="G5523">
        <v>6081.9</v>
      </c>
      <c r="H5523" t="s">
        <v>12</v>
      </c>
      <c r="I5523" t="str">
        <f t="shared" si="259"/>
        <v>High Value</v>
      </c>
      <c r="J5523" t="str">
        <f t="shared" si="260"/>
        <v>Low Risk</v>
      </c>
      <c r="K5523" s="3" t="str">
        <f t="shared" si="258"/>
        <v>4+ Years</v>
      </c>
    </row>
    <row r="5524" spans="1:11" x14ac:dyDescent="0.3">
      <c r="A5524" t="s">
        <v>5541</v>
      </c>
      <c r="B5524" t="s">
        <v>14</v>
      </c>
      <c r="C5524" t="s">
        <v>15</v>
      </c>
      <c r="D5524" t="s">
        <v>16</v>
      </c>
      <c r="E5524">
        <v>44.8</v>
      </c>
      <c r="F5524">
        <v>68</v>
      </c>
      <c r="G5524">
        <v>3046.3999999999901</v>
      </c>
      <c r="H5524" t="s">
        <v>12</v>
      </c>
      <c r="I5524" t="str">
        <f t="shared" si="259"/>
        <v>Medium Value</v>
      </c>
      <c r="J5524" t="str">
        <f t="shared" si="260"/>
        <v>Low Risk</v>
      </c>
      <c r="K5524" s="3" t="str">
        <f t="shared" si="258"/>
        <v>4+ Years</v>
      </c>
    </row>
    <row r="5525" spans="1:11" x14ac:dyDescent="0.3">
      <c r="A5525" t="s">
        <v>5542</v>
      </c>
      <c r="B5525" t="s">
        <v>9</v>
      </c>
      <c r="C5525" t="s">
        <v>30</v>
      </c>
      <c r="D5525" t="s">
        <v>24</v>
      </c>
      <c r="E5525">
        <v>20.9</v>
      </c>
      <c r="F5525">
        <v>31</v>
      </c>
      <c r="G5525">
        <v>647.9</v>
      </c>
      <c r="H5525" t="s">
        <v>12</v>
      </c>
      <c r="I5525" t="str">
        <f t="shared" si="259"/>
        <v>Low Value</v>
      </c>
      <c r="J5525" t="str">
        <f t="shared" si="260"/>
        <v>Low Risk</v>
      </c>
      <c r="K5525" s="3" t="str">
        <f t="shared" si="258"/>
        <v>2-4 Years</v>
      </c>
    </row>
    <row r="5526" spans="1:11" x14ac:dyDescent="0.3">
      <c r="A5526" t="s">
        <v>5543</v>
      </c>
      <c r="B5526" t="s">
        <v>9</v>
      </c>
      <c r="C5526" t="s">
        <v>10</v>
      </c>
      <c r="D5526" t="s">
        <v>20</v>
      </c>
      <c r="E5526">
        <v>95.4</v>
      </c>
      <c r="F5526">
        <v>21</v>
      </c>
      <c r="G5526">
        <v>2003.4</v>
      </c>
      <c r="H5526" t="s">
        <v>12</v>
      </c>
      <c r="I5526" t="str">
        <f t="shared" si="259"/>
        <v>Medium Value</v>
      </c>
      <c r="J5526" t="str">
        <f t="shared" si="260"/>
        <v>Medium Risk</v>
      </c>
      <c r="K5526" s="3" t="str">
        <f t="shared" si="258"/>
        <v>1-2 Years</v>
      </c>
    </row>
    <row r="5527" spans="1:11" x14ac:dyDescent="0.3">
      <c r="A5527" t="s">
        <v>5544</v>
      </c>
      <c r="B5527" t="s">
        <v>14</v>
      </c>
      <c r="C5527" t="s">
        <v>10</v>
      </c>
      <c r="D5527" t="s">
        <v>11</v>
      </c>
      <c r="E5527">
        <v>80.349999999999994</v>
      </c>
      <c r="F5527">
        <v>21</v>
      </c>
      <c r="G5527">
        <v>1687.35</v>
      </c>
      <c r="H5527" t="s">
        <v>12</v>
      </c>
      <c r="I5527" t="str">
        <f t="shared" si="259"/>
        <v>Low Value</v>
      </c>
      <c r="J5527" t="str">
        <f t="shared" si="260"/>
        <v>Medium Risk</v>
      </c>
      <c r="K5527" s="3" t="str">
        <f t="shared" si="258"/>
        <v>1-2 Years</v>
      </c>
    </row>
    <row r="5528" spans="1:11" x14ac:dyDescent="0.3">
      <c r="A5528" t="s">
        <v>5545</v>
      </c>
      <c r="B5528" t="s">
        <v>9</v>
      </c>
      <c r="C5528" t="s">
        <v>30</v>
      </c>
      <c r="D5528" t="s">
        <v>20</v>
      </c>
      <c r="E5528">
        <v>85.1</v>
      </c>
      <c r="F5528">
        <v>55</v>
      </c>
      <c r="G5528">
        <v>4680.5</v>
      </c>
      <c r="H5528" t="s">
        <v>12</v>
      </c>
      <c r="I5528" t="str">
        <f t="shared" si="259"/>
        <v>Medium Value</v>
      </c>
      <c r="J5528" t="str">
        <f t="shared" si="260"/>
        <v>Low Risk</v>
      </c>
      <c r="K5528" s="3" t="str">
        <f t="shared" si="258"/>
        <v>4+ Years</v>
      </c>
    </row>
    <row r="5529" spans="1:11" x14ac:dyDescent="0.3">
      <c r="A5529" t="s">
        <v>5546</v>
      </c>
      <c r="B5529" t="s">
        <v>14</v>
      </c>
      <c r="C5529" t="s">
        <v>10</v>
      </c>
      <c r="D5529" t="s">
        <v>24</v>
      </c>
      <c r="E5529">
        <v>34.700000000000003</v>
      </c>
      <c r="F5529">
        <v>9</v>
      </c>
      <c r="G5529">
        <v>312.3</v>
      </c>
      <c r="H5529" t="s">
        <v>18</v>
      </c>
      <c r="I5529" t="str">
        <f t="shared" si="259"/>
        <v>Low Value</v>
      </c>
      <c r="J5529" t="str">
        <f t="shared" si="260"/>
        <v>High Risk</v>
      </c>
      <c r="K5529" s="3" t="str">
        <f t="shared" si="258"/>
        <v>0-1 Year</v>
      </c>
    </row>
    <row r="5530" spans="1:11" x14ac:dyDescent="0.3">
      <c r="A5530" t="s">
        <v>5547</v>
      </c>
      <c r="B5530" t="s">
        <v>14</v>
      </c>
      <c r="C5530" t="s">
        <v>30</v>
      </c>
      <c r="D5530" t="s">
        <v>20</v>
      </c>
      <c r="E5530">
        <v>115.05</v>
      </c>
      <c r="F5530">
        <v>71</v>
      </c>
      <c r="G5530">
        <v>8168.55</v>
      </c>
      <c r="H5530" t="s">
        <v>12</v>
      </c>
      <c r="I5530" t="str">
        <f t="shared" si="259"/>
        <v>High Value</v>
      </c>
      <c r="J5530" t="str">
        <f t="shared" si="260"/>
        <v>Low Risk</v>
      </c>
      <c r="K5530" s="3" t="str">
        <f t="shared" si="258"/>
        <v>4+ Years</v>
      </c>
    </row>
    <row r="5531" spans="1:11" x14ac:dyDescent="0.3">
      <c r="A5531" t="s">
        <v>5548</v>
      </c>
      <c r="B5531" t="s">
        <v>9</v>
      </c>
      <c r="C5531" t="s">
        <v>10</v>
      </c>
      <c r="D5531" t="s">
        <v>11</v>
      </c>
      <c r="E5531">
        <v>81.099999999999994</v>
      </c>
      <c r="F5531">
        <v>1</v>
      </c>
      <c r="G5531">
        <v>81.099999999999994</v>
      </c>
      <c r="H5531" t="s">
        <v>18</v>
      </c>
      <c r="I5531" t="str">
        <f t="shared" si="259"/>
        <v>Low Value</v>
      </c>
      <c r="J5531" t="str">
        <f t="shared" si="260"/>
        <v>High Risk</v>
      </c>
      <c r="K5531" s="3" t="str">
        <f t="shared" si="258"/>
        <v>0-1 Year</v>
      </c>
    </row>
    <row r="5532" spans="1:11" x14ac:dyDescent="0.3">
      <c r="A5532" t="s">
        <v>5549</v>
      </c>
      <c r="B5532" t="s">
        <v>14</v>
      </c>
      <c r="C5532" t="s">
        <v>15</v>
      </c>
      <c r="D5532" t="s">
        <v>16</v>
      </c>
      <c r="E5532">
        <v>19.95</v>
      </c>
      <c r="F5532">
        <v>22</v>
      </c>
      <c r="G5532">
        <v>438.9</v>
      </c>
      <c r="H5532" t="s">
        <v>12</v>
      </c>
      <c r="I5532" t="str">
        <f t="shared" si="259"/>
        <v>Low Value</v>
      </c>
      <c r="J5532" t="str">
        <f t="shared" si="260"/>
        <v>Medium Risk</v>
      </c>
      <c r="K5532" s="3" t="str">
        <f t="shared" si="258"/>
        <v>1-2 Years</v>
      </c>
    </row>
    <row r="5533" spans="1:11" x14ac:dyDescent="0.3">
      <c r="A5533" t="s">
        <v>5550</v>
      </c>
      <c r="B5533" t="s">
        <v>9</v>
      </c>
      <c r="C5533" t="s">
        <v>10</v>
      </c>
      <c r="D5533" t="s">
        <v>16</v>
      </c>
      <c r="E5533">
        <v>20.55</v>
      </c>
      <c r="F5533">
        <v>1</v>
      </c>
      <c r="G5533">
        <v>20.55</v>
      </c>
      <c r="H5533" t="s">
        <v>18</v>
      </c>
      <c r="I5533" t="str">
        <f t="shared" si="259"/>
        <v>Low Value</v>
      </c>
      <c r="J5533" t="str">
        <f t="shared" si="260"/>
        <v>High Risk</v>
      </c>
      <c r="K5533" s="3" t="str">
        <f t="shared" si="258"/>
        <v>0-1 Year</v>
      </c>
    </row>
    <row r="5534" spans="1:11" x14ac:dyDescent="0.3">
      <c r="A5534" t="s">
        <v>5551</v>
      </c>
      <c r="B5534" t="s">
        <v>9</v>
      </c>
      <c r="C5534" t="s">
        <v>30</v>
      </c>
      <c r="D5534" t="s">
        <v>11</v>
      </c>
      <c r="E5534">
        <v>106.6</v>
      </c>
      <c r="F5534">
        <v>61</v>
      </c>
      <c r="G5534">
        <v>6502.5999999999904</v>
      </c>
      <c r="H5534" t="s">
        <v>18</v>
      </c>
      <c r="I5534" t="str">
        <f t="shared" si="259"/>
        <v>High Value</v>
      </c>
      <c r="J5534" t="str">
        <f t="shared" si="260"/>
        <v>Low Risk</v>
      </c>
      <c r="K5534" s="3" t="str">
        <f t="shared" si="258"/>
        <v>4+ Years</v>
      </c>
    </row>
    <row r="5535" spans="1:11" x14ac:dyDescent="0.3">
      <c r="A5535" t="s">
        <v>5552</v>
      </c>
      <c r="B5535" t="s">
        <v>9</v>
      </c>
      <c r="C5535" t="s">
        <v>30</v>
      </c>
      <c r="D5535" t="s">
        <v>20</v>
      </c>
      <c r="E5535">
        <v>86.15</v>
      </c>
      <c r="F5535">
        <v>67</v>
      </c>
      <c r="G5535">
        <v>5772.05</v>
      </c>
      <c r="H5535" t="s">
        <v>12</v>
      </c>
      <c r="I5535" t="str">
        <f t="shared" si="259"/>
        <v>High Value</v>
      </c>
      <c r="J5535" t="str">
        <f t="shared" si="260"/>
        <v>Low Risk</v>
      </c>
      <c r="K5535" s="3" t="str">
        <f t="shared" si="258"/>
        <v>4+ Years</v>
      </c>
    </row>
    <row r="5536" spans="1:11" x14ac:dyDescent="0.3">
      <c r="A5536" t="s">
        <v>5553</v>
      </c>
      <c r="B5536" t="s">
        <v>9</v>
      </c>
      <c r="C5536" t="s">
        <v>10</v>
      </c>
      <c r="D5536" t="s">
        <v>11</v>
      </c>
      <c r="E5536">
        <v>78.849999999999994</v>
      </c>
      <c r="F5536">
        <v>14</v>
      </c>
      <c r="G5536">
        <v>1103.8999999999901</v>
      </c>
      <c r="H5536" t="s">
        <v>12</v>
      </c>
      <c r="I5536" t="str">
        <f t="shared" si="259"/>
        <v>Low Value</v>
      </c>
      <c r="J5536" t="str">
        <f t="shared" si="260"/>
        <v>Medium Risk</v>
      </c>
      <c r="K5536" s="3" t="str">
        <f t="shared" si="258"/>
        <v>1-2 Years</v>
      </c>
    </row>
    <row r="5537" spans="1:11" x14ac:dyDescent="0.3">
      <c r="A5537" t="s">
        <v>5554</v>
      </c>
      <c r="B5537" t="s">
        <v>14</v>
      </c>
      <c r="C5537" t="s">
        <v>10</v>
      </c>
      <c r="D5537" t="s">
        <v>11</v>
      </c>
      <c r="E5537">
        <v>106.75</v>
      </c>
      <c r="F5537">
        <v>59</v>
      </c>
      <c r="G5537">
        <v>6298.25</v>
      </c>
      <c r="H5537" t="s">
        <v>18</v>
      </c>
      <c r="I5537" t="str">
        <f t="shared" si="259"/>
        <v>High Value</v>
      </c>
      <c r="J5537" t="str">
        <f t="shared" si="260"/>
        <v>Low Risk</v>
      </c>
      <c r="K5537" s="3" t="str">
        <f t="shared" si="258"/>
        <v>4+ Years</v>
      </c>
    </row>
    <row r="5538" spans="1:11" x14ac:dyDescent="0.3">
      <c r="A5538" t="s">
        <v>5555</v>
      </c>
      <c r="B5538" t="s">
        <v>14</v>
      </c>
      <c r="C5538" t="s">
        <v>10</v>
      </c>
      <c r="D5538" t="s">
        <v>20</v>
      </c>
      <c r="E5538">
        <v>86.55</v>
      </c>
      <c r="F5538">
        <v>21</v>
      </c>
      <c r="G5538">
        <v>1817.55</v>
      </c>
      <c r="H5538" t="s">
        <v>12</v>
      </c>
      <c r="I5538" t="str">
        <f t="shared" si="259"/>
        <v>Low Value</v>
      </c>
      <c r="J5538" t="str">
        <f t="shared" si="260"/>
        <v>Medium Risk</v>
      </c>
      <c r="K5538" s="3" t="str">
        <f t="shared" si="258"/>
        <v>1-2 Years</v>
      </c>
    </row>
    <row r="5539" spans="1:11" x14ac:dyDescent="0.3">
      <c r="A5539" t="s">
        <v>5556</v>
      </c>
      <c r="B5539" t="s">
        <v>14</v>
      </c>
      <c r="C5539" t="s">
        <v>10</v>
      </c>
      <c r="D5539" t="s">
        <v>16</v>
      </c>
      <c r="E5539">
        <v>42.4</v>
      </c>
      <c r="F5539">
        <v>4</v>
      </c>
      <c r="G5539">
        <v>169.6</v>
      </c>
      <c r="H5539" t="s">
        <v>12</v>
      </c>
      <c r="I5539" t="str">
        <f t="shared" si="259"/>
        <v>Low Value</v>
      </c>
      <c r="J5539" t="str">
        <f t="shared" si="260"/>
        <v>High Risk</v>
      </c>
      <c r="K5539" s="3" t="str">
        <f t="shared" si="258"/>
        <v>0-1 Year</v>
      </c>
    </row>
    <row r="5540" spans="1:11" x14ac:dyDescent="0.3">
      <c r="A5540" t="s">
        <v>5557</v>
      </c>
      <c r="B5540" t="s">
        <v>9</v>
      </c>
      <c r="C5540" t="s">
        <v>10</v>
      </c>
      <c r="D5540" t="s">
        <v>11</v>
      </c>
      <c r="E5540">
        <v>89.45</v>
      </c>
      <c r="F5540">
        <v>3</v>
      </c>
      <c r="G5540">
        <v>268.35000000000002</v>
      </c>
      <c r="H5540" t="s">
        <v>18</v>
      </c>
      <c r="I5540" t="str">
        <f t="shared" si="259"/>
        <v>Low Value</v>
      </c>
      <c r="J5540" t="str">
        <f t="shared" si="260"/>
        <v>High Risk</v>
      </c>
      <c r="K5540" s="3" t="str">
        <f t="shared" si="258"/>
        <v>0-1 Year</v>
      </c>
    </row>
    <row r="5541" spans="1:11" x14ac:dyDescent="0.3">
      <c r="A5541" t="s">
        <v>5558</v>
      </c>
      <c r="B5541" t="s">
        <v>14</v>
      </c>
      <c r="C5541" t="s">
        <v>30</v>
      </c>
      <c r="D5541" t="s">
        <v>20</v>
      </c>
      <c r="E5541">
        <v>24.25</v>
      </c>
      <c r="F5541">
        <v>70</v>
      </c>
      <c r="G5541">
        <v>1697.5</v>
      </c>
      <c r="H5541" t="s">
        <v>12</v>
      </c>
      <c r="I5541" t="str">
        <f t="shared" si="259"/>
        <v>Low Value</v>
      </c>
      <c r="J5541" t="str">
        <f t="shared" si="260"/>
        <v>Low Risk</v>
      </c>
      <c r="K5541" s="3" t="str">
        <f t="shared" si="258"/>
        <v>4+ Years</v>
      </c>
    </row>
    <row r="5542" spans="1:11" x14ac:dyDescent="0.3">
      <c r="A5542" t="s">
        <v>5559</v>
      </c>
      <c r="B5542" t="s">
        <v>9</v>
      </c>
      <c r="C5542" t="s">
        <v>10</v>
      </c>
      <c r="D5542" t="s">
        <v>11</v>
      </c>
      <c r="E5542">
        <v>97.9</v>
      </c>
      <c r="F5542">
        <v>3</v>
      </c>
      <c r="G5542">
        <v>293.7</v>
      </c>
      <c r="H5542" t="s">
        <v>18</v>
      </c>
      <c r="I5542" t="str">
        <f t="shared" si="259"/>
        <v>Low Value</v>
      </c>
      <c r="J5542" t="str">
        <f t="shared" si="260"/>
        <v>High Risk</v>
      </c>
      <c r="K5542" s="3" t="str">
        <f t="shared" si="258"/>
        <v>0-1 Year</v>
      </c>
    </row>
    <row r="5543" spans="1:11" x14ac:dyDescent="0.3">
      <c r="A5543" t="s">
        <v>5560</v>
      </c>
      <c r="B5543" t="s">
        <v>14</v>
      </c>
      <c r="C5543" t="s">
        <v>15</v>
      </c>
      <c r="D5543" t="s">
        <v>20</v>
      </c>
      <c r="E5543">
        <v>20.5</v>
      </c>
      <c r="F5543">
        <v>21</v>
      </c>
      <c r="G5543">
        <v>430.5</v>
      </c>
      <c r="H5543" t="s">
        <v>12</v>
      </c>
      <c r="I5543" t="str">
        <f t="shared" si="259"/>
        <v>Low Value</v>
      </c>
      <c r="J5543" t="str">
        <f t="shared" si="260"/>
        <v>Medium Risk</v>
      </c>
      <c r="K5543" s="3" t="str">
        <f t="shared" si="258"/>
        <v>1-2 Years</v>
      </c>
    </row>
    <row r="5544" spans="1:11" x14ac:dyDescent="0.3">
      <c r="A5544" t="s">
        <v>5561</v>
      </c>
      <c r="B5544" t="s">
        <v>14</v>
      </c>
      <c r="C5544" t="s">
        <v>10</v>
      </c>
      <c r="D5544" t="s">
        <v>24</v>
      </c>
      <c r="E5544">
        <v>19.600000000000001</v>
      </c>
      <c r="F5544">
        <v>20</v>
      </c>
      <c r="G5544">
        <v>392</v>
      </c>
      <c r="H5544" t="s">
        <v>12</v>
      </c>
      <c r="I5544" t="str">
        <f t="shared" si="259"/>
        <v>Low Value</v>
      </c>
      <c r="J5544" t="str">
        <f t="shared" si="260"/>
        <v>Medium Risk</v>
      </c>
      <c r="K5544" s="3" t="str">
        <f t="shared" si="258"/>
        <v>1-2 Years</v>
      </c>
    </row>
    <row r="5545" spans="1:11" x14ac:dyDescent="0.3">
      <c r="A5545" t="s">
        <v>5562</v>
      </c>
      <c r="B5545" t="s">
        <v>14</v>
      </c>
      <c r="C5545" t="s">
        <v>15</v>
      </c>
      <c r="D5545" t="s">
        <v>20</v>
      </c>
      <c r="E5545">
        <v>20.25</v>
      </c>
      <c r="F5545">
        <v>22</v>
      </c>
      <c r="G5545">
        <v>445.5</v>
      </c>
      <c r="H5545" t="s">
        <v>12</v>
      </c>
      <c r="I5545" t="str">
        <f t="shared" si="259"/>
        <v>Low Value</v>
      </c>
      <c r="J5545" t="str">
        <f t="shared" si="260"/>
        <v>Medium Risk</v>
      </c>
      <c r="K5545" s="3" t="str">
        <f t="shared" si="258"/>
        <v>1-2 Years</v>
      </c>
    </row>
    <row r="5546" spans="1:11" x14ac:dyDescent="0.3">
      <c r="A5546" t="s">
        <v>5563</v>
      </c>
      <c r="B5546" t="s">
        <v>14</v>
      </c>
      <c r="C5546" t="s">
        <v>10</v>
      </c>
      <c r="D5546" t="s">
        <v>16</v>
      </c>
      <c r="E5546">
        <v>55.7</v>
      </c>
      <c r="F5546">
        <v>1</v>
      </c>
      <c r="G5546">
        <v>55.7</v>
      </c>
      <c r="H5546" t="s">
        <v>18</v>
      </c>
      <c r="I5546" t="str">
        <f t="shared" si="259"/>
        <v>Low Value</v>
      </c>
      <c r="J5546" t="str">
        <f t="shared" si="260"/>
        <v>High Risk</v>
      </c>
      <c r="K5546" s="3" t="str">
        <f t="shared" si="258"/>
        <v>0-1 Year</v>
      </c>
    </row>
    <row r="5547" spans="1:11" x14ac:dyDescent="0.3">
      <c r="A5547" t="s">
        <v>5564</v>
      </c>
      <c r="B5547" t="s">
        <v>9</v>
      </c>
      <c r="C5547" t="s">
        <v>30</v>
      </c>
      <c r="D5547" t="s">
        <v>16</v>
      </c>
      <c r="E5547">
        <v>20.6</v>
      </c>
      <c r="F5547">
        <v>63</v>
      </c>
      <c r="G5547">
        <v>1297.8</v>
      </c>
      <c r="H5547" t="s">
        <v>12</v>
      </c>
      <c r="I5547" t="str">
        <f t="shared" si="259"/>
        <v>Low Value</v>
      </c>
      <c r="J5547" t="str">
        <f t="shared" si="260"/>
        <v>Low Risk</v>
      </c>
      <c r="K5547" s="3" t="str">
        <f t="shared" si="258"/>
        <v>4+ Years</v>
      </c>
    </row>
    <row r="5548" spans="1:11" x14ac:dyDescent="0.3">
      <c r="A5548" t="s">
        <v>5565</v>
      </c>
      <c r="B5548" t="s">
        <v>9</v>
      </c>
      <c r="C5548" t="s">
        <v>30</v>
      </c>
      <c r="D5548" t="s">
        <v>20</v>
      </c>
      <c r="E5548">
        <v>19.8</v>
      </c>
      <c r="F5548">
        <v>70</v>
      </c>
      <c r="G5548">
        <v>1386</v>
      </c>
      <c r="H5548" t="s">
        <v>12</v>
      </c>
      <c r="I5548" t="str">
        <f t="shared" si="259"/>
        <v>Low Value</v>
      </c>
      <c r="J5548" t="str">
        <f t="shared" si="260"/>
        <v>Low Risk</v>
      </c>
      <c r="K5548" s="3" t="str">
        <f t="shared" si="258"/>
        <v>4+ Years</v>
      </c>
    </row>
    <row r="5549" spans="1:11" x14ac:dyDescent="0.3">
      <c r="A5549" t="s">
        <v>5566</v>
      </c>
      <c r="B5549" t="s">
        <v>14</v>
      </c>
      <c r="C5549" t="s">
        <v>10</v>
      </c>
      <c r="D5549" t="s">
        <v>11</v>
      </c>
      <c r="E5549">
        <v>79.8</v>
      </c>
      <c r="F5549">
        <v>13</v>
      </c>
      <c r="G5549">
        <v>1037.3999999999901</v>
      </c>
      <c r="H5549" t="s">
        <v>18</v>
      </c>
      <c r="I5549" t="str">
        <f t="shared" si="259"/>
        <v>Low Value</v>
      </c>
      <c r="J5549" t="str">
        <f t="shared" si="260"/>
        <v>Medium Risk</v>
      </c>
      <c r="K5549" s="3" t="str">
        <f t="shared" si="258"/>
        <v>1-2 Years</v>
      </c>
    </row>
    <row r="5550" spans="1:11" x14ac:dyDescent="0.3">
      <c r="A5550" t="s">
        <v>5567</v>
      </c>
      <c r="B5550" t="s">
        <v>9</v>
      </c>
      <c r="C5550" t="s">
        <v>10</v>
      </c>
      <c r="D5550" t="s">
        <v>11</v>
      </c>
      <c r="E5550">
        <v>80.2</v>
      </c>
      <c r="F5550">
        <v>5</v>
      </c>
      <c r="G5550">
        <v>401</v>
      </c>
      <c r="H5550" t="s">
        <v>12</v>
      </c>
      <c r="I5550" t="str">
        <f t="shared" si="259"/>
        <v>Low Value</v>
      </c>
      <c r="J5550" t="str">
        <f t="shared" si="260"/>
        <v>High Risk</v>
      </c>
      <c r="K5550" s="3" t="str">
        <f t="shared" si="258"/>
        <v>0-1 Year</v>
      </c>
    </row>
    <row r="5551" spans="1:11" x14ac:dyDescent="0.3">
      <c r="A5551" t="s">
        <v>5568</v>
      </c>
      <c r="B5551" t="s">
        <v>9</v>
      </c>
      <c r="C5551" t="s">
        <v>30</v>
      </c>
      <c r="D5551" t="s">
        <v>24</v>
      </c>
      <c r="E5551">
        <v>116.4</v>
      </c>
      <c r="F5551">
        <v>72</v>
      </c>
      <c r="G5551">
        <v>8380.7999999999993</v>
      </c>
      <c r="H5551" t="s">
        <v>12</v>
      </c>
      <c r="I5551" t="str">
        <f t="shared" si="259"/>
        <v>High Value</v>
      </c>
      <c r="J5551" t="str">
        <f t="shared" si="260"/>
        <v>Low Risk</v>
      </c>
      <c r="K5551" s="3" t="str">
        <f t="shared" si="258"/>
        <v>4+ Years</v>
      </c>
    </row>
    <row r="5552" spans="1:11" x14ac:dyDescent="0.3">
      <c r="A5552" t="s">
        <v>5569</v>
      </c>
      <c r="B5552" t="s">
        <v>9</v>
      </c>
      <c r="C5552" t="s">
        <v>10</v>
      </c>
      <c r="D5552" t="s">
        <v>11</v>
      </c>
      <c r="E5552">
        <v>31.65</v>
      </c>
      <c r="F5552">
        <v>13</v>
      </c>
      <c r="G5552">
        <v>411.45</v>
      </c>
      <c r="H5552" t="s">
        <v>12</v>
      </c>
      <c r="I5552" t="str">
        <f t="shared" si="259"/>
        <v>Low Value</v>
      </c>
      <c r="J5552" t="str">
        <f t="shared" si="260"/>
        <v>Medium Risk</v>
      </c>
      <c r="K5552" s="3" t="str">
        <f t="shared" si="258"/>
        <v>1-2 Years</v>
      </c>
    </row>
    <row r="5553" spans="1:11" x14ac:dyDescent="0.3">
      <c r="A5553" t="s">
        <v>5570</v>
      </c>
      <c r="B5553" t="s">
        <v>14</v>
      </c>
      <c r="C5553" t="s">
        <v>10</v>
      </c>
      <c r="D5553" t="s">
        <v>24</v>
      </c>
      <c r="E5553">
        <v>94.15</v>
      </c>
      <c r="F5553">
        <v>61</v>
      </c>
      <c r="G5553">
        <v>5743.15</v>
      </c>
      <c r="H5553" t="s">
        <v>12</v>
      </c>
      <c r="I5553" t="str">
        <f t="shared" si="259"/>
        <v>High Value</v>
      </c>
      <c r="J5553" t="str">
        <f t="shared" si="260"/>
        <v>Low Risk</v>
      </c>
      <c r="K5553" s="3" t="str">
        <f t="shared" si="258"/>
        <v>4+ Years</v>
      </c>
    </row>
    <row r="5554" spans="1:11" x14ac:dyDescent="0.3">
      <c r="A5554" t="s">
        <v>5571</v>
      </c>
      <c r="B5554" t="s">
        <v>14</v>
      </c>
      <c r="C5554" t="s">
        <v>10</v>
      </c>
      <c r="D5554" t="s">
        <v>11</v>
      </c>
      <c r="E5554">
        <v>20.65</v>
      </c>
      <c r="F5554">
        <v>1</v>
      </c>
      <c r="G5554">
        <v>20.65</v>
      </c>
      <c r="H5554" t="s">
        <v>12</v>
      </c>
      <c r="I5554" t="str">
        <f t="shared" si="259"/>
        <v>Low Value</v>
      </c>
      <c r="J5554" t="str">
        <f t="shared" si="260"/>
        <v>High Risk</v>
      </c>
      <c r="K5554" s="3" t="str">
        <f t="shared" si="258"/>
        <v>0-1 Year</v>
      </c>
    </row>
    <row r="5555" spans="1:11" x14ac:dyDescent="0.3">
      <c r="A5555" t="s">
        <v>5572</v>
      </c>
      <c r="B5555" t="s">
        <v>9</v>
      </c>
      <c r="C5555" t="s">
        <v>10</v>
      </c>
      <c r="D5555" t="s">
        <v>20</v>
      </c>
      <c r="E5555">
        <v>76.849999999999994</v>
      </c>
      <c r="F5555">
        <v>56</v>
      </c>
      <c r="G5555">
        <v>4303.5999999999904</v>
      </c>
      <c r="H5555" t="s">
        <v>12</v>
      </c>
      <c r="I5555" t="str">
        <f t="shared" si="259"/>
        <v>Medium Value</v>
      </c>
      <c r="J5555" t="str">
        <f t="shared" si="260"/>
        <v>Low Risk</v>
      </c>
      <c r="K5555" s="3" t="str">
        <f t="shared" si="258"/>
        <v>4+ Years</v>
      </c>
    </row>
    <row r="5556" spans="1:11" x14ac:dyDescent="0.3">
      <c r="A5556" t="s">
        <v>5573</v>
      </c>
      <c r="B5556" t="s">
        <v>9</v>
      </c>
      <c r="C5556" t="s">
        <v>10</v>
      </c>
      <c r="D5556" t="s">
        <v>16</v>
      </c>
      <c r="E5556">
        <v>20.149999999999999</v>
      </c>
      <c r="F5556">
        <v>4</v>
      </c>
      <c r="G5556">
        <v>80.599999999999994</v>
      </c>
      <c r="H5556" t="s">
        <v>12</v>
      </c>
      <c r="I5556" t="str">
        <f t="shared" si="259"/>
        <v>Low Value</v>
      </c>
      <c r="J5556" t="str">
        <f t="shared" si="260"/>
        <v>High Risk</v>
      </c>
      <c r="K5556" s="3" t="str">
        <f t="shared" si="258"/>
        <v>0-1 Year</v>
      </c>
    </row>
    <row r="5557" spans="1:11" x14ac:dyDescent="0.3">
      <c r="A5557" t="s">
        <v>5574</v>
      </c>
      <c r="B5557" t="s">
        <v>14</v>
      </c>
      <c r="C5557" t="s">
        <v>30</v>
      </c>
      <c r="D5557" t="s">
        <v>16</v>
      </c>
      <c r="E5557">
        <v>55.25</v>
      </c>
      <c r="F5557">
        <v>35</v>
      </c>
      <c r="G5557">
        <v>1933.75</v>
      </c>
      <c r="H5557" t="s">
        <v>12</v>
      </c>
      <c r="I5557" t="str">
        <f t="shared" si="259"/>
        <v>Low Value</v>
      </c>
      <c r="J5557" t="str">
        <f t="shared" si="260"/>
        <v>Low Risk</v>
      </c>
      <c r="K5557" s="3" t="str">
        <f t="shared" si="258"/>
        <v>2-4 Years</v>
      </c>
    </row>
    <row r="5558" spans="1:11" x14ac:dyDescent="0.3">
      <c r="A5558" t="s">
        <v>5575</v>
      </c>
      <c r="B5558" t="s">
        <v>9</v>
      </c>
      <c r="C5558" t="s">
        <v>10</v>
      </c>
      <c r="D5558" t="s">
        <v>11</v>
      </c>
      <c r="E5558">
        <v>39.049999999999997</v>
      </c>
      <c r="F5558">
        <v>18</v>
      </c>
      <c r="G5558">
        <v>702.9</v>
      </c>
      <c r="H5558" t="s">
        <v>18</v>
      </c>
      <c r="I5558" t="str">
        <f t="shared" si="259"/>
        <v>Low Value</v>
      </c>
      <c r="J5558" t="str">
        <f t="shared" si="260"/>
        <v>Medium Risk</v>
      </c>
      <c r="K5558" s="3" t="str">
        <f t="shared" si="258"/>
        <v>1-2 Years</v>
      </c>
    </row>
    <row r="5559" spans="1:11" x14ac:dyDescent="0.3">
      <c r="A5559" t="s">
        <v>5576</v>
      </c>
      <c r="B5559" t="s">
        <v>14</v>
      </c>
      <c r="C5559" t="s">
        <v>30</v>
      </c>
      <c r="D5559" t="s">
        <v>20</v>
      </c>
      <c r="E5559">
        <v>82.15</v>
      </c>
      <c r="F5559">
        <v>72</v>
      </c>
      <c r="G5559">
        <v>5914.8</v>
      </c>
      <c r="H5559" t="s">
        <v>12</v>
      </c>
      <c r="I5559" t="str">
        <f t="shared" si="259"/>
        <v>High Value</v>
      </c>
      <c r="J5559" t="str">
        <f t="shared" si="260"/>
        <v>Low Risk</v>
      </c>
      <c r="K5559" s="3" t="str">
        <f t="shared" si="258"/>
        <v>4+ Years</v>
      </c>
    </row>
    <row r="5560" spans="1:11" x14ac:dyDescent="0.3">
      <c r="A5560" t="s">
        <v>5577</v>
      </c>
      <c r="B5560" t="s">
        <v>9</v>
      </c>
      <c r="C5560" t="s">
        <v>15</v>
      </c>
      <c r="D5560" t="s">
        <v>20</v>
      </c>
      <c r="E5560">
        <v>103</v>
      </c>
      <c r="F5560">
        <v>49</v>
      </c>
      <c r="G5560">
        <v>5047</v>
      </c>
      <c r="H5560" t="s">
        <v>12</v>
      </c>
      <c r="I5560" t="str">
        <f t="shared" si="259"/>
        <v>High Value</v>
      </c>
      <c r="J5560" t="str">
        <f t="shared" si="260"/>
        <v>Low Risk</v>
      </c>
      <c r="K5560" s="3" t="str">
        <f t="shared" si="258"/>
        <v>4+ Years</v>
      </c>
    </row>
    <row r="5561" spans="1:11" x14ac:dyDescent="0.3">
      <c r="A5561" t="s">
        <v>5578</v>
      </c>
      <c r="B5561" t="s">
        <v>9</v>
      </c>
      <c r="C5561" t="s">
        <v>10</v>
      </c>
      <c r="D5561" t="s">
        <v>24</v>
      </c>
      <c r="E5561">
        <v>95.1</v>
      </c>
      <c r="F5561">
        <v>44</v>
      </c>
      <c r="G5561">
        <v>4184.3999999999996</v>
      </c>
      <c r="H5561" t="s">
        <v>12</v>
      </c>
      <c r="I5561" t="str">
        <f t="shared" si="259"/>
        <v>Medium Value</v>
      </c>
      <c r="J5561" t="str">
        <f t="shared" si="260"/>
        <v>Low Risk</v>
      </c>
      <c r="K5561" s="3" t="str">
        <f t="shared" si="258"/>
        <v>2-4 Years</v>
      </c>
    </row>
    <row r="5562" spans="1:11" x14ac:dyDescent="0.3">
      <c r="A5562" t="s">
        <v>5579</v>
      </c>
      <c r="B5562" t="s">
        <v>9</v>
      </c>
      <c r="C5562" t="s">
        <v>10</v>
      </c>
      <c r="D5562" t="s">
        <v>16</v>
      </c>
      <c r="E5562">
        <v>83.9</v>
      </c>
      <c r="F5562">
        <v>3</v>
      </c>
      <c r="G5562">
        <v>251.7</v>
      </c>
      <c r="H5562" t="s">
        <v>18</v>
      </c>
      <c r="I5562" t="str">
        <f t="shared" si="259"/>
        <v>Low Value</v>
      </c>
      <c r="J5562" t="str">
        <f t="shared" si="260"/>
        <v>High Risk</v>
      </c>
      <c r="K5562" s="3" t="str">
        <f t="shared" si="258"/>
        <v>0-1 Year</v>
      </c>
    </row>
    <row r="5563" spans="1:11" x14ac:dyDescent="0.3">
      <c r="A5563" t="s">
        <v>5580</v>
      </c>
      <c r="B5563" t="s">
        <v>9</v>
      </c>
      <c r="C5563" t="s">
        <v>10</v>
      </c>
      <c r="D5563" t="s">
        <v>11</v>
      </c>
      <c r="E5563">
        <v>95.15</v>
      </c>
      <c r="F5563">
        <v>37</v>
      </c>
      <c r="G5563">
        <v>3520.55</v>
      </c>
      <c r="H5563" t="s">
        <v>12</v>
      </c>
      <c r="I5563" t="str">
        <f t="shared" si="259"/>
        <v>Medium Value</v>
      </c>
      <c r="J5563" t="str">
        <f t="shared" si="260"/>
        <v>Low Risk</v>
      </c>
      <c r="K5563" s="3" t="str">
        <f t="shared" si="258"/>
        <v>2-4 Years</v>
      </c>
    </row>
    <row r="5564" spans="1:11" x14ac:dyDescent="0.3">
      <c r="A5564" t="s">
        <v>5581</v>
      </c>
      <c r="B5564" t="s">
        <v>14</v>
      </c>
      <c r="C5564" t="s">
        <v>15</v>
      </c>
      <c r="D5564" t="s">
        <v>11</v>
      </c>
      <c r="E5564">
        <v>79.8</v>
      </c>
      <c r="F5564">
        <v>61</v>
      </c>
      <c r="G5564">
        <v>4867.8</v>
      </c>
      <c r="H5564" t="s">
        <v>12</v>
      </c>
      <c r="I5564" t="str">
        <f t="shared" si="259"/>
        <v>Medium Value</v>
      </c>
      <c r="J5564" t="str">
        <f t="shared" si="260"/>
        <v>Low Risk</v>
      </c>
      <c r="K5564" s="3" t="str">
        <f t="shared" si="258"/>
        <v>4+ Years</v>
      </c>
    </row>
    <row r="5565" spans="1:11" x14ac:dyDescent="0.3">
      <c r="A5565" t="s">
        <v>5582</v>
      </c>
      <c r="B5565" t="s">
        <v>14</v>
      </c>
      <c r="C5565" t="s">
        <v>30</v>
      </c>
      <c r="D5565" t="s">
        <v>24</v>
      </c>
      <c r="E5565">
        <v>74.8</v>
      </c>
      <c r="F5565">
        <v>70</v>
      </c>
      <c r="G5565">
        <v>5236</v>
      </c>
      <c r="H5565" t="s">
        <v>12</v>
      </c>
      <c r="I5565" t="str">
        <f t="shared" si="259"/>
        <v>High Value</v>
      </c>
      <c r="J5565" t="str">
        <f t="shared" si="260"/>
        <v>Low Risk</v>
      </c>
      <c r="K5565" s="3" t="str">
        <f t="shared" si="258"/>
        <v>4+ Years</v>
      </c>
    </row>
    <row r="5566" spans="1:11" x14ac:dyDescent="0.3">
      <c r="A5566" t="s">
        <v>5583</v>
      </c>
      <c r="B5566" t="s">
        <v>9</v>
      </c>
      <c r="C5566" t="s">
        <v>10</v>
      </c>
      <c r="D5566" t="s">
        <v>11</v>
      </c>
      <c r="E5566">
        <v>69.849999999999994</v>
      </c>
      <c r="F5566">
        <v>1</v>
      </c>
      <c r="G5566">
        <v>69.849999999999994</v>
      </c>
      <c r="H5566" t="s">
        <v>18</v>
      </c>
      <c r="I5566" t="str">
        <f t="shared" si="259"/>
        <v>Low Value</v>
      </c>
      <c r="J5566" t="str">
        <f t="shared" si="260"/>
        <v>High Risk</v>
      </c>
      <c r="K5566" s="3" t="str">
        <f t="shared" si="258"/>
        <v>0-1 Year</v>
      </c>
    </row>
    <row r="5567" spans="1:11" x14ac:dyDescent="0.3">
      <c r="A5567" t="s">
        <v>5584</v>
      </c>
      <c r="B5567" t="s">
        <v>9</v>
      </c>
      <c r="C5567" t="s">
        <v>10</v>
      </c>
      <c r="D5567" t="s">
        <v>11</v>
      </c>
      <c r="E5567">
        <v>20.45</v>
      </c>
      <c r="F5567">
        <v>41</v>
      </c>
      <c r="G5567">
        <v>838.44999999999902</v>
      </c>
      <c r="H5567" t="s">
        <v>12</v>
      </c>
      <c r="I5567" t="str">
        <f t="shared" si="259"/>
        <v>Low Value</v>
      </c>
      <c r="J5567" t="str">
        <f t="shared" si="260"/>
        <v>Low Risk</v>
      </c>
      <c r="K5567" s="3" t="str">
        <f t="shared" si="258"/>
        <v>2-4 Years</v>
      </c>
    </row>
    <row r="5568" spans="1:11" x14ac:dyDescent="0.3">
      <c r="A5568" t="s">
        <v>5585</v>
      </c>
      <c r="B5568" t="s">
        <v>14</v>
      </c>
      <c r="C5568" t="s">
        <v>15</v>
      </c>
      <c r="D5568" t="s">
        <v>20</v>
      </c>
      <c r="E5568">
        <v>78.349999999999994</v>
      </c>
      <c r="F5568">
        <v>70</v>
      </c>
      <c r="G5568">
        <v>5484.5</v>
      </c>
      <c r="H5568" t="s">
        <v>12</v>
      </c>
      <c r="I5568" t="str">
        <f t="shared" si="259"/>
        <v>High Value</v>
      </c>
      <c r="J5568" t="str">
        <f t="shared" si="260"/>
        <v>Low Risk</v>
      </c>
      <c r="K5568" s="3" t="str">
        <f t="shared" si="258"/>
        <v>4+ Years</v>
      </c>
    </row>
    <row r="5569" spans="1:11" x14ac:dyDescent="0.3">
      <c r="A5569" t="s">
        <v>5586</v>
      </c>
      <c r="B5569" t="s">
        <v>9</v>
      </c>
      <c r="C5569" t="s">
        <v>10</v>
      </c>
      <c r="D5569" t="s">
        <v>16</v>
      </c>
      <c r="E5569">
        <v>53.55</v>
      </c>
      <c r="F5569">
        <v>1</v>
      </c>
      <c r="G5569">
        <v>53.55</v>
      </c>
      <c r="H5569" t="s">
        <v>18</v>
      </c>
      <c r="I5569" t="str">
        <f t="shared" si="259"/>
        <v>Low Value</v>
      </c>
      <c r="J5569" t="str">
        <f t="shared" si="260"/>
        <v>High Risk</v>
      </c>
      <c r="K5569" s="3" t="str">
        <f t="shared" si="258"/>
        <v>0-1 Year</v>
      </c>
    </row>
    <row r="5570" spans="1:11" x14ac:dyDescent="0.3">
      <c r="A5570" t="s">
        <v>5587</v>
      </c>
      <c r="B5570" t="s">
        <v>14</v>
      </c>
      <c r="C5570" t="s">
        <v>15</v>
      </c>
      <c r="D5570" t="s">
        <v>11</v>
      </c>
      <c r="E5570">
        <v>19.100000000000001</v>
      </c>
      <c r="F5570">
        <v>51</v>
      </c>
      <c r="G5570">
        <v>974.1</v>
      </c>
      <c r="H5570" t="s">
        <v>12</v>
      </c>
      <c r="I5570" t="str">
        <f t="shared" si="259"/>
        <v>Low Value</v>
      </c>
      <c r="J5570" t="str">
        <f t="shared" si="260"/>
        <v>Low Risk</v>
      </c>
      <c r="K5570" s="3" t="str">
        <f t="shared" si="258"/>
        <v>4+ Years</v>
      </c>
    </row>
    <row r="5571" spans="1:11" x14ac:dyDescent="0.3">
      <c r="A5571" t="s">
        <v>5588</v>
      </c>
      <c r="B5571" t="s">
        <v>9</v>
      </c>
      <c r="C5571" t="s">
        <v>30</v>
      </c>
      <c r="D5571" t="s">
        <v>16</v>
      </c>
      <c r="E5571">
        <v>20</v>
      </c>
      <c r="F5571">
        <v>42</v>
      </c>
      <c r="G5571">
        <v>840</v>
      </c>
      <c r="H5571" t="s">
        <v>12</v>
      </c>
      <c r="I5571" t="str">
        <f t="shared" si="259"/>
        <v>Low Value</v>
      </c>
      <c r="J5571" t="str">
        <f t="shared" si="260"/>
        <v>Low Risk</v>
      </c>
      <c r="K5571" s="3" t="str">
        <f t="shared" ref="K5571:K5634" si="261">IF(F5571&lt;=12,"0-1 Year",
IF(F5571&lt;=24,"1-2 Years",
IF(F5571&lt;=48,"2-4 Years","4+ Years")))</f>
        <v>2-4 Years</v>
      </c>
    </row>
    <row r="5572" spans="1:11" x14ac:dyDescent="0.3">
      <c r="A5572" t="s">
        <v>5589</v>
      </c>
      <c r="B5572" t="s">
        <v>9</v>
      </c>
      <c r="C5572" t="s">
        <v>30</v>
      </c>
      <c r="D5572" t="s">
        <v>20</v>
      </c>
      <c r="E5572">
        <v>93.9</v>
      </c>
      <c r="F5572">
        <v>70</v>
      </c>
      <c r="G5572">
        <v>6573</v>
      </c>
      <c r="H5572" t="s">
        <v>18</v>
      </c>
      <c r="I5572" t="str">
        <f t="shared" ref="I5572:I5635" si="262">IF(G5572&gt;5000,"High Value",
IF(G5572&gt;2000,"Medium Value","Low Value"))</f>
        <v>High Value</v>
      </c>
      <c r="J5572" t="str">
        <f t="shared" ref="J5572:J5635" si="263">IF(F5572&lt;12,"High Risk",
IF(F5572&lt;24,"Medium Risk","Low Risk"))</f>
        <v>Low Risk</v>
      </c>
      <c r="K5572" s="3" t="str">
        <f t="shared" si="261"/>
        <v>4+ Years</v>
      </c>
    </row>
    <row r="5573" spans="1:11" x14ac:dyDescent="0.3">
      <c r="A5573" t="s">
        <v>5590</v>
      </c>
      <c r="B5573" t="s">
        <v>14</v>
      </c>
      <c r="C5573" t="s">
        <v>15</v>
      </c>
      <c r="D5573" t="s">
        <v>20</v>
      </c>
      <c r="E5573">
        <v>19.95</v>
      </c>
      <c r="F5573">
        <v>48</v>
      </c>
      <c r="G5573">
        <v>957.599999999999</v>
      </c>
      <c r="H5573" t="s">
        <v>12</v>
      </c>
      <c r="I5573" t="str">
        <f t="shared" si="262"/>
        <v>Low Value</v>
      </c>
      <c r="J5573" t="str">
        <f t="shared" si="263"/>
        <v>Low Risk</v>
      </c>
      <c r="K5573" s="3" t="str">
        <f t="shared" si="261"/>
        <v>2-4 Years</v>
      </c>
    </row>
    <row r="5574" spans="1:11" x14ac:dyDescent="0.3">
      <c r="A5574" t="s">
        <v>5591</v>
      </c>
      <c r="B5574" t="s">
        <v>14</v>
      </c>
      <c r="C5574" t="s">
        <v>30</v>
      </c>
      <c r="D5574" t="s">
        <v>11</v>
      </c>
      <c r="E5574">
        <v>113.15</v>
      </c>
      <c r="F5574">
        <v>68</v>
      </c>
      <c r="G5574">
        <v>7694.2</v>
      </c>
      <c r="H5574" t="s">
        <v>18</v>
      </c>
      <c r="I5574" t="str">
        <f t="shared" si="262"/>
        <v>High Value</v>
      </c>
      <c r="J5574" t="str">
        <f t="shared" si="263"/>
        <v>Low Risk</v>
      </c>
      <c r="K5574" s="3" t="str">
        <f t="shared" si="261"/>
        <v>4+ Years</v>
      </c>
    </row>
    <row r="5575" spans="1:11" x14ac:dyDescent="0.3">
      <c r="A5575" t="s">
        <v>5592</v>
      </c>
      <c r="B5575" t="s">
        <v>9</v>
      </c>
      <c r="C5575" t="s">
        <v>30</v>
      </c>
      <c r="D5575" t="s">
        <v>24</v>
      </c>
      <c r="E5575">
        <v>24</v>
      </c>
      <c r="F5575">
        <v>48</v>
      </c>
      <c r="G5575">
        <v>1152</v>
      </c>
      <c r="H5575" t="s">
        <v>12</v>
      </c>
      <c r="I5575" t="str">
        <f t="shared" si="262"/>
        <v>Low Value</v>
      </c>
      <c r="J5575" t="str">
        <f t="shared" si="263"/>
        <v>Low Risk</v>
      </c>
      <c r="K5575" s="3" t="str">
        <f t="shared" si="261"/>
        <v>2-4 Years</v>
      </c>
    </row>
    <row r="5576" spans="1:11" x14ac:dyDescent="0.3">
      <c r="A5576" t="s">
        <v>5593</v>
      </c>
      <c r="B5576" t="s">
        <v>9</v>
      </c>
      <c r="C5576" t="s">
        <v>10</v>
      </c>
      <c r="D5576" t="s">
        <v>11</v>
      </c>
      <c r="E5576">
        <v>84.95</v>
      </c>
      <c r="F5576">
        <v>26</v>
      </c>
      <c r="G5576">
        <v>2208.6999999999998</v>
      </c>
      <c r="H5576" t="s">
        <v>18</v>
      </c>
      <c r="I5576" t="str">
        <f t="shared" si="262"/>
        <v>Medium Value</v>
      </c>
      <c r="J5576" t="str">
        <f t="shared" si="263"/>
        <v>Low Risk</v>
      </c>
      <c r="K5576" s="3" t="str">
        <f t="shared" si="261"/>
        <v>2-4 Years</v>
      </c>
    </row>
    <row r="5577" spans="1:11" x14ac:dyDescent="0.3">
      <c r="A5577" t="s">
        <v>5594</v>
      </c>
      <c r="B5577" t="s">
        <v>14</v>
      </c>
      <c r="C5577" t="s">
        <v>10</v>
      </c>
      <c r="D5577" t="s">
        <v>20</v>
      </c>
      <c r="E5577">
        <v>80.5</v>
      </c>
      <c r="F5577">
        <v>11</v>
      </c>
      <c r="G5577">
        <v>885.5</v>
      </c>
      <c r="H5577" t="s">
        <v>18</v>
      </c>
      <c r="I5577" t="str">
        <f t="shared" si="262"/>
        <v>Low Value</v>
      </c>
      <c r="J5577" t="str">
        <f t="shared" si="263"/>
        <v>High Risk</v>
      </c>
      <c r="K5577" s="3" t="str">
        <f t="shared" si="261"/>
        <v>0-1 Year</v>
      </c>
    </row>
    <row r="5578" spans="1:11" x14ac:dyDescent="0.3">
      <c r="A5578" t="s">
        <v>5595</v>
      </c>
      <c r="B5578" t="s">
        <v>14</v>
      </c>
      <c r="C5578" t="s">
        <v>10</v>
      </c>
      <c r="D5578" t="s">
        <v>16</v>
      </c>
      <c r="E5578">
        <v>19.3</v>
      </c>
      <c r="F5578">
        <v>1</v>
      </c>
      <c r="G5578">
        <v>19.3</v>
      </c>
      <c r="H5578" t="s">
        <v>18</v>
      </c>
      <c r="I5578" t="str">
        <f t="shared" si="262"/>
        <v>Low Value</v>
      </c>
      <c r="J5578" t="str">
        <f t="shared" si="263"/>
        <v>High Risk</v>
      </c>
      <c r="K5578" s="3" t="str">
        <f t="shared" si="261"/>
        <v>0-1 Year</v>
      </c>
    </row>
    <row r="5579" spans="1:11" x14ac:dyDescent="0.3">
      <c r="A5579" t="s">
        <v>5596</v>
      </c>
      <c r="B5579" t="s">
        <v>9</v>
      </c>
      <c r="C5579" t="s">
        <v>15</v>
      </c>
      <c r="D5579" t="s">
        <v>16</v>
      </c>
      <c r="E5579">
        <v>19.149999999999999</v>
      </c>
      <c r="F5579">
        <v>27</v>
      </c>
      <c r="G5579">
        <v>517.04999999999995</v>
      </c>
      <c r="H5579" t="s">
        <v>12</v>
      </c>
      <c r="I5579" t="str">
        <f t="shared" si="262"/>
        <v>Low Value</v>
      </c>
      <c r="J5579" t="str">
        <f t="shared" si="263"/>
        <v>Low Risk</v>
      </c>
      <c r="K5579" s="3" t="str">
        <f t="shared" si="261"/>
        <v>2-4 Years</v>
      </c>
    </row>
    <row r="5580" spans="1:11" x14ac:dyDescent="0.3">
      <c r="A5580" t="s">
        <v>5597</v>
      </c>
      <c r="B5580" t="s">
        <v>9</v>
      </c>
      <c r="C5580" t="s">
        <v>15</v>
      </c>
      <c r="D5580" t="s">
        <v>20</v>
      </c>
      <c r="E5580">
        <v>91.3</v>
      </c>
      <c r="F5580">
        <v>46</v>
      </c>
      <c r="G5580">
        <v>4199.8</v>
      </c>
      <c r="H5580" t="s">
        <v>12</v>
      </c>
      <c r="I5580" t="str">
        <f t="shared" si="262"/>
        <v>Medium Value</v>
      </c>
      <c r="J5580" t="str">
        <f t="shared" si="263"/>
        <v>Low Risk</v>
      </c>
      <c r="K5580" s="3" t="str">
        <f t="shared" si="261"/>
        <v>2-4 Years</v>
      </c>
    </row>
    <row r="5581" spans="1:11" x14ac:dyDescent="0.3">
      <c r="A5581" t="s">
        <v>5598</v>
      </c>
      <c r="B5581" t="s">
        <v>14</v>
      </c>
      <c r="C5581" t="s">
        <v>10</v>
      </c>
      <c r="D5581" t="s">
        <v>16</v>
      </c>
      <c r="E5581">
        <v>49.65</v>
      </c>
      <c r="F5581">
        <v>1</v>
      </c>
      <c r="G5581">
        <v>49.65</v>
      </c>
      <c r="H5581" t="s">
        <v>18</v>
      </c>
      <c r="I5581" t="str">
        <f t="shared" si="262"/>
        <v>Low Value</v>
      </c>
      <c r="J5581" t="str">
        <f t="shared" si="263"/>
        <v>High Risk</v>
      </c>
      <c r="K5581" s="3" t="str">
        <f t="shared" si="261"/>
        <v>0-1 Year</v>
      </c>
    </row>
    <row r="5582" spans="1:11" x14ac:dyDescent="0.3">
      <c r="A5582" t="s">
        <v>5599</v>
      </c>
      <c r="B5582" t="s">
        <v>9</v>
      </c>
      <c r="C5582" t="s">
        <v>30</v>
      </c>
      <c r="D5582" t="s">
        <v>24</v>
      </c>
      <c r="E5582">
        <v>54.35</v>
      </c>
      <c r="F5582">
        <v>46</v>
      </c>
      <c r="G5582">
        <v>2500.1</v>
      </c>
      <c r="H5582" t="s">
        <v>18</v>
      </c>
      <c r="I5582" t="str">
        <f t="shared" si="262"/>
        <v>Medium Value</v>
      </c>
      <c r="J5582" t="str">
        <f t="shared" si="263"/>
        <v>Low Risk</v>
      </c>
      <c r="K5582" s="3" t="str">
        <f t="shared" si="261"/>
        <v>2-4 Years</v>
      </c>
    </row>
    <row r="5583" spans="1:11" x14ac:dyDescent="0.3">
      <c r="A5583" t="s">
        <v>5600</v>
      </c>
      <c r="B5583" t="s">
        <v>14</v>
      </c>
      <c r="C5583" t="s">
        <v>10</v>
      </c>
      <c r="D5583" t="s">
        <v>16</v>
      </c>
      <c r="E5583">
        <v>19.149999999999999</v>
      </c>
      <c r="F5583">
        <v>25</v>
      </c>
      <c r="G5583">
        <v>478.74999999999898</v>
      </c>
      <c r="H5583" t="s">
        <v>12</v>
      </c>
      <c r="I5583" t="str">
        <f t="shared" si="262"/>
        <v>Low Value</v>
      </c>
      <c r="J5583" t="str">
        <f t="shared" si="263"/>
        <v>Low Risk</v>
      </c>
      <c r="K5583" s="3" t="str">
        <f t="shared" si="261"/>
        <v>2-4 Years</v>
      </c>
    </row>
    <row r="5584" spans="1:11" x14ac:dyDescent="0.3">
      <c r="A5584" t="s">
        <v>5601</v>
      </c>
      <c r="B5584" t="s">
        <v>14</v>
      </c>
      <c r="C5584" t="s">
        <v>10</v>
      </c>
      <c r="D5584" t="s">
        <v>11</v>
      </c>
      <c r="E5584">
        <v>88.45</v>
      </c>
      <c r="F5584">
        <v>4</v>
      </c>
      <c r="G5584">
        <v>353.8</v>
      </c>
      <c r="H5584" t="s">
        <v>18</v>
      </c>
      <c r="I5584" t="str">
        <f t="shared" si="262"/>
        <v>Low Value</v>
      </c>
      <c r="J5584" t="str">
        <f t="shared" si="263"/>
        <v>High Risk</v>
      </c>
      <c r="K5584" s="3" t="str">
        <f t="shared" si="261"/>
        <v>0-1 Year</v>
      </c>
    </row>
    <row r="5585" spans="1:11" x14ac:dyDescent="0.3">
      <c r="A5585" t="s">
        <v>5602</v>
      </c>
      <c r="B5585" t="s">
        <v>14</v>
      </c>
      <c r="C5585" t="s">
        <v>30</v>
      </c>
      <c r="D5585" t="s">
        <v>16</v>
      </c>
      <c r="E5585">
        <v>19.75</v>
      </c>
      <c r="F5585">
        <v>13</v>
      </c>
      <c r="G5585">
        <v>256.75</v>
      </c>
      <c r="H5585" t="s">
        <v>12</v>
      </c>
      <c r="I5585" t="str">
        <f t="shared" si="262"/>
        <v>Low Value</v>
      </c>
      <c r="J5585" t="str">
        <f t="shared" si="263"/>
        <v>Medium Risk</v>
      </c>
      <c r="K5585" s="3" t="str">
        <f t="shared" si="261"/>
        <v>1-2 Years</v>
      </c>
    </row>
    <row r="5586" spans="1:11" x14ac:dyDescent="0.3">
      <c r="A5586" t="s">
        <v>5603</v>
      </c>
      <c r="B5586" t="s">
        <v>14</v>
      </c>
      <c r="C5586" t="s">
        <v>15</v>
      </c>
      <c r="D5586" t="s">
        <v>24</v>
      </c>
      <c r="E5586">
        <v>75.5</v>
      </c>
      <c r="F5586">
        <v>31</v>
      </c>
      <c r="G5586">
        <v>2340.5</v>
      </c>
      <c r="H5586" t="s">
        <v>12</v>
      </c>
      <c r="I5586" t="str">
        <f t="shared" si="262"/>
        <v>Medium Value</v>
      </c>
      <c r="J5586" t="str">
        <f t="shared" si="263"/>
        <v>Low Risk</v>
      </c>
      <c r="K5586" s="3" t="str">
        <f t="shared" si="261"/>
        <v>2-4 Years</v>
      </c>
    </row>
    <row r="5587" spans="1:11" x14ac:dyDescent="0.3">
      <c r="A5587" t="s">
        <v>5604</v>
      </c>
      <c r="B5587" t="s">
        <v>9</v>
      </c>
      <c r="C5587" t="s">
        <v>10</v>
      </c>
      <c r="D5587" t="s">
        <v>11</v>
      </c>
      <c r="E5587">
        <v>83.75</v>
      </c>
      <c r="F5587">
        <v>23</v>
      </c>
      <c r="G5587">
        <v>1926.25</v>
      </c>
      <c r="H5587" t="s">
        <v>12</v>
      </c>
      <c r="I5587" t="str">
        <f t="shared" si="262"/>
        <v>Low Value</v>
      </c>
      <c r="J5587" t="str">
        <f t="shared" si="263"/>
        <v>Medium Risk</v>
      </c>
      <c r="K5587" s="3" t="str">
        <f t="shared" si="261"/>
        <v>1-2 Years</v>
      </c>
    </row>
    <row r="5588" spans="1:11" x14ac:dyDescent="0.3">
      <c r="A5588" t="s">
        <v>5605</v>
      </c>
      <c r="B5588" t="s">
        <v>9</v>
      </c>
      <c r="C5588" t="s">
        <v>10</v>
      </c>
      <c r="D5588" t="s">
        <v>16</v>
      </c>
      <c r="E5588">
        <v>19.399999999999999</v>
      </c>
      <c r="F5588">
        <v>2</v>
      </c>
      <c r="G5588">
        <v>38.799999999999997</v>
      </c>
      <c r="H5588" t="s">
        <v>12</v>
      </c>
      <c r="I5588" t="str">
        <f t="shared" si="262"/>
        <v>Low Value</v>
      </c>
      <c r="J5588" t="str">
        <f t="shared" si="263"/>
        <v>High Risk</v>
      </c>
      <c r="K5588" s="3" t="str">
        <f t="shared" si="261"/>
        <v>0-1 Year</v>
      </c>
    </row>
    <row r="5589" spans="1:11" x14ac:dyDescent="0.3">
      <c r="A5589" t="s">
        <v>5606</v>
      </c>
      <c r="B5589" t="s">
        <v>9</v>
      </c>
      <c r="C5589" t="s">
        <v>30</v>
      </c>
      <c r="D5589" t="s">
        <v>20</v>
      </c>
      <c r="E5589">
        <v>26.5</v>
      </c>
      <c r="F5589">
        <v>65</v>
      </c>
      <c r="G5589">
        <v>1722.5</v>
      </c>
      <c r="H5589" t="s">
        <v>12</v>
      </c>
      <c r="I5589" t="str">
        <f t="shared" si="262"/>
        <v>Low Value</v>
      </c>
      <c r="J5589" t="str">
        <f t="shared" si="263"/>
        <v>Low Risk</v>
      </c>
      <c r="K5589" s="3" t="str">
        <f t="shared" si="261"/>
        <v>4+ Years</v>
      </c>
    </row>
    <row r="5590" spans="1:11" x14ac:dyDescent="0.3">
      <c r="A5590" t="s">
        <v>5607</v>
      </c>
      <c r="B5590" t="s">
        <v>14</v>
      </c>
      <c r="C5590" t="s">
        <v>10</v>
      </c>
      <c r="D5590" t="s">
        <v>20</v>
      </c>
      <c r="E5590">
        <v>90.5</v>
      </c>
      <c r="F5590">
        <v>22</v>
      </c>
      <c r="G5590">
        <v>1991</v>
      </c>
      <c r="H5590" t="s">
        <v>18</v>
      </c>
      <c r="I5590" t="str">
        <f t="shared" si="262"/>
        <v>Low Value</v>
      </c>
      <c r="J5590" t="str">
        <f t="shared" si="263"/>
        <v>Medium Risk</v>
      </c>
      <c r="K5590" s="3" t="str">
        <f t="shared" si="261"/>
        <v>1-2 Years</v>
      </c>
    </row>
    <row r="5591" spans="1:11" x14ac:dyDescent="0.3">
      <c r="A5591" t="s">
        <v>5608</v>
      </c>
      <c r="B5591" t="s">
        <v>9</v>
      </c>
      <c r="C5591" t="s">
        <v>15</v>
      </c>
      <c r="D5591" t="s">
        <v>24</v>
      </c>
      <c r="E5591">
        <v>19.149999999999999</v>
      </c>
      <c r="F5591">
        <v>55</v>
      </c>
      <c r="G5591">
        <v>1053.25</v>
      </c>
      <c r="H5591" t="s">
        <v>12</v>
      </c>
      <c r="I5591" t="str">
        <f t="shared" si="262"/>
        <v>Low Value</v>
      </c>
      <c r="J5591" t="str">
        <f t="shared" si="263"/>
        <v>Low Risk</v>
      </c>
      <c r="K5591" s="3" t="str">
        <f t="shared" si="261"/>
        <v>4+ Years</v>
      </c>
    </row>
    <row r="5592" spans="1:11" x14ac:dyDescent="0.3">
      <c r="A5592" t="s">
        <v>5609</v>
      </c>
      <c r="B5592" t="s">
        <v>14</v>
      </c>
      <c r="C5592" t="s">
        <v>10</v>
      </c>
      <c r="D5592" t="s">
        <v>16</v>
      </c>
      <c r="E5592">
        <v>94.85</v>
      </c>
      <c r="F5592">
        <v>9</v>
      </c>
      <c r="G5592">
        <v>853.65</v>
      </c>
      <c r="H5592" t="s">
        <v>18</v>
      </c>
      <c r="I5592" t="str">
        <f t="shared" si="262"/>
        <v>Low Value</v>
      </c>
      <c r="J5592" t="str">
        <f t="shared" si="263"/>
        <v>High Risk</v>
      </c>
      <c r="K5592" s="3" t="str">
        <f t="shared" si="261"/>
        <v>0-1 Year</v>
      </c>
    </row>
    <row r="5593" spans="1:11" x14ac:dyDescent="0.3">
      <c r="A5593" t="s">
        <v>5610</v>
      </c>
      <c r="B5593" t="s">
        <v>14</v>
      </c>
      <c r="C5593" t="s">
        <v>10</v>
      </c>
      <c r="D5593" t="s">
        <v>20</v>
      </c>
      <c r="E5593">
        <v>69.95</v>
      </c>
      <c r="F5593">
        <v>7</v>
      </c>
      <c r="G5593">
        <v>489.65</v>
      </c>
      <c r="H5593" t="s">
        <v>18</v>
      </c>
      <c r="I5593" t="str">
        <f t="shared" si="262"/>
        <v>Low Value</v>
      </c>
      <c r="J5593" t="str">
        <f t="shared" si="263"/>
        <v>High Risk</v>
      </c>
      <c r="K5593" s="3" t="str">
        <f t="shared" si="261"/>
        <v>0-1 Year</v>
      </c>
    </row>
    <row r="5594" spans="1:11" x14ac:dyDescent="0.3">
      <c r="A5594" t="s">
        <v>5611</v>
      </c>
      <c r="B5594" t="s">
        <v>9</v>
      </c>
      <c r="C5594" t="s">
        <v>15</v>
      </c>
      <c r="D5594" t="s">
        <v>16</v>
      </c>
      <c r="E5594">
        <v>40.9</v>
      </c>
      <c r="F5594">
        <v>35</v>
      </c>
      <c r="G5594">
        <v>1431.5</v>
      </c>
      <c r="H5594" t="s">
        <v>12</v>
      </c>
      <c r="I5594" t="str">
        <f t="shared" si="262"/>
        <v>Low Value</v>
      </c>
      <c r="J5594" t="str">
        <f t="shared" si="263"/>
        <v>Low Risk</v>
      </c>
      <c r="K5594" s="3" t="str">
        <f t="shared" si="261"/>
        <v>2-4 Years</v>
      </c>
    </row>
    <row r="5595" spans="1:11" x14ac:dyDescent="0.3">
      <c r="A5595" t="s">
        <v>5612</v>
      </c>
      <c r="B5595" t="s">
        <v>14</v>
      </c>
      <c r="C5595" t="s">
        <v>30</v>
      </c>
      <c r="D5595" t="s">
        <v>16</v>
      </c>
      <c r="E5595">
        <v>80.25</v>
      </c>
      <c r="F5595">
        <v>6</v>
      </c>
      <c r="G5595">
        <v>481.5</v>
      </c>
      <c r="H5595" t="s">
        <v>12</v>
      </c>
      <c r="I5595" t="str">
        <f t="shared" si="262"/>
        <v>Low Value</v>
      </c>
      <c r="J5595" t="str">
        <f t="shared" si="263"/>
        <v>High Risk</v>
      </c>
      <c r="K5595" s="3" t="str">
        <f t="shared" si="261"/>
        <v>0-1 Year</v>
      </c>
    </row>
    <row r="5596" spans="1:11" x14ac:dyDescent="0.3">
      <c r="A5596" t="s">
        <v>5613</v>
      </c>
      <c r="B5596" t="s">
        <v>9</v>
      </c>
      <c r="C5596" t="s">
        <v>10</v>
      </c>
      <c r="D5596" t="s">
        <v>24</v>
      </c>
      <c r="E5596">
        <v>48.6</v>
      </c>
      <c r="F5596">
        <v>1</v>
      </c>
      <c r="G5596">
        <v>48.6</v>
      </c>
      <c r="H5596" t="s">
        <v>18</v>
      </c>
      <c r="I5596" t="str">
        <f t="shared" si="262"/>
        <v>Low Value</v>
      </c>
      <c r="J5596" t="str">
        <f t="shared" si="263"/>
        <v>High Risk</v>
      </c>
      <c r="K5596" s="3" t="str">
        <f t="shared" si="261"/>
        <v>0-1 Year</v>
      </c>
    </row>
    <row r="5597" spans="1:11" x14ac:dyDescent="0.3">
      <c r="A5597" t="s">
        <v>5614</v>
      </c>
      <c r="B5597" t="s">
        <v>14</v>
      </c>
      <c r="C5597" t="s">
        <v>10</v>
      </c>
      <c r="D5597" t="s">
        <v>11</v>
      </c>
      <c r="E5597">
        <v>70.8</v>
      </c>
      <c r="F5597">
        <v>17</v>
      </c>
      <c r="G5597">
        <v>1203.5999999999999</v>
      </c>
      <c r="H5597" t="s">
        <v>12</v>
      </c>
      <c r="I5597" t="str">
        <f t="shared" si="262"/>
        <v>Low Value</v>
      </c>
      <c r="J5597" t="str">
        <f t="shared" si="263"/>
        <v>Medium Risk</v>
      </c>
      <c r="K5597" s="3" t="str">
        <f t="shared" si="261"/>
        <v>1-2 Years</v>
      </c>
    </row>
    <row r="5598" spans="1:11" x14ac:dyDescent="0.3">
      <c r="A5598" t="s">
        <v>5615</v>
      </c>
      <c r="B5598" t="s">
        <v>14</v>
      </c>
      <c r="C5598" t="s">
        <v>10</v>
      </c>
      <c r="D5598" t="s">
        <v>16</v>
      </c>
      <c r="E5598">
        <v>60.2</v>
      </c>
      <c r="F5598">
        <v>10</v>
      </c>
      <c r="G5598">
        <v>602</v>
      </c>
      <c r="H5598" t="s">
        <v>12</v>
      </c>
      <c r="I5598" t="str">
        <f t="shared" si="262"/>
        <v>Low Value</v>
      </c>
      <c r="J5598" t="str">
        <f t="shared" si="263"/>
        <v>High Risk</v>
      </c>
      <c r="K5598" s="3" t="str">
        <f t="shared" si="261"/>
        <v>0-1 Year</v>
      </c>
    </row>
    <row r="5599" spans="1:11" x14ac:dyDescent="0.3">
      <c r="A5599" t="s">
        <v>5616</v>
      </c>
      <c r="B5599" t="s">
        <v>14</v>
      </c>
      <c r="C5599" t="s">
        <v>15</v>
      </c>
      <c r="D5599" t="s">
        <v>24</v>
      </c>
      <c r="E5599">
        <v>55.2</v>
      </c>
      <c r="F5599">
        <v>15</v>
      </c>
      <c r="G5599">
        <v>828</v>
      </c>
      <c r="H5599" t="s">
        <v>12</v>
      </c>
      <c r="I5599" t="str">
        <f t="shared" si="262"/>
        <v>Low Value</v>
      </c>
      <c r="J5599" t="str">
        <f t="shared" si="263"/>
        <v>Medium Risk</v>
      </c>
      <c r="K5599" s="3" t="str">
        <f t="shared" si="261"/>
        <v>1-2 Years</v>
      </c>
    </row>
    <row r="5600" spans="1:11" x14ac:dyDescent="0.3">
      <c r="A5600" t="s">
        <v>5617</v>
      </c>
      <c r="B5600" t="s">
        <v>9</v>
      </c>
      <c r="C5600" t="s">
        <v>10</v>
      </c>
      <c r="D5600" t="s">
        <v>11</v>
      </c>
      <c r="E5600">
        <v>55.8</v>
      </c>
      <c r="F5600">
        <v>40</v>
      </c>
      <c r="G5600">
        <v>2232</v>
      </c>
      <c r="H5600" t="s">
        <v>18</v>
      </c>
      <c r="I5600" t="str">
        <f t="shared" si="262"/>
        <v>Medium Value</v>
      </c>
      <c r="J5600" t="str">
        <f t="shared" si="263"/>
        <v>Low Risk</v>
      </c>
      <c r="K5600" s="3" t="str">
        <f t="shared" si="261"/>
        <v>2-4 Years</v>
      </c>
    </row>
    <row r="5601" spans="1:11" x14ac:dyDescent="0.3">
      <c r="A5601" t="s">
        <v>5618</v>
      </c>
      <c r="B5601" t="s">
        <v>9</v>
      </c>
      <c r="C5601" t="s">
        <v>15</v>
      </c>
      <c r="D5601" t="s">
        <v>20</v>
      </c>
      <c r="E5601">
        <v>54.15</v>
      </c>
      <c r="F5601">
        <v>13</v>
      </c>
      <c r="G5601">
        <v>703.94999999999902</v>
      </c>
      <c r="H5601" t="s">
        <v>12</v>
      </c>
      <c r="I5601" t="str">
        <f t="shared" si="262"/>
        <v>Low Value</v>
      </c>
      <c r="J5601" t="str">
        <f t="shared" si="263"/>
        <v>Medium Risk</v>
      </c>
      <c r="K5601" s="3" t="str">
        <f t="shared" si="261"/>
        <v>1-2 Years</v>
      </c>
    </row>
    <row r="5602" spans="1:11" x14ac:dyDescent="0.3">
      <c r="A5602" t="s">
        <v>5619</v>
      </c>
      <c r="B5602" t="s">
        <v>14</v>
      </c>
      <c r="C5602" t="s">
        <v>10</v>
      </c>
      <c r="D5602" t="s">
        <v>20</v>
      </c>
      <c r="E5602">
        <v>80.150000000000006</v>
      </c>
      <c r="F5602">
        <v>29</v>
      </c>
      <c r="G5602">
        <v>2324.35</v>
      </c>
      <c r="H5602" t="s">
        <v>18</v>
      </c>
      <c r="I5602" t="str">
        <f t="shared" si="262"/>
        <v>Medium Value</v>
      </c>
      <c r="J5602" t="str">
        <f t="shared" si="263"/>
        <v>Low Risk</v>
      </c>
      <c r="K5602" s="3" t="str">
        <f t="shared" si="261"/>
        <v>2-4 Years</v>
      </c>
    </row>
    <row r="5603" spans="1:11" x14ac:dyDescent="0.3">
      <c r="A5603" t="s">
        <v>5620</v>
      </c>
      <c r="B5603" t="s">
        <v>9</v>
      </c>
      <c r="C5603" t="s">
        <v>10</v>
      </c>
      <c r="D5603" t="s">
        <v>11</v>
      </c>
      <c r="E5603">
        <v>75.5</v>
      </c>
      <c r="F5603">
        <v>3</v>
      </c>
      <c r="G5603">
        <v>226.5</v>
      </c>
      <c r="H5603" t="s">
        <v>18</v>
      </c>
      <c r="I5603" t="str">
        <f t="shared" si="262"/>
        <v>Low Value</v>
      </c>
      <c r="J5603" t="str">
        <f t="shared" si="263"/>
        <v>High Risk</v>
      </c>
      <c r="K5603" s="3" t="str">
        <f t="shared" si="261"/>
        <v>0-1 Year</v>
      </c>
    </row>
    <row r="5604" spans="1:11" x14ac:dyDescent="0.3">
      <c r="A5604" t="s">
        <v>5621</v>
      </c>
      <c r="B5604" t="s">
        <v>9</v>
      </c>
      <c r="C5604" t="s">
        <v>10</v>
      </c>
      <c r="D5604" t="s">
        <v>20</v>
      </c>
      <c r="E5604">
        <v>100.4</v>
      </c>
      <c r="F5604">
        <v>58</v>
      </c>
      <c r="G5604">
        <v>5823.2</v>
      </c>
      <c r="H5604" t="s">
        <v>12</v>
      </c>
      <c r="I5604" t="str">
        <f t="shared" si="262"/>
        <v>High Value</v>
      </c>
      <c r="J5604" t="str">
        <f t="shared" si="263"/>
        <v>Low Risk</v>
      </c>
      <c r="K5604" s="3" t="str">
        <f t="shared" si="261"/>
        <v>4+ Years</v>
      </c>
    </row>
    <row r="5605" spans="1:11" x14ac:dyDescent="0.3">
      <c r="A5605" t="s">
        <v>5622</v>
      </c>
      <c r="B5605" t="s">
        <v>9</v>
      </c>
      <c r="C5605" t="s">
        <v>15</v>
      </c>
      <c r="D5605" t="s">
        <v>24</v>
      </c>
      <c r="E5605">
        <v>62.55</v>
      </c>
      <c r="F5605">
        <v>45</v>
      </c>
      <c r="G5605">
        <v>2814.75</v>
      </c>
      <c r="H5605" t="s">
        <v>12</v>
      </c>
      <c r="I5605" t="str">
        <f t="shared" si="262"/>
        <v>Medium Value</v>
      </c>
      <c r="J5605" t="str">
        <f t="shared" si="263"/>
        <v>Low Risk</v>
      </c>
      <c r="K5605" s="3" t="str">
        <f t="shared" si="261"/>
        <v>2-4 Years</v>
      </c>
    </row>
    <row r="5606" spans="1:11" x14ac:dyDescent="0.3">
      <c r="A5606" t="s">
        <v>5623</v>
      </c>
      <c r="B5606" t="s">
        <v>9</v>
      </c>
      <c r="C5606" t="s">
        <v>30</v>
      </c>
      <c r="D5606" t="s">
        <v>20</v>
      </c>
      <c r="E5606">
        <v>70.45</v>
      </c>
      <c r="F5606">
        <v>72</v>
      </c>
      <c r="G5606">
        <v>5072.3999999999996</v>
      </c>
      <c r="H5606" t="s">
        <v>12</v>
      </c>
      <c r="I5606" t="str">
        <f t="shared" si="262"/>
        <v>High Value</v>
      </c>
      <c r="J5606" t="str">
        <f t="shared" si="263"/>
        <v>Low Risk</v>
      </c>
      <c r="K5606" s="3" t="str">
        <f t="shared" si="261"/>
        <v>4+ Years</v>
      </c>
    </row>
    <row r="5607" spans="1:11" x14ac:dyDescent="0.3">
      <c r="A5607" t="s">
        <v>5624</v>
      </c>
      <c r="B5607" t="s">
        <v>14</v>
      </c>
      <c r="C5607" t="s">
        <v>15</v>
      </c>
      <c r="D5607" t="s">
        <v>20</v>
      </c>
      <c r="E5607">
        <v>85.5</v>
      </c>
      <c r="F5607">
        <v>68</v>
      </c>
      <c r="G5607">
        <v>5814</v>
      </c>
      <c r="H5607" t="s">
        <v>12</v>
      </c>
      <c r="I5607" t="str">
        <f t="shared" si="262"/>
        <v>High Value</v>
      </c>
      <c r="J5607" t="str">
        <f t="shared" si="263"/>
        <v>Low Risk</v>
      </c>
      <c r="K5607" s="3" t="str">
        <f t="shared" si="261"/>
        <v>4+ Years</v>
      </c>
    </row>
    <row r="5608" spans="1:11" x14ac:dyDescent="0.3">
      <c r="A5608" t="s">
        <v>5625</v>
      </c>
      <c r="B5608" t="s">
        <v>14</v>
      </c>
      <c r="C5608" t="s">
        <v>10</v>
      </c>
      <c r="D5608" t="s">
        <v>20</v>
      </c>
      <c r="E5608">
        <v>20.2</v>
      </c>
      <c r="F5608">
        <v>1</v>
      </c>
      <c r="G5608">
        <v>20.2</v>
      </c>
      <c r="H5608" t="s">
        <v>18</v>
      </c>
      <c r="I5608" t="str">
        <f t="shared" si="262"/>
        <v>Low Value</v>
      </c>
      <c r="J5608" t="str">
        <f t="shared" si="263"/>
        <v>High Risk</v>
      </c>
      <c r="K5608" s="3" t="str">
        <f t="shared" si="261"/>
        <v>0-1 Year</v>
      </c>
    </row>
    <row r="5609" spans="1:11" x14ac:dyDescent="0.3">
      <c r="A5609" t="s">
        <v>5626</v>
      </c>
      <c r="B5609" t="s">
        <v>9</v>
      </c>
      <c r="C5609" t="s">
        <v>10</v>
      </c>
      <c r="D5609" t="s">
        <v>11</v>
      </c>
      <c r="E5609">
        <v>54.5</v>
      </c>
      <c r="F5609">
        <v>38</v>
      </c>
      <c r="G5609">
        <v>2071</v>
      </c>
      <c r="H5609" t="s">
        <v>12</v>
      </c>
      <c r="I5609" t="str">
        <f t="shared" si="262"/>
        <v>Medium Value</v>
      </c>
      <c r="J5609" t="str">
        <f t="shared" si="263"/>
        <v>Low Risk</v>
      </c>
      <c r="K5609" s="3" t="str">
        <f t="shared" si="261"/>
        <v>2-4 Years</v>
      </c>
    </row>
    <row r="5610" spans="1:11" x14ac:dyDescent="0.3">
      <c r="A5610" t="s">
        <v>5627</v>
      </c>
      <c r="B5610" t="s">
        <v>14</v>
      </c>
      <c r="C5610" t="s">
        <v>10</v>
      </c>
      <c r="D5610" t="s">
        <v>16</v>
      </c>
      <c r="E5610">
        <v>20.75</v>
      </c>
      <c r="F5610">
        <v>2</v>
      </c>
      <c r="G5610">
        <v>41.5</v>
      </c>
      <c r="H5610" t="s">
        <v>12</v>
      </c>
      <c r="I5610" t="str">
        <f t="shared" si="262"/>
        <v>Low Value</v>
      </c>
      <c r="J5610" t="str">
        <f t="shared" si="263"/>
        <v>High Risk</v>
      </c>
      <c r="K5610" s="3" t="str">
        <f t="shared" si="261"/>
        <v>0-1 Year</v>
      </c>
    </row>
    <row r="5611" spans="1:11" x14ac:dyDescent="0.3">
      <c r="A5611" t="s">
        <v>5628</v>
      </c>
      <c r="B5611" t="s">
        <v>14</v>
      </c>
      <c r="C5611" t="s">
        <v>10</v>
      </c>
      <c r="D5611" t="s">
        <v>16</v>
      </c>
      <c r="E5611">
        <v>20.350000000000001</v>
      </c>
      <c r="F5611">
        <v>11</v>
      </c>
      <c r="G5611">
        <v>223.85</v>
      </c>
      <c r="H5611" t="s">
        <v>12</v>
      </c>
      <c r="I5611" t="str">
        <f t="shared" si="262"/>
        <v>Low Value</v>
      </c>
      <c r="J5611" t="str">
        <f t="shared" si="263"/>
        <v>High Risk</v>
      </c>
      <c r="K5611" s="3" t="str">
        <f t="shared" si="261"/>
        <v>0-1 Year</v>
      </c>
    </row>
    <row r="5612" spans="1:11" x14ac:dyDescent="0.3">
      <c r="A5612" t="s">
        <v>5629</v>
      </c>
      <c r="B5612" t="s">
        <v>9</v>
      </c>
      <c r="C5612" t="s">
        <v>15</v>
      </c>
      <c r="D5612" t="s">
        <v>20</v>
      </c>
      <c r="E5612">
        <v>91</v>
      </c>
      <c r="F5612">
        <v>20</v>
      </c>
      <c r="G5612">
        <v>1820</v>
      </c>
      <c r="H5612" t="s">
        <v>12</v>
      </c>
      <c r="I5612" t="str">
        <f t="shared" si="262"/>
        <v>Low Value</v>
      </c>
      <c r="J5612" t="str">
        <f t="shared" si="263"/>
        <v>Medium Risk</v>
      </c>
      <c r="K5612" s="3" t="str">
        <f t="shared" si="261"/>
        <v>1-2 Years</v>
      </c>
    </row>
    <row r="5613" spans="1:11" x14ac:dyDescent="0.3">
      <c r="A5613" t="s">
        <v>5630</v>
      </c>
      <c r="B5613" t="s">
        <v>14</v>
      </c>
      <c r="C5613" t="s">
        <v>30</v>
      </c>
      <c r="D5613" t="s">
        <v>20</v>
      </c>
      <c r="E5613">
        <v>104.8</v>
      </c>
      <c r="F5613">
        <v>72</v>
      </c>
      <c r="G5613">
        <v>7545.5999999999904</v>
      </c>
      <c r="H5613" t="s">
        <v>12</v>
      </c>
      <c r="I5613" t="str">
        <f t="shared" si="262"/>
        <v>High Value</v>
      </c>
      <c r="J5613" t="str">
        <f t="shared" si="263"/>
        <v>Low Risk</v>
      </c>
      <c r="K5613" s="3" t="str">
        <f t="shared" si="261"/>
        <v>4+ Years</v>
      </c>
    </row>
    <row r="5614" spans="1:11" x14ac:dyDescent="0.3">
      <c r="A5614" t="s">
        <v>5631</v>
      </c>
      <c r="B5614" t="s">
        <v>9</v>
      </c>
      <c r="C5614" t="s">
        <v>10</v>
      </c>
      <c r="D5614" t="s">
        <v>24</v>
      </c>
      <c r="E5614">
        <v>74.75</v>
      </c>
      <c r="F5614">
        <v>3</v>
      </c>
      <c r="G5614">
        <v>224.25</v>
      </c>
      <c r="H5614" t="s">
        <v>18</v>
      </c>
      <c r="I5614" t="str">
        <f t="shared" si="262"/>
        <v>Low Value</v>
      </c>
      <c r="J5614" t="str">
        <f t="shared" si="263"/>
        <v>High Risk</v>
      </c>
      <c r="K5614" s="3" t="str">
        <f t="shared" si="261"/>
        <v>0-1 Year</v>
      </c>
    </row>
    <row r="5615" spans="1:11" x14ac:dyDescent="0.3">
      <c r="A5615" t="s">
        <v>5632</v>
      </c>
      <c r="B5615" t="s">
        <v>14</v>
      </c>
      <c r="C5615" t="s">
        <v>10</v>
      </c>
      <c r="D5615" t="s">
        <v>16</v>
      </c>
      <c r="E5615">
        <v>104.05</v>
      </c>
      <c r="F5615">
        <v>23</v>
      </c>
      <c r="G5615">
        <v>2393.15</v>
      </c>
      <c r="H5615" t="s">
        <v>18</v>
      </c>
      <c r="I5615" t="str">
        <f t="shared" si="262"/>
        <v>Medium Value</v>
      </c>
      <c r="J5615" t="str">
        <f t="shared" si="263"/>
        <v>Medium Risk</v>
      </c>
      <c r="K5615" s="3" t="str">
        <f t="shared" si="261"/>
        <v>1-2 Years</v>
      </c>
    </row>
    <row r="5616" spans="1:11" x14ac:dyDescent="0.3">
      <c r="A5616" t="s">
        <v>5633</v>
      </c>
      <c r="B5616" t="s">
        <v>14</v>
      </c>
      <c r="C5616" t="s">
        <v>10</v>
      </c>
      <c r="D5616" t="s">
        <v>11</v>
      </c>
      <c r="E5616">
        <v>51.1</v>
      </c>
      <c r="F5616">
        <v>40</v>
      </c>
      <c r="G5616">
        <v>2044</v>
      </c>
      <c r="H5616" t="s">
        <v>12</v>
      </c>
      <c r="I5616" t="str">
        <f t="shared" si="262"/>
        <v>Medium Value</v>
      </c>
      <c r="J5616" t="str">
        <f t="shared" si="263"/>
        <v>Low Risk</v>
      </c>
      <c r="K5616" s="3" t="str">
        <f t="shared" si="261"/>
        <v>2-4 Years</v>
      </c>
    </row>
    <row r="5617" spans="1:11" x14ac:dyDescent="0.3">
      <c r="A5617" t="s">
        <v>5634</v>
      </c>
      <c r="B5617" t="s">
        <v>14</v>
      </c>
      <c r="C5617" t="s">
        <v>10</v>
      </c>
      <c r="D5617" t="s">
        <v>20</v>
      </c>
      <c r="E5617">
        <v>89.8</v>
      </c>
      <c r="F5617">
        <v>62</v>
      </c>
      <c r="G5617">
        <v>5567.5999999999904</v>
      </c>
      <c r="H5617" t="s">
        <v>12</v>
      </c>
      <c r="I5617" t="str">
        <f t="shared" si="262"/>
        <v>High Value</v>
      </c>
      <c r="J5617" t="str">
        <f t="shared" si="263"/>
        <v>Low Risk</v>
      </c>
      <c r="K5617" s="3" t="str">
        <f t="shared" si="261"/>
        <v>4+ Years</v>
      </c>
    </row>
    <row r="5618" spans="1:11" x14ac:dyDescent="0.3">
      <c r="A5618" t="s">
        <v>5635</v>
      </c>
      <c r="B5618" t="s">
        <v>9</v>
      </c>
      <c r="C5618" t="s">
        <v>10</v>
      </c>
      <c r="D5618" t="s">
        <v>11</v>
      </c>
      <c r="E5618">
        <v>20.55</v>
      </c>
      <c r="F5618">
        <v>22</v>
      </c>
      <c r="G5618">
        <v>452.1</v>
      </c>
      <c r="H5618" t="s">
        <v>12</v>
      </c>
      <c r="I5618" t="str">
        <f t="shared" si="262"/>
        <v>Low Value</v>
      </c>
      <c r="J5618" t="str">
        <f t="shared" si="263"/>
        <v>Medium Risk</v>
      </c>
      <c r="K5618" s="3" t="str">
        <f t="shared" si="261"/>
        <v>1-2 Years</v>
      </c>
    </row>
    <row r="5619" spans="1:11" x14ac:dyDescent="0.3">
      <c r="A5619" t="s">
        <v>5636</v>
      </c>
      <c r="B5619" t="s">
        <v>9</v>
      </c>
      <c r="C5619" t="s">
        <v>10</v>
      </c>
      <c r="D5619" t="s">
        <v>20</v>
      </c>
      <c r="E5619">
        <v>64.05</v>
      </c>
      <c r="F5619">
        <v>11</v>
      </c>
      <c r="G5619">
        <v>704.55</v>
      </c>
      <c r="H5619" t="s">
        <v>12</v>
      </c>
      <c r="I5619" t="str">
        <f t="shared" si="262"/>
        <v>Low Value</v>
      </c>
      <c r="J5619" t="str">
        <f t="shared" si="263"/>
        <v>High Risk</v>
      </c>
      <c r="K5619" s="3" t="str">
        <f t="shared" si="261"/>
        <v>0-1 Year</v>
      </c>
    </row>
    <row r="5620" spans="1:11" x14ac:dyDescent="0.3">
      <c r="A5620" t="s">
        <v>5637</v>
      </c>
      <c r="B5620" t="s">
        <v>14</v>
      </c>
      <c r="C5620" t="s">
        <v>10</v>
      </c>
      <c r="D5620" t="s">
        <v>11</v>
      </c>
      <c r="E5620">
        <v>74.849999999999994</v>
      </c>
      <c r="F5620">
        <v>7</v>
      </c>
      <c r="G5620">
        <v>523.94999999999902</v>
      </c>
      <c r="H5620" t="s">
        <v>12</v>
      </c>
      <c r="I5620" t="str">
        <f t="shared" si="262"/>
        <v>Low Value</v>
      </c>
      <c r="J5620" t="str">
        <f t="shared" si="263"/>
        <v>High Risk</v>
      </c>
      <c r="K5620" s="3" t="str">
        <f t="shared" si="261"/>
        <v>0-1 Year</v>
      </c>
    </row>
    <row r="5621" spans="1:11" x14ac:dyDescent="0.3">
      <c r="A5621" t="s">
        <v>5638</v>
      </c>
      <c r="B5621" t="s">
        <v>9</v>
      </c>
      <c r="C5621" t="s">
        <v>10</v>
      </c>
      <c r="D5621" t="s">
        <v>11</v>
      </c>
      <c r="E5621">
        <v>96.65</v>
      </c>
      <c r="F5621">
        <v>13</v>
      </c>
      <c r="G5621">
        <v>1256.45</v>
      </c>
      <c r="H5621" t="s">
        <v>18</v>
      </c>
      <c r="I5621" t="str">
        <f t="shared" si="262"/>
        <v>Low Value</v>
      </c>
      <c r="J5621" t="str">
        <f t="shared" si="263"/>
        <v>Medium Risk</v>
      </c>
      <c r="K5621" s="3" t="str">
        <f t="shared" si="261"/>
        <v>1-2 Years</v>
      </c>
    </row>
    <row r="5622" spans="1:11" x14ac:dyDescent="0.3">
      <c r="A5622" t="s">
        <v>5639</v>
      </c>
      <c r="B5622" t="s">
        <v>14</v>
      </c>
      <c r="C5622" t="s">
        <v>10</v>
      </c>
      <c r="D5622" t="s">
        <v>16</v>
      </c>
      <c r="E5622">
        <v>20.05</v>
      </c>
      <c r="F5622">
        <v>1</v>
      </c>
      <c r="G5622">
        <v>20.05</v>
      </c>
      <c r="H5622" t="s">
        <v>18</v>
      </c>
      <c r="I5622" t="str">
        <f t="shared" si="262"/>
        <v>Low Value</v>
      </c>
      <c r="J5622" t="str">
        <f t="shared" si="263"/>
        <v>High Risk</v>
      </c>
      <c r="K5622" s="3" t="str">
        <f t="shared" si="261"/>
        <v>0-1 Year</v>
      </c>
    </row>
    <row r="5623" spans="1:11" x14ac:dyDescent="0.3">
      <c r="A5623" t="s">
        <v>5640</v>
      </c>
      <c r="B5623" t="s">
        <v>9</v>
      </c>
      <c r="C5623" t="s">
        <v>10</v>
      </c>
      <c r="D5623" t="s">
        <v>11</v>
      </c>
      <c r="E5623">
        <v>103.45</v>
      </c>
      <c r="F5623">
        <v>39</v>
      </c>
      <c r="G5623">
        <v>4034.55</v>
      </c>
      <c r="H5623" t="s">
        <v>18</v>
      </c>
      <c r="I5623" t="str">
        <f t="shared" si="262"/>
        <v>Medium Value</v>
      </c>
      <c r="J5623" t="str">
        <f t="shared" si="263"/>
        <v>Low Risk</v>
      </c>
      <c r="K5623" s="3" t="str">
        <f t="shared" si="261"/>
        <v>2-4 Years</v>
      </c>
    </row>
    <row r="5624" spans="1:11" x14ac:dyDescent="0.3">
      <c r="A5624" t="s">
        <v>5641</v>
      </c>
      <c r="B5624" t="s">
        <v>14</v>
      </c>
      <c r="C5624" t="s">
        <v>10</v>
      </c>
      <c r="D5624" t="s">
        <v>16</v>
      </c>
      <c r="E5624">
        <v>25</v>
      </c>
      <c r="F5624">
        <v>3</v>
      </c>
      <c r="G5624">
        <v>75</v>
      </c>
      <c r="H5624" t="s">
        <v>12</v>
      </c>
      <c r="I5624" t="str">
        <f t="shared" si="262"/>
        <v>Low Value</v>
      </c>
      <c r="J5624" t="str">
        <f t="shared" si="263"/>
        <v>High Risk</v>
      </c>
      <c r="K5624" s="3" t="str">
        <f t="shared" si="261"/>
        <v>0-1 Year</v>
      </c>
    </row>
    <row r="5625" spans="1:11" x14ac:dyDescent="0.3">
      <c r="A5625" t="s">
        <v>5642</v>
      </c>
      <c r="B5625" t="s">
        <v>14</v>
      </c>
      <c r="C5625" t="s">
        <v>30</v>
      </c>
      <c r="D5625" t="s">
        <v>24</v>
      </c>
      <c r="E5625">
        <v>20.3</v>
      </c>
      <c r="F5625">
        <v>58</v>
      </c>
      <c r="G5625">
        <v>1177.4000000000001</v>
      </c>
      <c r="H5625" t="s">
        <v>12</v>
      </c>
      <c r="I5625" t="str">
        <f t="shared" si="262"/>
        <v>Low Value</v>
      </c>
      <c r="J5625" t="str">
        <f t="shared" si="263"/>
        <v>Low Risk</v>
      </c>
      <c r="K5625" s="3" t="str">
        <f t="shared" si="261"/>
        <v>4+ Years</v>
      </c>
    </row>
    <row r="5626" spans="1:11" x14ac:dyDescent="0.3">
      <c r="A5626" t="s">
        <v>5643</v>
      </c>
      <c r="B5626" t="s">
        <v>14</v>
      </c>
      <c r="C5626" t="s">
        <v>10</v>
      </c>
      <c r="D5626" t="s">
        <v>16</v>
      </c>
      <c r="E5626">
        <v>26.35</v>
      </c>
      <c r="F5626">
        <v>6</v>
      </c>
      <c r="G5626">
        <v>158.1</v>
      </c>
      <c r="H5626" t="s">
        <v>12</v>
      </c>
      <c r="I5626" t="str">
        <f t="shared" si="262"/>
        <v>Low Value</v>
      </c>
      <c r="J5626" t="str">
        <f t="shared" si="263"/>
        <v>High Risk</v>
      </c>
      <c r="K5626" s="3" t="str">
        <f t="shared" si="261"/>
        <v>0-1 Year</v>
      </c>
    </row>
    <row r="5627" spans="1:11" x14ac:dyDescent="0.3">
      <c r="A5627" t="s">
        <v>5644</v>
      </c>
      <c r="B5627" t="s">
        <v>9</v>
      </c>
      <c r="C5627" t="s">
        <v>10</v>
      </c>
      <c r="D5627" t="s">
        <v>11</v>
      </c>
      <c r="E5627">
        <v>19.899999999999999</v>
      </c>
      <c r="F5627">
        <v>1</v>
      </c>
      <c r="G5627">
        <v>19.899999999999999</v>
      </c>
      <c r="H5627" t="s">
        <v>18</v>
      </c>
      <c r="I5627" t="str">
        <f t="shared" si="262"/>
        <v>Low Value</v>
      </c>
      <c r="J5627" t="str">
        <f t="shared" si="263"/>
        <v>High Risk</v>
      </c>
      <c r="K5627" s="3" t="str">
        <f t="shared" si="261"/>
        <v>0-1 Year</v>
      </c>
    </row>
    <row r="5628" spans="1:11" x14ac:dyDescent="0.3">
      <c r="A5628" t="s">
        <v>5645</v>
      </c>
      <c r="B5628" t="s">
        <v>9</v>
      </c>
      <c r="C5628" t="s">
        <v>10</v>
      </c>
      <c r="D5628" t="s">
        <v>16</v>
      </c>
      <c r="E5628">
        <v>54.7</v>
      </c>
      <c r="F5628">
        <v>22</v>
      </c>
      <c r="G5628">
        <v>1203.4000000000001</v>
      </c>
      <c r="H5628" t="s">
        <v>12</v>
      </c>
      <c r="I5628" t="str">
        <f t="shared" si="262"/>
        <v>Low Value</v>
      </c>
      <c r="J5628" t="str">
        <f t="shared" si="263"/>
        <v>Medium Risk</v>
      </c>
      <c r="K5628" s="3" t="str">
        <f t="shared" si="261"/>
        <v>1-2 Years</v>
      </c>
    </row>
    <row r="5629" spans="1:11" x14ac:dyDescent="0.3">
      <c r="A5629" t="s">
        <v>5646</v>
      </c>
      <c r="B5629" t="s">
        <v>14</v>
      </c>
      <c r="C5629" t="s">
        <v>10</v>
      </c>
      <c r="D5629" t="s">
        <v>11</v>
      </c>
      <c r="E5629">
        <v>46.35</v>
      </c>
      <c r="F5629">
        <v>14</v>
      </c>
      <c r="G5629">
        <v>648.9</v>
      </c>
      <c r="H5629" t="s">
        <v>18</v>
      </c>
      <c r="I5629" t="str">
        <f t="shared" si="262"/>
        <v>Low Value</v>
      </c>
      <c r="J5629" t="str">
        <f t="shared" si="263"/>
        <v>Medium Risk</v>
      </c>
      <c r="K5629" s="3" t="str">
        <f t="shared" si="261"/>
        <v>1-2 Years</v>
      </c>
    </row>
    <row r="5630" spans="1:11" x14ac:dyDescent="0.3">
      <c r="A5630" t="s">
        <v>5647</v>
      </c>
      <c r="B5630" t="s">
        <v>14</v>
      </c>
      <c r="C5630" t="s">
        <v>15</v>
      </c>
      <c r="D5630" t="s">
        <v>24</v>
      </c>
      <c r="E5630">
        <v>90.25</v>
      </c>
      <c r="F5630">
        <v>64</v>
      </c>
      <c r="G5630">
        <v>5776</v>
      </c>
      <c r="H5630" t="s">
        <v>12</v>
      </c>
      <c r="I5630" t="str">
        <f t="shared" si="262"/>
        <v>High Value</v>
      </c>
      <c r="J5630" t="str">
        <f t="shared" si="263"/>
        <v>Low Risk</v>
      </c>
      <c r="K5630" s="3" t="str">
        <f t="shared" si="261"/>
        <v>4+ Years</v>
      </c>
    </row>
    <row r="5631" spans="1:11" x14ac:dyDescent="0.3">
      <c r="A5631" t="s">
        <v>5648</v>
      </c>
      <c r="B5631" t="s">
        <v>14</v>
      </c>
      <c r="C5631" t="s">
        <v>10</v>
      </c>
      <c r="D5631" t="s">
        <v>11</v>
      </c>
      <c r="E5631">
        <v>19.95</v>
      </c>
      <c r="F5631">
        <v>1</v>
      </c>
      <c r="G5631">
        <v>19.95</v>
      </c>
      <c r="H5631" t="s">
        <v>18</v>
      </c>
      <c r="I5631" t="str">
        <f t="shared" si="262"/>
        <v>Low Value</v>
      </c>
      <c r="J5631" t="str">
        <f t="shared" si="263"/>
        <v>High Risk</v>
      </c>
      <c r="K5631" s="3" t="str">
        <f t="shared" si="261"/>
        <v>0-1 Year</v>
      </c>
    </row>
    <row r="5632" spans="1:11" x14ac:dyDescent="0.3">
      <c r="A5632" t="s">
        <v>5649</v>
      </c>
      <c r="B5632" t="s">
        <v>14</v>
      </c>
      <c r="C5632" t="s">
        <v>10</v>
      </c>
      <c r="D5632" t="s">
        <v>16</v>
      </c>
      <c r="E5632">
        <v>20.65</v>
      </c>
      <c r="F5632">
        <v>6</v>
      </c>
      <c r="G5632">
        <v>123.899999999999</v>
      </c>
      <c r="H5632" t="s">
        <v>12</v>
      </c>
      <c r="I5632" t="str">
        <f t="shared" si="262"/>
        <v>Low Value</v>
      </c>
      <c r="J5632" t="str">
        <f t="shared" si="263"/>
        <v>High Risk</v>
      </c>
      <c r="K5632" s="3" t="str">
        <f t="shared" si="261"/>
        <v>0-1 Year</v>
      </c>
    </row>
    <row r="5633" spans="1:11" x14ac:dyDescent="0.3">
      <c r="A5633" t="s">
        <v>5650</v>
      </c>
      <c r="B5633" t="s">
        <v>14</v>
      </c>
      <c r="C5633" t="s">
        <v>10</v>
      </c>
      <c r="D5633" t="s">
        <v>11</v>
      </c>
      <c r="E5633">
        <v>79.599999999999994</v>
      </c>
      <c r="F5633">
        <v>1</v>
      </c>
      <c r="G5633">
        <v>79.599999999999994</v>
      </c>
      <c r="H5633" t="s">
        <v>18</v>
      </c>
      <c r="I5633" t="str">
        <f t="shared" si="262"/>
        <v>Low Value</v>
      </c>
      <c r="J5633" t="str">
        <f t="shared" si="263"/>
        <v>High Risk</v>
      </c>
      <c r="K5633" s="3" t="str">
        <f t="shared" si="261"/>
        <v>0-1 Year</v>
      </c>
    </row>
    <row r="5634" spans="1:11" x14ac:dyDescent="0.3">
      <c r="A5634" t="s">
        <v>5651</v>
      </c>
      <c r="B5634" t="s">
        <v>14</v>
      </c>
      <c r="C5634" t="s">
        <v>15</v>
      </c>
      <c r="D5634" t="s">
        <v>20</v>
      </c>
      <c r="E5634">
        <v>25.45</v>
      </c>
      <c r="F5634">
        <v>39</v>
      </c>
      <c r="G5634">
        <v>992.55</v>
      </c>
      <c r="H5634" t="s">
        <v>12</v>
      </c>
      <c r="I5634" t="str">
        <f t="shared" si="262"/>
        <v>Low Value</v>
      </c>
      <c r="J5634" t="str">
        <f t="shared" si="263"/>
        <v>Low Risk</v>
      </c>
      <c r="K5634" s="3" t="str">
        <f t="shared" si="261"/>
        <v>2-4 Years</v>
      </c>
    </row>
    <row r="5635" spans="1:11" x14ac:dyDescent="0.3">
      <c r="A5635" t="s">
        <v>5652</v>
      </c>
      <c r="B5635" t="s">
        <v>9</v>
      </c>
      <c r="C5635" t="s">
        <v>15</v>
      </c>
      <c r="D5635" t="s">
        <v>16</v>
      </c>
      <c r="E5635">
        <v>19.5</v>
      </c>
      <c r="F5635">
        <v>20</v>
      </c>
      <c r="G5635">
        <v>390</v>
      </c>
      <c r="H5635" t="s">
        <v>12</v>
      </c>
      <c r="I5635" t="str">
        <f t="shared" si="262"/>
        <v>Low Value</v>
      </c>
      <c r="J5635" t="str">
        <f t="shared" si="263"/>
        <v>Medium Risk</v>
      </c>
      <c r="K5635" s="3" t="str">
        <f t="shared" ref="K5635:K5698" si="264">IF(F5635&lt;=12,"0-1 Year",
IF(F5635&lt;=24,"1-2 Years",
IF(F5635&lt;=48,"2-4 Years","4+ Years")))</f>
        <v>1-2 Years</v>
      </c>
    </row>
    <row r="5636" spans="1:11" x14ac:dyDescent="0.3">
      <c r="A5636" t="s">
        <v>5653</v>
      </c>
      <c r="B5636" t="s">
        <v>14</v>
      </c>
      <c r="C5636" t="s">
        <v>10</v>
      </c>
      <c r="D5636" t="s">
        <v>11</v>
      </c>
      <c r="E5636">
        <v>75.900000000000006</v>
      </c>
      <c r="F5636">
        <v>1</v>
      </c>
      <c r="G5636">
        <v>75.900000000000006</v>
      </c>
      <c r="H5636" t="s">
        <v>18</v>
      </c>
      <c r="I5636" t="str">
        <f t="shared" ref="I5636:I5699" si="265">IF(G5636&gt;5000,"High Value",
IF(G5636&gt;2000,"Medium Value","Low Value"))</f>
        <v>Low Value</v>
      </c>
      <c r="J5636" t="str">
        <f t="shared" ref="J5636:J5699" si="266">IF(F5636&lt;12,"High Risk",
IF(F5636&lt;24,"Medium Risk","Low Risk"))</f>
        <v>High Risk</v>
      </c>
      <c r="K5636" s="3" t="str">
        <f t="shared" si="264"/>
        <v>0-1 Year</v>
      </c>
    </row>
    <row r="5637" spans="1:11" x14ac:dyDescent="0.3">
      <c r="A5637" t="s">
        <v>5654</v>
      </c>
      <c r="B5637" t="s">
        <v>14</v>
      </c>
      <c r="C5637" t="s">
        <v>10</v>
      </c>
      <c r="D5637" t="s">
        <v>11</v>
      </c>
      <c r="E5637">
        <v>76.2</v>
      </c>
      <c r="F5637">
        <v>1</v>
      </c>
      <c r="G5637">
        <v>76.2</v>
      </c>
      <c r="H5637" t="s">
        <v>18</v>
      </c>
      <c r="I5637" t="str">
        <f t="shared" si="265"/>
        <v>Low Value</v>
      </c>
      <c r="J5637" t="str">
        <f t="shared" si="266"/>
        <v>High Risk</v>
      </c>
      <c r="K5637" s="3" t="str">
        <f t="shared" si="264"/>
        <v>0-1 Year</v>
      </c>
    </row>
    <row r="5638" spans="1:11" x14ac:dyDescent="0.3">
      <c r="A5638" t="s">
        <v>5655</v>
      </c>
      <c r="B5638" t="s">
        <v>14</v>
      </c>
      <c r="C5638" t="s">
        <v>15</v>
      </c>
      <c r="D5638" t="s">
        <v>24</v>
      </c>
      <c r="E5638">
        <v>66.150000000000006</v>
      </c>
      <c r="F5638">
        <v>64</v>
      </c>
      <c r="G5638">
        <v>4233.6000000000004</v>
      </c>
      <c r="H5638" t="s">
        <v>12</v>
      </c>
      <c r="I5638" t="str">
        <f t="shared" si="265"/>
        <v>Medium Value</v>
      </c>
      <c r="J5638" t="str">
        <f t="shared" si="266"/>
        <v>Low Risk</v>
      </c>
      <c r="K5638" s="3" t="str">
        <f t="shared" si="264"/>
        <v>4+ Years</v>
      </c>
    </row>
    <row r="5639" spans="1:11" x14ac:dyDescent="0.3">
      <c r="A5639" t="s">
        <v>5656</v>
      </c>
      <c r="B5639" t="s">
        <v>14</v>
      </c>
      <c r="C5639" t="s">
        <v>10</v>
      </c>
      <c r="D5639" t="s">
        <v>16</v>
      </c>
      <c r="E5639">
        <v>19.25</v>
      </c>
      <c r="F5639">
        <v>1</v>
      </c>
      <c r="G5639">
        <v>19.25</v>
      </c>
      <c r="H5639" t="s">
        <v>18</v>
      </c>
      <c r="I5639" t="str">
        <f t="shared" si="265"/>
        <v>Low Value</v>
      </c>
      <c r="J5639" t="str">
        <f t="shared" si="266"/>
        <v>High Risk</v>
      </c>
      <c r="K5639" s="3" t="str">
        <f t="shared" si="264"/>
        <v>0-1 Year</v>
      </c>
    </row>
    <row r="5640" spans="1:11" x14ac:dyDescent="0.3">
      <c r="A5640" t="s">
        <v>5657</v>
      </c>
      <c r="B5640" t="s">
        <v>9</v>
      </c>
      <c r="C5640" t="s">
        <v>10</v>
      </c>
      <c r="D5640" t="s">
        <v>24</v>
      </c>
      <c r="E5640">
        <v>69.099999999999994</v>
      </c>
      <c r="F5640">
        <v>46</v>
      </c>
      <c r="G5640">
        <v>3178.6</v>
      </c>
      <c r="H5640" t="s">
        <v>12</v>
      </c>
      <c r="I5640" t="str">
        <f t="shared" si="265"/>
        <v>Medium Value</v>
      </c>
      <c r="J5640" t="str">
        <f t="shared" si="266"/>
        <v>Low Risk</v>
      </c>
      <c r="K5640" s="3" t="str">
        <f t="shared" si="264"/>
        <v>2-4 Years</v>
      </c>
    </row>
    <row r="5641" spans="1:11" x14ac:dyDescent="0.3">
      <c r="A5641" t="s">
        <v>5658</v>
      </c>
      <c r="B5641" t="s">
        <v>9</v>
      </c>
      <c r="C5641" t="s">
        <v>15</v>
      </c>
      <c r="D5641" t="s">
        <v>11</v>
      </c>
      <c r="E5641">
        <v>39.1</v>
      </c>
      <c r="F5641">
        <v>28</v>
      </c>
      <c r="G5641">
        <v>1094.8</v>
      </c>
      <c r="H5641" t="s">
        <v>12</v>
      </c>
      <c r="I5641" t="str">
        <f t="shared" si="265"/>
        <v>Low Value</v>
      </c>
      <c r="J5641" t="str">
        <f t="shared" si="266"/>
        <v>Low Risk</v>
      </c>
      <c r="K5641" s="3" t="str">
        <f t="shared" si="264"/>
        <v>2-4 Years</v>
      </c>
    </row>
    <row r="5642" spans="1:11" x14ac:dyDescent="0.3">
      <c r="A5642" t="s">
        <v>5659</v>
      </c>
      <c r="B5642" t="s">
        <v>9</v>
      </c>
      <c r="C5642" t="s">
        <v>10</v>
      </c>
      <c r="D5642" t="s">
        <v>16</v>
      </c>
      <c r="E5642">
        <v>20.05</v>
      </c>
      <c r="F5642">
        <v>33</v>
      </c>
      <c r="G5642">
        <v>661.65</v>
      </c>
      <c r="H5642" t="s">
        <v>12</v>
      </c>
      <c r="I5642" t="str">
        <f t="shared" si="265"/>
        <v>Low Value</v>
      </c>
      <c r="J5642" t="str">
        <f t="shared" si="266"/>
        <v>Low Risk</v>
      </c>
      <c r="K5642" s="3" t="str">
        <f t="shared" si="264"/>
        <v>2-4 Years</v>
      </c>
    </row>
    <row r="5643" spans="1:11" x14ac:dyDescent="0.3">
      <c r="A5643" t="s">
        <v>5660</v>
      </c>
      <c r="B5643" t="s">
        <v>14</v>
      </c>
      <c r="C5643" t="s">
        <v>15</v>
      </c>
      <c r="D5643" t="s">
        <v>11</v>
      </c>
      <c r="E5643">
        <v>59.8</v>
      </c>
      <c r="F5643">
        <v>39</v>
      </c>
      <c r="G5643">
        <v>2332.1999999999998</v>
      </c>
      <c r="H5643" t="s">
        <v>12</v>
      </c>
      <c r="I5643" t="str">
        <f t="shared" si="265"/>
        <v>Medium Value</v>
      </c>
      <c r="J5643" t="str">
        <f t="shared" si="266"/>
        <v>Low Risk</v>
      </c>
      <c r="K5643" s="3" t="str">
        <f t="shared" si="264"/>
        <v>2-4 Years</v>
      </c>
    </row>
    <row r="5644" spans="1:11" x14ac:dyDescent="0.3">
      <c r="A5644" t="s">
        <v>5661</v>
      </c>
      <c r="B5644" t="s">
        <v>9</v>
      </c>
      <c r="C5644" t="s">
        <v>10</v>
      </c>
      <c r="D5644" t="s">
        <v>11</v>
      </c>
      <c r="E5644">
        <v>84.3</v>
      </c>
      <c r="F5644">
        <v>42</v>
      </c>
      <c r="G5644">
        <v>3540.6</v>
      </c>
      <c r="H5644" t="s">
        <v>18</v>
      </c>
      <c r="I5644" t="str">
        <f t="shared" si="265"/>
        <v>Medium Value</v>
      </c>
      <c r="J5644" t="str">
        <f t="shared" si="266"/>
        <v>Low Risk</v>
      </c>
      <c r="K5644" s="3" t="str">
        <f t="shared" si="264"/>
        <v>2-4 Years</v>
      </c>
    </row>
    <row r="5645" spans="1:11" x14ac:dyDescent="0.3">
      <c r="A5645" t="s">
        <v>5662</v>
      </c>
      <c r="B5645" t="s">
        <v>9</v>
      </c>
      <c r="C5645" t="s">
        <v>10</v>
      </c>
      <c r="D5645" t="s">
        <v>11</v>
      </c>
      <c r="E5645">
        <v>48.6</v>
      </c>
      <c r="F5645">
        <v>1</v>
      </c>
      <c r="G5645">
        <v>48.6</v>
      </c>
      <c r="H5645" t="s">
        <v>12</v>
      </c>
      <c r="I5645" t="str">
        <f t="shared" si="265"/>
        <v>Low Value</v>
      </c>
      <c r="J5645" t="str">
        <f t="shared" si="266"/>
        <v>High Risk</v>
      </c>
      <c r="K5645" s="3" t="str">
        <f t="shared" si="264"/>
        <v>0-1 Year</v>
      </c>
    </row>
    <row r="5646" spans="1:11" x14ac:dyDescent="0.3">
      <c r="A5646" t="s">
        <v>5663</v>
      </c>
      <c r="B5646" t="s">
        <v>9</v>
      </c>
      <c r="C5646" t="s">
        <v>10</v>
      </c>
      <c r="D5646" t="s">
        <v>11</v>
      </c>
      <c r="E5646">
        <v>79</v>
      </c>
      <c r="F5646">
        <v>7</v>
      </c>
      <c r="G5646">
        <v>553</v>
      </c>
      <c r="H5646" t="s">
        <v>18</v>
      </c>
      <c r="I5646" t="str">
        <f t="shared" si="265"/>
        <v>Low Value</v>
      </c>
      <c r="J5646" t="str">
        <f t="shared" si="266"/>
        <v>High Risk</v>
      </c>
      <c r="K5646" s="3" t="str">
        <f t="shared" si="264"/>
        <v>0-1 Year</v>
      </c>
    </row>
    <row r="5647" spans="1:11" x14ac:dyDescent="0.3">
      <c r="A5647" t="s">
        <v>5664</v>
      </c>
      <c r="B5647" t="s">
        <v>14</v>
      </c>
      <c r="C5647" t="s">
        <v>30</v>
      </c>
      <c r="D5647" t="s">
        <v>24</v>
      </c>
      <c r="E5647">
        <v>105.35</v>
      </c>
      <c r="F5647">
        <v>70</v>
      </c>
      <c r="G5647">
        <v>7374.5</v>
      </c>
      <c r="H5647" t="s">
        <v>12</v>
      </c>
      <c r="I5647" t="str">
        <f t="shared" si="265"/>
        <v>High Value</v>
      </c>
      <c r="J5647" t="str">
        <f t="shared" si="266"/>
        <v>Low Risk</v>
      </c>
      <c r="K5647" s="3" t="str">
        <f t="shared" si="264"/>
        <v>4+ Years</v>
      </c>
    </row>
    <row r="5648" spans="1:11" x14ac:dyDescent="0.3">
      <c r="A5648" t="s">
        <v>5665</v>
      </c>
      <c r="B5648" t="s">
        <v>14</v>
      </c>
      <c r="C5648" t="s">
        <v>30</v>
      </c>
      <c r="D5648" t="s">
        <v>20</v>
      </c>
      <c r="E5648">
        <v>25.1</v>
      </c>
      <c r="F5648">
        <v>65</v>
      </c>
      <c r="G5648">
        <v>1631.5</v>
      </c>
      <c r="H5648" t="s">
        <v>12</v>
      </c>
      <c r="I5648" t="str">
        <f t="shared" si="265"/>
        <v>Low Value</v>
      </c>
      <c r="J5648" t="str">
        <f t="shared" si="266"/>
        <v>Low Risk</v>
      </c>
      <c r="K5648" s="3" t="str">
        <f t="shared" si="264"/>
        <v>4+ Years</v>
      </c>
    </row>
    <row r="5649" spans="1:11" x14ac:dyDescent="0.3">
      <c r="A5649" t="s">
        <v>5666</v>
      </c>
      <c r="B5649" t="s">
        <v>14</v>
      </c>
      <c r="C5649" t="s">
        <v>10</v>
      </c>
      <c r="D5649" t="s">
        <v>11</v>
      </c>
      <c r="E5649">
        <v>49.75</v>
      </c>
      <c r="F5649">
        <v>1</v>
      </c>
      <c r="G5649">
        <v>49.75</v>
      </c>
      <c r="H5649" t="s">
        <v>12</v>
      </c>
      <c r="I5649" t="str">
        <f t="shared" si="265"/>
        <v>Low Value</v>
      </c>
      <c r="J5649" t="str">
        <f t="shared" si="266"/>
        <v>High Risk</v>
      </c>
      <c r="K5649" s="3" t="str">
        <f t="shared" si="264"/>
        <v>0-1 Year</v>
      </c>
    </row>
    <row r="5650" spans="1:11" x14ac:dyDescent="0.3">
      <c r="A5650" t="s">
        <v>5667</v>
      </c>
      <c r="B5650" t="s">
        <v>14</v>
      </c>
      <c r="C5650" t="s">
        <v>10</v>
      </c>
      <c r="D5650" t="s">
        <v>11</v>
      </c>
      <c r="E5650">
        <v>94.75</v>
      </c>
      <c r="F5650">
        <v>18</v>
      </c>
      <c r="G5650">
        <v>1705.5</v>
      </c>
      <c r="H5650" t="s">
        <v>12</v>
      </c>
      <c r="I5650" t="str">
        <f t="shared" si="265"/>
        <v>Low Value</v>
      </c>
      <c r="J5650" t="str">
        <f t="shared" si="266"/>
        <v>Medium Risk</v>
      </c>
      <c r="K5650" s="3" t="str">
        <f t="shared" si="264"/>
        <v>1-2 Years</v>
      </c>
    </row>
    <row r="5651" spans="1:11" x14ac:dyDescent="0.3">
      <c r="A5651" t="s">
        <v>5668</v>
      </c>
      <c r="B5651" t="s">
        <v>14</v>
      </c>
      <c r="C5651" t="s">
        <v>10</v>
      </c>
      <c r="D5651" t="s">
        <v>11</v>
      </c>
      <c r="E5651">
        <v>93</v>
      </c>
      <c r="F5651">
        <v>24</v>
      </c>
      <c r="G5651">
        <v>2232</v>
      </c>
      <c r="H5651" t="s">
        <v>12</v>
      </c>
      <c r="I5651" t="str">
        <f t="shared" si="265"/>
        <v>Medium Value</v>
      </c>
      <c r="J5651" t="str">
        <f t="shared" si="266"/>
        <v>Low Risk</v>
      </c>
      <c r="K5651" s="3" t="str">
        <f t="shared" si="264"/>
        <v>1-2 Years</v>
      </c>
    </row>
    <row r="5652" spans="1:11" x14ac:dyDescent="0.3">
      <c r="A5652" t="s">
        <v>5669</v>
      </c>
      <c r="B5652" t="s">
        <v>14</v>
      </c>
      <c r="C5652" t="s">
        <v>30</v>
      </c>
      <c r="D5652" t="s">
        <v>20</v>
      </c>
      <c r="E5652">
        <v>71.900000000000006</v>
      </c>
      <c r="F5652">
        <v>63</v>
      </c>
      <c r="G5652">
        <v>4529.7</v>
      </c>
      <c r="H5652" t="s">
        <v>12</v>
      </c>
      <c r="I5652" t="str">
        <f t="shared" si="265"/>
        <v>Medium Value</v>
      </c>
      <c r="J5652" t="str">
        <f t="shared" si="266"/>
        <v>Low Risk</v>
      </c>
      <c r="K5652" s="3" t="str">
        <f t="shared" si="264"/>
        <v>4+ Years</v>
      </c>
    </row>
    <row r="5653" spans="1:11" x14ac:dyDescent="0.3">
      <c r="A5653" t="s">
        <v>5670</v>
      </c>
      <c r="B5653" t="s">
        <v>9</v>
      </c>
      <c r="C5653" t="s">
        <v>15</v>
      </c>
      <c r="D5653" t="s">
        <v>16</v>
      </c>
      <c r="E5653">
        <v>77.55</v>
      </c>
      <c r="F5653">
        <v>44</v>
      </c>
      <c r="G5653">
        <v>3412.2</v>
      </c>
      <c r="H5653" t="s">
        <v>12</v>
      </c>
      <c r="I5653" t="str">
        <f t="shared" si="265"/>
        <v>Medium Value</v>
      </c>
      <c r="J5653" t="str">
        <f t="shared" si="266"/>
        <v>Low Risk</v>
      </c>
      <c r="K5653" s="3" t="str">
        <f t="shared" si="264"/>
        <v>2-4 Years</v>
      </c>
    </row>
    <row r="5654" spans="1:11" x14ac:dyDescent="0.3">
      <c r="A5654" t="s">
        <v>5671</v>
      </c>
      <c r="B5654" t="s">
        <v>14</v>
      </c>
      <c r="C5654" t="s">
        <v>10</v>
      </c>
      <c r="D5654" t="s">
        <v>11</v>
      </c>
      <c r="E5654">
        <v>19.850000000000001</v>
      </c>
      <c r="F5654">
        <v>4</v>
      </c>
      <c r="G5654">
        <v>79.400000000000006</v>
      </c>
      <c r="H5654" t="s">
        <v>12</v>
      </c>
      <c r="I5654" t="str">
        <f t="shared" si="265"/>
        <v>Low Value</v>
      </c>
      <c r="J5654" t="str">
        <f t="shared" si="266"/>
        <v>High Risk</v>
      </c>
      <c r="K5654" s="3" t="str">
        <f t="shared" si="264"/>
        <v>0-1 Year</v>
      </c>
    </row>
    <row r="5655" spans="1:11" x14ac:dyDescent="0.3">
      <c r="A5655" t="s">
        <v>5672</v>
      </c>
      <c r="B5655" t="s">
        <v>9</v>
      </c>
      <c r="C5655" t="s">
        <v>10</v>
      </c>
      <c r="D5655" t="s">
        <v>11</v>
      </c>
      <c r="E5655">
        <v>70.25</v>
      </c>
      <c r="F5655">
        <v>1</v>
      </c>
      <c r="G5655">
        <v>70.25</v>
      </c>
      <c r="H5655" t="s">
        <v>18</v>
      </c>
      <c r="I5655" t="str">
        <f t="shared" si="265"/>
        <v>Low Value</v>
      </c>
      <c r="J5655" t="str">
        <f t="shared" si="266"/>
        <v>High Risk</v>
      </c>
      <c r="K5655" s="3" t="str">
        <f t="shared" si="264"/>
        <v>0-1 Year</v>
      </c>
    </row>
    <row r="5656" spans="1:11" x14ac:dyDescent="0.3">
      <c r="A5656" t="s">
        <v>5673</v>
      </c>
      <c r="B5656" t="s">
        <v>9</v>
      </c>
      <c r="C5656" t="s">
        <v>10</v>
      </c>
      <c r="D5656" t="s">
        <v>11</v>
      </c>
      <c r="E5656">
        <v>95.25</v>
      </c>
      <c r="F5656">
        <v>37</v>
      </c>
      <c r="G5656">
        <v>3524.25</v>
      </c>
      <c r="H5656" t="s">
        <v>12</v>
      </c>
      <c r="I5656" t="str">
        <f t="shared" si="265"/>
        <v>Medium Value</v>
      </c>
      <c r="J5656" t="str">
        <f t="shared" si="266"/>
        <v>Low Risk</v>
      </c>
      <c r="K5656" s="3" t="str">
        <f t="shared" si="264"/>
        <v>2-4 Years</v>
      </c>
    </row>
    <row r="5657" spans="1:11" x14ac:dyDescent="0.3">
      <c r="A5657" t="s">
        <v>5674</v>
      </c>
      <c r="B5657" t="s">
        <v>9</v>
      </c>
      <c r="C5657" t="s">
        <v>10</v>
      </c>
      <c r="D5657" t="s">
        <v>24</v>
      </c>
      <c r="E5657">
        <v>84.6</v>
      </c>
      <c r="F5657">
        <v>10</v>
      </c>
      <c r="G5657">
        <v>846</v>
      </c>
      <c r="H5657" t="s">
        <v>18</v>
      </c>
      <c r="I5657" t="str">
        <f t="shared" si="265"/>
        <v>Low Value</v>
      </c>
      <c r="J5657" t="str">
        <f t="shared" si="266"/>
        <v>High Risk</v>
      </c>
      <c r="K5657" s="3" t="str">
        <f t="shared" si="264"/>
        <v>0-1 Year</v>
      </c>
    </row>
    <row r="5658" spans="1:11" x14ac:dyDescent="0.3">
      <c r="A5658" t="s">
        <v>5675</v>
      </c>
      <c r="B5658" t="s">
        <v>14</v>
      </c>
      <c r="C5658" t="s">
        <v>10</v>
      </c>
      <c r="D5658" t="s">
        <v>20</v>
      </c>
      <c r="E5658">
        <v>25.05</v>
      </c>
      <c r="F5658">
        <v>34</v>
      </c>
      <c r="G5658">
        <v>851.7</v>
      </c>
      <c r="H5658" t="s">
        <v>12</v>
      </c>
      <c r="I5658" t="str">
        <f t="shared" si="265"/>
        <v>Low Value</v>
      </c>
      <c r="J5658" t="str">
        <f t="shared" si="266"/>
        <v>Low Risk</v>
      </c>
      <c r="K5658" s="3" t="str">
        <f t="shared" si="264"/>
        <v>2-4 Years</v>
      </c>
    </row>
    <row r="5659" spans="1:11" x14ac:dyDescent="0.3">
      <c r="A5659" t="s">
        <v>5676</v>
      </c>
      <c r="B5659" t="s">
        <v>14</v>
      </c>
      <c r="C5659" t="s">
        <v>15</v>
      </c>
      <c r="D5659" t="s">
        <v>24</v>
      </c>
      <c r="E5659">
        <v>53.15</v>
      </c>
      <c r="F5659">
        <v>35</v>
      </c>
      <c r="G5659">
        <v>1860.25</v>
      </c>
      <c r="H5659" t="s">
        <v>12</v>
      </c>
      <c r="I5659" t="str">
        <f t="shared" si="265"/>
        <v>Low Value</v>
      </c>
      <c r="J5659" t="str">
        <f t="shared" si="266"/>
        <v>Low Risk</v>
      </c>
      <c r="K5659" s="3" t="str">
        <f t="shared" si="264"/>
        <v>2-4 Years</v>
      </c>
    </row>
    <row r="5660" spans="1:11" x14ac:dyDescent="0.3">
      <c r="A5660" t="s">
        <v>5677</v>
      </c>
      <c r="B5660" t="s">
        <v>9</v>
      </c>
      <c r="C5660" t="s">
        <v>10</v>
      </c>
      <c r="D5660" t="s">
        <v>11</v>
      </c>
      <c r="E5660">
        <v>20.149999999999999</v>
      </c>
      <c r="F5660">
        <v>4</v>
      </c>
      <c r="G5660">
        <v>80.599999999999994</v>
      </c>
      <c r="H5660" t="s">
        <v>12</v>
      </c>
      <c r="I5660" t="str">
        <f t="shared" si="265"/>
        <v>Low Value</v>
      </c>
      <c r="J5660" t="str">
        <f t="shared" si="266"/>
        <v>High Risk</v>
      </c>
      <c r="K5660" s="3" t="str">
        <f t="shared" si="264"/>
        <v>0-1 Year</v>
      </c>
    </row>
    <row r="5661" spans="1:11" x14ac:dyDescent="0.3">
      <c r="A5661" t="s">
        <v>5678</v>
      </c>
      <c r="B5661" t="s">
        <v>9</v>
      </c>
      <c r="C5661" t="s">
        <v>10</v>
      </c>
      <c r="D5661" t="s">
        <v>11</v>
      </c>
      <c r="E5661">
        <v>101.25</v>
      </c>
      <c r="F5661">
        <v>39</v>
      </c>
      <c r="G5661">
        <v>3948.75</v>
      </c>
      <c r="H5661" t="s">
        <v>12</v>
      </c>
      <c r="I5661" t="str">
        <f t="shared" si="265"/>
        <v>Medium Value</v>
      </c>
      <c r="J5661" t="str">
        <f t="shared" si="266"/>
        <v>Low Risk</v>
      </c>
      <c r="K5661" s="3" t="str">
        <f t="shared" si="264"/>
        <v>2-4 Years</v>
      </c>
    </row>
    <row r="5662" spans="1:11" x14ac:dyDescent="0.3">
      <c r="A5662" t="s">
        <v>5679</v>
      </c>
      <c r="B5662" t="s">
        <v>14</v>
      </c>
      <c r="C5662" t="s">
        <v>15</v>
      </c>
      <c r="D5662" t="s">
        <v>20</v>
      </c>
      <c r="E5662">
        <v>100.55</v>
      </c>
      <c r="F5662">
        <v>43</v>
      </c>
      <c r="G5662">
        <v>4323.6499999999996</v>
      </c>
      <c r="H5662" t="s">
        <v>12</v>
      </c>
      <c r="I5662" t="str">
        <f t="shared" si="265"/>
        <v>Medium Value</v>
      </c>
      <c r="J5662" t="str">
        <f t="shared" si="266"/>
        <v>Low Risk</v>
      </c>
      <c r="K5662" s="3" t="str">
        <f t="shared" si="264"/>
        <v>2-4 Years</v>
      </c>
    </row>
    <row r="5663" spans="1:11" x14ac:dyDescent="0.3">
      <c r="A5663" t="s">
        <v>5680</v>
      </c>
      <c r="B5663" t="s">
        <v>9</v>
      </c>
      <c r="C5663" t="s">
        <v>10</v>
      </c>
      <c r="D5663" t="s">
        <v>16</v>
      </c>
      <c r="E5663">
        <v>24.1</v>
      </c>
      <c r="F5663">
        <v>17</v>
      </c>
      <c r="G5663">
        <v>409.7</v>
      </c>
      <c r="H5663" t="s">
        <v>18</v>
      </c>
      <c r="I5663" t="str">
        <f t="shared" si="265"/>
        <v>Low Value</v>
      </c>
      <c r="J5663" t="str">
        <f t="shared" si="266"/>
        <v>Medium Risk</v>
      </c>
      <c r="K5663" s="3" t="str">
        <f t="shared" si="264"/>
        <v>1-2 Years</v>
      </c>
    </row>
    <row r="5664" spans="1:11" x14ac:dyDescent="0.3">
      <c r="A5664" t="s">
        <v>5681</v>
      </c>
      <c r="B5664" t="s">
        <v>9</v>
      </c>
      <c r="C5664" t="s">
        <v>30</v>
      </c>
      <c r="D5664" t="s">
        <v>20</v>
      </c>
      <c r="E5664">
        <v>25.3</v>
      </c>
      <c r="F5664">
        <v>61</v>
      </c>
      <c r="G5664">
        <v>1543.3</v>
      </c>
      <c r="H5664" t="s">
        <v>12</v>
      </c>
      <c r="I5664" t="str">
        <f t="shared" si="265"/>
        <v>Low Value</v>
      </c>
      <c r="J5664" t="str">
        <f t="shared" si="266"/>
        <v>Low Risk</v>
      </c>
      <c r="K5664" s="3" t="str">
        <f t="shared" si="264"/>
        <v>4+ Years</v>
      </c>
    </row>
    <row r="5665" spans="1:11" x14ac:dyDescent="0.3">
      <c r="A5665" t="s">
        <v>5682</v>
      </c>
      <c r="B5665" t="s">
        <v>9</v>
      </c>
      <c r="C5665" t="s">
        <v>15</v>
      </c>
      <c r="D5665" t="s">
        <v>11</v>
      </c>
      <c r="E5665">
        <v>71.8</v>
      </c>
      <c r="F5665">
        <v>49</v>
      </c>
      <c r="G5665">
        <v>3518.2</v>
      </c>
      <c r="H5665" t="s">
        <v>12</v>
      </c>
      <c r="I5665" t="str">
        <f t="shared" si="265"/>
        <v>Medium Value</v>
      </c>
      <c r="J5665" t="str">
        <f t="shared" si="266"/>
        <v>Low Risk</v>
      </c>
      <c r="K5665" s="3" t="str">
        <f t="shared" si="264"/>
        <v>4+ Years</v>
      </c>
    </row>
    <row r="5666" spans="1:11" x14ac:dyDescent="0.3">
      <c r="A5666" t="s">
        <v>5683</v>
      </c>
      <c r="B5666" t="s">
        <v>14</v>
      </c>
      <c r="C5666" t="s">
        <v>15</v>
      </c>
      <c r="D5666" t="s">
        <v>16</v>
      </c>
      <c r="E5666">
        <v>19.7</v>
      </c>
      <c r="F5666">
        <v>4</v>
      </c>
      <c r="G5666">
        <v>78.8</v>
      </c>
      <c r="H5666" t="s">
        <v>12</v>
      </c>
      <c r="I5666" t="str">
        <f t="shared" si="265"/>
        <v>Low Value</v>
      </c>
      <c r="J5666" t="str">
        <f t="shared" si="266"/>
        <v>High Risk</v>
      </c>
      <c r="K5666" s="3" t="str">
        <f t="shared" si="264"/>
        <v>0-1 Year</v>
      </c>
    </row>
    <row r="5667" spans="1:11" x14ac:dyDescent="0.3">
      <c r="A5667" t="s">
        <v>5684</v>
      </c>
      <c r="B5667" t="s">
        <v>9</v>
      </c>
      <c r="C5667" t="s">
        <v>30</v>
      </c>
      <c r="D5667" t="s">
        <v>11</v>
      </c>
      <c r="E5667">
        <v>49.85</v>
      </c>
      <c r="F5667">
        <v>64</v>
      </c>
      <c r="G5667">
        <v>3190.4</v>
      </c>
      <c r="H5667" t="s">
        <v>12</v>
      </c>
      <c r="I5667" t="str">
        <f t="shared" si="265"/>
        <v>Medium Value</v>
      </c>
      <c r="J5667" t="str">
        <f t="shared" si="266"/>
        <v>Low Risk</v>
      </c>
      <c r="K5667" s="3" t="str">
        <f t="shared" si="264"/>
        <v>4+ Years</v>
      </c>
    </row>
    <row r="5668" spans="1:11" x14ac:dyDescent="0.3">
      <c r="A5668" t="s">
        <v>5685</v>
      </c>
      <c r="B5668" t="s">
        <v>14</v>
      </c>
      <c r="C5668" t="s">
        <v>10</v>
      </c>
      <c r="D5668" t="s">
        <v>16</v>
      </c>
      <c r="E5668">
        <v>69.599999999999994</v>
      </c>
      <c r="F5668">
        <v>3</v>
      </c>
      <c r="G5668">
        <v>208.79999999999899</v>
      </c>
      <c r="H5668" t="s">
        <v>12</v>
      </c>
      <c r="I5668" t="str">
        <f t="shared" si="265"/>
        <v>Low Value</v>
      </c>
      <c r="J5668" t="str">
        <f t="shared" si="266"/>
        <v>High Risk</v>
      </c>
      <c r="K5668" s="3" t="str">
        <f t="shared" si="264"/>
        <v>0-1 Year</v>
      </c>
    </row>
    <row r="5669" spans="1:11" x14ac:dyDescent="0.3">
      <c r="A5669" t="s">
        <v>5686</v>
      </c>
      <c r="B5669" t="s">
        <v>14</v>
      </c>
      <c r="C5669" t="s">
        <v>10</v>
      </c>
      <c r="D5669" t="s">
        <v>11</v>
      </c>
      <c r="E5669">
        <v>19.75</v>
      </c>
      <c r="F5669">
        <v>1</v>
      </c>
      <c r="G5669">
        <v>19.75</v>
      </c>
      <c r="H5669" t="s">
        <v>12</v>
      </c>
      <c r="I5669" t="str">
        <f t="shared" si="265"/>
        <v>Low Value</v>
      </c>
      <c r="J5669" t="str">
        <f t="shared" si="266"/>
        <v>High Risk</v>
      </c>
      <c r="K5669" s="3" t="str">
        <f t="shared" si="264"/>
        <v>0-1 Year</v>
      </c>
    </row>
    <row r="5670" spans="1:11" x14ac:dyDescent="0.3">
      <c r="A5670" t="s">
        <v>5687</v>
      </c>
      <c r="B5670" t="s">
        <v>14</v>
      </c>
      <c r="C5670" t="s">
        <v>15</v>
      </c>
      <c r="D5670" t="s">
        <v>11</v>
      </c>
      <c r="E5670">
        <v>80.8</v>
      </c>
      <c r="F5670">
        <v>40</v>
      </c>
      <c r="G5670">
        <v>3232</v>
      </c>
      <c r="H5670" t="s">
        <v>12</v>
      </c>
      <c r="I5670" t="str">
        <f t="shared" si="265"/>
        <v>Medium Value</v>
      </c>
      <c r="J5670" t="str">
        <f t="shared" si="266"/>
        <v>Low Risk</v>
      </c>
      <c r="K5670" s="3" t="str">
        <f t="shared" si="264"/>
        <v>2-4 Years</v>
      </c>
    </row>
    <row r="5671" spans="1:11" x14ac:dyDescent="0.3">
      <c r="A5671" t="s">
        <v>5688</v>
      </c>
      <c r="B5671" t="s">
        <v>9</v>
      </c>
      <c r="C5671" t="s">
        <v>10</v>
      </c>
      <c r="D5671" t="s">
        <v>11</v>
      </c>
      <c r="E5671">
        <v>60</v>
      </c>
      <c r="F5671">
        <v>1</v>
      </c>
      <c r="G5671">
        <v>60</v>
      </c>
      <c r="H5671" t="s">
        <v>18</v>
      </c>
      <c r="I5671" t="str">
        <f t="shared" si="265"/>
        <v>Low Value</v>
      </c>
      <c r="J5671" t="str">
        <f t="shared" si="266"/>
        <v>High Risk</v>
      </c>
      <c r="K5671" s="3" t="str">
        <f t="shared" si="264"/>
        <v>0-1 Year</v>
      </c>
    </row>
    <row r="5672" spans="1:11" x14ac:dyDescent="0.3">
      <c r="A5672" t="s">
        <v>5689</v>
      </c>
      <c r="B5672" t="s">
        <v>14</v>
      </c>
      <c r="C5672" t="s">
        <v>10</v>
      </c>
      <c r="D5672" t="s">
        <v>11</v>
      </c>
      <c r="E5672">
        <v>86.55</v>
      </c>
      <c r="F5672">
        <v>8</v>
      </c>
      <c r="G5672">
        <v>692.4</v>
      </c>
      <c r="H5672" t="s">
        <v>18</v>
      </c>
      <c r="I5672" t="str">
        <f t="shared" si="265"/>
        <v>Low Value</v>
      </c>
      <c r="J5672" t="str">
        <f t="shared" si="266"/>
        <v>High Risk</v>
      </c>
      <c r="K5672" s="3" t="str">
        <f t="shared" si="264"/>
        <v>0-1 Year</v>
      </c>
    </row>
    <row r="5673" spans="1:11" x14ac:dyDescent="0.3">
      <c r="A5673" t="s">
        <v>5690</v>
      </c>
      <c r="B5673" t="s">
        <v>9</v>
      </c>
      <c r="C5673" t="s">
        <v>10</v>
      </c>
      <c r="D5673" t="s">
        <v>16</v>
      </c>
      <c r="E5673">
        <v>20.85</v>
      </c>
      <c r="F5673">
        <v>1</v>
      </c>
      <c r="G5673">
        <v>20.85</v>
      </c>
      <c r="H5673" t="s">
        <v>18</v>
      </c>
      <c r="I5673" t="str">
        <f t="shared" si="265"/>
        <v>Low Value</v>
      </c>
      <c r="J5673" t="str">
        <f t="shared" si="266"/>
        <v>High Risk</v>
      </c>
      <c r="K5673" s="3" t="str">
        <f t="shared" si="264"/>
        <v>0-1 Year</v>
      </c>
    </row>
    <row r="5674" spans="1:11" x14ac:dyDescent="0.3">
      <c r="A5674" t="s">
        <v>5691</v>
      </c>
      <c r="B5674" t="s">
        <v>9</v>
      </c>
      <c r="C5674" t="s">
        <v>15</v>
      </c>
      <c r="D5674" t="s">
        <v>20</v>
      </c>
      <c r="E5674">
        <v>64.2</v>
      </c>
      <c r="F5674">
        <v>34</v>
      </c>
      <c r="G5674">
        <v>2182.8000000000002</v>
      </c>
      <c r="H5674" t="s">
        <v>12</v>
      </c>
      <c r="I5674" t="str">
        <f t="shared" si="265"/>
        <v>Medium Value</v>
      </c>
      <c r="J5674" t="str">
        <f t="shared" si="266"/>
        <v>Low Risk</v>
      </c>
      <c r="K5674" s="3" t="str">
        <f t="shared" si="264"/>
        <v>2-4 Years</v>
      </c>
    </row>
    <row r="5675" spans="1:11" x14ac:dyDescent="0.3">
      <c r="A5675" t="s">
        <v>5692</v>
      </c>
      <c r="B5675" t="s">
        <v>9</v>
      </c>
      <c r="C5675" t="s">
        <v>10</v>
      </c>
      <c r="D5675" t="s">
        <v>11</v>
      </c>
      <c r="E5675">
        <v>35</v>
      </c>
      <c r="F5675">
        <v>1</v>
      </c>
      <c r="G5675">
        <v>35</v>
      </c>
      <c r="H5675" t="s">
        <v>12</v>
      </c>
      <c r="I5675" t="str">
        <f t="shared" si="265"/>
        <v>Low Value</v>
      </c>
      <c r="J5675" t="str">
        <f t="shared" si="266"/>
        <v>High Risk</v>
      </c>
      <c r="K5675" s="3" t="str">
        <f t="shared" si="264"/>
        <v>0-1 Year</v>
      </c>
    </row>
    <row r="5676" spans="1:11" x14ac:dyDescent="0.3">
      <c r="A5676" t="s">
        <v>5693</v>
      </c>
      <c r="B5676" t="s">
        <v>9</v>
      </c>
      <c r="C5676" t="s">
        <v>10</v>
      </c>
      <c r="D5676" t="s">
        <v>11</v>
      </c>
      <c r="E5676">
        <v>50.75</v>
      </c>
      <c r="F5676">
        <v>39</v>
      </c>
      <c r="G5676">
        <v>1979.25</v>
      </c>
      <c r="H5676" t="s">
        <v>18</v>
      </c>
      <c r="I5676" t="str">
        <f t="shared" si="265"/>
        <v>Low Value</v>
      </c>
      <c r="J5676" t="str">
        <f t="shared" si="266"/>
        <v>Low Risk</v>
      </c>
      <c r="K5676" s="3" t="str">
        <f t="shared" si="264"/>
        <v>2-4 Years</v>
      </c>
    </row>
    <row r="5677" spans="1:11" x14ac:dyDescent="0.3">
      <c r="A5677" t="s">
        <v>5694</v>
      </c>
      <c r="B5677" t="s">
        <v>9</v>
      </c>
      <c r="C5677" t="s">
        <v>15</v>
      </c>
      <c r="D5677" t="s">
        <v>24</v>
      </c>
      <c r="E5677">
        <v>105.5</v>
      </c>
      <c r="F5677">
        <v>58</v>
      </c>
      <c r="G5677">
        <v>6119</v>
      </c>
      <c r="H5677" t="s">
        <v>18</v>
      </c>
      <c r="I5677" t="str">
        <f t="shared" si="265"/>
        <v>High Value</v>
      </c>
      <c r="J5677" t="str">
        <f t="shared" si="266"/>
        <v>Low Risk</v>
      </c>
      <c r="K5677" s="3" t="str">
        <f t="shared" si="264"/>
        <v>4+ Years</v>
      </c>
    </row>
    <row r="5678" spans="1:11" x14ac:dyDescent="0.3">
      <c r="A5678" t="s">
        <v>5695</v>
      </c>
      <c r="B5678" t="s">
        <v>14</v>
      </c>
      <c r="C5678" t="s">
        <v>30</v>
      </c>
      <c r="D5678" t="s">
        <v>11</v>
      </c>
      <c r="E5678">
        <v>19.2</v>
      </c>
      <c r="F5678">
        <v>45</v>
      </c>
      <c r="G5678">
        <v>864</v>
      </c>
      <c r="H5678" t="s">
        <v>12</v>
      </c>
      <c r="I5678" t="str">
        <f t="shared" si="265"/>
        <v>Low Value</v>
      </c>
      <c r="J5678" t="str">
        <f t="shared" si="266"/>
        <v>Low Risk</v>
      </c>
      <c r="K5678" s="3" t="str">
        <f t="shared" si="264"/>
        <v>2-4 Years</v>
      </c>
    </row>
    <row r="5679" spans="1:11" x14ac:dyDescent="0.3">
      <c r="A5679" t="s">
        <v>5696</v>
      </c>
      <c r="B5679" t="s">
        <v>14</v>
      </c>
      <c r="C5679" t="s">
        <v>10</v>
      </c>
      <c r="D5679" t="s">
        <v>20</v>
      </c>
      <c r="E5679">
        <v>85.15</v>
      </c>
      <c r="F5679">
        <v>6</v>
      </c>
      <c r="G5679">
        <v>510.9</v>
      </c>
      <c r="H5679" t="s">
        <v>18</v>
      </c>
      <c r="I5679" t="str">
        <f t="shared" si="265"/>
        <v>Low Value</v>
      </c>
      <c r="J5679" t="str">
        <f t="shared" si="266"/>
        <v>High Risk</v>
      </c>
      <c r="K5679" s="3" t="str">
        <f t="shared" si="264"/>
        <v>0-1 Year</v>
      </c>
    </row>
    <row r="5680" spans="1:11" x14ac:dyDescent="0.3">
      <c r="A5680" t="s">
        <v>5697</v>
      </c>
      <c r="B5680" t="s">
        <v>14</v>
      </c>
      <c r="C5680" t="s">
        <v>15</v>
      </c>
      <c r="D5680" t="s">
        <v>24</v>
      </c>
      <c r="E5680">
        <v>90.65</v>
      </c>
      <c r="F5680">
        <v>43</v>
      </c>
      <c r="G5680">
        <v>3897.95</v>
      </c>
      <c r="H5680" t="s">
        <v>12</v>
      </c>
      <c r="I5680" t="str">
        <f t="shared" si="265"/>
        <v>Medium Value</v>
      </c>
      <c r="J5680" t="str">
        <f t="shared" si="266"/>
        <v>Low Risk</v>
      </c>
      <c r="K5680" s="3" t="str">
        <f t="shared" si="264"/>
        <v>2-4 Years</v>
      </c>
    </row>
    <row r="5681" spans="1:11" x14ac:dyDescent="0.3">
      <c r="A5681" t="s">
        <v>5698</v>
      </c>
      <c r="B5681" t="s">
        <v>14</v>
      </c>
      <c r="C5681" t="s">
        <v>30</v>
      </c>
      <c r="D5681" t="s">
        <v>16</v>
      </c>
      <c r="E5681">
        <v>20</v>
      </c>
      <c r="F5681">
        <v>41</v>
      </c>
      <c r="G5681">
        <v>820</v>
      </c>
      <c r="H5681" t="s">
        <v>12</v>
      </c>
      <c r="I5681" t="str">
        <f t="shared" si="265"/>
        <v>Low Value</v>
      </c>
      <c r="J5681" t="str">
        <f t="shared" si="266"/>
        <v>Low Risk</v>
      </c>
      <c r="K5681" s="3" t="str">
        <f t="shared" si="264"/>
        <v>2-4 Years</v>
      </c>
    </row>
    <row r="5682" spans="1:11" x14ac:dyDescent="0.3">
      <c r="A5682" t="s">
        <v>5699</v>
      </c>
      <c r="B5682" t="s">
        <v>14</v>
      </c>
      <c r="C5682" t="s">
        <v>10</v>
      </c>
      <c r="D5682" t="s">
        <v>11</v>
      </c>
      <c r="E5682">
        <v>74.650000000000006</v>
      </c>
      <c r="F5682">
        <v>5</v>
      </c>
      <c r="G5682">
        <v>373.25</v>
      </c>
      <c r="H5682" t="s">
        <v>12</v>
      </c>
      <c r="I5682" t="str">
        <f t="shared" si="265"/>
        <v>Low Value</v>
      </c>
      <c r="J5682" t="str">
        <f t="shared" si="266"/>
        <v>High Risk</v>
      </c>
      <c r="K5682" s="3" t="str">
        <f t="shared" si="264"/>
        <v>0-1 Year</v>
      </c>
    </row>
    <row r="5683" spans="1:11" x14ac:dyDescent="0.3">
      <c r="A5683" t="s">
        <v>5700</v>
      </c>
      <c r="B5683" t="s">
        <v>14</v>
      </c>
      <c r="C5683" t="s">
        <v>30</v>
      </c>
      <c r="D5683" t="s">
        <v>24</v>
      </c>
      <c r="E5683">
        <v>61.2</v>
      </c>
      <c r="F5683">
        <v>72</v>
      </c>
      <c r="G5683">
        <v>4406.3999999999996</v>
      </c>
      <c r="H5683" t="s">
        <v>12</v>
      </c>
      <c r="I5683" t="str">
        <f t="shared" si="265"/>
        <v>Medium Value</v>
      </c>
      <c r="J5683" t="str">
        <f t="shared" si="266"/>
        <v>Low Risk</v>
      </c>
      <c r="K5683" s="3" t="str">
        <f t="shared" si="264"/>
        <v>4+ Years</v>
      </c>
    </row>
    <row r="5684" spans="1:11" x14ac:dyDescent="0.3">
      <c r="A5684" t="s">
        <v>5701</v>
      </c>
      <c r="B5684" t="s">
        <v>14</v>
      </c>
      <c r="C5684" t="s">
        <v>15</v>
      </c>
      <c r="D5684" t="s">
        <v>16</v>
      </c>
      <c r="E5684">
        <v>19.95</v>
      </c>
      <c r="F5684">
        <v>4</v>
      </c>
      <c r="G5684">
        <v>79.8</v>
      </c>
      <c r="H5684" t="s">
        <v>12</v>
      </c>
      <c r="I5684" t="str">
        <f t="shared" si="265"/>
        <v>Low Value</v>
      </c>
      <c r="J5684" t="str">
        <f t="shared" si="266"/>
        <v>High Risk</v>
      </c>
      <c r="K5684" s="3" t="str">
        <f t="shared" si="264"/>
        <v>0-1 Year</v>
      </c>
    </row>
    <row r="5685" spans="1:11" x14ac:dyDescent="0.3">
      <c r="A5685" t="s">
        <v>5702</v>
      </c>
      <c r="B5685" t="s">
        <v>14</v>
      </c>
      <c r="C5685" t="s">
        <v>10</v>
      </c>
      <c r="D5685" t="s">
        <v>16</v>
      </c>
      <c r="E5685">
        <v>54.8</v>
      </c>
      <c r="F5685">
        <v>9</v>
      </c>
      <c r="G5685">
        <v>493.2</v>
      </c>
      <c r="H5685" t="s">
        <v>12</v>
      </c>
      <c r="I5685" t="str">
        <f t="shared" si="265"/>
        <v>Low Value</v>
      </c>
      <c r="J5685" t="str">
        <f t="shared" si="266"/>
        <v>High Risk</v>
      </c>
      <c r="K5685" s="3" t="str">
        <f t="shared" si="264"/>
        <v>0-1 Year</v>
      </c>
    </row>
    <row r="5686" spans="1:11" x14ac:dyDescent="0.3">
      <c r="A5686" t="s">
        <v>5703</v>
      </c>
      <c r="B5686" t="s">
        <v>14</v>
      </c>
      <c r="C5686" t="s">
        <v>30</v>
      </c>
      <c r="D5686" t="s">
        <v>24</v>
      </c>
      <c r="E5686">
        <v>73.45</v>
      </c>
      <c r="F5686">
        <v>72</v>
      </c>
      <c r="G5686">
        <v>5288.4</v>
      </c>
      <c r="H5686" t="s">
        <v>12</v>
      </c>
      <c r="I5686" t="str">
        <f t="shared" si="265"/>
        <v>High Value</v>
      </c>
      <c r="J5686" t="str">
        <f t="shared" si="266"/>
        <v>Low Risk</v>
      </c>
      <c r="K5686" s="3" t="str">
        <f t="shared" si="264"/>
        <v>4+ Years</v>
      </c>
    </row>
    <row r="5687" spans="1:11" x14ac:dyDescent="0.3">
      <c r="A5687" t="s">
        <v>5704</v>
      </c>
      <c r="B5687" t="s">
        <v>9</v>
      </c>
      <c r="C5687" t="s">
        <v>15</v>
      </c>
      <c r="D5687" t="s">
        <v>16</v>
      </c>
      <c r="E5687">
        <v>51.45</v>
      </c>
      <c r="F5687">
        <v>33</v>
      </c>
      <c r="G5687">
        <v>1697.85</v>
      </c>
      <c r="H5687" t="s">
        <v>12</v>
      </c>
      <c r="I5687" t="str">
        <f t="shared" si="265"/>
        <v>Low Value</v>
      </c>
      <c r="J5687" t="str">
        <f t="shared" si="266"/>
        <v>Low Risk</v>
      </c>
      <c r="K5687" s="3" t="str">
        <f t="shared" si="264"/>
        <v>2-4 Years</v>
      </c>
    </row>
    <row r="5688" spans="1:11" x14ac:dyDescent="0.3">
      <c r="A5688" t="s">
        <v>5705</v>
      </c>
      <c r="B5688" t="s">
        <v>9</v>
      </c>
      <c r="C5688" t="s">
        <v>30</v>
      </c>
      <c r="D5688" t="s">
        <v>20</v>
      </c>
      <c r="E5688">
        <v>80.45</v>
      </c>
      <c r="F5688">
        <v>72</v>
      </c>
      <c r="G5688">
        <v>5792.4</v>
      </c>
      <c r="H5688" t="s">
        <v>12</v>
      </c>
      <c r="I5688" t="str">
        <f t="shared" si="265"/>
        <v>High Value</v>
      </c>
      <c r="J5688" t="str">
        <f t="shared" si="266"/>
        <v>Low Risk</v>
      </c>
      <c r="K5688" s="3" t="str">
        <f t="shared" si="264"/>
        <v>4+ Years</v>
      </c>
    </row>
    <row r="5689" spans="1:11" x14ac:dyDescent="0.3">
      <c r="A5689" t="s">
        <v>5706</v>
      </c>
      <c r="B5689" t="s">
        <v>14</v>
      </c>
      <c r="C5689" t="s">
        <v>10</v>
      </c>
      <c r="D5689" t="s">
        <v>11</v>
      </c>
      <c r="E5689">
        <v>54.2</v>
      </c>
      <c r="F5689">
        <v>22</v>
      </c>
      <c r="G5689">
        <v>1192.4000000000001</v>
      </c>
      <c r="H5689" t="s">
        <v>18</v>
      </c>
      <c r="I5689" t="str">
        <f t="shared" si="265"/>
        <v>Low Value</v>
      </c>
      <c r="J5689" t="str">
        <f t="shared" si="266"/>
        <v>Medium Risk</v>
      </c>
      <c r="K5689" s="3" t="str">
        <f t="shared" si="264"/>
        <v>1-2 Years</v>
      </c>
    </row>
    <row r="5690" spans="1:11" x14ac:dyDescent="0.3">
      <c r="A5690" t="s">
        <v>5707</v>
      </c>
      <c r="B5690" t="s">
        <v>9</v>
      </c>
      <c r="C5690" t="s">
        <v>15</v>
      </c>
      <c r="D5690" t="s">
        <v>11</v>
      </c>
      <c r="E5690">
        <v>109.5</v>
      </c>
      <c r="F5690">
        <v>70</v>
      </c>
      <c r="G5690">
        <v>7665</v>
      </c>
      <c r="H5690" t="s">
        <v>18</v>
      </c>
      <c r="I5690" t="str">
        <f t="shared" si="265"/>
        <v>High Value</v>
      </c>
      <c r="J5690" t="str">
        <f t="shared" si="266"/>
        <v>Low Risk</v>
      </c>
      <c r="K5690" s="3" t="str">
        <f t="shared" si="264"/>
        <v>4+ Years</v>
      </c>
    </row>
    <row r="5691" spans="1:11" x14ac:dyDescent="0.3">
      <c r="A5691" t="s">
        <v>5708</v>
      </c>
      <c r="B5691" t="s">
        <v>14</v>
      </c>
      <c r="C5691" t="s">
        <v>10</v>
      </c>
      <c r="D5691" t="s">
        <v>11</v>
      </c>
      <c r="E5691">
        <v>104.4</v>
      </c>
      <c r="F5691">
        <v>21</v>
      </c>
      <c r="G5691">
        <v>2192.4</v>
      </c>
      <c r="H5691" t="s">
        <v>18</v>
      </c>
      <c r="I5691" t="str">
        <f t="shared" si="265"/>
        <v>Medium Value</v>
      </c>
      <c r="J5691" t="str">
        <f t="shared" si="266"/>
        <v>Medium Risk</v>
      </c>
      <c r="K5691" s="3" t="str">
        <f t="shared" si="264"/>
        <v>1-2 Years</v>
      </c>
    </row>
    <row r="5692" spans="1:11" x14ac:dyDescent="0.3">
      <c r="A5692" t="s">
        <v>5709</v>
      </c>
      <c r="B5692" t="s">
        <v>14</v>
      </c>
      <c r="C5692" t="s">
        <v>10</v>
      </c>
      <c r="D5692" t="s">
        <v>11</v>
      </c>
      <c r="E5692">
        <v>85.3</v>
      </c>
      <c r="F5692">
        <v>15</v>
      </c>
      <c r="G5692">
        <v>1279.5</v>
      </c>
      <c r="H5692" t="s">
        <v>12</v>
      </c>
      <c r="I5692" t="str">
        <f t="shared" si="265"/>
        <v>Low Value</v>
      </c>
      <c r="J5692" t="str">
        <f t="shared" si="266"/>
        <v>Medium Risk</v>
      </c>
      <c r="K5692" s="3" t="str">
        <f t="shared" si="264"/>
        <v>1-2 Years</v>
      </c>
    </row>
    <row r="5693" spans="1:11" x14ac:dyDescent="0.3">
      <c r="A5693" t="s">
        <v>5710</v>
      </c>
      <c r="B5693" t="s">
        <v>14</v>
      </c>
      <c r="C5693" t="s">
        <v>10</v>
      </c>
      <c r="D5693" t="s">
        <v>11</v>
      </c>
      <c r="E5693">
        <v>79.3</v>
      </c>
      <c r="F5693">
        <v>29</v>
      </c>
      <c r="G5693">
        <v>2299.6999999999998</v>
      </c>
      <c r="H5693" t="s">
        <v>12</v>
      </c>
      <c r="I5693" t="str">
        <f t="shared" si="265"/>
        <v>Medium Value</v>
      </c>
      <c r="J5693" t="str">
        <f t="shared" si="266"/>
        <v>Low Risk</v>
      </c>
      <c r="K5693" s="3" t="str">
        <f t="shared" si="264"/>
        <v>2-4 Years</v>
      </c>
    </row>
    <row r="5694" spans="1:11" x14ac:dyDescent="0.3">
      <c r="A5694" t="s">
        <v>5711</v>
      </c>
      <c r="B5694" t="s">
        <v>9</v>
      </c>
      <c r="C5694" t="s">
        <v>10</v>
      </c>
      <c r="D5694" t="s">
        <v>20</v>
      </c>
      <c r="E5694">
        <v>76.5</v>
      </c>
      <c r="F5694">
        <v>15</v>
      </c>
      <c r="G5694">
        <v>1147.5</v>
      </c>
      <c r="H5694" t="s">
        <v>12</v>
      </c>
      <c r="I5694" t="str">
        <f t="shared" si="265"/>
        <v>Low Value</v>
      </c>
      <c r="J5694" t="str">
        <f t="shared" si="266"/>
        <v>Medium Risk</v>
      </c>
      <c r="K5694" s="3" t="str">
        <f t="shared" si="264"/>
        <v>1-2 Years</v>
      </c>
    </row>
    <row r="5695" spans="1:11" x14ac:dyDescent="0.3">
      <c r="A5695" t="s">
        <v>5712</v>
      </c>
      <c r="B5695" t="s">
        <v>14</v>
      </c>
      <c r="C5695" t="s">
        <v>10</v>
      </c>
      <c r="D5695" t="s">
        <v>24</v>
      </c>
      <c r="E5695">
        <v>105.1</v>
      </c>
      <c r="F5695">
        <v>71</v>
      </c>
      <c r="G5695">
        <v>7462.0999999999904</v>
      </c>
      <c r="H5695" t="s">
        <v>18</v>
      </c>
      <c r="I5695" t="str">
        <f t="shared" si="265"/>
        <v>High Value</v>
      </c>
      <c r="J5695" t="str">
        <f t="shared" si="266"/>
        <v>Low Risk</v>
      </c>
      <c r="K5695" s="3" t="str">
        <f t="shared" si="264"/>
        <v>4+ Years</v>
      </c>
    </row>
    <row r="5696" spans="1:11" x14ac:dyDescent="0.3">
      <c r="A5696" t="s">
        <v>5713</v>
      </c>
      <c r="B5696" t="s">
        <v>14</v>
      </c>
      <c r="C5696" t="s">
        <v>30</v>
      </c>
      <c r="D5696" t="s">
        <v>20</v>
      </c>
      <c r="E5696">
        <v>25.4</v>
      </c>
      <c r="F5696">
        <v>72</v>
      </c>
      <c r="G5696">
        <v>1828.8</v>
      </c>
      <c r="H5696" t="s">
        <v>12</v>
      </c>
      <c r="I5696" t="str">
        <f t="shared" si="265"/>
        <v>Low Value</v>
      </c>
      <c r="J5696" t="str">
        <f t="shared" si="266"/>
        <v>Low Risk</v>
      </c>
      <c r="K5696" s="3" t="str">
        <f t="shared" si="264"/>
        <v>4+ Years</v>
      </c>
    </row>
    <row r="5697" spans="1:11" x14ac:dyDescent="0.3">
      <c r="A5697" t="s">
        <v>5714</v>
      </c>
      <c r="B5697" t="s">
        <v>9</v>
      </c>
      <c r="C5697" t="s">
        <v>10</v>
      </c>
      <c r="D5697" t="s">
        <v>11</v>
      </c>
      <c r="E5697">
        <v>86.85</v>
      </c>
      <c r="F5697">
        <v>19</v>
      </c>
      <c r="G5697">
        <v>1650.1499999999901</v>
      </c>
      <c r="H5697" t="s">
        <v>12</v>
      </c>
      <c r="I5697" t="str">
        <f t="shared" si="265"/>
        <v>Low Value</v>
      </c>
      <c r="J5697" t="str">
        <f t="shared" si="266"/>
        <v>Medium Risk</v>
      </c>
      <c r="K5697" s="3" t="str">
        <f t="shared" si="264"/>
        <v>1-2 Years</v>
      </c>
    </row>
    <row r="5698" spans="1:11" x14ac:dyDescent="0.3">
      <c r="A5698" t="s">
        <v>5715</v>
      </c>
      <c r="B5698" t="s">
        <v>14</v>
      </c>
      <c r="C5698" t="s">
        <v>10</v>
      </c>
      <c r="D5698" t="s">
        <v>16</v>
      </c>
      <c r="E5698">
        <v>19.649999999999999</v>
      </c>
      <c r="F5698">
        <v>1</v>
      </c>
      <c r="G5698">
        <v>19.649999999999999</v>
      </c>
      <c r="H5698" t="s">
        <v>12</v>
      </c>
      <c r="I5698" t="str">
        <f t="shared" si="265"/>
        <v>Low Value</v>
      </c>
      <c r="J5698" t="str">
        <f t="shared" si="266"/>
        <v>High Risk</v>
      </c>
      <c r="K5698" s="3" t="str">
        <f t="shared" si="264"/>
        <v>0-1 Year</v>
      </c>
    </row>
    <row r="5699" spans="1:11" x14ac:dyDescent="0.3">
      <c r="A5699" t="s">
        <v>5716</v>
      </c>
      <c r="B5699" t="s">
        <v>9</v>
      </c>
      <c r="C5699" t="s">
        <v>10</v>
      </c>
      <c r="D5699" t="s">
        <v>11</v>
      </c>
      <c r="E5699">
        <v>75.7</v>
      </c>
      <c r="F5699">
        <v>1</v>
      </c>
      <c r="G5699">
        <v>75.7</v>
      </c>
      <c r="H5699" t="s">
        <v>18</v>
      </c>
      <c r="I5699" t="str">
        <f t="shared" si="265"/>
        <v>Low Value</v>
      </c>
      <c r="J5699" t="str">
        <f t="shared" si="266"/>
        <v>High Risk</v>
      </c>
      <c r="K5699" s="3" t="str">
        <f t="shared" ref="K5699:K5762" si="267">IF(F5699&lt;=12,"0-1 Year",
IF(F5699&lt;=24,"1-2 Years",
IF(F5699&lt;=48,"2-4 Years","4+ Years")))</f>
        <v>0-1 Year</v>
      </c>
    </row>
    <row r="5700" spans="1:11" x14ac:dyDescent="0.3">
      <c r="A5700" t="s">
        <v>5717</v>
      </c>
      <c r="B5700" t="s">
        <v>9</v>
      </c>
      <c r="C5700" t="s">
        <v>10</v>
      </c>
      <c r="D5700" t="s">
        <v>11</v>
      </c>
      <c r="E5700">
        <v>45.55</v>
      </c>
      <c r="F5700">
        <v>2</v>
      </c>
      <c r="G5700">
        <v>91.1</v>
      </c>
      <c r="H5700" t="s">
        <v>12</v>
      </c>
      <c r="I5700" t="str">
        <f t="shared" ref="I5700:I5763" si="268">IF(G5700&gt;5000,"High Value",
IF(G5700&gt;2000,"Medium Value","Low Value"))</f>
        <v>Low Value</v>
      </c>
      <c r="J5700" t="str">
        <f t="shared" ref="J5700:J5763" si="269">IF(F5700&lt;12,"High Risk",
IF(F5700&lt;24,"Medium Risk","Low Risk"))</f>
        <v>High Risk</v>
      </c>
      <c r="K5700" s="3" t="str">
        <f t="shared" si="267"/>
        <v>0-1 Year</v>
      </c>
    </row>
    <row r="5701" spans="1:11" x14ac:dyDescent="0.3">
      <c r="A5701" t="s">
        <v>5718</v>
      </c>
      <c r="B5701" t="s">
        <v>9</v>
      </c>
      <c r="C5701" t="s">
        <v>10</v>
      </c>
      <c r="D5701" t="s">
        <v>24</v>
      </c>
      <c r="E5701">
        <v>78.099999999999994</v>
      </c>
      <c r="F5701">
        <v>11</v>
      </c>
      <c r="G5701">
        <v>859.099999999999</v>
      </c>
      <c r="H5701" t="s">
        <v>12</v>
      </c>
      <c r="I5701" t="str">
        <f t="shared" si="268"/>
        <v>Low Value</v>
      </c>
      <c r="J5701" t="str">
        <f t="shared" si="269"/>
        <v>High Risk</v>
      </c>
      <c r="K5701" s="3" t="str">
        <f t="shared" si="267"/>
        <v>0-1 Year</v>
      </c>
    </row>
    <row r="5702" spans="1:11" x14ac:dyDescent="0.3">
      <c r="A5702" t="s">
        <v>5719</v>
      </c>
      <c r="B5702" t="s">
        <v>9</v>
      </c>
      <c r="C5702" t="s">
        <v>15</v>
      </c>
      <c r="D5702" t="s">
        <v>16</v>
      </c>
      <c r="E5702">
        <v>19.3</v>
      </c>
      <c r="F5702">
        <v>12</v>
      </c>
      <c r="G5702">
        <v>231.6</v>
      </c>
      <c r="H5702" t="s">
        <v>12</v>
      </c>
      <c r="I5702" t="str">
        <f t="shared" si="268"/>
        <v>Low Value</v>
      </c>
      <c r="J5702" t="str">
        <f t="shared" si="269"/>
        <v>Medium Risk</v>
      </c>
      <c r="K5702" s="3" t="str">
        <f t="shared" si="267"/>
        <v>0-1 Year</v>
      </c>
    </row>
    <row r="5703" spans="1:11" x14ac:dyDescent="0.3">
      <c r="A5703" t="s">
        <v>5720</v>
      </c>
      <c r="B5703" t="s">
        <v>9</v>
      </c>
      <c r="C5703" t="s">
        <v>30</v>
      </c>
      <c r="D5703" t="s">
        <v>11</v>
      </c>
      <c r="E5703">
        <v>110.5</v>
      </c>
      <c r="F5703">
        <v>70</v>
      </c>
      <c r="G5703">
        <v>7735</v>
      </c>
      <c r="H5703" t="s">
        <v>12</v>
      </c>
      <c r="I5703" t="str">
        <f t="shared" si="268"/>
        <v>High Value</v>
      </c>
      <c r="J5703" t="str">
        <f t="shared" si="269"/>
        <v>Low Risk</v>
      </c>
      <c r="K5703" s="3" t="str">
        <f t="shared" si="267"/>
        <v>4+ Years</v>
      </c>
    </row>
    <row r="5704" spans="1:11" x14ac:dyDescent="0.3">
      <c r="A5704" t="s">
        <v>5721</v>
      </c>
      <c r="B5704" t="s">
        <v>9</v>
      </c>
      <c r="C5704" t="s">
        <v>10</v>
      </c>
      <c r="D5704" t="s">
        <v>11</v>
      </c>
      <c r="E5704">
        <v>90.8</v>
      </c>
      <c r="F5704">
        <v>20</v>
      </c>
      <c r="G5704">
        <v>1816</v>
      </c>
      <c r="H5704" t="s">
        <v>18</v>
      </c>
      <c r="I5704" t="str">
        <f t="shared" si="268"/>
        <v>Low Value</v>
      </c>
      <c r="J5704" t="str">
        <f t="shared" si="269"/>
        <v>Medium Risk</v>
      </c>
      <c r="K5704" s="3" t="str">
        <f t="shared" si="267"/>
        <v>1-2 Years</v>
      </c>
    </row>
    <row r="5705" spans="1:11" x14ac:dyDescent="0.3">
      <c r="A5705" t="s">
        <v>5722</v>
      </c>
      <c r="B5705" t="s">
        <v>9</v>
      </c>
      <c r="C5705" t="s">
        <v>10</v>
      </c>
      <c r="D5705" t="s">
        <v>20</v>
      </c>
      <c r="E5705">
        <v>20.3</v>
      </c>
      <c r="F5705">
        <v>23</v>
      </c>
      <c r="G5705">
        <v>466.9</v>
      </c>
      <c r="H5705" t="s">
        <v>12</v>
      </c>
      <c r="I5705" t="str">
        <f t="shared" si="268"/>
        <v>Low Value</v>
      </c>
      <c r="J5705" t="str">
        <f t="shared" si="269"/>
        <v>Medium Risk</v>
      </c>
      <c r="K5705" s="3" t="str">
        <f t="shared" si="267"/>
        <v>1-2 Years</v>
      </c>
    </row>
    <row r="5706" spans="1:11" x14ac:dyDescent="0.3">
      <c r="A5706" t="s">
        <v>5723</v>
      </c>
      <c r="B5706" t="s">
        <v>14</v>
      </c>
      <c r="C5706" t="s">
        <v>30</v>
      </c>
      <c r="D5706" t="s">
        <v>24</v>
      </c>
      <c r="E5706">
        <v>81.349999999999994</v>
      </c>
      <c r="F5706">
        <v>49</v>
      </c>
      <c r="G5706">
        <v>3986.1499999999901</v>
      </c>
      <c r="H5706" t="s">
        <v>12</v>
      </c>
      <c r="I5706" t="str">
        <f t="shared" si="268"/>
        <v>Medium Value</v>
      </c>
      <c r="J5706" t="str">
        <f t="shared" si="269"/>
        <v>Low Risk</v>
      </c>
      <c r="K5706" s="3" t="str">
        <f t="shared" si="267"/>
        <v>4+ Years</v>
      </c>
    </row>
    <row r="5707" spans="1:11" x14ac:dyDescent="0.3">
      <c r="A5707" t="s">
        <v>5724</v>
      </c>
      <c r="B5707" t="s">
        <v>9</v>
      </c>
      <c r="C5707" t="s">
        <v>10</v>
      </c>
      <c r="D5707" t="s">
        <v>11</v>
      </c>
      <c r="E5707">
        <v>97.95</v>
      </c>
      <c r="F5707">
        <v>4</v>
      </c>
      <c r="G5707">
        <v>391.8</v>
      </c>
      <c r="H5707" t="s">
        <v>18</v>
      </c>
      <c r="I5707" t="str">
        <f t="shared" si="268"/>
        <v>Low Value</v>
      </c>
      <c r="J5707" t="str">
        <f t="shared" si="269"/>
        <v>High Risk</v>
      </c>
      <c r="K5707" s="3" t="str">
        <f t="shared" si="267"/>
        <v>0-1 Year</v>
      </c>
    </row>
    <row r="5708" spans="1:11" x14ac:dyDescent="0.3">
      <c r="A5708" t="s">
        <v>5725</v>
      </c>
      <c r="B5708" t="s">
        <v>14</v>
      </c>
      <c r="C5708" t="s">
        <v>10</v>
      </c>
      <c r="D5708" t="s">
        <v>24</v>
      </c>
      <c r="E5708">
        <v>108.15</v>
      </c>
      <c r="F5708">
        <v>32</v>
      </c>
      <c r="G5708">
        <v>3460.8</v>
      </c>
      <c r="H5708" t="s">
        <v>18</v>
      </c>
      <c r="I5708" t="str">
        <f t="shared" si="268"/>
        <v>Medium Value</v>
      </c>
      <c r="J5708" t="str">
        <f t="shared" si="269"/>
        <v>Low Risk</v>
      </c>
      <c r="K5708" s="3" t="str">
        <f t="shared" si="267"/>
        <v>2-4 Years</v>
      </c>
    </row>
    <row r="5709" spans="1:11" x14ac:dyDescent="0.3">
      <c r="A5709" t="s">
        <v>5726</v>
      </c>
      <c r="B5709" t="s">
        <v>14</v>
      </c>
      <c r="C5709" t="s">
        <v>10</v>
      </c>
      <c r="D5709" t="s">
        <v>11</v>
      </c>
      <c r="E5709">
        <v>55.3</v>
      </c>
      <c r="F5709">
        <v>2</v>
      </c>
      <c r="G5709">
        <v>110.6</v>
      </c>
      <c r="H5709" t="s">
        <v>12</v>
      </c>
      <c r="I5709" t="str">
        <f t="shared" si="268"/>
        <v>Low Value</v>
      </c>
      <c r="J5709" t="str">
        <f t="shared" si="269"/>
        <v>High Risk</v>
      </c>
      <c r="K5709" s="3" t="str">
        <f t="shared" si="267"/>
        <v>0-1 Year</v>
      </c>
    </row>
    <row r="5710" spans="1:11" x14ac:dyDescent="0.3">
      <c r="A5710" t="s">
        <v>5727</v>
      </c>
      <c r="B5710" t="s">
        <v>14</v>
      </c>
      <c r="C5710" t="s">
        <v>30</v>
      </c>
      <c r="D5710" t="s">
        <v>24</v>
      </c>
      <c r="E5710">
        <v>56.55</v>
      </c>
      <c r="F5710">
        <v>69</v>
      </c>
      <c r="G5710">
        <v>3901.95</v>
      </c>
      <c r="H5710" t="s">
        <v>12</v>
      </c>
      <c r="I5710" t="str">
        <f t="shared" si="268"/>
        <v>Medium Value</v>
      </c>
      <c r="J5710" t="str">
        <f t="shared" si="269"/>
        <v>Low Risk</v>
      </c>
      <c r="K5710" s="3" t="str">
        <f t="shared" si="267"/>
        <v>4+ Years</v>
      </c>
    </row>
    <row r="5711" spans="1:11" x14ac:dyDescent="0.3">
      <c r="A5711" t="s">
        <v>5728</v>
      </c>
      <c r="B5711" t="s">
        <v>14</v>
      </c>
      <c r="C5711" t="s">
        <v>10</v>
      </c>
      <c r="D5711" t="s">
        <v>24</v>
      </c>
      <c r="E5711">
        <v>80.5</v>
      </c>
      <c r="F5711">
        <v>6</v>
      </c>
      <c r="G5711">
        <v>483</v>
      </c>
      <c r="H5711" t="s">
        <v>18</v>
      </c>
      <c r="I5711" t="str">
        <f t="shared" si="268"/>
        <v>Low Value</v>
      </c>
      <c r="J5711" t="str">
        <f t="shared" si="269"/>
        <v>High Risk</v>
      </c>
      <c r="K5711" s="3" t="str">
        <f t="shared" si="267"/>
        <v>0-1 Year</v>
      </c>
    </row>
    <row r="5712" spans="1:11" x14ac:dyDescent="0.3">
      <c r="A5712" t="s">
        <v>5729</v>
      </c>
      <c r="B5712" t="s">
        <v>9</v>
      </c>
      <c r="C5712" t="s">
        <v>30</v>
      </c>
      <c r="D5712" t="s">
        <v>16</v>
      </c>
      <c r="E5712">
        <v>19.7</v>
      </c>
      <c r="F5712">
        <v>24</v>
      </c>
      <c r="G5712">
        <v>472.79999999999899</v>
      </c>
      <c r="H5712" t="s">
        <v>12</v>
      </c>
      <c r="I5712" t="str">
        <f t="shared" si="268"/>
        <v>Low Value</v>
      </c>
      <c r="J5712" t="str">
        <f t="shared" si="269"/>
        <v>Low Risk</v>
      </c>
      <c r="K5712" s="3" t="str">
        <f t="shared" si="267"/>
        <v>1-2 Years</v>
      </c>
    </row>
    <row r="5713" spans="1:11" x14ac:dyDescent="0.3">
      <c r="A5713" t="s">
        <v>5730</v>
      </c>
      <c r="B5713" t="s">
        <v>9</v>
      </c>
      <c r="C5713" t="s">
        <v>15</v>
      </c>
      <c r="D5713" t="s">
        <v>24</v>
      </c>
      <c r="E5713">
        <v>104.05</v>
      </c>
      <c r="F5713">
        <v>32</v>
      </c>
      <c r="G5713">
        <v>3329.6</v>
      </c>
      <c r="H5713" t="s">
        <v>12</v>
      </c>
      <c r="I5713" t="str">
        <f t="shared" si="268"/>
        <v>Medium Value</v>
      </c>
      <c r="J5713" t="str">
        <f t="shared" si="269"/>
        <v>Low Risk</v>
      </c>
      <c r="K5713" s="3" t="str">
        <f t="shared" si="267"/>
        <v>2-4 Years</v>
      </c>
    </row>
    <row r="5714" spans="1:11" x14ac:dyDescent="0.3">
      <c r="A5714" t="s">
        <v>5731</v>
      </c>
      <c r="B5714" t="s">
        <v>9</v>
      </c>
      <c r="C5714" t="s">
        <v>30</v>
      </c>
      <c r="D5714" t="s">
        <v>20</v>
      </c>
      <c r="E5714">
        <v>52.85</v>
      </c>
      <c r="F5714">
        <v>27</v>
      </c>
      <c r="G5714">
        <v>1426.95</v>
      </c>
      <c r="H5714" t="s">
        <v>12</v>
      </c>
      <c r="I5714" t="str">
        <f t="shared" si="268"/>
        <v>Low Value</v>
      </c>
      <c r="J5714" t="str">
        <f t="shared" si="269"/>
        <v>Low Risk</v>
      </c>
      <c r="K5714" s="3" t="str">
        <f t="shared" si="267"/>
        <v>2-4 Years</v>
      </c>
    </row>
    <row r="5715" spans="1:11" x14ac:dyDescent="0.3">
      <c r="A5715" t="s">
        <v>5732</v>
      </c>
      <c r="B5715" t="s">
        <v>9</v>
      </c>
      <c r="C5715" t="s">
        <v>10</v>
      </c>
      <c r="D5715" t="s">
        <v>20</v>
      </c>
      <c r="E5715">
        <v>104.3</v>
      </c>
      <c r="F5715">
        <v>27</v>
      </c>
      <c r="G5715">
        <v>2816.1</v>
      </c>
      <c r="H5715" t="s">
        <v>18</v>
      </c>
      <c r="I5715" t="str">
        <f t="shared" si="268"/>
        <v>Medium Value</v>
      </c>
      <c r="J5715" t="str">
        <f t="shared" si="269"/>
        <v>Low Risk</v>
      </c>
      <c r="K5715" s="3" t="str">
        <f t="shared" si="267"/>
        <v>2-4 Years</v>
      </c>
    </row>
    <row r="5716" spans="1:11" x14ac:dyDescent="0.3">
      <c r="A5716" t="s">
        <v>5733</v>
      </c>
      <c r="B5716" t="s">
        <v>14</v>
      </c>
      <c r="C5716" t="s">
        <v>10</v>
      </c>
      <c r="D5716" t="s">
        <v>20</v>
      </c>
      <c r="E5716">
        <v>80.650000000000006</v>
      </c>
      <c r="F5716">
        <v>58</v>
      </c>
      <c r="G5716">
        <v>4677.7</v>
      </c>
      <c r="H5716" t="s">
        <v>12</v>
      </c>
      <c r="I5716" t="str">
        <f t="shared" si="268"/>
        <v>Medium Value</v>
      </c>
      <c r="J5716" t="str">
        <f t="shared" si="269"/>
        <v>Low Risk</v>
      </c>
      <c r="K5716" s="3" t="str">
        <f t="shared" si="267"/>
        <v>4+ Years</v>
      </c>
    </row>
    <row r="5717" spans="1:11" x14ac:dyDescent="0.3">
      <c r="A5717" t="s">
        <v>5734</v>
      </c>
      <c r="B5717" t="s">
        <v>14</v>
      </c>
      <c r="C5717" t="s">
        <v>10</v>
      </c>
      <c r="D5717" t="s">
        <v>16</v>
      </c>
      <c r="E5717">
        <v>71.349999999999994</v>
      </c>
      <c r="F5717">
        <v>1</v>
      </c>
      <c r="G5717">
        <v>71.349999999999994</v>
      </c>
      <c r="H5717" t="s">
        <v>18</v>
      </c>
      <c r="I5717" t="str">
        <f t="shared" si="268"/>
        <v>Low Value</v>
      </c>
      <c r="J5717" t="str">
        <f t="shared" si="269"/>
        <v>High Risk</v>
      </c>
      <c r="K5717" s="3" t="str">
        <f t="shared" si="267"/>
        <v>0-1 Year</v>
      </c>
    </row>
    <row r="5718" spans="1:11" x14ac:dyDescent="0.3">
      <c r="A5718" t="s">
        <v>5735</v>
      </c>
      <c r="B5718" t="s">
        <v>9</v>
      </c>
      <c r="C5718" t="s">
        <v>30</v>
      </c>
      <c r="D5718" t="s">
        <v>24</v>
      </c>
      <c r="E5718">
        <v>24.65</v>
      </c>
      <c r="F5718">
        <v>18</v>
      </c>
      <c r="G5718">
        <v>443.7</v>
      </c>
      <c r="H5718" t="s">
        <v>12</v>
      </c>
      <c r="I5718" t="str">
        <f t="shared" si="268"/>
        <v>Low Value</v>
      </c>
      <c r="J5718" t="str">
        <f t="shared" si="269"/>
        <v>Medium Risk</v>
      </c>
      <c r="K5718" s="3" t="str">
        <f t="shared" si="267"/>
        <v>1-2 Years</v>
      </c>
    </row>
    <row r="5719" spans="1:11" x14ac:dyDescent="0.3">
      <c r="A5719" t="s">
        <v>5736</v>
      </c>
      <c r="B5719" t="s">
        <v>9</v>
      </c>
      <c r="C5719" t="s">
        <v>30</v>
      </c>
      <c r="D5719" t="s">
        <v>20</v>
      </c>
      <c r="E5719">
        <v>21.3</v>
      </c>
      <c r="F5719">
        <v>47</v>
      </c>
      <c r="G5719">
        <v>1001.1</v>
      </c>
      <c r="H5719" t="s">
        <v>12</v>
      </c>
      <c r="I5719" t="str">
        <f t="shared" si="268"/>
        <v>Low Value</v>
      </c>
      <c r="J5719" t="str">
        <f t="shared" si="269"/>
        <v>Low Risk</v>
      </c>
      <c r="K5719" s="3" t="str">
        <f t="shared" si="267"/>
        <v>2-4 Years</v>
      </c>
    </row>
    <row r="5720" spans="1:11" x14ac:dyDescent="0.3">
      <c r="A5720" t="s">
        <v>5737</v>
      </c>
      <c r="B5720" t="s">
        <v>9</v>
      </c>
      <c r="C5720" t="s">
        <v>30</v>
      </c>
      <c r="D5720" t="s">
        <v>11</v>
      </c>
      <c r="E5720">
        <v>110.2</v>
      </c>
      <c r="F5720">
        <v>70</v>
      </c>
      <c r="G5720">
        <v>7714</v>
      </c>
      <c r="H5720" t="s">
        <v>12</v>
      </c>
      <c r="I5720" t="str">
        <f t="shared" si="268"/>
        <v>High Value</v>
      </c>
      <c r="J5720" t="str">
        <f t="shared" si="269"/>
        <v>Low Risk</v>
      </c>
      <c r="K5720" s="3" t="str">
        <f t="shared" si="267"/>
        <v>4+ Years</v>
      </c>
    </row>
    <row r="5721" spans="1:11" x14ac:dyDescent="0.3">
      <c r="A5721" t="s">
        <v>5738</v>
      </c>
      <c r="B5721" t="s">
        <v>9</v>
      </c>
      <c r="C5721" t="s">
        <v>10</v>
      </c>
      <c r="D5721" t="s">
        <v>11</v>
      </c>
      <c r="E5721">
        <v>89.4</v>
      </c>
      <c r="F5721">
        <v>13</v>
      </c>
      <c r="G5721">
        <v>1162.2</v>
      </c>
      <c r="H5721" t="s">
        <v>18</v>
      </c>
      <c r="I5721" t="str">
        <f t="shared" si="268"/>
        <v>Low Value</v>
      </c>
      <c r="J5721" t="str">
        <f t="shared" si="269"/>
        <v>Medium Risk</v>
      </c>
      <c r="K5721" s="3" t="str">
        <f t="shared" si="267"/>
        <v>1-2 Years</v>
      </c>
    </row>
    <row r="5722" spans="1:11" x14ac:dyDescent="0.3">
      <c r="A5722" t="s">
        <v>5739</v>
      </c>
      <c r="B5722" t="s">
        <v>9</v>
      </c>
      <c r="C5722" t="s">
        <v>10</v>
      </c>
      <c r="D5722" t="s">
        <v>24</v>
      </c>
      <c r="E5722">
        <v>51.05</v>
      </c>
      <c r="F5722">
        <v>36</v>
      </c>
      <c r="G5722">
        <v>1837.8</v>
      </c>
      <c r="H5722" t="s">
        <v>12</v>
      </c>
      <c r="I5722" t="str">
        <f t="shared" si="268"/>
        <v>Low Value</v>
      </c>
      <c r="J5722" t="str">
        <f t="shared" si="269"/>
        <v>Low Risk</v>
      </c>
      <c r="K5722" s="3" t="str">
        <f t="shared" si="267"/>
        <v>2-4 Years</v>
      </c>
    </row>
    <row r="5723" spans="1:11" x14ac:dyDescent="0.3">
      <c r="A5723" t="s">
        <v>5740</v>
      </c>
      <c r="B5723" t="s">
        <v>14</v>
      </c>
      <c r="C5723" t="s">
        <v>30</v>
      </c>
      <c r="D5723" t="s">
        <v>16</v>
      </c>
      <c r="E5723">
        <v>19.8</v>
      </c>
      <c r="F5723">
        <v>67</v>
      </c>
      <c r="G5723">
        <v>1326.6</v>
      </c>
      <c r="H5723" t="s">
        <v>12</v>
      </c>
      <c r="I5723" t="str">
        <f t="shared" si="268"/>
        <v>Low Value</v>
      </c>
      <c r="J5723" t="str">
        <f t="shared" si="269"/>
        <v>Low Risk</v>
      </c>
      <c r="K5723" s="3" t="str">
        <f t="shared" si="267"/>
        <v>4+ Years</v>
      </c>
    </row>
    <row r="5724" spans="1:11" x14ac:dyDescent="0.3">
      <c r="A5724" t="s">
        <v>5741</v>
      </c>
      <c r="B5724" t="s">
        <v>9</v>
      </c>
      <c r="C5724" t="s">
        <v>10</v>
      </c>
      <c r="D5724" t="s">
        <v>16</v>
      </c>
      <c r="E5724">
        <v>19.899999999999999</v>
      </c>
      <c r="F5724">
        <v>10</v>
      </c>
      <c r="G5724">
        <v>199</v>
      </c>
      <c r="H5724" t="s">
        <v>12</v>
      </c>
      <c r="I5724" t="str">
        <f t="shared" si="268"/>
        <v>Low Value</v>
      </c>
      <c r="J5724" t="str">
        <f t="shared" si="269"/>
        <v>High Risk</v>
      </c>
      <c r="K5724" s="3" t="str">
        <f t="shared" si="267"/>
        <v>0-1 Year</v>
      </c>
    </row>
    <row r="5725" spans="1:11" x14ac:dyDescent="0.3">
      <c r="A5725" t="s">
        <v>5742</v>
      </c>
      <c r="B5725" t="s">
        <v>14</v>
      </c>
      <c r="C5725" t="s">
        <v>10</v>
      </c>
      <c r="D5725" t="s">
        <v>11</v>
      </c>
      <c r="E5725">
        <v>87.3</v>
      </c>
      <c r="F5725">
        <v>19</v>
      </c>
      <c r="G5725">
        <v>1658.7</v>
      </c>
      <c r="H5725" t="s">
        <v>12</v>
      </c>
      <c r="I5725" t="str">
        <f t="shared" si="268"/>
        <v>Low Value</v>
      </c>
      <c r="J5725" t="str">
        <f t="shared" si="269"/>
        <v>Medium Risk</v>
      </c>
      <c r="K5725" s="3" t="str">
        <f t="shared" si="267"/>
        <v>1-2 Years</v>
      </c>
    </row>
    <row r="5726" spans="1:11" x14ac:dyDescent="0.3">
      <c r="A5726" t="s">
        <v>5743</v>
      </c>
      <c r="B5726" t="s">
        <v>9</v>
      </c>
      <c r="C5726" t="s">
        <v>30</v>
      </c>
      <c r="D5726" t="s">
        <v>20</v>
      </c>
      <c r="E5726">
        <v>19.850000000000001</v>
      </c>
      <c r="F5726">
        <v>71</v>
      </c>
      <c r="G5726">
        <v>1409.35</v>
      </c>
      <c r="H5726" t="s">
        <v>12</v>
      </c>
      <c r="I5726" t="str">
        <f t="shared" si="268"/>
        <v>Low Value</v>
      </c>
      <c r="J5726" t="str">
        <f t="shared" si="269"/>
        <v>Low Risk</v>
      </c>
      <c r="K5726" s="3" t="str">
        <f t="shared" si="267"/>
        <v>4+ Years</v>
      </c>
    </row>
    <row r="5727" spans="1:11" x14ac:dyDescent="0.3">
      <c r="A5727" t="s">
        <v>5744</v>
      </c>
      <c r="B5727" t="s">
        <v>14</v>
      </c>
      <c r="C5727" t="s">
        <v>30</v>
      </c>
      <c r="D5727" t="s">
        <v>16</v>
      </c>
      <c r="E5727">
        <v>89.4</v>
      </c>
      <c r="F5727">
        <v>72</v>
      </c>
      <c r="G5727">
        <v>6436.8</v>
      </c>
      <c r="H5727" t="s">
        <v>12</v>
      </c>
      <c r="I5727" t="str">
        <f t="shared" si="268"/>
        <v>High Value</v>
      </c>
      <c r="J5727" t="str">
        <f t="shared" si="269"/>
        <v>Low Risk</v>
      </c>
      <c r="K5727" s="3" t="str">
        <f t="shared" si="267"/>
        <v>4+ Years</v>
      </c>
    </row>
    <row r="5728" spans="1:11" x14ac:dyDescent="0.3">
      <c r="A5728" t="s">
        <v>5745</v>
      </c>
      <c r="B5728" t="s">
        <v>9</v>
      </c>
      <c r="C5728" t="s">
        <v>30</v>
      </c>
      <c r="D5728" t="s">
        <v>16</v>
      </c>
      <c r="E5728">
        <v>20</v>
      </c>
      <c r="F5728">
        <v>48</v>
      </c>
      <c r="G5728">
        <v>960</v>
      </c>
      <c r="H5728" t="s">
        <v>12</v>
      </c>
      <c r="I5728" t="str">
        <f t="shared" si="268"/>
        <v>Low Value</v>
      </c>
      <c r="J5728" t="str">
        <f t="shared" si="269"/>
        <v>Low Risk</v>
      </c>
      <c r="K5728" s="3" t="str">
        <f t="shared" si="267"/>
        <v>2-4 Years</v>
      </c>
    </row>
    <row r="5729" spans="1:11" x14ac:dyDescent="0.3">
      <c r="A5729" t="s">
        <v>5746</v>
      </c>
      <c r="B5729" t="s">
        <v>14</v>
      </c>
      <c r="C5729" t="s">
        <v>10</v>
      </c>
      <c r="D5729" t="s">
        <v>16</v>
      </c>
      <c r="E5729">
        <v>20.05</v>
      </c>
      <c r="F5729">
        <v>1</v>
      </c>
      <c r="G5729">
        <v>20.05</v>
      </c>
      <c r="H5729" t="s">
        <v>12</v>
      </c>
      <c r="I5729" t="str">
        <f t="shared" si="268"/>
        <v>Low Value</v>
      </c>
      <c r="J5729" t="str">
        <f t="shared" si="269"/>
        <v>High Risk</v>
      </c>
      <c r="K5729" s="3" t="str">
        <f t="shared" si="267"/>
        <v>0-1 Year</v>
      </c>
    </row>
    <row r="5730" spans="1:11" x14ac:dyDescent="0.3">
      <c r="A5730" t="s">
        <v>5747</v>
      </c>
      <c r="B5730" t="s">
        <v>14</v>
      </c>
      <c r="C5730" t="s">
        <v>10</v>
      </c>
      <c r="D5730" t="s">
        <v>11</v>
      </c>
      <c r="E5730">
        <v>83.25</v>
      </c>
      <c r="F5730">
        <v>18</v>
      </c>
      <c r="G5730">
        <v>1498.5</v>
      </c>
      <c r="H5730" t="s">
        <v>12</v>
      </c>
      <c r="I5730" t="str">
        <f t="shared" si="268"/>
        <v>Low Value</v>
      </c>
      <c r="J5730" t="str">
        <f t="shared" si="269"/>
        <v>Medium Risk</v>
      </c>
      <c r="K5730" s="3" t="str">
        <f t="shared" si="267"/>
        <v>1-2 Years</v>
      </c>
    </row>
    <row r="5731" spans="1:11" x14ac:dyDescent="0.3">
      <c r="A5731" t="s">
        <v>5748</v>
      </c>
      <c r="B5731" t="s">
        <v>14</v>
      </c>
      <c r="C5731" t="s">
        <v>10</v>
      </c>
      <c r="D5731" t="s">
        <v>16</v>
      </c>
      <c r="E5731">
        <v>20.6</v>
      </c>
      <c r="F5731">
        <v>1</v>
      </c>
      <c r="G5731">
        <v>20.6</v>
      </c>
      <c r="H5731" t="s">
        <v>18</v>
      </c>
      <c r="I5731" t="str">
        <f t="shared" si="268"/>
        <v>Low Value</v>
      </c>
      <c r="J5731" t="str">
        <f t="shared" si="269"/>
        <v>High Risk</v>
      </c>
      <c r="K5731" s="3" t="str">
        <f t="shared" si="267"/>
        <v>0-1 Year</v>
      </c>
    </row>
    <row r="5732" spans="1:11" x14ac:dyDescent="0.3">
      <c r="A5732" t="s">
        <v>5749</v>
      </c>
      <c r="B5732" t="s">
        <v>14</v>
      </c>
      <c r="C5732" t="s">
        <v>30</v>
      </c>
      <c r="D5732" t="s">
        <v>20</v>
      </c>
      <c r="E5732">
        <v>102.9</v>
      </c>
      <c r="F5732">
        <v>67</v>
      </c>
      <c r="G5732">
        <v>6894.3</v>
      </c>
      <c r="H5732" t="s">
        <v>12</v>
      </c>
      <c r="I5732" t="str">
        <f t="shared" si="268"/>
        <v>High Value</v>
      </c>
      <c r="J5732" t="str">
        <f t="shared" si="269"/>
        <v>Low Risk</v>
      </c>
      <c r="K5732" s="3" t="str">
        <f t="shared" si="267"/>
        <v>4+ Years</v>
      </c>
    </row>
    <row r="5733" spans="1:11" x14ac:dyDescent="0.3">
      <c r="A5733" t="s">
        <v>5750</v>
      </c>
      <c r="B5733" t="s">
        <v>14</v>
      </c>
      <c r="C5733" t="s">
        <v>30</v>
      </c>
      <c r="D5733" t="s">
        <v>16</v>
      </c>
      <c r="E5733">
        <v>39.1</v>
      </c>
      <c r="F5733">
        <v>69</v>
      </c>
      <c r="G5733">
        <v>2697.9</v>
      </c>
      <c r="H5733" t="s">
        <v>12</v>
      </c>
      <c r="I5733" t="str">
        <f t="shared" si="268"/>
        <v>Medium Value</v>
      </c>
      <c r="J5733" t="str">
        <f t="shared" si="269"/>
        <v>Low Risk</v>
      </c>
      <c r="K5733" s="3" t="str">
        <f t="shared" si="267"/>
        <v>4+ Years</v>
      </c>
    </row>
    <row r="5734" spans="1:11" x14ac:dyDescent="0.3">
      <c r="A5734" t="s">
        <v>5751</v>
      </c>
      <c r="B5734" t="s">
        <v>14</v>
      </c>
      <c r="C5734" t="s">
        <v>10</v>
      </c>
      <c r="D5734" t="s">
        <v>11</v>
      </c>
      <c r="E5734">
        <v>99.95</v>
      </c>
      <c r="F5734">
        <v>19</v>
      </c>
      <c r="G5734">
        <v>1899.05</v>
      </c>
      <c r="H5734" t="s">
        <v>18</v>
      </c>
      <c r="I5734" t="str">
        <f t="shared" si="268"/>
        <v>Low Value</v>
      </c>
      <c r="J5734" t="str">
        <f t="shared" si="269"/>
        <v>Medium Risk</v>
      </c>
      <c r="K5734" s="3" t="str">
        <f t="shared" si="267"/>
        <v>1-2 Years</v>
      </c>
    </row>
    <row r="5735" spans="1:11" x14ac:dyDescent="0.3">
      <c r="A5735" t="s">
        <v>5752</v>
      </c>
      <c r="B5735" t="s">
        <v>14</v>
      </c>
      <c r="C5735" t="s">
        <v>30</v>
      </c>
      <c r="D5735" t="s">
        <v>16</v>
      </c>
      <c r="E5735">
        <v>114.5</v>
      </c>
      <c r="F5735">
        <v>72</v>
      </c>
      <c r="G5735">
        <v>8244</v>
      </c>
      <c r="H5735" t="s">
        <v>12</v>
      </c>
      <c r="I5735" t="str">
        <f t="shared" si="268"/>
        <v>High Value</v>
      </c>
      <c r="J5735" t="str">
        <f t="shared" si="269"/>
        <v>Low Risk</v>
      </c>
      <c r="K5735" s="3" t="str">
        <f t="shared" si="267"/>
        <v>4+ Years</v>
      </c>
    </row>
    <row r="5736" spans="1:11" x14ac:dyDescent="0.3">
      <c r="A5736" t="s">
        <v>5753</v>
      </c>
      <c r="B5736" t="s">
        <v>9</v>
      </c>
      <c r="C5736" t="s">
        <v>30</v>
      </c>
      <c r="D5736" t="s">
        <v>16</v>
      </c>
      <c r="E5736">
        <v>20.2</v>
      </c>
      <c r="F5736">
        <v>38</v>
      </c>
      <c r="G5736">
        <v>767.6</v>
      </c>
      <c r="H5736" t="s">
        <v>12</v>
      </c>
      <c r="I5736" t="str">
        <f t="shared" si="268"/>
        <v>Low Value</v>
      </c>
      <c r="J5736" t="str">
        <f t="shared" si="269"/>
        <v>Low Risk</v>
      </c>
      <c r="K5736" s="3" t="str">
        <f t="shared" si="267"/>
        <v>2-4 Years</v>
      </c>
    </row>
    <row r="5737" spans="1:11" x14ac:dyDescent="0.3">
      <c r="A5737" t="s">
        <v>5754</v>
      </c>
      <c r="B5737" t="s">
        <v>14</v>
      </c>
      <c r="C5737" t="s">
        <v>15</v>
      </c>
      <c r="D5737" t="s">
        <v>11</v>
      </c>
      <c r="E5737">
        <v>55.8</v>
      </c>
      <c r="F5737">
        <v>40</v>
      </c>
      <c r="G5737">
        <v>2232</v>
      </c>
      <c r="H5737" t="s">
        <v>12</v>
      </c>
      <c r="I5737" t="str">
        <f t="shared" si="268"/>
        <v>Medium Value</v>
      </c>
      <c r="J5737" t="str">
        <f t="shared" si="269"/>
        <v>Low Risk</v>
      </c>
      <c r="K5737" s="3" t="str">
        <f t="shared" si="267"/>
        <v>2-4 Years</v>
      </c>
    </row>
    <row r="5738" spans="1:11" x14ac:dyDescent="0.3">
      <c r="A5738" t="s">
        <v>5755</v>
      </c>
      <c r="B5738" t="s">
        <v>9</v>
      </c>
      <c r="C5738" t="s">
        <v>30</v>
      </c>
      <c r="D5738" t="s">
        <v>16</v>
      </c>
      <c r="E5738">
        <v>24.2</v>
      </c>
      <c r="F5738">
        <v>61</v>
      </c>
      <c r="G5738">
        <v>1476.2</v>
      </c>
      <c r="H5738" t="s">
        <v>12</v>
      </c>
      <c r="I5738" t="str">
        <f t="shared" si="268"/>
        <v>Low Value</v>
      </c>
      <c r="J5738" t="str">
        <f t="shared" si="269"/>
        <v>Low Risk</v>
      </c>
      <c r="K5738" s="3" t="str">
        <f t="shared" si="267"/>
        <v>4+ Years</v>
      </c>
    </row>
    <row r="5739" spans="1:11" x14ac:dyDescent="0.3">
      <c r="A5739" t="s">
        <v>5756</v>
      </c>
      <c r="B5739" t="s">
        <v>9</v>
      </c>
      <c r="C5739" t="s">
        <v>10</v>
      </c>
      <c r="D5739" t="s">
        <v>24</v>
      </c>
      <c r="E5739">
        <v>81</v>
      </c>
      <c r="F5739">
        <v>10</v>
      </c>
      <c r="G5739">
        <v>810</v>
      </c>
      <c r="H5739" t="s">
        <v>18</v>
      </c>
      <c r="I5739" t="str">
        <f t="shared" si="268"/>
        <v>Low Value</v>
      </c>
      <c r="J5739" t="str">
        <f t="shared" si="269"/>
        <v>High Risk</v>
      </c>
      <c r="K5739" s="3" t="str">
        <f t="shared" si="267"/>
        <v>0-1 Year</v>
      </c>
    </row>
    <row r="5740" spans="1:11" x14ac:dyDescent="0.3">
      <c r="A5740" t="s">
        <v>5757</v>
      </c>
      <c r="B5740" t="s">
        <v>14</v>
      </c>
      <c r="C5740" t="s">
        <v>15</v>
      </c>
      <c r="D5740" t="s">
        <v>24</v>
      </c>
      <c r="E5740">
        <v>72.8</v>
      </c>
      <c r="F5740">
        <v>32</v>
      </c>
      <c r="G5740">
        <v>2329.6</v>
      </c>
      <c r="H5740" t="s">
        <v>12</v>
      </c>
      <c r="I5740" t="str">
        <f t="shared" si="268"/>
        <v>Medium Value</v>
      </c>
      <c r="J5740" t="str">
        <f t="shared" si="269"/>
        <v>Low Risk</v>
      </c>
      <c r="K5740" s="3" t="str">
        <f t="shared" si="267"/>
        <v>2-4 Years</v>
      </c>
    </row>
    <row r="5741" spans="1:11" x14ac:dyDescent="0.3">
      <c r="A5741" t="s">
        <v>5758</v>
      </c>
      <c r="B5741" t="s">
        <v>9</v>
      </c>
      <c r="C5741" t="s">
        <v>10</v>
      </c>
      <c r="D5741" t="s">
        <v>24</v>
      </c>
      <c r="E5741">
        <v>99.85</v>
      </c>
      <c r="F5741">
        <v>21</v>
      </c>
      <c r="G5741">
        <v>2096.85</v>
      </c>
      <c r="H5741" t="s">
        <v>12</v>
      </c>
      <c r="I5741" t="str">
        <f t="shared" si="268"/>
        <v>Medium Value</v>
      </c>
      <c r="J5741" t="str">
        <f t="shared" si="269"/>
        <v>Medium Risk</v>
      </c>
      <c r="K5741" s="3" t="str">
        <f t="shared" si="267"/>
        <v>1-2 Years</v>
      </c>
    </row>
    <row r="5742" spans="1:11" x14ac:dyDescent="0.3">
      <c r="A5742" t="s">
        <v>5759</v>
      </c>
      <c r="B5742" t="s">
        <v>9</v>
      </c>
      <c r="C5742" t="s">
        <v>15</v>
      </c>
      <c r="D5742" t="s">
        <v>11</v>
      </c>
      <c r="E5742">
        <v>99.5</v>
      </c>
      <c r="F5742">
        <v>59</v>
      </c>
      <c r="G5742">
        <v>5870.5</v>
      </c>
      <c r="H5742" t="s">
        <v>12</v>
      </c>
      <c r="I5742" t="str">
        <f t="shared" si="268"/>
        <v>High Value</v>
      </c>
      <c r="J5742" t="str">
        <f t="shared" si="269"/>
        <v>Low Risk</v>
      </c>
      <c r="K5742" s="3" t="str">
        <f t="shared" si="267"/>
        <v>4+ Years</v>
      </c>
    </row>
    <row r="5743" spans="1:11" x14ac:dyDescent="0.3">
      <c r="A5743" t="s">
        <v>5760</v>
      </c>
      <c r="B5743" t="s">
        <v>9</v>
      </c>
      <c r="C5743" t="s">
        <v>10</v>
      </c>
      <c r="D5743" t="s">
        <v>11</v>
      </c>
      <c r="E5743">
        <v>70.150000000000006</v>
      </c>
      <c r="F5743">
        <v>13</v>
      </c>
      <c r="G5743">
        <v>911.95</v>
      </c>
      <c r="H5743" t="s">
        <v>18</v>
      </c>
      <c r="I5743" t="str">
        <f t="shared" si="268"/>
        <v>Low Value</v>
      </c>
      <c r="J5743" t="str">
        <f t="shared" si="269"/>
        <v>Medium Risk</v>
      </c>
      <c r="K5743" s="3" t="str">
        <f t="shared" si="267"/>
        <v>1-2 Years</v>
      </c>
    </row>
    <row r="5744" spans="1:11" x14ac:dyDescent="0.3">
      <c r="A5744" t="s">
        <v>5761</v>
      </c>
      <c r="B5744" t="s">
        <v>9</v>
      </c>
      <c r="C5744" t="s">
        <v>30</v>
      </c>
      <c r="D5744" t="s">
        <v>24</v>
      </c>
      <c r="E5744">
        <v>20.25</v>
      </c>
      <c r="F5744">
        <v>47</v>
      </c>
      <c r="G5744">
        <v>951.75</v>
      </c>
      <c r="H5744" t="s">
        <v>12</v>
      </c>
      <c r="I5744" t="str">
        <f t="shared" si="268"/>
        <v>Low Value</v>
      </c>
      <c r="J5744" t="str">
        <f t="shared" si="269"/>
        <v>Low Risk</v>
      </c>
      <c r="K5744" s="3" t="str">
        <f t="shared" si="267"/>
        <v>2-4 Years</v>
      </c>
    </row>
    <row r="5745" spans="1:11" x14ac:dyDescent="0.3">
      <c r="A5745" t="s">
        <v>5762</v>
      </c>
      <c r="B5745" t="s">
        <v>14</v>
      </c>
      <c r="C5745" t="s">
        <v>30</v>
      </c>
      <c r="D5745" t="s">
        <v>20</v>
      </c>
      <c r="E5745">
        <v>26</v>
      </c>
      <c r="F5745">
        <v>69</v>
      </c>
      <c r="G5745">
        <v>1794</v>
      </c>
      <c r="H5745" t="s">
        <v>12</v>
      </c>
      <c r="I5745" t="str">
        <f t="shared" si="268"/>
        <v>Low Value</v>
      </c>
      <c r="J5745" t="str">
        <f t="shared" si="269"/>
        <v>Low Risk</v>
      </c>
      <c r="K5745" s="3" t="str">
        <f t="shared" si="267"/>
        <v>4+ Years</v>
      </c>
    </row>
    <row r="5746" spans="1:11" x14ac:dyDescent="0.3">
      <c r="A5746" t="s">
        <v>5763</v>
      </c>
      <c r="B5746" t="s">
        <v>14</v>
      </c>
      <c r="C5746" t="s">
        <v>10</v>
      </c>
      <c r="D5746" t="s">
        <v>24</v>
      </c>
      <c r="E5746">
        <v>19.899999999999999</v>
      </c>
      <c r="F5746">
        <v>2</v>
      </c>
      <c r="G5746">
        <v>39.799999999999997</v>
      </c>
      <c r="H5746" t="s">
        <v>12</v>
      </c>
      <c r="I5746" t="str">
        <f t="shared" si="268"/>
        <v>Low Value</v>
      </c>
      <c r="J5746" t="str">
        <f t="shared" si="269"/>
        <v>High Risk</v>
      </c>
      <c r="K5746" s="3" t="str">
        <f t="shared" si="267"/>
        <v>0-1 Year</v>
      </c>
    </row>
    <row r="5747" spans="1:11" x14ac:dyDescent="0.3">
      <c r="A5747" t="s">
        <v>5764</v>
      </c>
      <c r="B5747" t="s">
        <v>9</v>
      </c>
      <c r="C5747" t="s">
        <v>10</v>
      </c>
      <c r="D5747" t="s">
        <v>20</v>
      </c>
      <c r="E5747">
        <v>19.05</v>
      </c>
      <c r="F5747">
        <v>22</v>
      </c>
      <c r="G5747">
        <v>419.1</v>
      </c>
      <c r="H5747" t="s">
        <v>12</v>
      </c>
      <c r="I5747" t="str">
        <f t="shared" si="268"/>
        <v>Low Value</v>
      </c>
      <c r="J5747" t="str">
        <f t="shared" si="269"/>
        <v>Medium Risk</v>
      </c>
      <c r="K5747" s="3" t="str">
        <f t="shared" si="267"/>
        <v>1-2 Years</v>
      </c>
    </row>
    <row r="5748" spans="1:11" x14ac:dyDescent="0.3">
      <c r="A5748" t="s">
        <v>5765</v>
      </c>
      <c r="B5748" t="s">
        <v>14</v>
      </c>
      <c r="C5748" t="s">
        <v>10</v>
      </c>
      <c r="D5748" t="s">
        <v>11</v>
      </c>
      <c r="E5748">
        <v>96.5</v>
      </c>
      <c r="F5748">
        <v>15</v>
      </c>
      <c r="G5748">
        <v>1447.5</v>
      </c>
      <c r="H5748" t="s">
        <v>12</v>
      </c>
      <c r="I5748" t="str">
        <f t="shared" si="268"/>
        <v>Low Value</v>
      </c>
      <c r="J5748" t="str">
        <f t="shared" si="269"/>
        <v>Medium Risk</v>
      </c>
      <c r="K5748" s="3" t="str">
        <f t="shared" si="267"/>
        <v>1-2 Years</v>
      </c>
    </row>
    <row r="5749" spans="1:11" x14ac:dyDescent="0.3">
      <c r="A5749" t="s">
        <v>5766</v>
      </c>
      <c r="B5749" t="s">
        <v>9</v>
      </c>
      <c r="C5749" t="s">
        <v>30</v>
      </c>
      <c r="D5749" t="s">
        <v>24</v>
      </c>
      <c r="E5749">
        <v>19.850000000000001</v>
      </c>
      <c r="F5749">
        <v>53</v>
      </c>
      <c r="G5749">
        <v>1052.05</v>
      </c>
      <c r="H5749" t="s">
        <v>12</v>
      </c>
      <c r="I5749" t="str">
        <f t="shared" si="268"/>
        <v>Low Value</v>
      </c>
      <c r="J5749" t="str">
        <f t="shared" si="269"/>
        <v>Low Risk</v>
      </c>
      <c r="K5749" s="3" t="str">
        <f t="shared" si="267"/>
        <v>4+ Years</v>
      </c>
    </row>
    <row r="5750" spans="1:11" x14ac:dyDescent="0.3">
      <c r="A5750" t="s">
        <v>5767</v>
      </c>
      <c r="B5750" t="s">
        <v>9</v>
      </c>
      <c r="C5750" t="s">
        <v>10</v>
      </c>
      <c r="D5750" t="s">
        <v>16</v>
      </c>
      <c r="E5750">
        <v>25.7</v>
      </c>
      <c r="F5750">
        <v>28</v>
      </c>
      <c r="G5750">
        <v>719.6</v>
      </c>
      <c r="H5750" t="s">
        <v>12</v>
      </c>
      <c r="I5750" t="str">
        <f t="shared" si="268"/>
        <v>Low Value</v>
      </c>
      <c r="J5750" t="str">
        <f t="shared" si="269"/>
        <v>Low Risk</v>
      </c>
      <c r="K5750" s="3" t="str">
        <f t="shared" si="267"/>
        <v>2-4 Years</v>
      </c>
    </row>
    <row r="5751" spans="1:11" x14ac:dyDescent="0.3">
      <c r="A5751" t="s">
        <v>5768</v>
      </c>
      <c r="B5751" t="s">
        <v>14</v>
      </c>
      <c r="C5751" t="s">
        <v>15</v>
      </c>
      <c r="D5751" t="s">
        <v>16</v>
      </c>
      <c r="E5751">
        <v>20.3</v>
      </c>
      <c r="F5751">
        <v>22</v>
      </c>
      <c r="G5751">
        <v>446.6</v>
      </c>
      <c r="H5751" t="s">
        <v>12</v>
      </c>
      <c r="I5751" t="str">
        <f t="shared" si="268"/>
        <v>Low Value</v>
      </c>
      <c r="J5751" t="str">
        <f t="shared" si="269"/>
        <v>Medium Risk</v>
      </c>
      <c r="K5751" s="3" t="str">
        <f t="shared" si="267"/>
        <v>1-2 Years</v>
      </c>
    </row>
    <row r="5752" spans="1:11" x14ac:dyDescent="0.3">
      <c r="A5752" t="s">
        <v>5769</v>
      </c>
      <c r="B5752" t="s">
        <v>9</v>
      </c>
      <c r="C5752" t="s">
        <v>10</v>
      </c>
      <c r="D5752" t="s">
        <v>16</v>
      </c>
      <c r="E5752">
        <v>70.150000000000006</v>
      </c>
      <c r="F5752">
        <v>1</v>
      </c>
      <c r="G5752">
        <v>70.150000000000006</v>
      </c>
      <c r="H5752" t="s">
        <v>18</v>
      </c>
      <c r="I5752" t="str">
        <f t="shared" si="268"/>
        <v>Low Value</v>
      </c>
      <c r="J5752" t="str">
        <f t="shared" si="269"/>
        <v>High Risk</v>
      </c>
      <c r="K5752" s="3" t="str">
        <f t="shared" si="267"/>
        <v>0-1 Year</v>
      </c>
    </row>
    <row r="5753" spans="1:11" x14ac:dyDescent="0.3">
      <c r="A5753" t="s">
        <v>5770</v>
      </c>
      <c r="B5753" t="s">
        <v>14</v>
      </c>
      <c r="C5753" t="s">
        <v>10</v>
      </c>
      <c r="D5753" t="s">
        <v>11</v>
      </c>
      <c r="E5753">
        <v>91.55</v>
      </c>
      <c r="F5753">
        <v>16</v>
      </c>
      <c r="G5753">
        <v>1464.8</v>
      </c>
      <c r="H5753" t="s">
        <v>12</v>
      </c>
      <c r="I5753" t="str">
        <f t="shared" si="268"/>
        <v>Low Value</v>
      </c>
      <c r="J5753" t="str">
        <f t="shared" si="269"/>
        <v>Medium Risk</v>
      </c>
      <c r="K5753" s="3" t="str">
        <f t="shared" si="267"/>
        <v>1-2 Years</v>
      </c>
    </row>
    <row r="5754" spans="1:11" x14ac:dyDescent="0.3">
      <c r="A5754" t="s">
        <v>5771</v>
      </c>
      <c r="B5754" t="s">
        <v>9</v>
      </c>
      <c r="C5754" t="s">
        <v>30</v>
      </c>
      <c r="D5754" t="s">
        <v>16</v>
      </c>
      <c r="E5754">
        <v>39.4</v>
      </c>
      <c r="F5754">
        <v>48</v>
      </c>
      <c r="G5754">
        <v>1891.19999999999</v>
      </c>
      <c r="H5754" t="s">
        <v>12</v>
      </c>
      <c r="I5754" t="str">
        <f t="shared" si="268"/>
        <v>Low Value</v>
      </c>
      <c r="J5754" t="str">
        <f t="shared" si="269"/>
        <v>Low Risk</v>
      </c>
      <c r="K5754" s="3" t="str">
        <f t="shared" si="267"/>
        <v>2-4 Years</v>
      </c>
    </row>
    <row r="5755" spans="1:11" x14ac:dyDescent="0.3">
      <c r="A5755" t="s">
        <v>5772</v>
      </c>
      <c r="B5755" t="s">
        <v>14</v>
      </c>
      <c r="C5755" t="s">
        <v>10</v>
      </c>
      <c r="D5755" t="s">
        <v>20</v>
      </c>
      <c r="E5755">
        <v>105.7</v>
      </c>
      <c r="F5755">
        <v>30</v>
      </c>
      <c r="G5755">
        <v>3171</v>
      </c>
      <c r="H5755" t="s">
        <v>12</v>
      </c>
      <c r="I5755" t="str">
        <f t="shared" si="268"/>
        <v>Medium Value</v>
      </c>
      <c r="J5755" t="str">
        <f t="shared" si="269"/>
        <v>Low Risk</v>
      </c>
      <c r="K5755" s="3" t="str">
        <f t="shared" si="267"/>
        <v>2-4 Years</v>
      </c>
    </row>
    <row r="5756" spans="1:11" x14ac:dyDescent="0.3">
      <c r="A5756" t="s">
        <v>5773</v>
      </c>
      <c r="B5756" t="s">
        <v>9</v>
      </c>
      <c r="C5756" t="s">
        <v>10</v>
      </c>
      <c r="D5756" t="s">
        <v>11</v>
      </c>
      <c r="E5756">
        <v>70.25</v>
      </c>
      <c r="F5756">
        <v>3</v>
      </c>
      <c r="G5756">
        <v>210.75</v>
      </c>
      <c r="H5756" t="s">
        <v>12</v>
      </c>
      <c r="I5756" t="str">
        <f t="shared" si="268"/>
        <v>Low Value</v>
      </c>
      <c r="J5756" t="str">
        <f t="shared" si="269"/>
        <v>High Risk</v>
      </c>
      <c r="K5756" s="3" t="str">
        <f t="shared" si="267"/>
        <v>0-1 Year</v>
      </c>
    </row>
    <row r="5757" spans="1:11" x14ac:dyDescent="0.3">
      <c r="A5757" t="s">
        <v>5774</v>
      </c>
      <c r="B5757" t="s">
        <v>14</v>
      </c>
      <c r="C5757" t="s">
        <v>30</v>
      </c>
      <c r="D5757" t="s">
        <v>11</v>
      </c>
      <c r="E5757">
        <v>93.75</v>
      </c>
      <c r="F5757">
        <v>57</v>
      </c>
      <c r="G5757">
        <v>5343.75</v>
      </c>
      <c r="H5757" t="s">
        <v>12</v>
      </c>
      <c r="I5757" t="str">
        <f t="shared" si="268"/>
        <v>High Value</v>
      </c>
      <c r="J5757" t="str">
        <f t="shared" si="269"/>
        <v>Low Risk</v>
      </c>
      <c r="K5757" s="3" t="str">
        <f t="shared" si="267"/>
        <v>4+ Years</v>
      </c>
    </row>
    <row r="5758" spans="1:11" x14ac:dyDescent="0.3">
      <c r="A5758" t="s">
        <v>5775</v>
      </c>
      <c r="B5758" t="s">
        <v>9</v>
      </c>
      <c r="C5758" t="s">
        <v>15</v>
      </c>
      <c r="D5758" t="s">
        <v>24</v>
      </c>
      <c r="E5758">
        <v>96.55</v>
      </c>
      <c r="F5758">
        <v>68</v>
      </c>
      <c r="G5758">
        <v>6565.4</v>
      </c>
      <c r="H5758" t="s">
        <v>18</v>
      </c>
      <c r="I5758" t="str">
        <f t="shared" si="268"/>
        <v>High Value</v>
      </c>
      <c r="J5758" t="str">
        <f t="shared" si="269"/>
        <v>Low Risk</v>
      </c>
      <c r="K5758" s="3" t="str">
        <f t="shared" si="267"/>
        <v>4+ Years</v>
      </c>
    </row>
    <row r="5759" spans="1:11" x14ac:dyDescent="0.3">
      <c r="A5759" t="s">
        <v>5776</v>
      </c>
      <c r="B5759" t="s">
        <v>9</v>
      </c>
      <c r="C5759" t="s">
        <v>15</v>
      </c>
      <c r="D5759" t="s">
        <v>20</v>
      </c>
      <c r="E5759">
        <v>60</v>
      </c>
      <c r="F5759">
        <v>23</v>
      </c>
      <c r="G5759">
        <v>1380</v>
      </c>
      <c r="H5759" t="s">
        <v>12</v>
      </c>
      <c r="I5759" t="str">
        <f t="shared" si="268"/>
        <v>Low Value</v>
      </c>
      <c r="J5759" t="str">
        <f t="shared" si="269"/>
        <v>Medium Risk</v>
      </c>
      <c r="K5759" s="3" t="str">
        <f t="shared" si="267"/>
        <v>1-2 Years</v>
      </c>
    </row>
    <row r="5760" spans="1:11" x14ac:dyDescent="0.3">
      <c r="A5760" t="s">
        <v>5777</v>
      </c>
      <c r="B5760" t="s">
        <v>9</v>
      </c>
      <c r="C5760" t="s">
        <v>30</v>
      </c>
      <c r="D5760" t="s">
        <v>24</v>
      </c>
      <c r="E5760">
        <v>59.8</v>
      </c>
      <c r="F5760">
        <v>65</v>
      </c>
      <c r="G5760">
        <v>3887</v>
      </c>
      <c r="H5760" t="s">
        <v>12</v>
      </c>
      <c r="I5760" t="str">
        <f t="shared" si="268"/>
        <v>Medium Value</v>
      </c>
      <c r="J5760" t="str">
        <f t="shared" si="269"/>
        <v>Low Risk</v>
      </c>
      <c r="K5760" s="3" t="str">
        <f t="shared" si="267"/>
        <v>4+ Years</v>
      </c>
    </row>
    <row r="5761" spans="1:11" x14ac:dyDescent="0.3">
      <c r="A5761" t="s">
        <v>5778</v>
      </c>
      <c r="B5761" t="s">
        <v>14</v>
      </c>
      <c r="C5761" t="s">
        <v>15</v>
      </c>
      <c r="D5761" t="s">
        <v>20</v>
      </c>
      <c r="E5761">
        <v>90.65</v>
      </c>
      <c r="F5761">
        <v>44</v>
      </c>
      <c r="G5761">
        <v>3988.6</v>
      </c>
      <c r="H5761" t="s">
        <v>12</v>
      </c>
      <c r="I5761" t="str">
        <f t="shared" si="268"/>
        <v>Medium Value</v>
      </c>
      <c r="J5761" t="str">
        <f t="shared" si="269"/>
        <v>Low Risk</v>
      </c>
      <c r="K5761" s="3" t="str">
        <f t="shared" si="267"/>
        <v>2-4 Years</v>
      </c>
    </row>
    <row r="5762" spans="1:11" x14ac:dyDescent="0.3">
      <c r="A5762" t="s">
        <v>5779</v>
      </c>
      <c r="B5762" t="s">
        <v>9</v>
      </c>
      <c r="C5762" t="s">
        <v>30</v>
      </c>
      <c r="D5762" t="s">
        <v>20</v>
      </c>
      <c r="E5762">
        <v>109</v>
      </c>
      <c r="F5762">
        <v>71</v>
      </c>
      <c r="G5762">
        <v>7739</v>
      </c>
      <c r="H5762" t="s">
        <v>12</v>
      </c>
      <c r="I5762" t="str">
        <f t="shared" si="268"/>
        <v>High Value</v>
      </c>
      <c r="J5762" t="str">
        <f t="shared" si="269"/>
        <v>Low Risk</v>
      </c>
      <c r="K5762" s="3" t="str">
        <f t="shared" si="267"/>
        <v>4+ Years</v>
      </c>
    </row>
    <row r="5763" spans="1:11" x14ac:dyDescent="0.3">
      <c r="A5763" t="s">
        <v>5780</v>
      </c>
      <c r="B5763" t="s">
        <v>9</v>
      </c>
      <c r="C5763" t="s">
        <v>15</v>
      </c>
      <c r="D5763" t="s">
        <v>24</v>
      </c>
      <c r="E5763">
        <v>68.099999999999994</v>
      </c>
      <c r="F5763">
        <v>37</v>
      </c>
      <c r="G5763">
        <v>2519.6999999999998</v>
      </c>
      <c r="H5763" t="s">
        <v>12</v>
      </c>
      <c r="I5763" t="str">
        <f t="shared" si="268"/>
        <v>Medium Value</v>
      </c>
      <c r="J5763" t="str">
        <f t="shared" si="269"/>
        <v>Low Risk</v>
      </c>
      <c r="K5763" s="3" t="str">
        <f t="shared" ref="K5763:K5826" si="270">IF(F5763&lt;=12,"0-1 Year",
IF(F5763&lt;=24,"1-2 Years",
IF(F5763&lt;=48,"2-4 Years","4+ Years")))</f>
        <v>2-4 Years</v>
      </c>
    </row>
    <row r="5764" spans="1:11" x14ac:dyDescent="0.3">
      <c r="A5764" t="s">
        <v>5781</v>
      </c>
      <c r="B5764" t="s">
        <v>9</v>
      </c>
      <c r="C5764" t="s">
        <v>10</v>
      </c>
      <c r="D5764" t="s">
        <v>16</v>
      </c>
      <c r="E5764">
        <v>20.399999999999999</v>
      </c>
      <c r="F5764">
        <v>12</v>
      </c>
      <c r="G5764">
        <v>244.79999999999899</v>
      </c>
      <c r="H5764" t="s">
        <v>12</v>
      </c>
      <c r="I5764" t="str">
        <f t="shared" ref="I5764:I5827" si="271">IF(G5764&gt;5000,"High Value",
IF(G5764&gt;2000,"Medium Value","Low Value"))</f>
        <v>Low Value</v>
      </c>
      <c r="J5764" t="str">
        <f t="shared" ref="J5764:J5827" si="272">IF(F5764&lt;12,"High Risk",
IF(F5764&lt;24,"Medium Risk","Low Risk"))</f>
        <v>Medium Risk</v>
      </c>
      <c r="K5764" s="3" t="str">
        <f t="shared" si="270"/>
        <v>0-1 Year</v>
      </c>
    </row>
    <row r="5765" spans="1:11" x14ac:dyDescent="0.3">
      <c r="A5765" t="s">
        <v>5782</v>
      </c>
      <c r="B5765" t="s">
        <v>14</v>
      </c>
      <c r="C5765" t="s">
        <v>30</v>
      </c>
      <c r="D5765" t="s">
        <v>20</v>
      </c>
      <c r="E5765">
        <v>81.95</v>
      </c>
      <c r="F5765">
        <v>69</v>
      </c>
      <c r="G5765">
        <v>5654.55</v>
      </c>
      <c r="H5765" t="s">
        <v>12</v>
      </c>
      <c r="I5765" t="str">
        <f t="shared" si="271"/>
        <v>High Value</v>
      </c>
      <c r="J5765" t="str">
        <f t="shared" si="272"/>
        <v>Low Risk</v>
      </c>
      <c r="K5765" s="3" t="str">
        <f t="shared" si="270"/>
        <v>4+ Years</v>
      </c>
    </row>
    <row r="5766" spans="1:11" x14ac:dyDescent="0.3">
      <c r="A5766" t="s">
        <v>5783</v>
      </c>
      <c r="B5766" t="s">
        <v>9</v>
      </c>
      <c r="C5766" t="s">
        <v>10</v>
      </c>
      <c r="D5766" t="s">
        <v>11</v>
      </c>
      <c r="E5766">
        <v>60.55</v>
      </c>
      <c r="F5766">
        <v>35</v>
      </c>
      <c r="G5766">
        <v>2119.25</v>
      </c>
      <c r="H5766" t="s">
        <v>12</v>
      </c>
      <c r="I5766" t="str">
        <f t="shared" si="271"/>
        <v>Medium Value</v>
      </c>
      <c r="J5766" t="str">
        <f t="shared" si="272"/>
        <v>Low Risk</v>
      </c>
      <c r="K5766" s="3" t="str">
        <f t="shared" si="270"/>
        <v>2-4 Years</v>
      </c>
    </row>
    <row r="5767" spans="1:11" x14ac:dyDescent="0.3">
      <c r="A5767" t="s">
        <v>5784</v>
      </c>
      <c r="B5767" t="s">
        <v>14</v>
      </c>
      <c r="C5767" t="s">
        <v>10</v>
      </c>
      <c r="D5767" t="s">
        <v>20</v>
      </c>
      <c r="E5767">
        <v>65.599999999999994</v>
      </c>
      <c r="F5767">
        <v>5</v>
      </c>
      <c r="G5767">
        <v>328</v>
      </c>
      <c r="H5767" t="s">
        <v>12</v>
      </c>
      <c r="I5767" t="str">
        <f t="shared" si="271"/>
        <v>Low Value</v>
      </c>
      <c r="J5767" t="str">
        <f t="shared" si="272"/>
        <v>High Risk</v>
      </c>
      <c r="K5767" s="3" t="str">
        <f t="shared" si="270"/>
        <v>0-1 Year</v>
      </c>
    </row>
    <row r="5768" spans="1:11" x14ac:dyDescent="0.3">
      <c r="A5768" t="s">
        <v>5785</v>
      </c>
      <c r="B5768" t="s">
        <v>14</v>
      </c>
      <c r="C5768" t="s">
        <v>30</v>
      </c>
      <c r="D5768" t="s">
        <v>20</v>
      </c>
      <c r="E5768">
        <v>82.5</v>
      </c>
      <c r="F5768">
        <v>58</v>
      </c>
      <c r="G5768">
        <v>4785</v>
      </c>
      <c r="H5768" t="s">
        <v>12</v>
      </c>
      <c r="I5768" t="str">
        <f t="shared" si="271"/>
        <v>Medium Value</v>
      </c>
      <c r="J5768" t="str">
        <f t="shared" si="272"/>
        <v>Low Risk</v>
      </c>
      <c r="K5768" s="3" t="str">
        <f t="shared" si="270"/>
        <v>4+ Years</v>
      </c>
    </row>
    <row r="5769" spans="1:11" x14ac:dyDescent="0.3">
      <c r="A5769" t="s">
        <v>5786</v>
      </c>
      <c r="B5769" t="s">
        <v>14</v>
      </c>
      <c r="C5769" t="s">
        <v>30</v>
      </c>
      <c r="D5769" t="s">
        <v>20</v>
      </c>
      <c r="E5769">
        <v>82.3</v>
      </c>
      <c r="F5769">
        <v>72</v>
      </c>
      <c r="G5769">
        <v>5925.5999999999904</v>
      </c>
      <c r="H5769" t="s">
        <v>12</v>
      </c>
      <c r="I5769" t="str">
        <f t="shared" si="271"/>
        <v>High Value</v>
      </c>
      <c r="J5769" t="str">
        <f t="shared" si="272"/>
        <v>Low Risk</v>
      </c>
      <c r="K5769" s="3" t="str">
        <f t="shared" si="270"/>
        <v>4+ Years</v>
      </c>
    </row>
    <row r="5770" spans="1:11" x14ac:dyDescent="0.3">
      <c r="A5770" t="s">
        <v>5787</v>
      </c>
      <c r="B5770" t="s">
        <v>14</v>
      </c>
      <c r="C5770" t="s">
        <v>30</v>
      </c>
      <c r="D5770" t="s">
        <v>16</v>
      </c>
      <c r="E5770">
        <v>68.150000000000006</v>
      </c>
      <c r="F5770">
        <v>72</v>
      </c>
      <c r="G5770">
        <v>4906.8</v>
      </c>
      <c r="H5770" t="s">
        <v>12</v>
      </c>
      <c r="I5770" t="str">
        <f t="shared" si="271"/>
        <v>Medium Value</v>
      </c>
      <c r="J5770" t="str">
        <f t="shared" si="272"/>
        <v>Low Risk</v>
      </c>
      <c r="K5770" s="3" t="str">
        <f t="shared" si="270"/>
        <v>4+ Years</v>
      </c>
    </row>
    <row r="5771" spans="1:11" x14ac:dyDescent="0.3">
      <c r="A5771" t="s">
        <v>5788</v>
      </c>
      <c r="B5771" t="s">
        <v>9</v>
      </c>
      <c r="C5771" t="s">
        <v>10</v>
      </c>
      <c r="D5771" t="s">
        <v>24</v>
      </c>
      <c r="E5771">
        <v>20.3</v>
      </c>
      <c r="F5771">
        <v>1</v>
      </c>
      <c r="G5771">
        <v>20.3</v>
      </c>
      <c r="H5771" t="s">
        <v>12</v>
      </c>
      <c r="I5771" t="str">
        <f t="shared" si="271"/>
        <v>Low Value</v>
      </c>
      <c r="J5771" t="str">
        <f t="shared" si="272"/>
        <v>High Risk</v>
      </c>
      <c r="K5771" s="3" t="str">
        <f t="shared" si="270"/>
        <v>0-1 Year</v>
      </c>
    </row>
    <row r="5772" spans="1:11" x14ac:dyDescent="0.3">
      <c r="A5772" t="s">
        <v>5789</v>
      </c>
      <c r="B5772" t="s">
        <v>9</v>
      </c>
      <c r="C5772" t="s">
        <v>15</v>
      </c>
      <c r="D5772" t="s">
        <v>11</v>
      </c>
      <c r="E5772">
        <v>95.55</v>
      </c>
      <c r="F5772">
        <v>39</v>
      </c>
      <c r="G5772">
        <v>3726.45</v>
      </c>
      <c r="H5772" t="s">
        <v>18</v>
      </c>
      <c r="I5772" t="str">
        <f t="shared" si="271"/>
        <v>Medium Value</v>
      </c>
      <c r="J5772" t="str">
        <f t="shared" si="272"/>
        <v>Low Risk</v>
      </c>
      <c r="K5772" s="3" t="str">
        <f t="shared" si="270"/>
        <v>2-4 Years</v>
      </c>
    </row>
    <row r="5773" spans="1:11" x14ac:dyDescent="0.3">
      <c r="A5773" t="s">
        <v>5790</v>
      </c>
      <c r="B5773" t="s">
        <v>14</v>
      </c>
      <c r="C5773" t="s">
        <v>15</v>
      </c>
      <c r="D5773" t="s">
        <v>24</v>
      </c>
      <c r="E5773">
        <v>20.2</v>
      </c>
      <c r="F5773">
        <v>53</v>
      </c>
      <c r="G5773">
        <v>1070.5999999999999</v>
      </c>
      <c r="H5773" t="s">
        <v>12</v>
      </c>
      <c r="I5773" t="str">
        <f t="shared" si="271"/>
        <v>Low Value</v>
      </c>
      <c r="J5773" t="str">
        <f t="shared" si="272"/>
        <v>Low Risk</v>
      </c>
      <c r="K5773" s="3" t="str">
        <f t="shared" si="270"/>
        <v>4+ Years</v>
      </c>
    </row>
    <row r="5774" spans="1:11" x14ac:dyDescent="0.3">
      <c r="A5774" t="s">
        <v>5791</v>
      </c>
      <c r="B5774" t="s">
        <v>9</v>
      </c>
      <c r="C5774" t="s">
        <v>10</v>
      </c>
      <c r="D5774" t="s">
        <v>11</v>
      </c>
      <c r="E5774">
        <v>89.2</v>
      </c>
      <c r="F5774">
        <v>27</v>
      </c>
      <c r="G5774">
        <v>2408.4</v>
      </c>
      <c r="H5774" t="s">
        <v>12</v>
      </c>
      <c r="I5774" t="str">
        <f t="shared" si="271"/>
        <v>Medium Value</v>
      </c>
      <c r="J5774" t="str">
        <f t="shared" si="272"/>
        <v>Low Risk</v>
      </c>
      <c r="K5774" s="3" t="str">
        <f t="shared" si="270"/>
        <v>2-4 Years</v>
      </c>
    </row>
    <row r="5775" spans="1:11" x14ac:dyDescent="0.3">
      <c r="A5775" t="s">
        <v>5792</v>
      </c>
      <c r="B5775" t="s">
        <v>9</v>
      </c>
      <c r="C5775" t="s">
        <v>10</v>
      </c>
      <c r="D5775" t="s">
        <v>11</v>
      </c>
      <c r="E5775">
        <v>69.650000000000006</v>
      </c>
      <c r="F5775">
        <v>1</v>
      </c>
      <c r="G5775">
        <v>69.650000000000006</v>
      </c>
      <c r="H5775" t="s">
        <v>18</v>
      </c>
      <c r="I5775" t="str">
        <f t="shared" si="271"/>
        <v>Low Value</v>
      </c>
      <c r="J5775" t="str">
        <f t="shared" si="272"/>
        <v>High Risk</v>
      </c>
      <c r="K5775" s="3" t="str">
        <f t="shared" si="270"/>
        <v>0-1 Year</v>
      </c>
    </row>
    <row r="5776" spans="1:11" x14ac:dyDescent="0.3">
      <c r="A5776" t="s">
        <v>5793</v>
      </c>
      <c r="B5776" t="s">
        <v>9</v>
      </c>
      <c r="C5776" t="s">
        <v>10</v>
      </c>
      <c r="D5776" t="s">
        <v>11</v>
      </c>
      <c r="E5776">
        <v>89.3</v>
      </c>
      <c r="F5776">
        <v>1</v>
      </c>
      <c r="G5776">
        <v>89.3</v>
      </c>
      <c r="H5776" t="s">
        <v>18</v>
      </c>
      <c r="I5776" t="str">
        <f t="shared" si="271"/>
        <v>Low Value</v>
      </c>
      <c r="J5776" t="str">
        <f t="shared" si="272"/>
        <v>High Risk</v>
      </c>
      <c r="K5776" s="3" t="str">
        <f t="shared" si="270"/>
        <v>0-1 Year</v>
      </c>
    </row>
    <row r="5777" spans="1:11" x14ac:dyDescent="0.3">
      <c r="A5777" t="s">
        <v>5794</v>
      </c>
      <c r="B5777" t="s">
        <v>9</v>
      </c>
      <c r="C5777" t="s">
        <v>10</v>
      </c>
      <c r="D5777" t="s">
        <v>11</v>
      </c>
      <c r="E5777">
        <v>74.8</v>
      </c>
      <c r="F5777">
        <v>18</v>
      </c>
      <c r="G5777">
        <v>1346.3999999999901</v>
      </c>
      <c r="H5777" t="s">
        <v>12</v>
      </c>
      <c r="I5777" t="str">
        <f t="shared" si="271"/>
        <v>Low Value</v>
      </c>
      <c r="J5777" t="str">
        <f t="shared" si="272"/>
        <v>Medium Risk</v>
      </c>
      <c r="K5777" s="3" t="str">
        <f t="shared" si="270"/>
        <v>1-2 Years</v>
      </c>
    </row>
    <row r="5778" spans="1:11" x14ac:dyDescent="0.3">
      <c r="A5778" t="s">
        <v>5795</v>
      </c>
      <c r="B5778" t="s">
        <v>14</v>
      </c>
      <c r="C5778" t="s">
        <v>30</v>
      </c>
      <c r="D5778" t="s">
        <v>16</v>
      </c>
      <c r="E5778">
        <v>20.2</v>
      </c>
      <c r="F5778">
        <v>46</v>
      </c>
      <c r="G5778">
        <v>929.19999999999902</v>
      </c>
      <c r="H5778" t="s">
        <v>12</v>
      </c>
      <c r="I5778" t="str">
        <f t="shared" si="271"/>
        <v>Low Value</v>
      </c>
      <c r="J5778" t="str">
        <f t="shared" si="272"/>
        <v>Low Risk</v>
      </c>
      <c r="K5778" s="3" t="str">
        <f t="shared" si="270"/>
        <v>2-4 Years</v>
      </c>
    </row>
    <row r="5779" spans="1:11" x14ac:dyDescent="0.3">
      <c r="A5779" t="s">
        <v>5796</v>
      </c>
      <c r="B5779" t="s">
        <v>9</v>
      </c>
      <c r="C5779" t="s">
        <v>30</v>
      </c>
      <c r="D5779" t="s">
        <v>24</v>
      </c>
      <c r="E5779">
        <v>84.4</v>
      </c>
      <c r="F5779">
        <v>72</v>
      </c>
      <c r="G5779">
        <v>6076.8</v>
      </c>
      <c r="H5779" t="s">
        <v>12</v>
      </c>
      <c r="I5779" t="str">
        <f t="shared" si="271"/>
        <v>High Value</v>
      </c>
      <c r="J5779" t="str">
        <f t="shared" si="272"/>
        <v>Low Risk</v>
      </c>
      <c r="K5779" s="3" t="str">
        <f t="shared" si="270"/>
        <v>4+ Years</v>
      </c>
    </row>
    <row r="5780" spans="1:11" x14ac:dyDescent="0.3">
      <c r="A5780" t="s">
        <v>5797</v>
      </c>
      <c r="B5780" t="s">
        <v>9</v>
      </c>
      <c r="C5780" t="s">
        <v>10</v>
      </c>
      <c r="D5780" t="s">
        <v>11</v>
      </c>
      <c r="E5780">
        <v>87.55</v>
      </c>
      <c r="F5780">
        <v>36</v>
      </c>
      <c r="G5780">
        <v>3151.7999999999902</v>
      </c>
      <c r="H5780" t="s">
        <v>18</v>
      </c>
      <c r="I5780" t="str">
        <f t="shared" si="271"/>
        <v>Medium Value</v>
      </c>
      <c r="J5780" t="str">
        <f t="shared" si="272"/>
        <v>Low Risk</v>
      </c>
      <c r="K5780" s="3" t="str">
        <f t="shared" si="270"/>
        <v>2-4 Years</v>
      </c>
    </row>
    <row r="5781" spans="1:11" x14ac:dyDescent="0.3">
      <c r="A5781" t="s">
        <v>5798</v>
      </c>
      <c r="B5781" t="s">
        <v>9</v>
      </c>
      <c r="C5781" t="s">
        <v>10</v>
      </c>
      <c r="D5781" t="s">
        <v>11</v>
      </c>
      <c r="E5781">
        <v>25.15</v>
      </c>
      <c r="F5781">
        <v>4</v>
      </c>
      <c r="G5781">
        <v>100.6</v>
      </c>
      <c r="H5781" t="s">
        <v>12</v>
      </c>
      <c r="I5781" t="str">
        <f t="shared" si="271"/>
        <v>Low Value</v>
      </c>
      <c r="J5781" t="str">
        <f t="shared" si="272"/>
        <v>High Risk</v>
      </c>
      <c r="K5781" s="3" t="str">
        <f t="shared" si="270"/>
        <v>0-1 Year</v>
      </c>
    </row>
    <row r="5782" spans="1:11" x14ac:dyDescent="0.3">
      <c r="A5782" t="s">
        <v>5799</v>
      </c>
      <c r="B5782" t="s">
        <v>9</v>
      </c>
      <c r="C5782" t="s">
        <v>30</v>
      </c>
      <c r="D5782" t="s">
        <v>24</v>
      </c>
      <c r="E5782">
        <v>19.8</v>
      </c>
      <c r="F5782">
        <v>25</v>
      </c>
      <c r="G5782">
        <v>495</v>
      </c>
      <c r="H5782" t="s">
        <v>12</v>
      </c>
      <c r="I5782" t="str">
        <f t="shared" si="271"/>
        <v>Low Value</v>
      </c>
      <c r="J5782" t="str">
        <f t="shared" si="272"/>
        <v>Low Risk</v>
      </c>
      <c r="K5782" s="3" t="str">
        <f t="shared" si="270"/>
        <v>2-4 Years</v>
      </c>
    </row>
    <row r="5783" spans="1:11" x14ac:dyDescent="0.3">
      <c r="A5783" t="s">
        <v>5800</v>
      </c>
      <c r="B5783" t="s">
        <v>9</v>
      </c>
      <c r="C5783" t="s">
        <v>10</v>
      </c>
      <c r="D5783" t="s">
        <v>11</v>
      </c>
      <c r="E5783">
        <v>50.85</v>
      </c>
      <c r="F5783">
        <v>40</v>
      </c>
      <c r="G5783">
        <v>2034</v>
      </c>
      <c r="H5783" t="s">
        <v>12</v>
      </c>
      <c r="I5783" t="str">
        <f t="shared" si="271"/>
        <v>Medium Value</v>
      </c>
      <c r="J5783" t="str">
        <f t="shared" si="272"/>
        <v>Low Risk</v>
      </c>
      <c r="K5783" s="3" t="str">
        <f t="shared" si="270"/>
        <v>2-4 Years</v>
      </c>
    </row>
    <row r="5784" spans="1:11" x14ac:dyDescent="0.3">
      <c r="A5784" t="s">
        <v>5801</v>
      </c>
      <c r="B5784" t="s">
        <v>14</v>
      </c>
      <c r="C5784" t="s">
        <v>10</v>
      </c>
      <c r="D5784" t="s">
        <v>11</v>
      </c>
      <c r="E5784">
        <v>102.4</v>
      </c>
      <c r="F5784">
        <v>63</v>
      </c>
      <c r="G5784">
        <v>6451.2</v>
      </c>
      <c r="H5784" t="s">
        <v>12</v>
      </c>
      <c r="I5784" t="str">
        <f t="shared" si="271"/>
        <v>High Value</v>
      </c>
      <c r="J5784" t="str">
        <f t="shared" si="272"/>
        <v>Low Risk</v>
      </c>
      <c r="K5784" s="3" t="str">
        <f t="shared" si="270"/>
        <v>4+ Years</v>
      </c>
    </row>
    <row r="5785" spans="1:11" x14ac:dyDescent="0.3">
      <c r="A5785" t="s">
        <v>5802</v>
      </c>
      <c r="B5785" t="s">
        <v>9</v>
      </c>
      <c r="C5785" t="s">
        <v>10</v>
      </c>
      <c r="D5785" t="s">
        <v>16</v>
      </c>
      <c r="E5785">
        <v>96.3</v>
      </c>
      <c r="F5785">
        <v>15</v>
      </c>
      <c r="G5785">
        <v>1444.5</v>
      </c>
      <c r="H5785" t="s">
        <v>18</v>
      </c>
      <c r="I5785" t="str">
        <f t="shared" si="271"/>
        <v>Low Value</v>
      </c>
      <c r="J5785" t="str">
        <f t="shared" si="272"/>
        <v>Medium Risk</v>
      </c>
      <c r="K5785" s="3" t="str">
        <f t="shared" si="270"/>
        <v>1-2 Years</v>
      </c>
    </row>
    <row r="5786" spans="1:11" x14ac:dyDescent="0.3">
      <c r="A5786" t="s">
        <v>5803</v>
      </c>
      <c r="B5786" t="s">
        <v>14</v>
      </c>
      <c r="C5786" t="s">
        <v>10</v>
      </c>
      <c r="D5786" t="s">
        <v>24</v>
      </c>
      <c r="E5786">
        <v>55.5</v>
      </c>
      <c r="F5786">
        <v>14</v>
      </c>
      <c r="G5786">
        <v>777</v>
      </c>
      <c r="H5786" t="s">
        <v>12</v>
      </c>
      <c r="I5786" t="str">
        <f t="shared" si="271"/>
        <v>Low Value</v>
      </c>
      <c r="J5786" t="str">
        <f t="shared" si="272"/>
        <v>Medium Risk</v>
      </c>
      <c r="K5786" s="3" t="str">
        <f t="shared" si="270"/>
        <v>1-2 Years</v>
      </c>
    </row>
    <row r="5787" spans="1:11" x14ac:dyDescent="0.3">
      <c r="A5787" t="s">
        <v>5804</v>
      </c>
      <c r="B5787" t="s">
        <v>14</v>
      </c>
      <c r="C5787" t="s">
        <v>30</v>
      </c>
      <c r="D5787" t="s">
        <v>20</v>
      </c>
      <c r="E5787">
        <v>109.75</v>
      </c>
      <c r="F5787">
        <v>72</v>
      </c>
      <c r="G5787">
        <v>7902</v>
      </c>
      <c r="H5787" t="s">
        <v>12</v>
      </c>
      <c r="I5787" t="str">
        <f t="shared" si="271"/>
        <v>High Value</v>
      </c>
      <c r="J5787" t="str">
        <f t="shared" si="272"/>
        <v>Low Risk</v>
      </c>
      <c r="K5787" s="3" t="str">
        <f t="shared" si="270"/>
        <v>4+ Years</v>
      </c>
    </row>
    <row r="5788" spans="1:11" x14ac:dyDescent="0.3">
      <c r="A5788" t="s">
        <v>5805</v>
      </c>
      <c r="B5788" t="s">
        <v>14</v>
      </c>
      <c r="C5788" t="s">
        <v>10</v>
      </c>
      <c r="D5788" t="s">
        <v>11</v>
      </c>
      <c r="E5788">
        <v>106.4</v>
      </c>
      <c r="F5788">
        <v>39</v>
      </c>
      <c r="G5788">
        <v>4149.6000000000004</v>
      </c>
      <c r="H5788" t="s">
        <v>12</v>
      </c>
      <c r="I5788" t="str">
        <f t="shared" si="271"/>
        <v>Medium Value</v>
      </c>
      <c r="J5788" t="str">
        <f t="shared" si="272"/>
        <v>Low Risk</v>
      </c>
      <c r="K5788" s="3" t="str">
        <f t="shared" si="270"/>
        <v>2-4 Years</v>
      </c>
    </row>
    <row r="5789" spans="1:11" x14ac:dyDescent="0.3">
      <c r="A5789" t="s">
        <v>5806</v>
      </c>
      <c r="B5789" t="s">
        <v>9</v>
      </c>
      <c r="C5789" t="s">
        <v>30</v>
      </c>
      <c r="D5789" t="s">
        <v>24</v>
      </c>
      <c r="E5789">
        <v>60</v>
      </c>
      <c r="F5789">
        <v>47</v>
      </c>
      <c r="G5789">
        <v>2820</v>
      </c>
      <c r="H5789" t="s">
        <v>12</v>
      </c>
      <c r="I5789" t="str">
        <f t="shared" si="271"/>
        <v>Medium Value</v>
      </c>
      <c r="J5789" t="str">
        <f t="shared" si="272"/>
        <v>Low Risk</v>
      </c>
      <c r="K5789" s="3" t="str">
        <f t="shared" si="270"/>
        <v>2-4 Years</v>
      </c>
    </row>
    <row r="5790" spans="1:11" x14ac:dyDescent="0.3">
      <c r="A5790" t="s">
        <v>5807</v>
      </c>
      <c r="B5790" t="s">
        <v>14</v>
      </c>
      <c r="C5790" t="s">
        <v>10</v>
      </c>
      <c r="D5790" t="s">
        <v>24</v>
      </c>
      <c r="E5790">
        <v>88.8</v>
      </c>
      <c r="F5790">
        <v>19</v>
      </c>
      <c r="G5790">
        <v>1687.2</v>
      </c>
      <c r="H5790" t="s">
        <v>12</v>
      </c>
      <c r="I5790" t="str">
        <f t="shared" si="271"/>
        <v>Low Value</v>
      </c>
      <c r="J5790" t="str">
        <f t="shared" si="272"/>
        <v>Medium Risk</v>
      </c>
      <c r="K5790" s="3" t="str">
        <f t="shared" si="270"/>
        <v>1-2 Years</v>
      </c>
    </row>
    <row r="5791" spans="1:11" x14ac:dyDescent="0.3">
      <c r="A5791" t="s">
        <v>5808</v>
      </c>
      <c r="B5791" t="s">
        <v>9</v>
      </c>
      <c r="C5791" t="s">
        <v>10</v>
      </c>
      <c r="D5791" t="s">
        <v>11</v>
      </c>
      <c r="E5791">
        <v>85.2</v>
      </c>
      <c r="F5791">
        <v>5</v>
      </c>
      <c r="G5791">
        <v>426</v>
      </c>
      <c r="H5791" t="s">
        <v>18</v>
      </c>
      <c r="I5791" t="str">
        <f t="shared" si="271"/>
        <v>Low Value</v>
      </c>
      <c r="J5791" t="str">
        <f t="shared" si="272"/>
        <v>High Risk</v>
      </c>
      <c r="K5791" s="3" t="str">
        <f t="shared" si="270"/>
        <v>0-1 Year</v>
      </c>
    </row>
    <row r="5792" spans="1:11" x14ac:dyDescent="0.3">
      <c r="A5792" t="s">
        <v>5809</v>
      </c>
      <c r="B5792" t="s">
        <v>9</v>
      </c>
      <c r="C5792" t="s">
        <v>10</v>
      </c>
      <c r="D5792" t="s">
        <v>11</v>
      </c>
      <c r="E5792">
        <v>35.1</v>
      </c>
      <c r="F5792">
        <v>13</v>
      </c>
      <c r="G5792">
        <v>456.3</v>
      </c>
      <c r="H5792" t="s">
        <v>18</v>
      </c>
      <c r="I5792" t="str">
        <f t="shared" si="271"/>
        <v>Low Value</v>
      </c>
      <c r="J5792" t="str">
        <f t="shared" si="272"/>
        <v>Medium Risk</v>
      </c>
      <c r="K5792" s="3" t="str">
        <f t="shared" si="270"/>
        <v>1-2 Years</v>
      </c>
    </row>
    <row r="5793" spans="1:11" x14ac:dyDescent="0.3">
      <c r="A5793" t="s">
        <v>5810</v>
      </c>
      <c r="B5793" t="s">
        <v>9</v>
      </c>
      <c r="C5793" t="s">
        <v>10</v>
      </c>
      <c r="D5793" t="s">
        <v>20</v>
      </c>
      <c r="E5793">
        <v>80.05</v>
      </c>
      <c r="F5793">
        <v>17</v>
      </c>
      <c r="G5793">
        <v>1360.85</v>
      </c>
      <c r="H5793" t="s">
        <v>12</v>
      </c>
      <c r="I5793" t="str">
        <f t="shared" si="271"/>
        <v>Low Value</v>
      </c>
      <c r="J5793" t="str">
        <f t="shared" si="272"/>
        <v>Medium Risk</v>
      </c>
      <c r="K5793" s="3" t="str">
        <f t="shared" si="270"/>
        <v>1-2 Years</v>
      </c>
    </row>
    <row r="5794" spans="1:11" x14ac:dyDescent="0.3">
      <c r="A5794" t="s">
        <v>5811</v>
      </c>
      <c r="B5794" t="s">
        <v>14</v>
      </c>
      <c r="C5794" t="s">
        <v>10</v>
      </c>
      <c r="D5794" t="s">
        <v>11</v>
      </c>
      <c r="E5794">
        <v>75.55</v>
      </c>
      <c r="F5794">
        <v>34</v>
      </c>
      <c r="G5794">
        <v>2568.6999999999998</v>
      </c>
      <c r="H5794" t="s">
        <v>12</v>
      </c>
      <c r="I5794" t="str">
        <f t="shared" si="271"/>
        <v>Medium Value</v>
      </c>
      <c r="J5794" t="str">
        <f t="shared" si="272"/>
        <v>Low Risk</v>
      </c>
      <c r="K5794" s="3" t="str">
        <f t="shared" si="270"/>
        <v>2-4 Years</v>
      </c>
    </row>
    <row r="5795" spans="1:11" x14ac:dyDescent="0.3">
      <c r="A5795" t="s">
        <v>5812</v>
      </c>
      <c r="B5795" t="s">
        <v>9</v>
      </c>
      <c r="C5795" t="s">
        <v>10</v>
      </c>
      <c r="D5795" t="s">
        <v>11</v>
      </c>
      <c r="E5795">
        <v>49.55</v>
      </c>
      <c r="F5795">
        <v>42</v>
      </c>
      <c r="G5795">
        <v>2081.1</v>
      </c>
      <c r="H5795" t="s">
        <v>12</v>
      </c>
      <c r="I5795" t="str">
        <f t="shared" si="271"/>
        <v>Medium Value</v>
      </c>
      <c r="J5795" t="str">
        <f t="shared" si="272"/>
        <v>Low Risk</v>
      </c>
      <c r="K5795" s="3" t="str">
        <f t="shared" si="270"/>
        <v>2-4 Years</v>
      </c>
    </row>
    <row r="5796" spans="1:11" x14ac:dyDescent="0.3">
      <c r="A5796" t="s">
        <v>5813</v>
      </c>
      <c r="B5796" t="s">
        <v>14</v>
      </c>
      <c r="C5796" t="s">
        <v>10</v>
      </c>
      <c r="D5796" t="s">
        <v>11</v>
      </c>
      <c r="E5796">
        <v>81.3</v>
      </c>
      <c r="F5796">
        <v>5</v>
      </c>
      <c r="G5796">
        <v>406.5</v>
      </c>
      <c r="H5796" t="s">
        <v>18</v>
      </c>
      <c r="I5796" t="str">
        <f t="shared" si="271"/>
        <v>Low Value</v>
      </c>
      <c r="J5796" t="str">
        <f t="shared" si="272"/>
        <v>High Risk</v>
      </c>
      <c r="K5796" s="3" t="str">
        <f t="shared" si="270"/>
        <v>0-1 Year</v>
      </c>
    </row>
    <row r="5797" spans="1:11" x14ac:dyDescent="0.3">
      <c r="A5797" t="s">
        <v>5814</v>
      </c>
      <c r="B5797" t="s">
        <v>9</v>
      </c>
      <c r="C5797" t="s">
        <v>30</v>
      </c>
      <c r="D5797" t="s">
        <v>24</v>
      </c>
      <c r="E5797">
        <v>23.9</v>
      </c>
      <c r="F5797">
        <v>71</v>
      </c>
      <c r="G5797">
        <v>1696.8999999999901</v>
      </c>
      <c r="H5797" t="s">
        <v>12</v>
      </c>
      <c r="I5797" t="str">
        <f t="shared" si="271"/>
        <v>Low Value</v>
      </c>
      <c r="J5797" t="str">
        <f t="shared" si="272"/>
        <v>Low Risk</v>
      </c>
      <c r="K5797" s="3" t="str">
        <f t="shared" si="270"/>
        <v>4+ Years</v>
      </c>
    </row>
    <row r="5798" spans="1:11" x14ac:dyDescent="0.3">
      <c r="A5798" t="s">
        <v>5815</v>
      </c>
      <c r="B5798" t="s">
        <v>14</v>
      </c>
      <c r="C5798" t="s">
        <v>10</v>
      </c>
      <c r="D5798" t="s">
        <v>20</v>
      </c>
      <c r="E5798">
        <v>66.400000000000006</v>
      </c>
      <c r="F5798">
        <v>19</v>
      </c>
      <c r="G5798">
        <v>1261.5999999999999</v>
      </c>
      <c r="H5798" t="s">
        <v>12</v>
      </c>
      <c r="I5798" t="str">
        <f t="shared" si="271"/>
        <v>Low Value</v>
      </c>
      <c r="J5798" t="str">
        <f t="shared" si="272"/>
        <v>Medium Risk</v>
      </c>
      <c r="K5798" s="3" t="str">
        <f t="shared" si="270"/>
        <v>1-2 Years</v>
      </c>
    </row>
    <row r="5799" spans="1:11" x14ac:dyDescent="0.3">
      <c r="A5799" t="s">
        <v>5816</v>
      </c>
      <c r="B5799" t="s">
        <v>9</v>
      </c>
      <c r="C5799" t="s">
        <v>10</v>
      </c>
      <c r="D5799" t="s">
        <v>11</v>
      </c>
      <c r="E5799">
        <v>19.600000000000001</v>
      </c>
      <c r="F5799">
        <v>2</v>
      </c>
      <c r="G5799">
        <v>39.200000000000003</v>
      </c>
      <c r="H5799" t="s">
        <v>18</v>
      </c>
      <c r="I5799" t="str">
        <f t="shared" si="271"/>
        <v>Low Value</v>
      </c>
      <c r="J5799" t="str">
        <f t="shared" si="272"/>
        <v>High Risk</v>
      </c>
      <c r="K5799" s="3" t="str">
        <f t="shared" si="270"/>
        <v>0-1 Year</v>
      </c>
    </row>
    <row r="5800" spans="1:11" x14ac:dyDescent="0.3">
      <c r="A5800" t="s">
        <v>5817</v>
      </c>
      <c r="B5800" t="s">
        <v>14</v>
      </c>
      <c r="C5800" t="s">
        <v>30</v>
      </c>
      <c r="D5800" t="s">
        <v>24</v>
      </c>
      <c r="E5800">
        <v>18.8</v>
      </c>
      <c r="F5800">
        <v>57</v>
      </c>
      <c r="G5800">
        <v>1071.5999999999999</v>
      </c>
      <c r="H5800" t="s">
        <v>12</v>
      </c>
      <c r="I5800" t="str">
        <f t="shared" si="271"/>
        <v>Low Value</v>
      </c>
      <c r="J5800" t="str">
        <f t="shared" si="272"/>
        <v>Low Risk</v>
      </c>
      <c r="K5800" s="3" t="str">
        <f t="shared" si="270"/>
        <v>4+ Years</v>
      </c>
    </row>
    <row r="5801" spans="1:11" x14ac:dyDescent="0.3">
      <c r="A5801" t="s">
        <v>5818</v>
      </c>
      <c r="B5801" t="s">
        <v>14</v>
      </c>
      <c r="C5801" t="s">
        <v>30</v>
      </c>
      <c r="D5801" t="s">
        <v>11</v>
      </c>
      <c r="E5801">
        <v>108.4</v>
      </c>
      <c r="F5801">
        <v>72</v>
      </c>
      <c r="G5801">
        <v>7804.8</v>
      </c>
      <c r="H5801" t="s">
        <v>12</v>
      </c>
      <c r="I5801" t="str">
        <f t="shared" si="271"/>
        <v>High Value</v>
      </c>
      <c r="J5801" t="str">
        <f t="shared" si="272"/>
        <v>Low Risk</v>
      </c>
      <c r="K5801" s="3" t="str">
        <f t="shared" si="270"/>
        <v>4+ Years</v>
      </c>
    </row>
    <row r="5802" spans="1:11" x14ac:dyDescent="0.3">
      <c r="A5802" t="s">
        <v>5819</v>
      </c>
      <c r="B5802" t="s">
        <v>9</v>
      </c>
      <c r="C5802" t="s">
        <v>10</v>
      </c>
      <c r="D5802" t="s">
        <v>16</v>
      </c>
      <c r="E5802">
        <v>85.95</v>
      </c>
      <c r="F5802">
        <v>6</v>
      </c>
      <c r="G5802">
        <v>515.70000000000005</v>
      </c>
      <c r="H5802" t="s">
        <v>12</v>
      </c>
      <c r="I5802" t="str">
        <f t="shared" si="271"/>
        <v>Low Value</v>
      </c>
      <c r="J5802" t="str">
        <f t="shared" si="272"/>
        <v>High Risk</v>
      </c>
      <c r="K5802" s="3" t="str">
        <f t="shared" si="270"/>
        <v>0-1 Year</v>
      </c>
    </row>
    <row r="5803" spans="1:11" x14ac:dyDescent="0.3">
      <c r="A5803" t="s">
        <v>5820</v>
      </c>
      <c r="B5803" t="s">
        <v>9</v>
      </c>
      <c r="C5803" t="s">
        <v>10</v>
      </c>
      <c r="D5803" t="s">
        <v>11</v>
      </c>
      <c r="E5803">
        <v>85.45</v>
      </c>
      <c r="F5803">
        <v>17</v>
      </c>
      <c r="G5803">
        <v>1452.65</v>
      </c>
      <c r="H5803" t="s">
        <v>18</v>
      </c>
      <c r="I5803" t="str">
        <f t="shared" si="271"/>
        <v>Low Value</v>
      </c>
      <c r="J5803" t="str">
        <f t="shared" si="272"/>
        <v>Medium Risk</v>
      </c>
      <c r="K5803" s="3" t="str">
        <f t="shared" si="270"/>
        <v>1-2 Years</v>
      </c>
    </row>
    <row r="5804" spans="1:11" x14ac:dyDescent="0.3">
      <c r="A5804" t="s">
        <v>5821</v>
      </c>
      <c r="B5804" t="s">
        <v>14</v>
      </c>
      <c r="C5804" t="s">
        <v>30</v>
      </c>
      <c r="D5804" t="s">
        <v>20</v>
      </c>
      <c r="E5804">
        <v>80.900000000000006</v>
      </c>
      <c r="F5804">
        <v>61</v>
      </c>
      <c r="G5804">
        <v>4934.8999999999996</v>
      </c>
      <c r="H5804" t="s">
        <v>12</v>
      </c>
      <c r="I5804" t="str">
        <f t="shared" si="271"/>
        <v>Medium Value</v>
      </c>
      <c r="J5804" t="str">
        <f t="shared" si="272"/>
        <v>Low Risk</v>
      </c>
      <c r="K5804" s="3" t="str">
        <f t="shared" si="270"/>
        <v>4+ Years</v>
      </c>
    </row>
    <row r="5805" spans="1:11" x14ac:dyDescent="0.3">
      <c r="A5805" t="s">
        <v>5822</v>
      </c>
      <c r="B5805" t="s">
        <v>14</v>
      </c>
      <c r="C5805" t="s">
        <v>10</v>
      </c>
      <c r="D5805" t="s">
        <v>11</v>
      </c>
      <c r="E5805">
        <v>71</v>
      </c>
      <c r="F5805">
        <v>1</v>
      </c>
      <c r="G5805">
        <v>71</v>
      </c>
      <c r="H5805" t="s">
        <v>18</v>
      </c>
      <c r="I5805" t="str">
        <f t="shared" si="271"/>
        <v>Low Value</v>
      </c>
      <c r="J5805" t="str">
        <f t="shared" si="272"/>
        <v>High Risk</v>
      </c>
      <c r="K5805" s="3" t="str">
        <f t="shared" si="270"/>
        <v>0-1 Year</v>
      </c>
    </row>
    <row r="5806" spans="1:11" x14ac:dyDescent="0.3">
      <c r="A5806" t="s">
        <v>5823</v>
      </c>
      <c r="B5806" t="s">
        <v>14</v>
      </c>
      <c r="C5806" t="s">
        <v>30</v>
      </c>
      <c r="D5806" t="s">
        <v>24</v>
      </c>
      <c r="E5806">
        <v>111.8</v>
      </c>
      <c r="F5806">
        <v>48</v>
      </c>
      <c r="G5806">
        <v>5366.4</v>
      </c>
      <c r="H5806" t="s">
        <v>12</v>
      </c>
      <c r="I5806" t="str">
        <f t="shared" si="271"/>
        <v>High Value</v>
      </c>
      <c r="J5806" t="str">
        <f t="shared" si="272"/>
        <v>Low Risk</v>
      </c>
      <c r="K5806" s="3" t="str">
        <f t="shared" si="270"/>
        <v>2-4 Years</v>
      </c>
    </row>
    <row r="5807" spans="1:11" x14ac:dyDescent="0.3">
      <c r="A5807" t="s">
        <v>5824</v>
      </c>
      <c r="B5807" t="s">
        <v>14</v>
      </c>
      <c r="C5807" t="s">
        <v>10</v>
      </c>
      <c r="D5807" t="s">
        <v>24</v>
      </c>
      <c r="E5807">
        <v>20.6</v>
      </c>
      <c r="F5807">
        <v>16</v>
      </c>
      <c r="G5807">
        <v>329.6</v>
      </c>
      <c r="H5807" t="s">
        <v>12</v>
      </c>
      <c r="I5807" t="str">
        <f t="shared" si="271"/>
        <v>Low Value</v>
      </c>
      <c r="J5807" t="str">
        <f t="shared" si="272"/>
        <v>Medium Risk</v>
      </c>
      <c r="K5807" s="3" t="str">
        <f t="shared" si="270"/>
        <v>1-2 Years</v>
      </c>
    </row>
    <row r="5808" spans="1:11" x14ac:dyDescent="0.3">
      <c r="A5808" t="s">
        <v>5825</v>
      </c>
      <c r="B5808" t="s">
        <v>14</v>
      </c>
      <c r="C5808" t="s">
        <v>10</v>
      </c>
      <c r="D5808" t="s">
        <v>11</v>
      </c>
      <c r="E5808">
        <v>85.05</v>
      </c>
      <c r="F5808">
        <v>9</v>
      </c>
      <c r="G5808">
        <v>765.44999999999902</v>
      </c>
      <c r="H5808" t="s">
        <v>18</v>
      </c>
      <c r="I5808" t="str">
        <f t="shared" si="271"/>
        <v>Low Value</v>
      </c>
      <c r="J5808" t="str">
        <f t="shared" si="272"/>
        <v>High Risk</v>
      </c>
      <c r="K5808" s="3" t="str">
        <f t="shared" si="270"/>
        <v>0-1 Year</v>
      </c>
    </row>
    <row r="5809" spans="1:11" x14ac:dyDescent="0.3">
      <c r="A5809" t="s">
        <v>5826</v>
      </c>
      <c r="B5809" t="s">
        <v>9</v>
      </c>
      <c r="C5809" t="s">
        <v>10</v>
      </c>
      <c r="D5809" t="s">
        <v>11</v>
      </c>
      <c r="E5809">
        <v>44.6</v>
      </c>
      <c r="F5809">
        <v>3</v>
      </c>
      <c r="G5809">
        <v>133.80000000000001</v>
      </c>
      <c r="H5809" t="s">
        <v>12</v>
      </c>
      <c r="I5809" t="str">
        <f t="shared" si="271"/>
        <v>Low Value</v>
      </c>
      <c r="J5809" t="str">
        <f t="shared" si="272"/>
        <v>High Risk</v>
      </c>
      <c r="K5809" s="3" t="str">
        <f t="shared" si="270"/>
        <v>0-1 Year</v>
      </c>
    </row>
    <row r="5810" spans="1:11" x14ac:dyDescent="0.3">
      <c r="A5810" t="s">
        <v>5827</v>
      </c>
      <c r="B5810" t="s">
        <v>14</v>
      </c>
      <c r="C5810" t="s">
        <v>10</v>
      </c>
      <c r="D5810" t="s">
        <v>11</v>
      </c>
      <c r="E5810">
        <v>44.4</v>
      </c>
      <c r="F5810">
        <v>1</v>
      </c>
      <c r="G5810">
        <v>44.4</v>
      </c>
      <c r="H5810" t="s">
        <v>18</v>
      </c>
      <c r="I5810" t="str">
        <f t="shared" si="271"/>
        <v>Low Value</v>
      </c>
      <c r="J5810" t="str">
        <f t="shared" si="272"/>
        <v>High Risk</v>
      </c>
      <c r="K5810" s="3" t="str">
        <f t="shared" si="270"/>
        <v>0-1 Year</v>
      </c>
    </row>
    <row r="5811" spans="1:11" x14ac:dyDescent="0.3">
      <c r="A5811" t="s">
        <v>5828</v>
      </c>
      <c r="B5811" t="s">
        <v>14</v>
      </c>
      <c r="C5811" t="s">
        <v>30</v>
      </c>
      <c r="D5811" t="s">
        <v>24</v>
      </c>
      <c r="E5811">
        <v>105.1</v>
      </c>
      <c r="F5811">
        <v>65</v>
      </c>
      <c r="G5811">
        <v>6831.5</v>
      </c>
      <c r="H5811" t="s">
        <v>12</v>
      </c>
      <c r="I5811" t="str">
        <f t="shared" si="271"/>
        <v>High Value</v>
      </c>
      <c r="J5811" t="str">
        <f t="shared" si="272"/>
        <v>Low Risk</v>
      </c>
      <c r="K5811" s="3" t="str">
        <f t="shared" si="270"/>
        <v>4+ Years</v>
      </c>
    </row>
    <row r="5812" spans="1:11" x14ac:dyDescent="0.3">
      <c r="A5812" t="s">
        <v>5829</v>
      </c>
      <c r="B5812" t="s">
        <v>9</v>
      </c>
      <c r="C5812" t="s">
        <v>30</v>
      </c>
      <c r="D5812" t="s">
        <v>24</v>
      </c>
      <c r="E5812">
        <v>115.15</v>
      </c>
      <c r="F5812">
        <v>70</v>
      </c>
      <c r="G5812">
        <v>8060.5</v>
      </c>
      <c r="H5812" t="s">
        <v>12</v>
      </c>
      <c r="I5812" t="str">
        <f t="shared" si="271"/>
        <v>High Value</v>
      </c>
      <c r="J5812" t="str">
        <f t="shared" si="272"/>
        <v>Low Risk</v>
      </c>
      <c r="K5812" s="3" t="str">
        <f t="shared" si="270"/>
        <v>4+ Years</v>
      </c>
    </row>
    <row r="5813" spans="1:11" x14ac:dyDescent="0.3">
      <c r="A5813" t="s">
        <v>5830</v>
      </c>
      <c r="B5813" t="s">
        <v>14</v>
      </c>
      <c r="C5813" t="s">
        <v>15</v>
      </c>
      <c r="D5813" t="s">
        <v>16</v>
      </c>
      <c r="E5813">
        <v>59.8</v>
      </c>
      <c r="F5813">
        <v>60</v>
      </c>
      <c r="G5813">
        <v>3588</v>
      </c>
      <c r="H5813" t="s">
        <v>12</v>
      </c>
      <c r="I5813" t="str">
        <f t="shared" si="271"/>
        <v>Medium Value</v>
      </c>
      <c r="J5813" t="str">
        <f t="shared" si="272"/>
        <v>Low Risk</v>
      </c>
      <c r="K5813" s="3" t="str">
        <f t="shared" si="270"/>
        <v>4+ Years</v>
      </c>
    </row>
    <row r="5814" spans="1:11" x14ac:dyDescent="0.3">
      <c r="A5814" t="s">
        <v>5831</v>
      </c>
      <c r="B5814" t="s">
        <v>9</v>
      </c>
      <c r="C5814" t="s">
        <v>15</v>
      </c>
      <c r="D5814" t="s">
        <v>11</v>
      </c>
      <c r="E5814">
        <v>26.3</v>
      </c>
      <c r="F5814">
        <v>69</v>
      </c>
      <c r="G5814">
        <v>1814.7</v>
      </c>
      <c r="H5814" t="s">
        <v>12</v>
      </c>
      <c r="I5814" t="str">
        <f t="shared" si="271"/>
        <v>Low Value</v>
      </c>
      <c r="J5814" t="str">
        <f t="shared" si="272"/>
        <v>Low Risk</v>
      </c>
      <c r="K5814" s="3" t="str">
        <f t="shared" si="270"/>
        <v>4+ Years</v>
      </c>
    </row>
    <row r="5815" spans="1:11" x14ac:dyDescent="0.3">
      <c r="A5815" t="s">
        <v>5832</v>
      </c>
      <c r="B5815" t="s">
        <v>9</v>
      </c>
      <c r="C5815" t="s">
        <v>10</v>
      </c>
      <c r="D5815" t="s">
        <v>11</v>
      </c>
      <c r="E5815">
        <v>70.55</v>
      </c>
      <c r="F5815">
        <v>35</v>
      </c>
      <c r="G5815">
        <v>2469.25</v>
      </c>
      <c r="H5815" t="s">
        <v>12</v>
      </c>
      <c r="I5815" t="str">
        <f t="shared" si="271"/>
        <v>Medium Value</v>
      </c>
      <c r="J5815" t="str">
        <f t="shared" si="272"/>
        <v>Low Risk</v>
      </c>
      <c r="K5815" s="3" t="str">
        <f t="shared" si="270"/>
        <v>2-4 Years</v>
      </c>
    </row>
    <row r="5816" spans="1:11" x14ac:dyDescent="0.3">
      <c r="A5816" t="s">
        <v>5833</v>
      </c>
      <c r="B5816" t="s">
        <v>9</v>
      </c>
      <c r="C5816" t="s">
        <v>10</v>
      </c>
      <c r="D5816" t="s">
        <v>16</v>
      </c>
      <c r="E5816">
        <v>20.05</v>
      </c>
      <c r="F5816">
        <v>22</v>
      </c>
      <c r="G5816">
        <v>441.1</v>
      </c>
      <c r="H5816" t="s">
        <v>12</v>
      </c>
      <c r="I5816" t="str">
        <f t="shared" si="271"/>
        <v>Low Value</v>
      </c>
      <c r="J5816" t="str">
        <f t="shared" si="272"/>
        <v>Medium Risk</v>
      </c>
      <c r="K5816" s="3" t="str">
        <f t="shared" si="270"/>
        <v>1-2 Years</v>
      </c>
    </row>
    <row r="5817" spans="1:11" x14ac:dyDescent="0.3">
      <c r="A5817" t="s">
        <v>5834</v>
      </c>
      <c r="B5817" t="s">
        <v>14</v>
      </c>
      <c r="C5817" t="s">
        <v>30</v>
      </c>
      <c r="D5817" t="s">
        <v>20</v>
      </c>
      <c r="E5817">
        <v>79.849999999999994</v>
      </c>
      <c r="F5817">
        <v>66</v>
      </c>
      <c r="G5817">
        <v>5270.0999999999904</v>
      </c>
      <c r="H5817" t="s">
        <v>12</v>
      </c>
      <c r="I5817" t="str">
        <f t="shared" si="271"/>
        <v>High Value</v>
      </c>
      <c r="J5817" t="str">
        <f t="shared" si="272"/>
        <v>Low Risk</v>
      </c>
      <c r="K5817" s="3" t="str">
        <f t="shared" si="270"/>
        <v>4+ Years</v>
      </c>
    </row>
    <row r="5818" spans="1:11" x14ac:dyDescent="0.3">
      <c r="A5818" t="s">
        <v>5835</v>
      </c>
      <c r="B5818" t="s">
        <v>14</v>
      </c>
      <c r="C5818" t="s">
        <v>10</v>
      </c>
      <c r="D5818" t="s">
        <v>11</v>
      </c>
      <c r="E5818">
        <v>70.3</v>
      </c>
      <c r="F5818">
        <v>1</v>
      </c>
      <c r="G5818">
        <v>70.3</v>
      </c>
      <c r="H5818" t="s">
        <v>18</v>
      </c>
      <c r="I5818" t="str">
        <f t="shared" si="271"/>
        <v>Low Value</v>
      </c>
      <c r="J5818" t="str">
        <f t="shared" si="272"/>
        <v>High Risk</v>
      </c>
      <c r="K5818" s="3" t="str">
        <f t="shared" si="270"/>
        <v>0-1 Year</v>
      </c>
    </row>
    <row r="5819" spans="1:11" x14ac:dyDescent="0.3">
      <c r="A5819" t="s">
        <v>5836</v>
      </c>
      <c r="B5819" t="s">
        <v>9</v>
      </c>
      <c r="C5819" t="s">
        <v>10</v>
      </c>
      <c r="D5819" t="s">
        <v>20</v>
      </c>
      <c r="E5819">
        <v>79.349999999999994</v>
      </c>
      <c r="F5819">
        <v>1</v>
      </c>
      <c r="G5819">
        <v>79.349999999999994</v>
      </c>
      <c r="H5819" t="s">
        <v>18</v>
      </c>
      <c r="I5819" t="str">
        <f t="shared" si="271"/>
        <v>Low Value</v>
      </c>
      <c r="J5819" t="str">
        <f t="shared" si="272"/>
        <v>High Risk</v>
      </c>
      <c r="K5819" s="3" t="str">
        <f t="shared" si="270"/>
        <v>0-1 Year</v>
      </c>
    </row>
    <row r="5820" spans="1:11" x14ac:dyDescent="0.3">
      <c r="A5820" t="s">
        <v>5837</v>
      </c>
      <c r="B5820" t="s">
        <v>14</v>
      </c>
      <c r="C5820" t="s">
        <v>10</v>
      </c>
      <c r="D5820" t="s">
        <v>24</v>
      </c>
      <c r="E5820">
        <v>90.05</v>
      </c>
      <c r="F5820">
        <v>34</v>
      </c>
      <c r="G5820">
        <v>3061.7</v>
      </c>
      <c r="H5820" t="s">
        <v>12</v>
      </c>
      <c r="I5820" t="str">
        <f t="shared" si="271"/>
        <v>Medium Value</v>
      </c>
      <c r="J5820" t="str">
        <f t="shared" si="272"/>
        <v>Low Risk</v>
      </c>
      <c r="K5820" s="3" t="str">
        <f t="shared" si="270"/>
        <v>2-4 Years</v>
      </c>
    </row>
    <row r="5821" spans="1:11" x14ac:dyDescent="0.3">
      <c r="A5821" t="s">
        <v>5838</v>
      </c>
      <c r="B5821" t="s">
        <v>9</v>
      </c>
      <c r="C5821" t="s">
        <v>30</v>
      </c>
      <c r="D5821" t="s">
        <v>20</v>
      </c>
      <c r="E5821">
        <v>24.45</v>
      </c>
      <c r="F5821">
        <v>72</v>
      </c>
      <c r="G5821">
        <v>1760.3999999999901</v>
      </c>
      <c r="H5821" t="s">
        <v>12</v>
      </c>
      <c r="I5821" t="str">
        <f t="shared" si="271"/>
        <v>Low Value</v>
      </c>
      <c r="J5821" t="str">
        <f t="shared" si="272"/>
        <v>Low Risk</v>
      </c>
      <c r="K5821" s="3" t="str">
        <f t="shared" si="270"/>
        <v>4+ Years</v>
      </c>
    </row>
    <row r="5822" spans="1:11" x14ac:dyDescent="0.3">
      <c r="A5822" t="s">
        <v>5839</v>
      </c>
      <c r="B5822" t="s">
        <v>14</v>
      </c>
      <c r="C5822" t="s">
        <v>15</v>
      </c>
      <c r="D5822" t="s">
        <v>11</v>
      </c>
      <c r="E5822">
        <v>59.95</v>
      </c>
      <c r="F5822">
        <v>31</v>
      </c>
      <c r="G5822">
        <v>1858.45</v>
      </c>
      <c r="H5822" t="s">
        <v>12</v>
      </c>
      <c r="I5822" t="str">
        <f t="shared" si="271"/>
        <v>Low Value</v>
      </c>
      <c r="J5822" t="str">
        <f t="shared" si="272"/>
        <v>Low Risk</v>
      </c>
      <c r="K5822" s="3" t="str">
        <f t="shared" si="270"/>
        <v>2-4 Years</v>
      </c>
    </row>
    <row r="5823" spans="1:11" x14ac:dyDescent="0.3">
      <c r="A5823" t="s">
        <v>5840</v>
      </c>
      <c r="B5823" t="s">
        <v>14</v>
      </c>
      <c r="C5823" t="s">
        <v>15</v>
      </c>
      <c r="D5823" t="s">
        <v>20</v>
      </c>
      <c r="E5823">
        <v>25.35</v>
      </c>
      <c r="F5823">
        <v>30</v>
      </c>
      <c r="G5823">
        <v>760.5</v>
      </c>
      <c r="H5823" t="s">
        <v>12</v>
      </c>
      <c r="I5823" t="str">
        <f t="shared" si="271"/>
        <v>Low Value</v>
      </c>
      <c r="J5823" t="str">
        <f t="shared" si="272"/>
        <v>Low Risk</v>
      </c>
      <c r="K5823" s="3" t="str">
        <f t="shared" si="270"/>
        <v>2-4 Years</v>
      </c>
    </row>
    <row r="5824" spans="1:11" x14ac:dyDescent="0.3">
      <c r="A5824" t="s">
        <v>5841</v>
      </c>
      <c r="B5824" t="s">
        <v>9</v>
      </c>
      <c r="C5824" t="s">
        <v>10</v>
      </c>
      <c r="D5824" t="s">
        <v>20</v>
      </c>
      <c r="E5824">
        <v>90.8</v>
      </c>
      <c r="F5824">
        <v>9</v>
      </c>
      <c r="G5824">
        <v>817.19999999999902</v>
      </c>
      <c r="H5824" t="s">
        <v>18</v>
      </c>
      <c r="I5824" t="str">
        <f t="shared" si="271"/>
        <v>Low Value</v>
      </c>
      <c r="J5824" t="str">
        <f t="shared" si="272"/>
        <v>High Risk</v>
      </c>
      <c r="K5824" s="3" t="str">
        <f t="shared" si="270"/>
        <v>0-1 Year</v>
      </c>
    </row>
    <row r="5825" spans="1:11" x14ac:dyDescent="0.3">
      <c r="A5825" t="s">
        <v>5842</v>
      </c>
      <c r="B5825" t="s">
        <v>14</v>
      </c>
      <c r="C5825" t="s">
        <v>10</v>
      </c>
      <c r="D5825" t="s">
        <v>11</v>
      </c>
      <c r="E5825">
        <v>70.45</v>
      </c>
      <c r="F5825">
        <v>20</v>
      </c>
      <c r="G5825">
        <v>1409</v>
      </c>
      <c r="H5825" t="s">
        <v>18</v>
      </c>
      <c r="I5825" t="str">
        <f t="shared" si="271"/>
        <v>Low Value</v>
      </c>
      <c r="J5825" t="str">
        <f t="shared" si="272"/>
        <v>Medium Risk</v>
      </c>
      <c r="K5825" s="3" t="str">
        <f t="shared" si="270"/>
        <v>1-2 Years</v>
      </c>
    </row>
    <row r="5826" spans="1:11" x14ac:dyDescent="0.3">
      <c r="A5826" t="s">
        <v>5843</v>
      </c>
      <c r="B5826" t="s">
        <v>14</v>
      </c>
      <c r="C5826" t="s">
        <v>10</v>
      </c>
      <c r="D5826" t="s">
        <v>24</v>
      </c>
      <c r="E5826">
        <v>34.299999999999997</v>
      </c>
      <c r="F5826">
        <v>19</v>
      </c>
      <c r="G5826">
        <v>651.69999999999902</v>
      </c>
      <c r="H5826" t="s">
        <v>12</v>
      </c>
      <c r="I5826" t="str">
        <f t="shared" si="271"/>
        <v>Low Value</v>
      </c>
      <c r="J5826" t="str">
        <f t="shared" si="272"/>
        <v>Medium Risk</v>
      </c>
      <c r="K5826" s="3" t="str">
        <f t="shared" si="270"/>
        <v>1-2 Years</v>
      </c>
    </row>
    <row r="5827" spans="1:11" x14ac:dyDescent="0.3">
      <c r="A5827" t="s">
        <v>5844</v>
      </c>
      <c r="B5827" t="s">
        <v>9</v>
      </c>
      <c r="C5827" t="s">
        <v>10</v>
      </c>
      <c r="D5827" t="s">
        <v>11</v>
      </c>
      <c r="E5827">
        <v>105.05</v>
      </c>
      <c r="F5827">
        <v>65</v>
      </c>
      <c r="G5827">
        <v>6828.25</v>
      </c>
      <c r="H5827" t="s">
        <v>12</v>
      </c>
      <c r="I5827" t="str">
        <f t="shared" si="271"/>
        <v>High Value</v>
      </c>
      <c r="J5827" t="str">
        <f t="shared" si="272"/>
        <v>Low Risk</v>
      </c>
      <c r="K5827" s="3" t="str">
        <f t="shared" ref="K5827:K5890" si="273">IF(F5827&lt;=12,"0-1 Year",
IF(F5827&lt;=24,"1-2 Years",
IF(F5827&lt;=48,"2-4 Years","4+ Years")))</f>
        <v>4+ Years</v>
      </c>
    </row>
    <row r="5828" spans="1:11" x14ac:dyDescent="0.3">
      <c r="A5828" t="s">
        <v>5845</v>
      </c>
      <c r="B5828" t="s">
        <v>9</v>
      </c>
      <c r="C5828" t="s">
        <v>30</v>
      </c>
      <c r="D5828" t="s">
        <v>16</v>
      </c>
      <c r="E5828">
        <v>19.3</v>
      </c>
      <c r="F5828">
        <v>30</v>
      </c>
      <c r="G5828">
        <v>579</v>
      </c>
      <c r="H5828" t="s">
        <v>12</v>
      </c>
      <c r="I5828" t="str">
        <f t="shared" ref="I5828:I5891" si="274">IF(G5828&gt;5000,"High Value",
IF(G5828&gt;2000,"Medium Value","Low Value"))</f>
        <v>Low Value</v>
      </c>
      <c r="J5828" t="str">
        <f t="shared" ref="J5828:J5891" si="275">IF(F5828&lt;12,"High Risk",
IF(F5828&lt;24,"Medium Risk","Low Risk"))</f>
        <v>Low Risk</v>
      </c>
      <c r="K5828" s="3" t="str">
        <f t="shared" si="273"/>
        <v>2-4 Years</v>
      </c>
    </row>
    <row r="5829" spans="1:11" x14ac:dyDescent="0.3">
      <c r="A5829" t="s">
        <v>5846</v>
      </c>
      <c r="B5829" t="s">
        <v>14</v>
      </c>
      <c r="C5829" t="s">
        <v>15</v>
      </c>
      <c r="D5829" t="s">
        <v>16</v>
      </c>
      <c r="E5829">
        <v>19.149999999999999</v>
      </c>
      <c r="F5829">
        <v>6</v>
      </c>
      <c r="G5829">
        <v>114.899999999999</v>
      </c>
      <c r="H5829" t="s">
        <v>12</v>
      </c>
      <c r="I5829" t="str">
        <f t="shared" si="274"/>
        <v>Low Value</v>
      </c>
      <c r="J5829" t="str">
        <f t="shared" si="275"/>
        <v>High Risk</v>
      </c>
      <c r="K5829" s="3" t="str">
        <f t="shared" si="273"/>
        <v>0-1 Year</v>
      </c>
    </row>
    <row r="5830" spans="1:11" x14ac:dyDescent="0.3">
      <c r="A5830" t="s">
        <v>5847</v>
      </c>
      <c r="B5830" t="s">
        <v>9</v>
      </c>
      <c r="C5830" t="s">
        <v>10</v>
      </c>
      <c r="D5830" t="s">
        <v>11</v>
      </c>
      <c r="E5830">
        <v>51.4</v>
      </c>
      <c r="F5830">
        <v>2</v>
      </c>
      <c r="G5830">
        <v>102.8</v>
      </c>
      <c r="H5830" t="s">
        <v>12</v>
      </c>
      <c r="I5830" t="str">
        <f t="shared" si="274"/>
        <v>Low Value</v>
      </c>
      <c r="J5830" t="str">
        <f t="shared" si="275"/>
        <v>High Risk</v>
      </c>
      <c r="K5830" s="3" t="str">
        <f t="shared" si="273"/>
        <v>0-1 Year</v>
      </c>
    </row>
    <row r="5831" spans="1:11" x14ac:dyDescent="0.3">
      <c r="A5831" t="s">
        <v>5848</v>
      </c>
      <c r="B5831" t="s">
        <v>14</v>
      </c>
      <c r="C5831" t="s">
        <v>10</v>
      </c>
      <c r="D5831" t="s">
        <v>11</v>
      </c>
      <c r="E5831">
        <v>71.849999999999994</v>
      </c>
      <c r="F5831">
        <v>53</v>
      </c>
      <c r="G5831">
        <v>3808.0499999999902</v>
      </c>
      <c r="H5831" t="s">
        <v>12</v>
      </c>
      <c r="I5831" t="str">
        <f t="shared" si="274"/>
        <v>Medium Value</v>
      </c>
      <c r="J5831" t="str">
        <f t="shared" si="275"/>
        <v>Low Risk</v>
      </c>
      <c r="K5831" s="3" t="str">
        <f t="shared" si="273"/>
        <v>4+ Years</v>
      </c>
    </row>
    <row r="5832" spans="1:11" x14ac:dyDescent="0.3">
      <c r="A5832" t="s">
        <v>5849</v>
      </c>
      <c r="B5832" t="s">
        <v>14</v>
      </c>
      <c r="C5832" t="s">
        <v>10</v>
      </c>
      <c r="D5832" t="s">
        <v>11</v>
      </c>
      <c r="E5832">
        <v>75.400000000000006</v>
      </c>
      <c r="F5832">
        <v>7</v>
      </c>
      <c r="G5832">
        <v>527.79999999999995</v>
      </c>
      <c r="H5832" t="s">
        <v>12</v>
      </c>
      <c r="I5832" t="str">
        <f t="shared" si="274"/>
        <v>Low Value</v>
      </c>
      <c r="J5832" t="str">
        <f t="shared" si="275"/>
        <v>High Risk</v>
      </c>
      <c r="K5832" s="3" t="str">
        <f t="shared" si="273"/>
        <v>0-1 Year</v>
      </c>
    </row>
    <row r="5833" spans="1:11" x14ac:dyDescent="0.3">
      <c r="A5833" t="s">
        <v>5850</v>
      </c>
      <c r="B5833" t="s">
        <v>9</v>
      </c>
      <c r="C5833" t="s">
        <v>15</v>
      </c>
      <c r="D5833" t="s">
        <v>20</v>
      </c>
      <c r="E5833">
        <v>49.7</v>
      </c>
      <c r="F5833">
        <v>61</v>
      </c>
      <c r="G5833">
        <v>3031.7</v>
      </c>
      <c r="H5833" t="s">
        <v>12</v>
      </c>
      <c r="I5833" t="str">
        <f t="shared" si="274"/>
        <v>Medium Value</v>
      </c>
      <c r="J5833" t="str">
        <f t="shared" si="275"/>
        <v>Low Risk</v>
      </c>
      <c r="K5833" s="3" t="str">
        <f t="shared" si="273"/>
        <v>4+ Years</v>
      </c>
    </row>
    <row r="5834" spans="1:11" x14ac:dyDescent="0.3">
      <c r="A5834" t="s">
        <v>5851</v>
      </c>
      <c r="B5834" t="s">
        <v>14</v>
      </c>
      <c r="C5834" t="s">
        <v>15</v>
      </c>
      <c r="D5834" t="s">
        <v>11</v>
      </c>
      <c r="E5834">
        <v>45.25</v>
      </c>
      <c r="F5834">
        <v>70</v>
      </c>
      <c r="G5834">
        <v>3167.5</v>
      </c>
      <c r="H5834" t="s">
        <v>18</v>
      </c>
      <c r="I5834" t="str">
        <f t="shared" si="274"/>
        <v>Medium Value</v>
      </c>
      <c r="J5834" t="str">
        <f t="shared" si="275"/>
        <v>Low Risk</v>
      </c>
      <c r="K5834" s="3" t="str">
        <f t="shared" si="273"/>
        <v>4+ Years</v>
      </c>
    </row>
    <row r="5835" spans="1:11" x14ac:dyDescent="0.3">
      <c r="A5835" t="s">
        <v>5852</v>
      </c>
      <c r="B5835" t="s">
        <v>9</v>
      </c>
      <c r="C5835" t="s">
        <v>10</v>
      </c>
      <c r="D5835" t="s">
        <v>11</v>
      </c>
      <c r="E5835">
        <v>78.75</v>
      </c>
      <c r="F5835">
        <v>13</v>
      </c>
      <c r="G5835">
        <v>1023.75</v>
      </c>
      <c r="H5835" t="s">
        <v>12</v>
      </c>
      <c r="I5835" t="str">
        <f t="shared" si="274"/>
        <v>Low Value</v>
      </c>
      <c r="J5835" t="str">
        <f t="shared" si="275"/>
        <v>Medium Risk</v>
      </c>
      <c r="K5835" s="3" t="str">
        <f t="shared" si="273"/>
        <v>1-2 Years</v>
      </c>
    </row>
    <row r="5836" spans="1:11" x14ac:dyDescent="0.3">
      <c r="A5836" t="s">
        <v>5853</v>
      </c>
      <c r="B5836" t="s">
        <v>14</v>
      </c>
      <c r="C5836" t="s">
        <v>15</v>
      </c>
      <c r="D5836" t="s">
        <v>20</v>
      </c>
      <c r="E5836">
        <v>81.599999999999994</v>
      </c>
      <c r="F5836">
        <v>35</v>
      </c>
      <c r="G5836">
        <v>2856</v>
      </c>
      <c r="H5836" t="s">
        <v>12</v>
      </c>
      <c r="I5836" t="str">
        <f t="shared" si="274"/>
        <v>Medium Value</v>
      </c>
      <c r="J5836" t="str">
        <f t="shared" si="275"/>
        <v>Low Risk</v>
      </c>
      <c r="K5836" s="3" t="str">
        <f t="shared" si="273"/>
        <v>2-4 Years</v>
      </c>
    </row>
    <row r="5837" spans="1:11" x14ac:dyDescent="0.3">
      <c r="A5837" t="s">
        <v>5854</v>
      </c>
      <c r="B5837" t="s">
        <v>9</v>
      </c>
      <c r="C5837" t="s">
        <v>10</v>
      </c>
      <c r="D5837" t="s">
        <v>24</v>
      </c>
      <c r="E5837">
        <v>70.400000000000006</v>
      </c>
      <c r="F5837">
        <v>2</v>
      </c>
      <c r="G5837">
        <v>140.80000000000001</v>
      </c>
      <c r="H5837" t="s">
        <v>12</v>
      </c>
      <c r="I5837" t="str">
        <f t="shared" si="274"/>
        <v>Low Value</v>
      </c>
      <c r="J5837" t="str">
        <f t="shared" si="275"/>
        <v>High Risk</v>
      </c>
      <c r="K5837" s="3" t="str">
        <f t="shared" si="273"/>
        <v>0-1 Year</v>
      </c>
    </row>
    <row r="5838" spans="1:11" x14ac:dyDescent="0.3">
      <c r="A5838" t="s">
        <v>5855</v>
      </c>
      <c r="B5838" t="s">
        <v>9</v>
      </c>
      <c r="C5838" t="s">
        <v>10</v>
      </c>
      <c r="D5838" t="s">
        <v>11</v>
      </c>
      <c r="E5838">
        <v>75.8</v>
      </c>
      <c r="F5838">
        <v>3</v>
      </c>
      <c r="G5838">
        <v>227.39999999999901</v>
      </c>
      <c r="H5838" t="s">
        <v>18</v>
      </c>
      <c r="I5838" t="str">
        <f t="shared" si="274"/>
        <v>Low Value</v>
      </c>
      <c r="J5838" t="str">
        <f t="shared" si="275"/>
        <v>High Risk</v>
      </c>
      <c r="K5838" s="3" t="str">
        <f t="shared" si="273"/>
        <v>0-1 Year</v>
      </c>
    </row>
    <row r="5839" spans="1:11" x14ac:dyDescent="0.3">
      <c r="A5839" t="s">
        <v>5856</v>
      </c>
      <c r="B5839" t="s">
        <v>9</v>
      </c>
      <c r="C5839" t="s">
        <v>10</v>
      </c>
      <c r="D5839" t="s">
        <v>11</v>
      </c>
      <c r="E5839">
        <v>76.099999999999994</v>
      </c>
      <c r="F5839">
        <v>3</v>
      </c>
      <c r="G5839">
        <v>228.29999999999899</v>
      </c>
      <c r="H5839" t="s">
        <v>12</v>
      </c>
      <c r="I5839" t="str">
        <f t="shared" si="274"/>
        <v>Low Value</v>
      </c>
      <c r="J5839" t="str">
        <f t="shared" si="275"/>
        <v>High Risk</v>
      </c>
      <c r="K5839" s="3" t="str">
        <f t="shared" si="273"/>
        <v>0-1 Year</v>
      </c>
    </row>
    <row r="5840" spans="1:11" x14ac:dyDescent="0.3">
      <c r="A5840" t="s">
        <v>5857</v>
      </c>
      <c r="B5840" t="s">
        <v>9</v>
      </c>
      <c r="C5840" t="s">
        <v>15</v>
      </c>
      <c r="D5840" t="s">
        <v>20</v>
      </c>
      <c r="E5840">
        <v>94</v>
      </c>
      <c r="F5840">
        <v>62</v>
      </c>
      <c r="G5840">
        <v>5828</v>
      </c>
      <c r="H5840" t="s">
        <v>12</v>
      </c>
      <c r="I5840" t="str">
        <f t="shared" si="274"/>
        <v>High Value</v>
      </c>
      <c r="J5840" t="str">
        <f t="shared" si="275"/>
        <v>Low Risk</v>
      </c>
      <c r="K5840" s="3" t="str">
        <f t="shared" si="273"/>
        <v>4+ Years</v>
      </c>
    </row>
    <row r="5841" spans="1:11" x14ac:dyDescent="0.3">
      <c r="A5841" t="s">
        <v>5858</v>
      </c>
      <c r="B5841" t="s">
        <v>14</v>
      </c>
      <c r="C5841" t="s">
        <v>30</v>
      </c>
      <c r="D5841" t="s">
        <v>24</v>
      </c>
      <c r="E5841">
        <v>103.95</v>
      </c>
      <c r="F5841">
        <v>72</v>
      </c>
      <c r="G5841">
        <v>7484.4</v>
      </c>
      <c r="H5841" t="s">
        <v>12</v>
      </c>
      <c r="I5841" t="str">
        <f t="shared" si="274"/>
        <v>High Value</v>
      </c>
      <c r="J5841" t="str">
        <f t="shared" si="275"/>
        <v>Low Risk</v>
      </c>
      <c r="K5841" s="3" t="str">
        <f t="shared" si="273"/>
        <v>4+ Years</v>
      </c>
    </row>
    <row r="5842" spans="1:11" x14ac:dyDescent="0.3">
      <c r="A5842" t="s">
        <v>5859</v>
      </c>
      <c r="B5842" t="s">
        <v>14</v>
      </c>
      <c r="C5842" t="s">
        <v>30</v>
      </c>
      <c r="D5842" t="s">
        <v>20</v>
      </c>
      <c r="E5842">
        <v>19.95</v>
      </c>
      <c r="F5842">
        <v>63</v>
      </c>
      <c r="G5842">
        <v>1256.8499999999999</v>
      </c>
      <c r="H5842" t="s">
        <v>12</v>
      </c>
      <c r="I5842" t="str">
        <f t="shared" si="274"/>
        <v>Low Value</v>
      </c>
      <c r="J5842" t="str">
        <f t="shared" si="275"/>
        <v>Low Risk</v>
      </c>
      <c r="K5842" s="3" t="str">
        <f t="shared" si="273"/>
        <v>4+ Years</v>
      </c>
    </row>
    <row r="5843" spans="1:11" x14ac:dyDescent="0.3">
      <c r="A5843" t="s">
        <v>5860</v>
      </c>
      <c r="B5843" t="s">
        <v>14</v>
      </c>
      <c r="C5843" t="s">
        <v>10</v>
      </c>
      <c r="D5843" t="s">
        <v>24</v>
      </c>
      <c r="E5843">
        <v>71.3</v>
      </c>
      <c r="F5843">
        <v>20</v>
      </c>
      <c r="G5843">
        <v>1426</v>
      </c>
      <c r="H5843" t="s">
        <v>18</v>
      </c>
      <c r="I5843" t="str">
        <f t="shared" si="274"/>
        <v>Low Value</v>
      </c>
      <c r="J5843" t="str">
        <f t="shared" si="275"/>
        <v>Medium Risk</v>
      </c>
      <c r="K5843" s="3" t="str">
        <f t="shared" si="273"/>
        <v>1-2 Years</v>
      </c>
    </row>
    <row r="5844" spans="1:11" x14ac:dyDescent="0.3">
      <c r="A5844" t="s">
        <v>5861</v>
      </c>
      <c r="B5844" t="s">
        <v>9</v>
      </c>
      <c r="C5844" t="s">
        <v>15</v>
      </c>
      <c r="D5844" t="s">
        <v>20</v>
      </c>
      <c r="E5844">
        <v>110.8</v>
      </c>
      <c r="F5844">
        <v>35</v>
      </c>
      <c r="G5844">
        <v>3878</v>
      </c>
      <c r="H5844" t="s">
        <v>12</v>
      </c>
      <c r="I5844" t="str">
        <f t="shared" si="274"/>
        <v>Medium Value</v>
      </c>
      <c r="J5844" t="str">
        <f t="shared" si="275"/>
        <v>Low Risk</v>
      </c>
      <c r="K5844" s="3" t="str">
        <f t="shared" si="273"/>
        <v>2-4 Years</v>
      </c>
    </row>
    <row r="5845" spans="1:11" x14ac:dyDescent="0.3">
      <c r="A5845" t="s">
        <v>5862</v>
      </c>
      <c r="B5845" t="s">
        <v>14</v>
      </c>
      <c r="C5845" t="s">
        <v>10</v>
      </c>
      <c r="D5845" t="s">
        <v>11</v>
      </c>
      <c r="E5845">
        <v>69.099999999999994</v>
      </c>
      <c r="F5845">
        <v>21</v>
      </c>
      <c r="G5845">
        <v>1451.1</v>
      </c>
      <c r="H5845" t="s">
        <v>18</v>
      </c>
      <c r="I5845" t="str">
        <f t="shared" si="274"/>
        <v>Low Value</v>
      </c>
      <c r="J5845" t="str">
        <f t="shared" si="275"/>
        <v>Medium Risk</v>
      </c>
      <c r="K5845" s="3" t="str">
        <f t="shared" si="273"/>
        <v>1-2 Years</v>
      </c>
    </row>
    <row r="5846" spans="1:11" x14ac:dyDescent="0.3">
      <c r="A5846" t="s">
        <v>5863</v>
      </c>
      <c r="B5846" t="s">
        <v>14</v>
      </c>
      <c r="C5846" t="s">
        <v>15</v>
      </c>
      <c r="D5846" t="s">
        <v>11</v>
      </c>
      <c r="E5846">
        <v>96.1</v>
      </c>
      <c r="F5846">
        <v>62</v>
      </c>
      <c r="G5846">
        <v>5958.2</v>
      </c>
      <c r="H5846" t="s">
        <v>12</v>
      </c>
      <c r="I5846" t="str">
        <f t="shared" si="274"/>
        <v>High Value</v>
      </c>
      <c r="J5846" t="str">
        <f t="shared" si="275"/>
        <v>Low Risk</v>
      </c>
      <c r="K5846" s="3" t="str">
        <f t="shared" si="273"/>
        <v>4+ Years</v>
      </c>
    </row>
    <row r="5847" spans="1:11" x14ac:dyDescent="0.3">
      <c r="A5847" t="s">
        <v>5864</v>
      </c>
      <c r="B5847" t="s">
        <v>9</v>
      </c>
      <c r="C5847" t="s">
        <v>10</v>
      </c>
      <c r="D5847" t="s">
        <v>16</v>
      </c>
      <c r="E5847">
        <v>48.8</v>
      </c>
      <c r="F5847">
        <v>15</v>
      </c>
      <c r="G5847">
        <v>732</v>
      </c>
      <c r="H5847" t="s">
        <v>12</v>
      </c>
      <c r="I5847" t="str">
        <f t="shared" si="274"/>
        <v>Low Value</v>
      </c>
      <c r="J5847" t="str">
        <f t="shared" si="275"/>
        <v>Medium Risk</v>
      </c>
      <c r="K5847" s="3" t="str">
        <f t="shared" si="273"/>
        <v>1-2 Years</v>
      </c>
    </row>
    <row r="5848" spans="1:11" x14ac:dyDescent="0.3">
      <c r="A5848" t="s">
        <v>5865</v>
      </c>
      <c r="B5848" t="s">
        <v>9</v>
      </c>
      <c r="C5848" t="s">
        <v>10</v>
      </c>
      <c r="D5848" t="s">
        <v>24</v>
      </c>
      <c r="E5848">
        <v>50.55</v>
      </c>
      <c r="F5848">
        <v>55</v>
      </c>
      <c r="G5848">
        <v>2780.25</v>
      </c>
      <c r="H5848" t="s">
        <v>12</v>
      </c>
      <c r="I5848" t="str">
        <f t="shared" si="274"/>
        <v>Medium Value</v>
      </c>
      <c r="J5848" t="str">
        <f t="shared" si="275"/>
        <v>Low Risk</v>
      </c>
      <c r="K5848" s="3" t="str">
        <f t="shared" si="273"/>
        <v>4+ Years</v>
      </c>
    </row>
    <row r="5849" spans="1:11" x14ac:dyDescent="0.3">
      <c r="A5849" t="s">
        <v>5866</v>
      </c>
      <c r="B5849" t="s">
        <v>9</v>
      </c>
      <c r="C5849" t="s">
        <v>10</v>
      </c>
      <c r="D5849" t="s">
        <v>16</v>
      </c>
      <c r="E5849">
        <v>44.65</v>
      </c>
      <c r="F5849">
        <v>11</v>
      </c>
      <c r="G5849">
        <v>491.15</v>
      </c>
      <c r="H5849" t="s">
        <v>12</v>
      </c>
      <c r="I5849" t="str">
        <f t="shared" si="274"/>
        <v>Low Value</v>
      </c>
      <c r="J5849" t="str">
        <f t="shared" si="275"/>
        <v>High Risk</v>
      </c>
      <c r="K5849" s="3" t="str">
        <f t="shared" si="273"/>
        <v>0-1 Year</v>
      </c>
    </row>
    <row r="5850" spans="1:11" x14ac:dyDescent="0.3">
      <c r="A5850" t="s">
        <v>5867</v>
      </c>
      <c r="B5850" t="s">
        <v>9</v>
      </c>
      <c r="C5850" t="s">
        <v>10</v>
      </c>
      <c r="D5850" t="s">
        <v>11</v>
      </c>
      <c r="E5850">
        <v>88.25</v>
      </c>
      <c r="F5850">
        <v>17</v>
      </c>
      <c r="G5850">
        <v>1500.25</v>
      </c>
      <c r="H5850" t="s">
        <v>18</v>
      </c>
      <c r="I5850" t="str">
        <f t="shared" si="274"/>
        <v>Low Value</v>
      </c>
      <c r="J5850" t="str">
        <f t="shared" si="275"/>
        <v>Medium Risk</v>
      </c>
      <c r="K5850" s="3" t="str">
        <f t="shared" si="273"/>
        <v>1-2 Years</v>
      </c>
    </row>
    <row r="5851" spans="1:11" x14ac:dyDescent="0.3">
      <c r="A5851" t="s">
        <v>5868</v>
      </c>
      <c r="B5851" t="s">
        <v>9</v>
      </c>
      <c r="C5851" t="s">
        <v>15</v>
      </c>
      <c r="D5851" t="s">
        <v>20</v>
      </c>
      <c r="E5851">
        <v>19.45</v>
      </c>
      <c r="F5851">
        <v>61</v>
      </c>
      <c r="G5851">
        <v>1186.45</v>
      </c>
      <c r="H5851" t="s">
        <v>12</v>
      </c>
      <c r="I5851" t="str">
        <f t="shared" si="274"/>
        <v>Low Value</v>
      </c>
      <c r="J5851" t="str">
        <f t="shared" si="275"/>
        <v>Low Risk</v>
      </c>
      <c r="K5851" s="3" t="str">
        <f t="shared" si="273"/>
        <v>4+ Years</v>
      </c>
    </row>
    <row r="5852" spans="1:11" x14ac:dyDescent="0.3">
      <c r="A5852" t="s">
        <v>5869</v>
      </c>
      <c r="B5852" t="s">
        <v>9</v>
      </c>
      <c r="C5852" t="s">
        <v>30</v>
      </c>
      <c r="D5852" t="s">
        <v>24</v>
      </c>
      <c r="E5852">
        <v>89.3</v>
      </c>
      <c r="F5852">
        <v>71</v>
      </c>
      <c r="G5852">
        <v>6340.3</v>
      </c>
      <c r="H5852" t="s">
        <v>12</v>
      </c>
      <c r="I5852" t="str">
        <f t="shared" si="274"/>
        <v>High Value</v>
      </c>
      <c r="J5852" t="str">
        <f t="shared" si="275"/>
        <v>Low Risk</v>
      </c>
      <c r="K5852" s="3" t="str">
        <f t="shared" si="273"/>
        <v>4+ Years</v>
      </c>
    </row>
    <row r="5853" spans="1:11" x14ac:dyDescent="0.3">
      <c r="A5853" t="s">
        <v>5870</v>
      </c>
      <c r="B5853" t="s">
        <v>9</v>
      </c>
      <c r="C5853" t="s">
        <v>10</v>
      </c>
      <c r="D5853" t="s">
        <v>20</v>
      </c>
      <c r="E5853">
        <v>70</v>
      </c>
      <c r="F5853">
        <v>2</v>
      </c>
      <c r="G5853">
        <v>140</v>
      </c>
      <c r="H5853" t="s">
        <v>18</v>
      </c>
      <c r="I5853" t="str">
        <f t="shared" si="274"/>
        <v>Low Value</v>
      </c>
      <c r="J5853" t="str">
        <f t="shared" si="275"/>
        <v>High Risk</v>
      </c>
      <c r="K5853" s="3" t="str">
        <f t="shared" si="273"/>
        <v>0-1 Year</v>
      </c>
    </row>
    <row r="5854" spans="1:11" x14ac:dyDescent="0.3">
      <c r="A5854" t="s">
        <v>5871</v>
      </c>
      <c r="B5854" t="s">
        <v>14</v>
      </c>
      <c r="C5854" t="s">
        <v>30</v>
      </c>
      <c r="D5854" t="s">
        <v>16</v>
      </c>
      <c r="E5854">
        <v>19.25</v>
      </c>
      <c r="F5854">
        <v>35</v>
      </c>
      <c r="G5854">
        <v>673.75</v>
      </c>
      <c r="H5854" t="s">
        <v>12</v>
      </c>
      <c r="I5854" t="str">
        <f t="shared" si="274"/>
        <v>Low Value</v>
      </c>
      <c r="J5854" t="str">
        <f t="shared" si="275"/>
        <v>Low Risk</v>
      </c>
      <c r="K5854" s="3" t="str">
        <f t="shared" si="273"/>
        <v>2-4 Years</v>
      </c>
    </row>
    <row r="5855" spans="1:11" x14ac:dyDescent="0.3">
      <c r="A5855" t="s">
        <v>5872</v>
      </c>
      <c r="B5855" t="s">
        <v>9</v>
      </c>
      <c r="C5855" t="s">
        <v>10</v>
      </c>
      <c r="D5855" t="s">
        <v>20</v>
      </c>
      <c r="E5855">
        <v>70.5</v>
      </c>
      <c r="F5855">
        <v>17</v>
      </c>
      <c r="G5855">
        <v>1198.5</v>
      </c>
      <c r="H5855" t="s">
        <v>12</v>
      </c>
      <c r="I5855" t="str">
        <f t="shared" si="274"/>
        <v>Low Value</v>
      </c>
      <c r="J5855" t="str">
        <f t="shared" si="275"/>
        <v>Medium Risk</v>
      </c>
      <c r="K5855" s="3" t="str">
        <f t="shared" si="273"/>
        <v>1-2 Years</v>
      </c>
    </row>
    <row r="5856" spans="1:11" x14ac:dyDescent="0.3">
      <c r="A5856" t="s">
        <v>5873</v>
      </c>
      <c r="B5856" t="s">
        <v>9</v>
      </c>
      <c r="C5856" t="s">
        <v>10</v>
      </c>
      <c r="D5856" t="s">
        <v>11</v>
      </c>
      <c r="E5856">
        <v>97.35</v>
      </c>
      <c r="F5856">
        <v>21</v>
      </c>
      <c r="G5856">
        <v>2044.35</v>
      </c>
      <c r="H5856" t="s">
        <v>18</v>
      </c>
      <c r="I5856" t="str">
        <f t="shared" si="274"/>
        <v>Medium Value</v>
      </c>
      <c r="J5856" t="str">
        <f t="shared" si="275"/>
        <v>Medium Risk</v>
      </c>
      <c r="K5856" s="3" t="str">
        <f t="shared" si="273"/>
        <v>1-2 Years</v>
      </c>
    </row>
    <row r="5857" spans="1:11" x14ac:dyDescent="0.3">
      <c r="A5857" t="s">
        <v>5874</v>
      </c>
      <c r="B5857" t="s">
        <v>9</v>
      </c>
      <c r="C5857" t="s">
        <v>30</v>
      </c>
      <c r="D5857" t="s">
        <v>20</v>
      </c>
      <c r="E5857">
        <v>19.649999999999999</v>
      </c>
      <c r="F5857">
        <v>47</v>
      </c>
      <c r="G5857">
        <v>923.55</v>
      </c>
      <c r="H5857" t="s">
        <v>12</v>
      </c>
      <c r="I5857" t="str">
        <f t="shared" si="274"/>
        <v>Low Value</v>
      </c>
      <c r="J5857" t="str">
        <f t="shared" si="275"/>
        <v>Low Risk</v>
      </c>
      <c r="K5857" s="3" t="str">
        <f t="shared" si="273"/>
        <v>2-4 Years</v>
      </c>
    </row>
    <row r="5858" spans="1:11" x14ac:dyDescent="0.3">
      <c r="A5858" t="s">
        <v>5875</v>
      </c>
      <c r="B5858" t="s">
        <v>9</v>
      </c>
      <c r="C5858" t="s">
        <v>10</v>
      </c>
      <c r="D5858" t="s">
        <v>16</v>
      </c>
      <c r="E5858">
        <v>20.85</v>
      </c>
      <c r="F5858">
        <v>3</v>
      </c>
      <c r="G5858">
        <v>62.55</v>
      </c>
      <c r="H5858" t="s">
        <v>12</v>
      </c>
      <c r="I5858" t="str">
        <f t="shared" si="274"/>
        <v>Low Value</v>
      </c>
      <c r="J5858" t="str">
        <f t="shared" si="275"/>
        <v>High Risk</v>
      </c>
      <c r="K5858" s="3" t="str">
        <f t="shared" si="273"/>
        <v>0-1 Year</v>
      </c>
    </row>
    <row r="5859" spans="1:11" x14ac:dyDescent="0.3">
      <c r="A5859" t="s">
        <v>5876</v>
      </c>
      <c r="B5859" t="s">
        <v>14</v>
      </c>
      <c r="C5859" t="s">
        <v>10</v>
      </c>
      <c r="D5859" t="s">
        <v>16</v>
      </c>
      <c r="E5859">
        <v>19.649999999999999</v>
      </c>
      <c r="F5859">
        <v>3</v>
      </c>
      <c r="G5859">
        <v>58.949999999999903</v>
      </c>
      <c r="H5859" t="s">
        <v>12</v>
      </c>
      <c r="I5859" t="str">
        <f t="shared" si="274"/>
        <v>Low Value</v>
      </c>
      <c r="J5859" t="str">
        <f t="shared" si="275"/>
        <v>High Risk</v>
      </c>
      <c r="K5859" s="3" t="str">
        <f t="shared" si="273"/>
        <v>0-1 Year</v>
      </c>
    </row>
    <row r="5860" spans="1:11" x14ac:dyDescent="0.3">
      <c r="A5860" t="s">
        <v>5877</v>
      </c>
      <c r="B5860" t="s">
        <v>14</v>
      </c>
      <c r="C5860" t="s">
        <v>30</v>
      </c>
      <c r="D5860" t="s">
        <v>24</v>
      </c>
      <c r="E5860">
        <v>19.350000000000001</v>
      </c>
      <c r="F5860">
        <v>44</v>
      </c>
      <c r="G5860">
        <v>851.4</v>
      </c>
      <c r="H5860" t="s">
        <v>12</v>
      </c>
      <c r="I5860" t="str">
        <f t="shared" si="274"/>
        <v>Low Value</v>
      </c>
      <c r="J5860" t="str">
        <f t="shared" si="275"/>
        <v>Low Risk</v>
      </c>
      <c r="K5860" s="3" t="str">
        <f t="shared" si="273"/>
        <v>2-4 Years</v>
      </c>
    </row>
    <row r="5861" spans="1:11" x14ac:dyDescent="0.3">
      <c r="A5861" t="s">
        <v>5878</v>
      </c>
      <c r="B5861" t="s">
        <v>9</v>
      </c>
      <c r="C5861" t="s">
        <v>10</v>
      </c>
      <c r="D5861" t="s">
        <v>16</v>
      </c>
      <c r="E5861">
        <v>44</v>
      </c>
      <c r="F5861">
        <v>1</v>
      </c>
      <c r="G5861">
        <v>44</v>
      </c>
      <c r="H5861" t="s">
        <v>12</v>
      </c>
      <c r="I5861" t="str">
        <f t="shared" si="274"/>
        <v>Low Value</v>
      </c>
      <c r="J5861" t="str">
        <f t="shared" si="275"/>
        <v>High Risk</v>
      </c>
      <c r="K5861" s="3" t="str">
        <f t="shared" si="273"/>
        <v>0-1 Year</v>
      </c>
    </row>
    <row r="5862" spans="1:11" x14ac:dyDescent="0.3">
      <c r="A5862" t="s">
        <v>5879</v>
      </c>
      <c r="B5862" t="s">
        <v>9</v>
      </c>
      <c r="C5862" t="s">
        <v>15</v>
      </c>
      <c r="D5862" t="s">
        <v>11</v>
      </c>
      <c r="E5862">
        <v>94.4</v>
      </c>
      <c r="F5862">
        <v>44</v>
      </c>
      <c r="G5862">
        <v>4153.6000000000004</v>
      </c>
      <c r="H5862" t="s">
        <v>12</v>
      </c>
      <c r="I5862" t="str">
        <f t="shared" si="274"/>
        <v>Medium Value</v>
      </c>
      <c r="J5862" t="str">
        <f t="shared" si="275"/>
        <v>Low Risk</v>
      </c>
      <c r="K5862" s="3" t="str">
        <f t="shared" si="273"/>
        <v>2-4 Years</v>
      </c>
    </row>
    <row r="5863" spans="1:11" x14ac:dyDescent="0.3">
      <c r="A5863" t="s">
        <v>5880</v>
      </c>
      <c r="B5863" t="s">
        <v>14</v>
      </c>
      <c r="C5863" t="s">
        <v>10</v>
      </c>
      <c r="D5863" t="s">
        <v>20</v>
      </c>
      <c r="E5863">
        <v>25.9</v>
      </c>
      <c r="F5863">
        <v>5</v>
      </c>
      <c r="G5863">
        <v>129.5</v>
      </c>
      <c r="H5863" t="s">
        <v>18</v>
      </c>
      <c r="I5863" t="str">
        <f t="shared" si="274"/>
        <v>Low Value</v>
      </c>
      <c r="J5863" t="str">
        <f t="shared" si="275"/>
        <v>High Risk</v>
      </c>
      <c r="K5863" s="3" t="str">
        <f t="shared" si="273"/>
        <v>0-1 Year</v>
      </c>
    </row>
    <row r="5864" spans="1:11" x14ac:dyDescent="0.3">
      <c r="A5864" t="s">
        <v>5881</v>
      </c>
      <c r="B5864" t="s">
        <v>14</v>
      </c>
      <c r="C5864" t="s">
        <v>10</v>
      </c>
      <c r="D5864" t="s">
        <v>20</v>
      </c>
      <c r="E5864">
        <v>55.65</v>
      </c>
      <c r="F5864">
        <v>24</v>
      </c>
      <c r="G5864">
        <v>1335.6</v>
      </c>
      <c r="H5864" t="s">
        <v>18</v>
      </c>
      <c r="I5864" t="str">
        <f t="shared" si="274"/>
        <v>Low Value</v>
      </c>
      <c r="J5864" t="str">
        <f t="shared" si="275"/>
        <v>Low Risk</v>
      </c>
      <c r="K5864" s="3" t="str">
        <f t="shared" si="273"/>
        <v>1-2 Years</v>
      </c>
    </row>
    <row r="5865" spans="1:11" x14ac:dyDescent="0.3">
      <c r="A5865" t="s">
        <v>5882</v>
      </c>
      <c r="B5865" t="s">
        <v>9</v>
      </c>
      <c r="C5865" t="s">
        <v>10</v>
      </c>
      <c r="D5865" t="s">
        <v>11</v>
      </c>
      <c r="E5865">
        <v>69.650000000000006</v>
      </c>
      <c r="F5865">
        <v>1</v>
      </c>
      <c r="G5865">
        <v>69.650000000000006</v>
      </c>
      <c r="H5865" t="s">
        <v>18</v>
      </c>
      <c r="I5865" t="str">
        <f t="shared" si="274"/>
        <v>Low Value</v>
      </c>
      <c r="J5865" t="str">
        <f t="shared" si="275"/>
        <v>High Risk</v>
      </c>
      <c r="K5865" s="3" t="str">
        <f t="shared" si="273"/>
        <v>0-1 Year</v>
      </c>
    </row>
    <row r="5866" spans="1:11" x14ac:dyDescent="0.3">
      <c r="A5866" t="s">
        <v>5883</v>
      </c>
      <c r="B5866" t="s">
        <v>9</v>
      </c>
      <c r="C5866" t="s">
        <v>10</v>
      </c>
      <c r="D5866" t="s">
        <v>11</v>
      </c>
      <c r="E5866">
        <v>75.400000000000006</v>
      </c>
      <c r="F5866">
        <v>18</v>
      </c>
      <c r="G5866">
        <v>1357.2</v>
      </c>
      <c r="H5866" t="s">
        <v>12</v>
      </c>
      <c r="I5866" t="str">
        <f t="shared" si="274"/>
        <v>Low Value</v>
      </c>
      <c r="J5866" t="str">
        <f t="shared" si="275"/>
        <v>Medium Risk</v>
      </c>
      <c r="K5866" s="3" t="str">
        <f t="shared" si="273"/>
        <v>1-2 Years</v>
      </c>
    </row>
    <row r="5867" spans="1:11" x14ac:dyDescent="0.3">
      <c r="A5867" t="s">
        <v>5884</v>
      </c>
      <c r="B5867" t="s">
        <v>9</v>
      </c>
      <c r="C5867" t="s">
        <v>10</v>
      </c>
      <c r="D5867" t="s">
        <v>11</v>
      </c>
      <c r="E5867">
        <v>100.6</v>
      </c>
      <c r="F5867">
        <v>10</v>
      </c>
      <c r="G5867">
        <v>1006</v>
      </c>
      <c r="H5867" t="s">
        <v>18</v>
      </c>
      <c r="I5867" t="str">
        <f t="shared" si="274"/>
        <v>Low Value</v>
      </c>
      <c r="J5867" t="str">
        <f t="shared" si="275"/>
        <v>High Risk</v>
      </c>
      <c r="K5867" s="3" t="str">
        <f t="shared" si="273"/>
        <v>0-1 Year</v>
      </c>
    </row>
    <row r="5868" spans="1:11" x14ac:dyDescent="0.3">
      <c r="A5868" t="s">
        <v>5885</v>
      </c>
      <c r="B5868" t="s">
        <v>9</v>
      </c>
      <c r="C5868" t="s">
        <v>30</v>
      </c>
      <c r="D5868" t="s">
        <v>20</v>
      </c>
      <c r="E5868">
        <v>71</v>
      </c>
      <c r="F5868">
        <v>65</v>
      </c>
      <c r="G5868">
        <v>4615</v>
      </c>
      <c r="H5868" t="s">
        <v>12</v>
      </c>
      <c r="I5868" t="str">
        <f t="shared" si="274"/>
        <v>Medium Value</v>
      </c>
      <c r="J5868" t="str">
        <f t="shared" si="275"/>
        <v>Low Risk</v>
      </c>
      <c r="K5868" s="3" t="str">
        <f t="shared" si="273"/>
        <v>4+ Years</v>
      </c>
    </row>
    <row r="5869" spans="1:11" x14ac:dyDescent="0.3">
      <c r="A5869" t="s">
        <v>5886</v>
      </c>
      <c r="B5869" t="s">
        <v>9</v>
      </c>
      <c r="C5869" t="s">
        <v>10</v>
      </c>
      <c r="D5869" t="s">
        <v>11</v>
      </c>
      <c r="E5869">
        <v>86</v>
      </c>
      <c r="F5869">
        <v>1</v>
      </c>
      <c r="G5869">
        <v>86</v>
      </c>
      <c r="H5869" t="s">
        <v>18</v>
      </c>
      <c r="I5869" t="str">
        <f t="shared" si="274"/>
        <v>Low Value</v>
      </c>
      <c r="J5869" t="str">
        <f t="shared" si="275"/>
        <v>High Risk</v>
      </c>
      <c r="K5869" s="3" t="str">
        <f t="shared" si="273"/>
        <v>0-1 Year</v>
      </c>
    </row>
    <row r="5870" spans="1:11" x14ac:dyDescent="0.3">
      <c r="A5870" t="s">
        <v>5887</v>
      </c>
      <c r="B5870" t="s">
        <v>9</v>
      </c>
      <c r="C5870" t="s">
        <v>15</v>
      </c>
      <c r="D5870" t="s">
        <v>24</v>
      </c>
      <c r="E5870">
        <v>106.95</v>
      </c>
      <c r="F5870">
        <v>53</v>
      </c>
      <c r="G5870">
        <v>5668.35</v>
      </c>
      <c r="H5870" t="s">
        <v>18</v>
      </c>
      <c r="I5870" t="str">
        <f t="shared" si="274"/>
        <v>High Value</v>
      </c>
      <c r="J5870" t="str">
        <f t="shared" si="275"/>
        <v>Low Risk</v>
      </c>
      <c r="K5870" s="3" t="str">
        <f t="shared" si="273"/>
        <v>4+ Years</v>
      </c>
    </row>
    <row r="5871" spans="1:11" x14ac:dyDescent="0.3">
      <c r="A5871" t="s">
        <v>5888</v>
      </c>
      <c r="B5871" t="s">
        <v>14</v>
      </c>
      <c r="C5871" t="s">
        <v>15</v>
      </c>
      <c r="D5871" t="s">
        <v>16</v>
      </c>
      <c r="E5871">
        <v>21.2</v>
      </c>
      <c r="F5871">
        <v>3</v>
      </c>
      <c r="G5871">
        <v>63.599999999999902</v>
      </c>
      <c r="H5871" t="s">
        <v>12</v>
      </c>
      <c r="I5871" t="str">
        <f t="shared" si="274"/>
        <v>Low Value</v>
      </c>
      <c r="J5871" t="str">
        <f t="shared" si="275"/>
        <v>High Risk</v>
      </c>
      <c r="K5871" s="3" t="str">
        <f t="shared" si="273"/>
        <v>0-1 Year</v>
      </c>
    </row>
    <row r="5872" spans="1:11" x14ac:dyDescent="0.3">
      <c r="A5872" t="s">
        <v>5889</v>
      </c>
      <c r="B5872" t="s">
        <v>14</v>
      </c>
      <c r="C5872" t="s">
        <v>30</v>
      </c>
      <c r="D5872" t="s">
        <v>16</v>
      </c>
      <c r="E5872">
        <v>61.05</v>
      </c>
      <c r="F5872">
        <v>33</v>
      </c>
      <c r="G5872">
        <v>2014.6499999999901</v>
      </c>
      <c r="H5872" t="s">
        <v>12</v>
      </c>
      <c r="I5872" t="str">
        <f t="shared" si="274"/>
        <v>Medium Value</v>
      </c>
      <c r="J5872" t="str">
        <f t="shared" si="275"/>
        <v>Low Risk</v>
      </c>
      <c r="K5872" s="3" t="str">
        <f t="shared" si="273"/>
        <v>2-4 Years</v>
      </c>
    </row>
    <row r="5873" spans="1:11" x14ac:dyDescent="0.3">
      <c r="A5873" t="s">
        <v>5890</v>
      </c>
      <c r="B5873" t="s">
        <v>14</v>
      </c>
      <c r="C5873" t="s">
        <v>10</v>
      </c>
      <c r="D5873" t="s">
        <v>11</v>
      </c>
      <c r="E5873">
        <v>29.6</v>
      </c>
      <c r="F5873">
        <v>3</v>
      </c>
      <c r="G5873">
        <v>88.8</v>
      </c>
      <c r="H5873" t="s">
        <v>18</v>
      </c>
      <c r="I5873" t="str">
        <f t="shared" si="274"/>
        <v>Low Value</v>
      </c>
      <c r="J5873" t="str">
        <f t="shared" si="275"/>
        <v>High Risk</v>
      </c>
      <c r="K5873" s="3" t="str">
        <f t="shared" si="273"/>
        <v>0-1 Year</v>
      </c>
    </row>
    <row r="5874" spans="1:11" x14ac:dyDescent="0.3">
      <c r="A5874" t="s">
        <v>5891</v>
      </c>
      <c r="B5874" t="s">
        <v>9</v>
      </c>
      <c r="C5874" t="s">
        <v>15</v>
      </c>
      <c r="D5874" t="s">
        <v>20</v>
      </c>
      <c r="E5874">
        <v>79.95</v>
      </c>
      <c r="F5874">
        <v>34</v>
      </c>
      <c r="G5874">
        <v>2718.3</v>
      </c>
      <c r="H5874" t="s">
        <v>12</v>
      </c>
      <c r="I5874" t="str">
        <f t="shared" si="274"/>
        <v>Medium Value</v>
      </c>
      <c r="J5874" t="str">
        <f t="shared" si="275"/>
        <v>Low Risk</v>
      </c>
      <c r="K5874" s="3" t="str">
        <f t="shared" si="273"/>
        <v>2-4 Years</v>
      </c>
    </row>
    <row r="5875" spans="1:11" x14ac:dyDescent="0.3">
      <c r="A5875" t="s">
        <v>5892</v>
      </c>
      <c r="B5875" t="s">
        <v>9</v>
      </c>
      <c r="C5875" t="s">
        <v>30</v>
      </c>
      <c r="D5875" t="s">
        <v>16</v>
      </c>
      <c r="E5875">
        <v>19.7</v>
      </c>
      <c r="F5875">
        <v>14</v>
      </c>
      <c r="G5875">
        <v>275.8</v>
      </c>
      <c r="H5875" t="s">
        <v>12</v>
      </c>
      <c r="I5875" t="str">
        <f t="shared" si="274"/>
        <v>Low Value</v>
      </c>
      <c r="J5875" t="str">
        <f t="shared" si="275"/>
        <v>Medium Risk</v>
      </c>
      <c r="K5875" s="3" t="str">
        <f t="shared" si="273"/>
        <v>1-2 Years</v>
      </c>
    </row>
    <row r="5876" spans="1:11" x14ac:dyDescent="0.3">
      <c r="A5876" t="s">
        <v>5893</v>
      </c>
      <c r="B5876" t="s">
        <v>9</v>
      </c>
      <c r="C5876" t="s">
        <v>10</v>
      </c>
      <c r="D5876" t="s">
        <v>16</v>
      </c>
      <c r="E5876">
        <v>20.3</v>
      </c>
      <c r="F5876">
        <v>13</v>
      </c>
      <c r="G5876">
        <v>263.89999999999998</v>
      </c>
      <c r="H5876" t="s">
        <v>12</v>
      </c>
      <c r="I5876" t="str">
        <f t="shared" si="274"/>
        <v>Low Value</v>
      </c>
      <c r="J5876" t="str">
        <f t="shared" si="275"/>
        <v>Medium Risk</v>
      </c>
      <c r="K5876" s="3" t="str">
        <f t="shared" si="273"/>
        <v>1-2 Years</v>
      </c>
    </row>
    <row r="5877" spans="1:11" x14ac:dyDescent="0.3">
      <c r="A5877" t="s">
        <v>5894</v>
      </c>
      <c r="B5877" t="s">
        <v>14</v>
      </c>
      <c r="C5877" t="s">
        <v>15</v>
      </c>
      <c r="D5877" t="s">
        <v>20</v>
      </c>
      <c r="E5877">
        <v>59.9</v>
      </c>
      <c r="F5877">
        <v>46</v>
      </c>
      <c r="G5877">
        <v>2755.4</v>
      </c>
      <c r="H5877" t="s">
        <v>18</v>
      </c>
      <c r="I5877" t="str">
        <f t="shared" si="274"/>
        <v>Medium Value</v>
      </c>
      <c r="J5877" t="str">
        <f t="shared" si="275"/>
        <v>Low Risk</v>
      </c>
      <c r="K5877" s="3" t="str">
        <f t="shared" si="273"/>
        <v>2-4 Years</v>
      </c>
    </row>
    <row r="5878" spans="1:11" x14ac:dyDescent="0.3">
      <c r="A5878" t="s">
        <v>5895</v>
      </c>
      <c r="B5878" t="s">
        <v>14</v>
      </c>
      <c r="C5878" t="s">
        <v>15</v>
      </c>
      <c r="D5878" t="s">
        <v>16</v>
      </c>
      <c r="E5878">
        <v>24.35</v>
      </c>
      <c r="F5878">
        <v>23</v>
      </c>
      <c r="G5878">
        <v>560.04999999999995</v>
      </c>
      <c r="H5878" t="s">
        <v>12</v>
      </c>
      <c r="I5878" t="str">
        <f t="shared" si="274"/>
        <v>Low Value</v>
      </c>
      <c r="J5878" t="str">
        <f t="shared" si="275"/>
        <v>Medium Risk</v>
      </c>
      <c r="K5878" s="3" t="str">
        <f t="shared" si="273"/>
        <v>1-2 Years</v>
      </c>
    </row>
    <row r="5879" spans="1:11" x14ac:dyDescent="0.3">
      <c r="A5879" t="s">
        <v>5896</v>
      </c>
      <c r="B5879" t="s">
        <v>9</v>
      </c>
      <c r="C5879" t="s">
        <v>30</v>
      </c>
      <c r="D5879" t="s">
        <v>16</v>
      </c>
      <c r="E5879">
        <v>19.75</v>
      </c>
      <c r="F5879">
        <v>47</v>
      </c>
      <c r="G5879">
        <v>928.25</v>
      </c>
      <c r="H5879" t="s">
        <v>12</v>
      </c>
      <c r="I5879" t="str">
        <f t="shared" si="274"/>
        <v>Low Value</v>
      </c>
      <c r="J5879" t="str">
        <f t="shared" si="275"/>
        <v>Low Risk</v>
      </c>
      <c r="K5879" s="3" t="str">
        <f t="shared" si="273"/>
        <v>2-4 Years</v>
      </c>
    </row>
    <row r="5880" spans="1:11" x14ac:dyDescent="0.3">
      <c r="A5880" t="s">
        <v>5897</v>
      </c>
      <c r="B5880" t="s">
        <v>14</v>
      </c>
      <c r="C5880" t="s">
        <v>10</v>
      </c>
      <c r="D5880" t="s">
        <v>16</v>
      </c>
      <c r="E5880">
        <v>50.3</v>
      </c>
      <c r="F5880">
        <v>17</v>
      </c>
      <c r="G5880">
        <v>855.099999999999</v>
      </c>
      <c r="H5880" t="s">
        <v>12</v>
      </c>
      <c r="I5880" t="str">
        <f t="shared" si="274"/>
        <v>Low Value</v>
      </c>
      <c r="J5880" t="str">
        <f t="shared" si="275"/>
        <v>Medium Risk</v>
      </c>
      <c r="K5880" s="3" t="str">
        <f t="shared" si="273"/>
        <v>1-2 Years</v>
      </c>
    </row>
    <row r="5881" spans="1:11" x14ac:dyDescent="0.3">
      <c r="A5881" t="s">
        <v>5898</v>
      </c>
      <c r="B5881" t="s">
        <v>9</v>
      </c>
      <c r="C5881" t="s">
        <v>10</v>
      </c>
      <c r="D5881" t="s">
        <v>11</v>
      </c>
      <c r="E5881">
        <v>95.6</v>
      </c>
      <c r="F5881">
        <v>49</v>
      </c>
      <c r="G5881">
        <v>4684.3999999999996</v>
      </c>
      <c r="H5881" t="s">
        <v>18</v>
      </c>
      <c r="I5881" t="str">
        <f t="shared" si="274"/>
        <v>Medium Value</v>
      </c>
      <c r="J5881" t="str">
        <f t="shared" si="275"/>
        <v>Low Risk</v>
      </c>
      <c r="K5881" s="3" t="str">
        <f t="shared" si="273"/>
        <v>4+ Years</v>
      </c>
    </row>
    <row r="5882" spans="1:11" x14ac:dyDescent="0.3">
      <c r="A5882" t="s">
        <v>5899</v>
      </c>
      <c r="B5882" t="s">
        <v>14</v>
      </c>
      <c r="C5882" t="s">
        <v>10</v>
      </c>
      <c r="D5882" t="s">
        <v>11</v>
      </c>
      <c r="E5882">
        <v>50.25</v>
      </c>
      <c r="F5882">
        <v>59</v>
      </c>
      <c r="G5882">
        <v>2964.75</v>
      </c>
      <c r="H5882" t="s">
        <v>12</v>
      </c>
      <c r="I5882" t="str">
        <f t="shared" si="274"/>
        <v>Medium Value</v>
      </c>
      <c r="J5882" t="str">
        <f t="shared" si="275"/>
        <v>Low Risk</v>
      </c>
      <c r="K5882" s="3" t="str">
        <f t="shared" si="273"/>
        <v>4+ Years</v>
      </c>
    </row>
    <row r="5883" spans="1:11" x14ac:dyDescent="0.3">
      <c r="A5883" t="s">
        <v>5900</v>
      </c>
      <c r="B5883" t="s">
        <v>9</v>
      </c>
      <c r="C5883" t="s">
        <v>30</v>
      </c>
      <c r="D5883" t="s">
        <v>24</v>
      </c>
      <c r="E5883">
        <v>85.35</v>
      </c>
      <c r="F5883">
        <v>69</v>
      </c>
      <c r="G5883">
        <v>5889.15</v>
      </c>
      <c r="H5883" t="s">
        <v>12</v>
      </c>
      <c r="I5883" t="str">
        <f t="shared" si="274"/>
        <v>High Value</v>
      </c>
      <c r="J5883" t="str">
        <f t="shared" si="275"/>
        <v>Low Risk</v>
      </c>
      <c r="K5883" s="3" t="str">
        <f t="shared" si="273"/>
        <v>4+ Years</v>
      </c>
    </row>
    <row r="5884" spans="1:11" x14ac:dyDescent="0.3">
      <c r="A5884" t="s">
        <v>5901</v>
      </c>
      <c r="B5884" t="s">
        <v>14</v>
      </c>
      <c r="C5884" t="s">
        <v>15</v>
      </c>
      <c r="D5884" t="s">
        <v>11</v>
      </c>
      <c r="E5884">
        <v>41.6</v>
      </c>
      <c r="F5884">
        <v>11</v>
      </c>
      <c r="G5884">
        <v>457.6</v>
      </c>
      <c r="H5884" t="s">
        <v>18</v>
      </c>
      <c r="I5884" t="str">
        <f t="shared" si="274"/>
        <v>Low Value</v>
      </c>
      <c r="J5884" t="str">
        <f t="shared" si="275"/>
        <v>High Risk</v>
      </c>
      <c r="K5884" s="3" t="str">
        <f t="shared" si="273"/>
        <v>0-1 Year</v>
      </c>
    </row>
    <row r="5885" spans="1:11" x14ac:dyDescent="0.3">
      <c r="A5885" t="s">
        <v>5902</v>
      </c>
      <c r="B5885" t="s">
        <v>14</v>
      </c>
      <c r="C5885" t="s">
        <v>10</v>
      </c>
      <c r="D5885" t="s">
        <v>16</v>
      </c>
      <c r="E5885">
        <v>51.65</v>
      </c>
      <c r="F5885">
        <v>10</v>
      </c>
      <c r="G5885">
        <v>516.5</v>
      </c>
      <c r="H5885" t="s">
        <v>12</v>
      </c>
      <c r="I5885" t="str">
        <f t="shared" si="274"/>
        <v>Low Value</v>
      </c>
      <c r="J5885" t="str">
        <f t="shared" si="275"/>
        <v>High Risk</v>
      </c>
      <c r="K5885" s="3" t="str">
        <f t="shared" si="273"/>
        <v>0-1 Year</v>
      </c>
    </row>
    <row r="5886" spans="1:11" x14ac:dyDescent="0.3">
      <c r="A5886" t="s">
        <v>5903</v>
      </c>
      <c r="B5886" t="s">
        <v>14</v>
      </c>
      <c r="C5886" t="s">
        <v>30</v>
      </c>
      <c r="D5886" t="s">
        <v>20</v>
      </c>
      <c r="E5886">
        <v>24</v>
      </c>
      <c r="F5886">
        <v>12</v>
      </c>
      <c r="G5886">
        <v>288</v>
      </c>
      <c r="H5886" t="s">
        <v>12</v>
      </c>
      <c r="I5886" t="str">
        <f t="shared" si="274"/>
        <v>Low Value</v>
      </c>
      <c r="J5886" t="str">
        <f t="shared" si="275"/>
        <v>Medium Risk</v>
      </c>
      <c r="K5886" s="3" t="str">
        <f t="shared" si="273"/>
        <v>0-1 Year</v>
      </c>
    </row>
    <row r="5887" spans="1:11" x14ac:dyDescent="0.3">
      <c r="A5887" t="s">
        <v>5904</v>
      </c>
      <c r="B5887" t="s">
        <v>14</v>
      </c>
      <c r="C5887" t="s">
        <v>10</v>
      </c>
      <c r="D5887" t="s">
        <v>24</v>
      </c>
      <c r="E5887">
        <v>100.85</v>
      </c>
      <c r="F5887">
        <v>45</v>
      </c>
      <c r="G5887">
        <v>4538.25</v>
      </c>
      <c r="H5887" t="s">
        <v>18</v>
      </c>
      <c r="I5887" t="str">
        <f t="shared" si="274"/>
        <v>Medium Value</v>
      </c>
      <c r="J5887" t="str">
        <f t="shared" si="275"/>
        <v>Low Risk</v>
      </c>
      <c r="K5887" s="3" t="str">
        <f t="shared" si="273"/>
        <v>2-4 Years</v>
      </c>
    </row>
    <row r="5888" spans="1:11" x14ac:dyDescent="0.3">
      <c r="A5888" t="s">
        <v>5905</v>
      </c>
      <c r="B5888" t="s">
        <v>9</v>
      </c>
      <c r="C5888" t="s">
        <v>10</v>
      </c>
      <c r="D5888" t="s">
        <v>16</v>
      </c>
      <c r="E5888">
        <v>59.85</v>
      </c>
      <c r="F5888">
        <v>39</v>
      </c>
      <c r="G5888">
        <v>2334.15</v>
      </c>
      <c r="H5888" t="s">
        <v>12</v>
      </c>
      <c r="I5888" t="str">
        <f t="shared" si="274"/>
        <v>Medium Value</v>
      </c>
      <c r="J5888" t="str">
        <f t="shared" si="275"/>
        <v>Low Risk</v>
      </c>
      <c r="K5888" s="3" t="str">
        <f t="shared" si="273"/>
        <v>2-4 Years</v>
      </c>
    </row>
    <row r="5889" spans="1:11" x14ac:dyDescent="0.3">
      <c r="A5889" t="s">
        <v>5906</v>
      </c>
      <c r="B5889" t="s">
        <v>14</v>
      </c>
      <c r="C5889" t="s">
        <v>30</v>
      </c>
      <c r="D5889" t="s">
        <v>24</v>
      </c>
      <c r="E5889">
        <v>25.45</v>
      </c>
      <c r="F5889">
        <v>71</v>
      </c>
      <c r="G5889">
        <v>1806.95</v>
      </c>
      <c r="H5889" t="s">
        <v>12</v>
      </c>
      <c r="I5889" t="str">
        <f t="shared" si="274"/>
        <v>Low Value</v>
      </c>
      <c r="J5889" t="str">
        <f t="shared" si="275"/>
        <v>Low Risk</v>
      </c>
      <c r="K5889" s="3" t="str">
        <f t="shared" si="273"/>
        <v>4+ Years</v>
      </c>
    </row>
    <row r="5890" spans="1:11" x14ac:dyDescent="0.3">
      <c r="A5890" t="s">
        <v>5907</v>
      </c>
      <c r="B5890" t="s">
        <v>14</v>
      </c>
      <c r="C5890" t="s">
        <v>30</v>
      </c>
      <c r="D5890" t="s">
        <v>24</v>
      </c>
      <c r="E5890">
        <v>23.9</v>
      </c>
      <c r="F5890">
        <v>71</v>
      </c>
      <c r="G5890">
        <v>1696.8999999999901</v>
      </c>
      <c r="H5890" t="s">
        <v>12</v>
      </c>
      <c r="I5890" t="str">
        <f t="shared" si="274"/>
        <v>Low Value</v>
      </c>
      <c r="J5890" t="str">
        <f t="shared" si="275"/>
        <v>Low Risk</v>
      </c>
      <c r="K5890" s="3" t="str">
        <f t="shared" si="273"/>
        <v>4+ Years</v>
      </c>
    </row>
    <row r="5891" spans="1:11" x14ac:dyDescent="0.3">
      <c r="A5891" t="s">
        <v>5908</v>
      </c>
      <c r="B5891" t="s">
        <v>9</v>
      </c>
      <c r="C5891" t="s">
        <v>15</v>
      </c>
      <c r="D5891" t="s">
        <v>24</v>
      </c>
      <c r="E5891">
        <v>24.15</v>
      </c>
      <c r="F5891">
        <v>33</v>
      </c>
      <c r="G5891">
        <v>796.94999999999902</v>
      </c>
      <c r="H5891" t="s">
        <v>12</v>
      </c>
      <c r="I5891" t="str">
        <f t="shared" si="274"/>
        <v>Low Value</v>
      </c>
      <c r="J5891" t="str">
        <f t="shared" si="275"/>
        <v>Low Risk</v>
      </c>
      <c r="K5891" s="3" t="str">
        <f t="shared" ref="K5891:K5954" si="276">IF(F5891&lt;=12,"0-1 Year",
IF(F5891&lt;=24,"1-2 Years",
IF(F5891&lt;=48,"2-4 Years","4+ Years")))</f>
        <v>2-4 Years</v>
      </c>
    </row>
    <row r="5892" spans="1:11" x14ac:dyDescent="0.3">
      <c r="A5892" t="s">
        <v>5909</v>
      </c>
      <c r="B5892" t="s">
        <v>14</v>
      </c>
      <c r="C5892" t="s">
        <v>10</v>
      </c>
      <c r="D5892" t="s">
        <v>16</v>
      </c>
      <c r="E5892">
        <v>75.7</v>
      </c>
      <c r="F5892">
        <v>67</v>
      </c>
      <c r="G5892">
        <v>5071.8999999999996</v>
      </c>
      <c r="H5892" t="s">
        <v>12</v>
      </c>
      <c r="I5892" t="str">
        <f t="shared" ref="I5892:I5955" si="277">IF(G5892&gt;5000,"High Value",
IF(G5892&gt;2000,"Medium Value","Low Value"))</f>
        <v>High Value</v>
      </c>
      <c r="J5892" t="str">
        <f t="shared" ref="J5892:J5955" si="278">IF(F5892&lt;12,"High Risk",
IF(F5892&lt;24,"Medium Risk","Low Risk"))</f>
        <v>Low Risk</v>
      </c>
      <c r="K5892" s="3" t="str">
        <f t="shared" si="276"/>
        <v>4+ Years</v>
      </c>
    </row>
    <row r="5893" spans="1:11" x14ac:dyDescent="0.3">
      <c r="A5893" t="s">
        <v>5910</v>
      </c>
      <c r="B5893" t="s">
        <v>14</v>
      </c>
      <c r="C5893" t="s">
        <v>10</v>
      </c>
      <c r="D5893" t="s">
        <v>20</v>
      </c>
      <c r="E5893">
        <v>40.200000000000003</v>
      </c>
      <c r="F5893">
        <v>37</v>
      </c>
      <c r="G5893">
        <v>1487.4</v>
      </c>
      <c r="H5893" t="s">
        <v>18</v>
      </c>
      <c r="I5893" t="str">
        <f t="shared" si="277"/>
        <v>Low Value</v>
      </c>
      <c r="J5893" t="str">
        <f t="shared" si="278"/>
        <v>Low Risk</v>
      </c>
      <c r="K5893" s="3" t="str">
        <f t="shared" si="276"/>
        <v>2-4 Years</v>
      </c>
    </row>
    <row r="5894" spans="1:11" x14ac:dyDescent="0.3">
      <c r="A5894" t="s">
        <v>5911</v>
      </c>
      <c r="B5894" t="s">
        <v>14</v>
      </c>
      <c r="C5894" t="s">
        <v>10</v>
      </c>
      <c r="D5894" t="s">
        <v>11</v>
      </c>
      <c r="E5894">
        <v>84.5</v>
      </c>
      <c r="F5894">
        <v>49</v>
      </c>
      <c r="G5894">
        <v>4140.5</v>
      </c>
      <c r="H5894" t="s">
        <v>18</v>
      </c>
      <c r="I5894" t="str">
        <f t="shared" si="277"/>
        <v>Medium Value</v>
      </c>
      <c r="J5894" t="str">
        <f t="shared" si="278"/>
        <v>Low Risk</v>
      </c>
      <c r="K5894" s="3" t="str">
        <f t="shared" si="276"/>
        <v>4+ Years</v>
      </c>
    </row>
    <row r="5895" spans="1:11" x14ac:dyDescent="0.3">
      <c r="A5895" t="s">
        <v>5912</v>
      </c>
      <c r="B5895" t="s">
        <v>9</v>
      </c>
      <c r="C5895" t="s">
        <v>10</v>
      </c>
      <c r="D5895" t="s">
        <v>16</v>
      </c>
      <c r="E5895">
        <v>50.85</v>
      </c>
      <c r="F5895">
        <v>9</v>
      </c>
      <c r="G5895">
        <v>457.65</v>
      </c>
      <c r="H5895" t="s">
        <v>12</v>
      </c>
      <c r="I5895" t="str">
        <f t="shared" si="277"/>
        <v>Low Value</v>
      </c>
      <c r="J5895" t="str">
        <f t="shared" si="278"/>
        <v>High Risk</v>
      </c>
      <c r="K5895" s="3" t="str">
        <f t="shared" si="276"/>
        <v>0-1 Year</v>
      </c>
    </row>
    <row r="5896" spans="1:11" x14ac:dyDescent="0.3">
      <c r="A5896" t="s">
        <v>5913</v>
      </c>
      <c r="B5896" t="s">
        <v>14</v>
      </c>
      <c r="C5896" t="s">
        <v>30</v>
      </c>
      <c r="D5896" t="s">
        <v>24</v>
      </c>
      <c r="E5896">
        <v>91.6</v>
      </c>
      <c r="F5896">
        <v>52</v>
      </c>
      <c r="G5896">
        <v>4763.2</v>
      </c>
      <c r="H5896" t="s">
        <v>12</v>
      </c>
      <c r="I5896" t="str">
        <f t="shared" si="277"/>
        <v>Medium Value</v>
      </c>
      <c r="J5896" t="str">
        <f t="shared" si="278"/>
        <v>Low Risk</v>
      </c>
      <c r="K5896" s="3" t="str">
        <f t="shared" si="276"/>
        <v>4+ Years</v>
      </c>
    </row>
    <row r="5897" spans="1:11" x14ac:dyDescent="0.3">
      <c r="A5897" t="s">
        <v>5914</v>
      </c>
      <c r="B5897" t="s">
        <v>9</v>
      </c>
      <c r="C5897" t="s">
        <v>15</v>
      </c>
      <c r="D5897" t="s">
        <v>11</v>
      </c>
      <c r="E5897">
        <v>98.9</v>
      </c>
      <c r="F5897">
        <v>70</v>
      </c>
      <c r="G5897">
        <v>6923</v>
      </c>
      <c r="H5897" t="s">
        <v>12</v>
      </c>
      <c r="I5897" t="str">
        <f t="shared" si="277"/>
        <v>High Value</v>
      </c>
      <c r="J5897" t="str">
        <f t="shared" si="278"/>
        <v>Low Risk</v>
      </c>
      <c r="K5897" s="3" t="str">
        <f t="shared" si="276"/>
        <v>4+ Years</v>
      </c>
    </row>
    <row r="5898" spans="1:11" x14ac:dyDescent="0.3">
      <c r="A5898" t="s">
        <v>5915</v>
      </c>
      <c r="B5898" t="s">
        <v>14</v>
      </c>
      <c r="C5898" t="s">
        <v>10</v>
      </c>
      <c r="D5898" t="s">
        <v>11</v>
      </c>
      <c r="E5898">
        <v>85</v>
      </c>
      <c r="F5898">
        <v>1</v>
      </c>
      <c r="G5898">
        <v>85</v>
      </c>
      <c r="H5898" t="s">
        <v>12</v>
      </c>
      <c r="I5898" t="str">
        <f t="shared" si="277"/>
        <v>Low Value</v>
      </c>
      <c r="J5898" t="str">
        <f t="shared" si="278"/>
        <v>High Risk</v>
      </c>
      <c r="K5898" s="3" t="str">
        <f t="shared" si="276"/>
        <v>0-1 Year</v>
      </c>
    </row>
    <row r="5899" spans="1:11" x14ac:dyDescent="0.3">
      <c r="A5899" t="s">
        <v>5916</v>
      </c>
      <c r="B5899" t="s">
        <v>9</v>
      </c>
      <c r="C5899" t="s">
        <v>10</v>
      </c>
      <c r="D5899" t="s">
        <v>11</v>
      </c>
      <c r="E5899">
        <v>78.95</v>
      </c>
      <c r="F5899">
        <v>14</v>
      </c>
      <c r="G5899">
        <v>1105.3</v>
      </c>
      <c r="H5899" t="s">
        <v>18</v>
      </c>
      <c r="I5899" t="str">
        <f t="shared" si="277"/>
        <v>Low Value</v>
      </c>
      <c r="J5899" t="str">
        <f t="shared" si="278"/>
        <v>Medium Risk</v>
      </c>
      <c r="K5899" s="3" t="str">
        <f t="shared" si="276"/>
        <v>1-2 Years</v>
      </c>
    </row>
    <row r="5900" spans="1:11" x14ac:dyDescent="0.3">
      <c r="A5900" t="s">
        <v>5917</v>
      </c>
      <c r="B5900" t="s">
        <v>14</v>
      </c>
      <c r="C5900" t="s">
        <v>10</v>
      </c>
      <c r="D5900" t="s">
        <v>16</v>
      </c>
      <c r="E5900">
        <v>44.3</v>
      </c>
      <c r="F5900">
        <v>1</v>
      </c>
      <c r="G5900">
        <v>44.3</v>
      </c>
      <c r="H5900" t="s">
        <v>12</v>
      </c>
      <c r="I5900" t="str">
        <f t="shared" si="277"/>
        <v>Low Value</v>
      </c>
      <c r="J5900" t="str">
        <f t="shared" si="278"/>
        <v>High Risk</v>
      </c>
      <c r="K5900" s="3" t="str">
        <f t="shared" si="276"/>
        <v>0-1 Year</v>
      </c>
    </row>
    <row r="5901" spans="1:11" x14ac:dyDescent="0.3">
      <c r="A5901" t="s">
        <v>5918</v>
      </c>
      <c r="B5901" t="s">
        <v>14</v>
      </c>
      <c r="C5901" t="s">
        <v>10</v>
      </c>
      <c r="D5901" t="s">
        <v>16</v>
      </c>
      <c r="E5901">
        <v>20.2</v>
      </c>
      <c r="F5901">
        <v>1</v>
      </c>
      <c r="G5901">
        <v>20.2</v>
      </c>
      <c r="H5901" t="s">
        <v>18</v>
      </c>
      <c r="I5901" t="str">
        <f t="shared" si="277"/>
        <v>Low Value</v>
      </c>
      <c r="J5901" t="str">
        <f t="shared" si="278"/>
        <v>High Risk</v>
      </c>
      <c r="K5901" s="3" t="str">
        <f t="shared" si="276"/>
        <v>0-1 Year</v>
      </c>
    </row>
    <row r="5902" spans="1:11" x14ac:dyDescent="0.3">
      <c r="A5902" t="s">
        <v>5919</v>
      </c>
      <c r="B5902" t="s">
        <v>9</v>
      </c>
      <c r="C5902" t="s">
        <v>15</v>
      </c>
      <c r="D5902" t="s">
        <v>16</v>
      </c>
      <c r="E5902">
        <v>80.2</v>
      </c>
      <c r="F5902">
        <v>52</v>
      </c>
      <c r="G5902">
        <v>4170.3999999999996</v>
      </c>
      <c r="H5902" t="s">
        <v>12</v>
      </c>
      <c r="I5902" t="str">
        <f t="shared" si="277"/>
        <v>Medium Value</v>
      </c>
      <c r="J5902" t="str">
        <f t="shared" si="278"/>
        <v>Low Risk</v>
      </c>
      <c r="K5902" s="3" t="str">
        <f t="shared" si="276"/>
        <v>4+ Years</v>
      </c>
    </row>
    <row r="5903" spans="1:11" x14ac:dyDescent="0.3">
      <c r="A5903" t="s">
        <v>5920</v>
      </c>
      <c r="B5903" t="s">
        <v>14</v>
      </c>
      <c r="C5903" t="s">
        <v>10</v>
      </c>
      <c r="D5903" t="s">
        <v>16</v>
      </c>
      <c r="E5903">
        <v>60.9</v>
      </c>
      <c r="F5903">
        <v>6</v>
      </c>
      <c r="G5903">
        <v>365.4</v>
      </c>
      <c r="H5903" t="s">
        <v>12</v>
      </c>
      <c r="I5903" t="str">
        <f t="shared" si="277"/>
        <v>Low Value</v>
      </c>
      <c r="J5903" t="str">
        <f t="shared" si="278"/>
        <v>High Risk</v>
      </c>
      <c r="K5903" s="3" t="str">
        <f t="shared" si="276"/>
        <v>0-1 Year</v>
      </c>
    </row>
    <row r="5904" spans="1:11" x14ac:dyDescent="0.3">
      <c r="A5904" t="s">
        <v>5921</v>
      </c>
      <c r="B5904" t="s">
        <v>14</v>
      </c>
      <c r="C5904" t="s">
        <v>10</v>
      </c>
      <c r="D5904" t="s">
        <v>16</v>
      </c>
      <c r="E5904">
        <v>34.200000000000003</v>
      </c>
      <c r="F5904">
        <v>7</v>
      </c>
      <c r="G5904">
        <v>239.4</v>
      </c>
      <c r="H5904" t="s">
        <v>12</v>
      </c>
      <c r="I5904" t="str">
        <f t="shared" si="277"/>
        <v>Low Value</v>
      </c>
      <c r="J5904" t="str">
        <f t="shared" si="278"/>
        <v>High Risk</v>
      </c>
      <c r="K5904" s="3" t="str">
        <f t="shared" si="276"/>
        <v>0-1 Year</v>
      </c>
    </row>
    <row r="5905" spans="1:11" x14ac:dyDescent="0.3">
      <c r="A5905" t="s">
        <v>5922</v>
      </c>
      <c r="B5905" t="s">
        <v>9</v>
      </c>
      <c r="C5905" t="s">
        <v>10</v>
      </c>
      <c r="D5905" t="s">
        <v>20</v>
      </c>
      <c r="E5905">
        <v>85.2</v>
      </c>
      <c r="F5905">
        <v>47</v>
      </c>
      <c r="G5905">
        <v>4004.4</v>
      </c>
      <c r="H5905" t="s">
        <v>18</v>
      </c>
      <c r="I5905" t="str">
        <f t="shared" si="277"/>
        <v>Medium Value</v>
      </c>
      <c r="J5905" t="str">
        <f t="shared" si="278"/>
        <v>Low Risk</v>
      </c>
      <c r="K5905" s="3" t="str">
        <f t="shared" si="276"/>
        <v>2-4 Years</v>
      </c>
    </row>
    <row r="5906" spans="1:11" x14ac:dyDescent="0.3">
      <c r="A5906" t="s">
        <v>5923</v>
      </c>
      <c r="B5906" t="s">
        <v>9</v>
      </c>
      <c r="C5906" t="s">
        <v>15</v>
      </c>
      <c r="D5906" t="s">
        <v>24</v>
      </c>
      <c r="E5906">
        <v>87.15</v>
      </c>
      <c r="F5906">
        <v>26</v>
      </c>
      <c r="G5906">
        <v>2265.9</v>
      </c>
      <c r="H5906" t="s">
        <v>12</v>
      </c>
      <c r="I5906" t="str">
        <f t="shared" si="277"/>
        <v>Medium Value</v>
      </c>
      <c r="J5906" t="str">
        <f t="shared" si="278"/>
        <v>Low Risk</v>
      </c>
      <c r="K5906" s="3" t="str">
        <f t="shared" si="276"/>
        <v>2-4 Years</v>
      </c>
    </row>
    <row r="5907" spans="1:11" x14ac:dyDescent="0.3">
      <c r="A5907" t="s">
        <v>5924</v>
      </c>
      <c r="B5907" t="s">
        <v>14</v>
      </c>
      <c r="C5907" t="s">
        <v>10</v>
      </c>
      <c r="D5907" t="s">
        <v>11</v>
      </c>
      <c r="E5907">
        <v>54.3</v>
      </c>
      <c r="F5907">
        <v>25</v>
      </c>
      <c r="G5907">
        <v>1357.5</v>
      </c>
      <c r="H5907" t="s">
        <v>12</v>
      </c>
      <c r="I5907" t="str">
        <f t="shared" si="277"/>
        <v>Low Value</v>
      </c>
      <c r="J5907" t="str">
        <f t="shared" si="278"/>
        <v>Low Risk</v>
      </c>
      <c r="K5907" s="3" t="str">
        <f t="shared" si="276"/>
        <v>2-4 Years</v>
      </c>
    </row>
    <row r="5908" spans="1:11" x14ac:dyDescent="0.3">
      <c r="A5908" t="s">
        <v>5925</v>
      </c>
      <c r="B5908" t="s">
        <v>14</v>
      </c>
      <c r="C5908" t="s">
        <v>30</v>
      </c>
      <c r="D5908" t="s">
        <v>16</v>
      </c>
      <c r="E5908">
        <v>19.100000000000001</v>
      </c>
      <c r="F5908">
        <v>69</v>
      </c>
      <c r="G5908">
        <v>1317.9</v>
      </c>
      <c r="H5908" t="s">
        <v>12</v>
      </c>
      <c r="I5908" t="str">
        <f t="shared" si="277"/>
        <v>Low Value</v>
      </c>
      <c r="J5908" t="str">
        <f t="shared" si="278"/>
        <v>Low Risk</v>
      </c>
      <c r="K5908" s="3" t="str">
        <f t="shared" si="276"/>
        <v>4+ Years</v>
      </c>
    </row>
    <row r="5909" spans="1:11" x14ac:dyDescent="0.3">
      <c r="A5909" t="s">
        <v>5926</v>
      </c>
      <c r="B5909" t="s">
        <v>9</v>
      </c>
      <c r="C5909" t="s">
        <v>30</v>
      </c>
      <c r="D5909" t="s">
        <v>24</v>
      </c>
      <c r="E5909">
        <v>112.75</v>
      </c>
      <c r="F5909">
        <v>72</v>
      </c>
      <c r="G5909">
        <v>8118</v>
      </c>
      <c r="H5909" t="s">
        <v>12</v>
      </c>
      <c r="I5909" t="str">
        <f t="shared" si="277"/>
        <v>High Value</v>
      </c>
      <c r="J5909" t="str">
        <f t="shared" si="278"/>
        <v>Low Risk</v>
      </c>
      <c r="K5909" s="3" t="str">
        <f t="shared" si="276"/>
        <v>4+ Years</v>
      </c>
    </row>
    <row r="5910" spans="1:11" x14ac:dyDescent="0.3">
      <c r="A5910" t="s">
        <v>5927</v>
      </c>
      <c r="B5910" t="s">
        <v>14</v>
      </c>
      <c r="C5910" t="s">
        <v>10</v>
      </c>
      <c r="D5910" t="s">
        <v>16</v>
      </c>
      <c r="E5910">
        <v>19.95</v>
      </c>
      <c r="F5910">
        <v>4</v>
      </c>
      <c r="G5910">
        <v>79.8</v>
      </c>
      <c r="H5910" t="s">
        <v>12</v>
      </c>
      <c r="I5910" t="str">
        <f t="shared" si="277"/>
        <v>Low Value</v>
      </c>
      <c r="J5910" t="str">
        <f t="shared" si="278"/>
        <v>High Risk</v>
      </c>
      <c r="K5910" s="3" t="str">
        <f t="shared" si="276"/>
        <v>0-1 Year</v>
      </c>
    </row>
    <row r="5911" spans="1:11" x14ac:dyDescent="0.3">
      <c r="A5911" t="s">
        <v>5928</v>
      </c>
      <c r="B5911" t="s">
        <v>14</v>
      </c>
      <c r="C5911" t="s">
        <v>30</v>
      </c>
      <c r="D5911" t="s">
        <v>16</v>
      </c>
      <c r="E5911">
        <v>19.5</v>
      </c>
      <c r="F5911">
        <v>59</v>
      </c>
      <c r="G5911">
        <v>1150.5</v>
      </c>
      <c r="H5911" t="s">
        <v>12</v>
      </c>
      <c r="I5911" t="str">
        <f t="shared" si="277"/>
        <v>Low Value</v>
      </c>
      <c r="J5911" t="str">
        <f t="shared" si="278"/>
        <v>Low Risk</v>
      </c>
      <c r="K5911" s="3" t="str">
        <f t="shared" si="276"/>
        <v>4+ Years</v>
      </c>
    </row>
    <row r="5912" spans="1:11" x14ac:dyDescent="0.3">
      <c r="A5912" t="s">
        <v>5929</v>
      </c>
      <c r="B5912" t="s">
        <v>14</v>
      </c>
      <c r="C5912" t="s">
        <v>30</v>
      </c>
      <c r="D5912" t="s">
        <v>20</v>
      </c>
      <c r="E5912">
        <v>65.55</v>
      </c>
      <c r="F5912">
        <v>67</v>
      </c>
      <c r="G5912">
        <v>4391.8499999999904</v>
      </c>
      <c r="H5912" t="s">
        <v>12</v>
      </c>
      <c r="I5912" t="str">
        <f t="shared" si="277"/>
        <v>Medium Value</v>
      </c>
      <c r="J5912" t="str">
        <f t="shared" si="278"/>
        <v>Low Risk</v>
      </c>
      <c r="K5912" s="3" t="str">
        <f t="shared" si="276"/>
        <v>4+ Years</v>
      </c>
    </row>
    <row r="5913" spans="1:11" x14ac:dyDescent="0.3">
      <c r="A5913" t="s">
        <v>5930</v>
      </c>
      <c r="B5913" t="s">
        <v>9</v>
      </c>
      <c r="C5913" t="s">
        <v>10</v>
      </c>
      <c r="D5913" t="s">
        <v>11</v>
      </c>
      <c r="E5913">
        <v>78.8</v>
      </c>
      <c r="F5913">
        <v>26</v>
      </c>
      <c r="G5913">
        <v>2048.7999999999902</v>
      </c>
      <c r="H5913" t="s">
        <v>12</v>
      </c>
      <c r="I5913" t="str">
        <f t="shared" si="277"/>
        <v>Medium Value</v>
      </c>
      <c r="J5913" t="str">
        <f t="shared" si="278"/>
        <v>Low Risk</v>
      </c>
      <c r="K5913" s="3" t="str">
        <f t="shared" si="276"/>
        <v>2-4 Years</v>
      </c>
    </row>
    <row r="5914" spans="1:11" x14ac:dyDescent="0.3">
      <c r="A5914" t="s">
        <v>5931</v>
      </c>
      <c r="B5914" t="s">
        <v>9</v>
      </c>
      <c r="C5914" t="s">
        <v>15</v>
      </c>
      <c r="D5914" t="s">
        <v>16</v>
      </c>
      <c r="E5914">
        <v>78.2</v>
      </c>
      <c r="F5914">
        <v>27</v>
      </c>
      <c r="G5914">
        <v>2111.4</v>
      </c>
      <c r="H5914" t="s">
        <v>12</v>
      </c>
      <c r="I5914" t="str">
        <f t="shared" si="277"/>
        <v>Medium Value</v>
      </c>
      <c r="J5914" t="str">
        <f t="shared" si="278"/>
        <v>Low Risk</v>
      </c>
      <c r="K5914" s="3" t="str">
        <f t="shared" si="276"/>
        <v>2-4 Years</v>
      </c>
    </row>
    <row r="5915" spans="1:11" x14ac:dyDescent="0.3">
      <c r="A5915" t="s">
        <v>5932</v>
      </c>
      <c r="B5915" t="s">
        <v>14</v>
      </c>
      <c r="C5915" t="s">
        <v>30</v>
      </c>
      <c r="D5915" t="s">
        <v>20</v>
      </c>
      <c r="E5915">
        <v>105.25</v>
      </c>
      <c r="F5915">
        <v>72</v>
      </c>
      <c r="G5915">
        <v>7578</v>
      </c>
      <c r="H5915" t="s">
        <v>12</v>
      </c>
      <c r="I5915" t="str">
        <f t="shared" si="277"/>
        <v>High Value</v>
      </c>
      <c r="J5915" t="str">
        <f t="shared" si="278"/>
        <v>Low Risk</v>
      </c>
      <c r="K5915" s="3" t="str">
        <f t="shared" si="276"/>
        <v>4+ Years</v>
      </c>
    </row>
    <row r="5916" spans="1:11" x14ac:dyDescent="0.3">
      <c r="A5916" t="s">
        <v>5933</v>
      </c>
      <c r="B5916" t="s">
        <v>9</v>
      </c>
      <c r="C5916" t="s">
        <v>10</v>
      </c>
      <c r="D5916" t="s">
        <v>11</v>
      </c>
      <c r="E5916">
        <v>89.25</v>
      </c>
      <c r="F5916">
        <v>6</v>
      </c>
      <c r="G5916">
        <v>535.5</v>
      </c>
      <c r="H5916" t="s">
        <v>12</v>
      </c>
      <c r="I5916" t="str">
        <f t="shared" si="277"/>
        <v>Low Value</v>
      </c>
      <c r="J5916" t="str">
        <f t="shared" si="278"/>
        <v>High Risk</v>
      </c>
      <c r="K5916" s="3" t="str">
        <f t="shared" si="276"/>
        <v>0-1 Year</v>
      </c>
    </row>
    <row r="5917" spans="1:11" x14ac:dyDescent="0.3">
      <c r="A5917" t="s">
        <v>5934</v>
      </c>
      <c r="B5917" t="s">
        <v>14</v>
      </c>
      <c r="C5917" t="s">
        <v>30</v>
      </c>
      <c r="D5917" t="s">
        <v>24</v>
      </c>
      <c r="E5917">
        <v>20.65</v>
      </c>
      <c r="F5917">
        <v>62</v>
      </c>
      <c r="G5917">
        <v>1280.3</v>
      </c>
      <c r="H5917" t="s">
        <v>12</v>
      </c>
      <c r="I5917" t="str">
        <f t="shared" si="277"/>
        <v>Low Value</v>
      </c>
      <c r="J5917" t="str">
        <f t="shared" si="278"/>
        <v>Low Risk</v>
      </c>
      <c r="K5917" s="3" t="str">
        <f t="shared" si="276"/>
        <v>4+ Years</v>
      </c>
    </row>
    <row r="5918" spans="1:11" x14ac:dyDescent="0.3">
      <c r="A5918" t="s">
        <v>5935</v>
      </c>
      <c r="B5918" t="s">
        <v>14</v>
      </c>
      <c r="C5918" t="s">
        <v>15</v>
      </c>
      <c r="D5918" t="s">
        <v>11</v>
      </c>
      <c r="E5918">
        <v>68.7</v>
      </c>
      <c r="F5918">
        <v>20</v>
      </c>
      <c r="G5918">
        <v>1374</v>
      </c>
      <c r="H5918" t="s">
        <v>12</v>
      </c>
      <c r="I5918" t="str">
        <f t="shared" si="277"/>
        <v>Low Value</v>
      </c>
      <c r="J5918" t="str">
        <f t="shared" si="278"/>
        <v>Medium Risk</v>
      </c>
      <c r="K5918" s="3" t="str">
        <f t="shared" si="276"/>
        <v>1-2 Years</v>
      </c>
    </row>
    <row r="5919" spans="1:11" x14ac:dyDescent="0.3">
      <c r="A5919" t="s">
        <v>5936</v>
      </c>
      <c r="B5919" t="s">
        <v>14</v>
      </c>
      <c r="C5919" t="s">
        <v>10</v>
      </c>
      <c r="D5919" t="s">
        <v>24</v>
      </c>
      <c r="E5919">
        <v>78.650000000000006</v>
      </c>
      <c r="F5919">
        <v>6</v>
      </c>
      <c r="G5919">
        <v>471.9</v>
      </c>
      <c r="H5919" t="s">
        <v>12</v>
      </c>
      <c r="I5919" t="str">
        <f t="shared" si="277"/>
        <v>Low Value</v>
      </c>
      <c r="J5919" t="str">
        <f t="shared" si="278"/>
        <v>High Risk</v>
      </c>
      <c r="K5919" s="3" t="str">
        <f t="shared" si="276"/>
        <v>0-1 Year</v>
      </c>
    </row>
    <row r="5920" spans="1:11" x14ac:dyDescent="0.3">
      <c r="A5920" t="s">
        <v>5937</v>
      </c>
      <c r="B5920" t="s">
        <v>14</v>
      </c>
      <c r="C5920" t="s">
        <v>30</v>
      </c>
      <c r="D5920" t="s">
        <v>16</v>
      </c>
      <c r="E5920">
        <v>24.75</v>
      </c>
      <c r="F5920">
        <v>51</v>
      </c>
      <c r="G5920">
        <v>1262.25</v>
      </c>
      <c r="H5920" t="s">
        <v>12</v>
      </c>
      <c r="I5920" t="str">
        <f t="shared" si="277"/>
        <v>Low Value</v>
      </c>
      <c r="J5920" t="str">
        <f t="shared" si="278"/>
        <v>Low Risk</v>
      </c>
      <c r="K5920" s="3" t="str">
        <f t="shared" si="276"/>
        <v>4+ Years</v>
      </c>
    </row>
    <row r="5921" spans="1:11" x14ac:dyDescent="0.3">
      <c r="A5921" t="s">
        <v>5938</v>
      </c>
      <c r="B5921" t="s">
        <v>9</v>
      </c>
      <c r="C5921" t="s">
        <v>30</v>
      </c>
      <c r="D5921" t="s">
        <v>24</v>
      </c>
      <c r="E5921">
        <v>19.75</v>
      </c>
      <c r="F5921">
        <v>61</v>
      </c>
      <c r="G5921">
        <v>1204.75</v>
      </c>
      <c r="H5921" t="s">
        <v>12</v>
      </c>
      <c r="I5921" t="str">
        <f t="shared" si="277"/>
        <v>Low Value</v>
      </c>
      <c r="J5921" t="str">
        <f t="shared" si="278"/>
        <v>Low Risk</v>
      </c>
      <c r="K5921" s="3" t="str">
        <f t="shared" si="276"/>
        <v>4+ Years</v>
      </c>
    </row>
    <row r="5922" spans="1:11" x14ac:dyDescent="0.3">
      <c r="A5922" t="s">
        <v>5939</v>
      </c>
      <c r="B5922" t="s">
        <v>14</v>
      </c>
      <c r="C5922" t="s">
        <v>10</v>
      </c>
      <c r="D5922" t="s">
        <v>11</v>
      </c>
      <c r="E5922">
        <v>89.1</v>
      </c>
      <c r="F5922">
        <v>62</v>
      </c>
      <c r="G5922">
        <v>5524.2</v>
      </c>
      <c r="H5922" t="s">
        <v>12</v>
      </c>
      <c r="I5922" t="str">
        <f t="shared" si="277"/>
        <v>High Value</v>
      </c>
      <c r="J5922" t="str">
        <f t="shared" si="278"/>
        <v>Low Risk</v>
      </c>
      <c r="K5922" s="3" t="str">
        <f t="shared" si="276"/>
        <v>4+ Years</v>
      </c>
    </row>
    <row r="5923" spans="1:11" x14ac:dyDescent="0.3">
      <c r="A5923" t="s">
        <v>5940</v>
      </c>
      <c r="B5923" t="s">
        <v>9</v>
      </c>
      <c r="C5923" t="s">
        <v>30</v>
      </c>
      <c r="D5923" t="s">
        <v>20</v>
      </c>
      <c r="E5923">
        <v>84.7</v>
      </c>
      <c r="F5923">
        <v>72</v>
      </c>
      <c r="G5923">
        <v>6098.4</v>
      </c>
      <c r="H5923" t="s">
        <v>12</v>
      </c>
      <c r="I5923" t="str">
        <f t="shared" si="277"/>
        <v>High Value</v>
      </c>
      <c r="J5923" t="str">
        <f t="shared" si="278"/>
        <v>Low Risk</v>
      </c>
      <c r="K5923" s="3" t="str">
        <f t="shared" si="276"/>
        <v>4+ Years</v>
      </c>
    </row>
    <row r="5924" spans="1:11" x14ac:dyDescent="0.3">
      <c r="A5924" t="s">
        <v>5941</v>
      </c>
      <c r="B5924" t="s">
        <v>14</v>
      </c>
      <c r="C5924" t="s">
        <v>10</v>
      </c>
      <c r="D5924" t="s">
        <v>11</v>
      </c>
      <c r="E5924">
        <v>98</v>
      </c>
      <c r="F5924">
        <v>13</v>
      </c>
      <c r="G5924">
        <v>1274</v>
      </c>
      <c r="H5924" t="s">
        <v>18</v>
      </c>
      <c r="I5924" t="str">
        <f t="shared" si="277"/>
        <v>Low Value</v>
      </c>
      <c r="J5924" t="str">
        <f t="shared" si="278"/>
        <v>Medium Risk</v>
      </c>
      <c r="K5924" s="3" t="str">
        <f t="shared" si="276"/>
        <v>1-2 Years</v>
      </c>
    </row>
    <row r="5925" spans="1:11" x14ac:dyDescent="0.3">
      <c r="A5925" t="s">
        <v>5942</v>
      </c>
      <c r="B5925" t="s">
        <v>14</v>
      </c>
      <c r="C5925" t="s">
        <v>10</v>
      </c>
      <c r="D5925" t="s">
        <v>11</v>
      </c>
      <c r="E5925">
        <v>94.45</v>
      </c>
      <c r="F5925">
        <v>5</v>
      </c>
      <c r="G5925">
        <v>472.25</v>
      </c>
      <c r="H5925" t="s">
        <v>18</v>
      </c>
      <c r="I5925" t="str">
        <f t="shared" si="277"/>
        <v>Low Value</v>
      </c>
      <c r="J5925" t="str">
        <f t="shared" si="278"/>
        <v>High Risk</v>
      </c>
      <c r="K5925" s="3" t="str">
        <f t="shared" si="276"/>
        <v>0-1 Year</v>
      </c>
    </row>
    <row r="5926" spans="1:11" x14ac:dyDescent="0.3">
      <c r="A5926" t="s">
        <v>5943</v>
      </c>
      <c r="B5926" t="s">
        <v>14</v>
      </c>
      <c r="C5926" t="s">
        <v>10</v>
      </c>
      <c r="D5926" t="s">
        <v>11</v>
      </c>
      <c r="E5926">
        <v>105</v>
      </c>
      <c r="F5926">
        <v>3</v>
      </c>
      <c r="G5926">
        <v>315</v>
      </c>
      <c r="H5926" t="s">
        <v>18</v>
      </c>
      <c r="I5926" t="str">
        <f t="shared" si="277"/>
        <v>Low Value</v>
      </c>
      <c r="J5926" t="str">
        <f t="shared" si="278"/>
        <v>High Risk</v>
      </c>
      <c r="K5926" s="3" t="str">
        <f t="shared" si="276"/>
        <v>0-1 Year</v>
      </c>
    </row>
    <row r="5927" spans="1:11" x14ac:dyDescent="0.3">
      <c r="A5927" t="s">
        <v>5944</v>
      </c>
      <c r="B5927" t="s">
        <v>9</v>
      </c>
      <c r="C5927" t="s">
        <v>10</v>
      </c>
      <c r="D5927" t="s">
        <v>11</v>
      </c>
      <c r="E5927">
        <v>93.85</v>
      </c>
      <c r="F5927">
        <v>26</v>
      </c>
      <c r="G5927">
        <v>2440.1</v>
      </c>
      <c r="H5927" t="s">
        <v>18</v>
      </c>
      <c r="I5927" t="str">
        <f t="shared" si="277"/>
        <v>Medium Value</v>
      </c>
      <c r="J5927" t="str">
        <f t="shared" si="278"/>
        <v>Low Risk</v>
      </c>
      <c r="K5927" s="3" t="str">
        <f t="shared" si="276"/>
        <v>2-4 Years</v>
      </c>
    </row>
    <row r="5928" spans="1:11" x14ac:dyDescent="0.3">
      <c r="A5928" t="s">
        <v>5945</v>
      </c>
      <c r="B5928" t="s">
        <v>14</v>
      </c>
      <c r="C5928" t="s">
        <v>10</v>
      </c>
      <c r="D5928" t="s">
        <v>11</v>
      </c>
      <c r="E5928">
        <v>59.9</v>
      </c>
      <c r="F5928">
        <v>13</v>
      </c>
      <c r="G5928">
        <v>778.69999999999902</v>
      </c>
      <c r="H5928" t="s">
        <v>12</v>
      </c>
      <c r="I5928" t="str">
        <f t="shared" si="277"/>
        <v>Low Value</v>
      </c>
      <c r="J5928" t="str">
        <f t="shared" si="278"/>
        <v>Medium Risk</v>
      </c>
      <c r="K5928" s="3" t="str">
        <f t="shared" si="276"/>
        <v>1-2 Years</v>
      </c>
    </row>
    <row r="5929" spans="1:11" x14ac:dyDescent="0.3">
      <c r="A5929" t="s">
        <v>5946</v>
      </c>
      <c r="B5929" t="s">
        <v>9</v>
      </c>
      <c r="C5929" t="s">
        <v>30</v>
      </c>
      <c r="D5929" t="s">
        <v>16</v>
      </c>
      <c r="E5929">
        <v>19.95</v>
      </c>
      <c r="F5929">
        <v>38</v>
      </c>
      <c r="G5929">
        <v>758.1</v>
      </c>
      <c r="H5929" t="s">
        <v>12</v>
      </c>
      <c r="I5929" t="str">
        <f t="shared" si="277"/>
        <v>Low Value</v>
      </c>
      <c r="J5929" t="str">
        <f t="shared" si="278"/>
        <v>Low Risk</v>
      </c>
      <c r="K5929" s="3" t="str">
        <f t="shared" si="276"/>
        <v>2-4 Years</v>
      </c>
    </row>
    <row r="5930" spans="1:11" x14ac:dyDescent="0.3">
      <c r="A5930" t="s">
        <v>5947</v>
      </c>
      <c r="B5930" t="s">
        <v>9</v>
      </c>
      <c r="C5930" t="s">
        <v>10</v>
      </c>
      <c r="D5930" t="s">
        <v>11</v>
      </c>
      <c r="E5930">
        <v>84</v>
      </c>
      <c r="F5930">
        <v>8</v>
      </c>
      <c r="G5930">
        <v>672</v>
      </c>
      <c r="H5930" t="s">
        <v>18</v>
      </c>
      <c r="I5930" t="str">
        <f t="shared" si="277"/>
        <v>Low Value</v>
      </c>
      <c r="J5930" t="str">
        <f t="shared" si="278"/>
        <v>High Risk</v>
      </c>
      <c r="K5930" s="3" t="str">
        <f t="shared" si="276"/>
        <v>0-1 Year</v>
      </c>
    </row>
    <row r="5931" spans="1:11" x14ac:dyDescent="0.3">
      <c r="A5931" t="s">
        <v>5948</v>
      </c>
      <c r="B5931" t="s">
        <v>14</v>
      </c>
      <c r="C5931" t="s">
        <v>10</v>
      </c>
      <c r="D5931" t="s">
        <v>11</v>
      </c>
      <c r="E5931">
        <v>108.9</v>
      </c>
      <c r="F5931">
        <v>34</v>
      </c>
      <c r="G5931">
        <v>3702.6</v>
      </c>
      <c r="H5931" t="s">
        <v>12</v>
      </c>
      <c r="I5931" t="str">
        <f t="shared" si="277"/>
        <v>Medium Value</v>
      </c>
      <c r="J5931" t="str">
        <f t="shared" si="278"/>
        <v>Low Risk</v>
      </c>
      <c r="K5931" s="3" t="str">
        <f t="shared" si="276"/>
        <v>2-4 Years</v>
      </c>
    </row>
    <row r="5932" spans="1:11" x14ac:dyDescent="0.3">
      <c r="A5932" t="s">
        <v>5949</v>
      </c>
      <c r="B5932" t="s">
        <v>14</v>
      </c>
      <c r="C5932" t="s">
        <v>10</v>
      </c>
      <c r="D5932" t="s">
        <v>16</v>
      </c>
      <c r="E5932">
        <v>33.6</v>
      </c>
      <c r="F5932">
        <v>18</v>
      </c>
      <c r="G5932">
        <v>604.79999999999995</v>
      </c>
      <c r="H5932" t="s">
        <v>12</v>
      </c>
      <c r="I5932" t="str">
        <f t="shared" si="277"/>
        <v>Low Value</v>
      </c>
      <c r="J5932" t="str">
        <f t="shared" si="278"/>
        <v>Medium Risk</v>
      </c>
      <c r="K5932" s="3" t="str">
        <f t="shared" si="276"/>
        <v>1-2 Years</v>
      </c>
    </row>
    <row r="5933" spans="1:11" x14ac:dyDescent="0.3">
      <c r="A5933" t="s">
        <v>5950</v>
      </c>
      <c r="B5933" t="s">
        <v>14</v>
      </c>
      <c r="C5933" t="s">
        <v>15</v>
      </c>
      <c r="D5933" t="s">
        <v>16</v>
      </c>
      <c r="E5933">
        <v>85.85</v>
      </c>
      <c r="F5933">
        <v>56</v>
      </c>
      <c r="G5933">
        <v>4807.5999999999904</v>
      </c>
      <c r="H5933" t="s">
        <v>12</v>
      </c>
      <c r="I5933" t="str">
        <f t="shared" si="277"/>
        <v>Medium Value</v>
      </c>
      <c r="J5933" t="str">
        <f t="shared" si="278"/>
        <v>Low Risk</v>
      </c>
      <c r="K5933" s="3" t="str">
        <f t="shared" si="276"/>
        <v>4+ Years</v>
      </c>
    </row>
    <row r="5934" spans="1:11" x14ac:dyDescent="0.3">
      <c r="A5934" t="s">
        <v>5951</v>
      </c>
      <c r="B5934" t="s">
        <v>9</v>
      </c>
      <c r="C5934" t="s">
        <v>10</v>
      </c>
      <c r="D5934" t="s">
        <v>20</v>
      </c>
      <c r="E5934">
        <v>34.85</v>
      </c>
      <c r="F5934">
        <v>36</v>
      </c>
      <c r="G5934">
        <v>1254.5999999999999</v>
      </c>
      <c r="H5934" t="s">
        <v>12</v>
      </c>
      <c r="I5934" t="str">
        <f t="shared" si="277"/>
        <v>Low Value</v>
      </c>
      <c r="J5934" t="str">
        <f t="shared" si="278"/>
        <v>Low Risk</v>
      </c>
      <c r="K5934" s="3" t="str">
        <f t="shared" si="276"/>
        <v>2-4 Years</v>
      </c>
    </row>
    <row r="5935" spans="1:11" x14ac:dyDescent="0.3">
      <c r="A5935" t="s">
        <v>5952</v>
      </c>
      <c r="B5935" t="s">
        <v>9</v>
      </c>
      <c r="C5935" t="s">
        <v>10</v>
      </c>
      <c r="D5935" t="s">
        <v>11</v>
      </c>
      <c r="E5935">
        <v>48.75</v>
      </c>
      <c r="F5935">
        <v>9</v>
      </c>
      <c r="G5935">
        <v>438.75</v>
      </c>
      <c r="H5935" t="s">
        <v>18</v>
      </c>
      <c r="I5935" t="str">
        <f t="shared" si="277"/>
        <v>Low Value</v>
      </c>
      <c r="J5935" t="str">
        <f t="shared" si="278"/>
        <v>High Risk</v>
      </c>
      <c r="K5935" s="3" t="str">
        <f t="shared" si="276"/>
        <v>0-1 Year</v>
      </c>
    </row>
    <row r="5936" spans="1:11" x14ac:dyDescent="0.3">
      <c r="A5936" t="s">
        <v>5953</v>
      </c>
      <c r="B5936" t="s">
        <v>14</v>
      </c>
      <c r="C5936" t="s">
        <v>10</v>
      </c>
      <c r="D5936" t="s">
        <v>11</v>
      </c>
      <c r="E5936">
        <v>84.85</v>
      </c>
      <c r="F5936">
        <v>1</v>
      </c>
      <c r="G5936">
        <v>84.85</v>
      </c>
      <c r="H5936" t="s">
        <v>18</v>
      </c>
      <c r="I5936" t="str">
        <f t="shared" si="277"/>
        <v>Low Value</v>
      </c>
      <c r="J5936" t="str">
        <f t="shared" si="278"/>
        <v>High Risk</v>
      </c>
      <c r="K5936" s="3" t="str">
        <f t="shared" si="276"/>
        <v>0-1 Year</v>
      </c>
    </row>
    <row r="5937" spans="1:11" x14ac:dyDescent="0.3">
      <c r="A5937" t="s">
        <v>5954</v>
      </c>
      <c r="B5937" t="s">
        <v>14</v>
      </c>
      <c r="C5937" t="s">
        <v>10</v>
      </c>
      <c r="D5937" t="s">
        <v>16</v>
      </c>
      <c r="E5937">
        <v>56.65</v>
      </c>
      <c r="F5937">
        <v>12</v>
      </c>
      <c r="G5937">
        <v>679.8</v>
      </c>
      <c r="H5937" t="s">
        <v>18</v>
      </c>
      <c r="I5937" t="str">
        <f t="shared" si="277"/>
        <v>Low Value</v>
      </c>
      <c r="J5937" t="str">
        <f t="shared" si="278"/>
        <v>Medium Risk</v>
      </c>
      <c r="K5937" s="3" t="str">
        <f t="shared" si="276"/>
        <v>0-1 Year</v>
      </c>
    </row>
    <row r="5938" spans="1:11" x14ac:dyDescent="0.3">
      <c r="A5938" t="s">
        <v>5955</v>
      </c>
      <c r="B5938" t="s">
        <v>9</v>
      </c>
      <c r="C5938" t="s">
        <v>10</v>
      </c>
      <c r="D5938" t="s">
        <v>24</v>
      </c>
      <c r="E5938">
        <v>95.3</v>
      </c>
      <c r="F5938">
        <v>57</v>
      </c>
      <c r="G5938">
        <v>5432.0999999999904</v>
      </c>
      <c r="H5938" t="s">
        <v>12</v>
      </c>
      <c r="I5938" t="str">
        <f t="shared" si="277"/>
        <v>High Value</v>
      </c>
      <c r="J5938" t="str">
        <f t="shared" si="278"/>
        <v>Low Risk</v>
      </c>
      <c r="K5938" s="3" t="str">
        <f t="shared" si="276"/>
        <v>4+ Years</v>
      </c>
    </row>
    <row r="5939" spans="1:11" x14ac:dyDescent="0.3">
      <c r="A5939" t="s">
        <v>5956</v>
      </c>
      <c r="B5939" t="s">
        <v>9</v>
      </c>
      <c r="C5939" t="s">
        <v>15</v>
      </c>
      <c r="D5939" t="s">
        <v>24</v>
      </c>
      <c r="E5939">
        <v>73.900000000000006</v>
      </c>
      <c r="F5939">
        <v>42</v>
      </c>
      <c r="G5939">
        <v>3103.8</v>
      </c>
      <c r="H5939" t="s">
        <v>18</v>
      </c>
      <c r="I5939" t="str">
        <f t="shared" si="277"/>
        <v>Medium Value</v>
      </c>
      <c r="J5939" t="str">
        <f t="shared" si="278"/>
        <v>Low Risk</v>
      </c>
      <c r="K5939" s="3" t="str">
        <f t="shared" si="276"/>
        <v>2-4 Years</v>
      </c>
    </row>
    <row r="5940" spans="1:11" x14ac:dyDescent="0.3">
      <c r="A5940" t="s">
        <v>5957</v>
      </c>
      <c r="B5940" t="s">
        <v>9</v>
      </c>
      <c r="C5940" t="s">
        <v>30</v>
      </c>
      <c r="D5940" t="s">
        <v>16</v>
      </c>
      <c r="E5940">
        <v>24.5</v>
      </c>
      <c r="F5940">
        <v>33</v>
      </c>
      <c r="G5940">
        <v>808.5</v>
      </c>
      <c r="H5940" t="s">
        <v>18</v>
      </c>
      <c r="I5940" t="str">
        <f t="shared" si="277"/>
        <v>Low Value</v>
      </c>
      <c r="J5940" t="str">
        <f t="shared" si="278"/>
        <v>Low Risk</v>
      </c>
      <c r="K5940" s="3" t="str">
        <f t="shared" si="276"/>
        <v>2-4 Years</v>
      </c>
    </row>
    <row r="5941" spans="1:11" x14ac:dyDescent="0.3">
      <c r="A5941" t="s">
        <v>5958</v>
      </c>
      <c r="B5941" t="s">
        <v>14</v>
      </c>
      <c r="C5941" t="s">
        <v>30</v>
      </c>
      <c r="D5941" t="s">
        <v>20</v>
      </c>
      <c r="E5941">
        <v>84.6</v>
      </c>
      <c r="F5941">
        <v>70</v>
      </c>
      <c r="G5941">
        <v>5922</v>
      </c>
      <c r="H5941" t="s">
        <v>12</v>
      </c>
      <c r="I5941" t="str">
        <f t="shared" si="277"/>
        <v>High Value</v>
      </c>
      <c r="J5941" t="str">
        <f t="shared" si="278"/>
        <v>Low Risk</v>
      </c>
      <c r="K5941" s="3" t="str">
        <f t="shared" si="276"/>
        <v>4+ Years</v>
      </c>
    </row>
    <row r="5942" spans="1:11" x14ac:dyDescent="0.3">
      <c r="A5942" t="s">
        <v>5959</v>
      </c>
      <c r="B5942" t="s">
        <v>9</v>
      </c>
      <c r="C5942" t="s">
        <v>10</v>
      </c>
      <c r="D5942" t="s">
        <v>11</v>
      </c>
      <c r="E5942">
        <v>44.95</v>
      </c>
      <c r="F5942">
        <v>68</v>
      </c>
      <c r="G5942">
        <v>3056.6</v>
      </c>
      <c r="H5942" t="s">
        <v>12</v>
      </c>
      <c r="I5942" t="str">
        <f t="shared" si="277"/>
        <v>Medium Value</v>
      </c>
      <c r="J5942" t="str">
        <f t="shared" si="278"/>
        <v>Low Risk</v>
      </c>
      <c r="K5942" s="3" t="str">
        <f t="shared" si="276"/>
        <v>4+ Years</v>
      </c>
    </row>
    <row r="5943" spans="1:11" x14ac:dyDescent="0.3">
      <c r="A5943" t="s">
        <v>5960</v>
      </c>
      <c r="B5943" t="s">
        <v>14</v>
      </c>
      <c r="C5943" t="s">
        <v>10</v>
      </c>
      <c r="D5943" t="s">
        <v>11</v>
      </c>
      <c r="E5943">
        <v>24.7</v>
      </c>
      <c r="F5943">
        <v>1</v>
      </c>
      <c r="G5943">
        <v>24.7</v>
      </c>
      <c r="H5943" t="s">
        <v>12</v>
      </c>
      <c r="I5943" t="str">
        <f t="shared" si="277"/>
        <v>Low Value</v>
      </c>
      <c r="J5943" t="str">
        <f t="shared" si="278"/>
        <v>High Risk</v>
      </c>
      <c r="K5943" s="3" t="str">
        <f t="shared" si="276"/>
        <v>0-1 Year</v>
      </c>
    </row>
    <row r="5944" spans="1:11" x14ac:dyDescent="0.3">
      <c r="A5944" t="s">
        <v>5961</v>
      </c>
      <c r="B5944" t="s">
        <v>9</v>
      </c>
      <c r="C5944" t="s">
        <v>10</v>
      </c>
      <c r="D5944" t="s">
        <v>24</v>
      </c>
      <c r="E5944">
        <v>100.3</v>
      </c>
      <c r="F5944">
        <v>37</v>
      </c>
      <c r="G5944">
        <v>3711.1</v>
      </c>
      <c r="H5944" t="s">
        <v>12</v>
      </c>
      <c r="I5944" t="str">
        <f t="shared" si="277"/>
        <v>Medium Value</v>
      </c>
      <c r="J5944" t="str">
        <f t="shared" si="278"/>
        <v>Low Risk</v>
      </c>
      <c r="K5944" s="3" t="str">
        <f t="shared" si="276"/>
        <v>2-4 Years</v>
      </c>
    </row>
    <row r="5945" spans="1:11" x14ac:dyDescent="0.3">
      <c r="A5945" t="s">
        <v>5962</v>
      </c>
      <c r="B5945" t="s">
        <v>9</v>
      </c>
      <c r="C5945" t="s">
        <v>10</v>
      </c>
      <c r="D5945" t="s">
        <v>16</v>
      </c>
      <c r="E5945">
        <v>25.45</v>
      </c>
      <c r="F5945">
        <v>4</v>
      </c>
      <c r="G5945">
        <v>101.8</v>
      </c>
      <c r="H5945" t="s">
        <v>12</v>
      </c>
      <c r="I5945" t="str">
        <f t="shared" si="277"/>
        <v>Low Value</v>
      </c>
      <c r="J5945" t="str">
        <f t="shared" si="278"/>
        <v>High Risk</v>
      </c>
      <c r="K5945" s="3" t="str">
        <f t="shared" si="276"/>
        <v>0-1 Year</v>
      </c>
    </row>
    <row r="5946" spans="1:11" x14ac:dyDescent="0.3">
      <c r="A5946" t="s">
        <v>5963</v>
      </c>
      <c r="B5946" t="s">
        <v>14</v>
      </c>
      <c r="C5946" t="s">
        <v>10</v>
      </c>
      <c r="D5946" t="s">
        <v>16</v>
      </c>
      <c r="E5946">
        <v>50.7</v>
      </c>
      <c r="F5946">
        <v>1</v>
      </c>
      <c r="G5946">
        <v>50.7</v>
      </c>
      <c r="H5946" t="s">
        <v>12</v>
      </c>
      <c r="I5946" t="str">
        <f t="shared" si="277"/>
        <v>Low Value</v>
      </c>
      <c r="J5946" t="str">
        <f t="shared" si="278"/>
        <v>High Risk</v>
      </c>
      <c r="K5946" s="3" t="str">
        <f t="shared" si="276"/>
        <v>0-1 Year</v>
      </c>
    </row>
    <row r="5947" spans="1:11" x14ac:dyDescent="0.3">
      <c r="A5947" t="s">
        <v>5964</v>
      </c>
      <c r="B5947" t="s">
        <v>14</v>
      </c>
      <c r="C5947" t="s">
        <v>10</v>
      </c>
      <c r="D5947" t="s">
        <v>24</v>
      </c>
      <c r="E5947">
        <v>55</v>
      </c>
      <c r="F5947">
        <v>20</v>
      </c>
      <c r="G5947">
        <v>1100</v>
      </c>
      <c r="H5947" t="s">
        <v>12</v>
      </c>
      <c r="I5947" t="str">
        <f t="shared" si="277"/>
        <v>Low Value</v>
      </c>
      <c r="J5947" t="str">
        <f t="shared" si="278"/>
        <v>Medium Risk</v>
      </c>
      <c r="K5947" s="3" t="str">
        <f t="shared" si="276"/>
        <v>1-2 Years</v>
      </c>
    </row>
    <row r="5948" spans="1:11" x14ac:dyDescent="0.3">
      <c r="A5948" t="s">
        <v>5965</v>
      </c>
      <c r="B5948" t="s">
        <v>14</v>
      </c>
      <c r="C5948" t="s">
        <v>30</v>
      </c>
      <c r="D5948" t="s">
        <v>20</v>
      </c>
      <c r="E5948">
        <v>68.400000000000006</v>
      </c>
      <c r="F5948">
        <v>72</v>
      </c>
      <c r="G5948">
        <v>4924.8</v>
      </c>
      <c r="H5948" t="s">
        <v>12</v>
      </c>
      <c r="I5948" t="str">
        <f t="shared" si="277"/>
        <v>Medium Value</v>
      </c>
      <c r="J5948" t="str">
        <f t="shared" si="278"/>
        <v>Low Risk</v>
      </c>
      <c r="K5948" s="3" t="str">
        <f t="shared" si="276"/>
        <v>4+ Years</v>
      </c>
    </row>
    <row r="5949" spans="1:11" x14ac:dyDescent="0.3">
      <c r="A5949" t="s">
        <v>5966</v>
      </c>
      <c r="B5949" t="s">
        <v>9</v>
      </c>
      <c r="C5949" t="s">
        <v>10</v>
      </c>
      <c r="D5949" t="s">
        <v>11</v>
      </c>
      <c r="E5949">
        <v>89.9</v>
      </c>
      <c r="F5949">
        <v>31</v>
      </c>
      <c r="G5949">
        <v>2786.9</v>
      </c>
      <c r="H5949" t="s">
        <v>18</v>
      </c>
      <c r="I5949" t="str">
        <f t="shared" si="277"/>
        <v>Medium Value</v>
      </c>
      <c r="J5949" t="str">
        <f t="shared" si="278"/>
        <v>Low Risk</v>
      </c>
      <c r="K5949" s="3" t="str">
        <f t="shared" si="276"/>
        <v>2-4 Years</v>
      </c>
    </row>
    <row r="5950" spans="1:11" x14ac:dyDescent="0.3">
      <c r="A5950" t="s">
        <v>5967</v>
      </c>
      <c r="B5950" t="s">
        <v>14</v>
      </c>
      <c r="C5950" t="s">
        <v>10</v>
      </c>
      <c r="D5950" t="s">
        <v>11</v>
      </c>
      <c r="E5950">
        <v>78.55</v>
      </c>
      <c r="F5950">
        <v>18</v>
      </c>
      <c r="G5950">
        <v>1413.8999999999901</v>
      </c>
      <c r="H5950" t="s">
        <v>18</v>
      </c>
      <c r="I5950" t="str">
        <f t="shared" si="277"/>
        <v>Low Value</v>
      </c>
      <c r="J5950" t="str">
        <f t="shared" si="278"/>
        <v>Medium Risk</v>
      </c>
      <c r="K5950" s="3" t="str">
        <f t="shared" si="276"/>
        <v>1-2 Years</v>
      </c>
    </row>
    <row r="5951" spans="1:11" x14ac:dyDescent="0.3">
      <c r="A5951" t="s">
        <v>5968</v>
      </c>
      <c r="B5951" t="s">
        <v>14</v>
      </c>
      <c r="C5951" t="s">
        <v>10</v>
      </c>
      <c r="D5951" t="s">
        <v>20</v>
      </c>
      <c r="E5951">
        <v>55.05</v>
      </c>
      <c r="F5951">
        <v>11</v>
      </c>
      <c r="G5951">
        <v>605.54999999999995</v>
      </c>
      <c r="H5951" t="s">
        <v>12</v>
      </c>
      <c r="I5951" t="str">
        <f t="shared" si="277"/>
        <v>Low Value</v>
      </c>
      <c r="J5951" t="str">
        <f t="shared" si="278"/>
        <v>High Risk</v>
      </c>
      <c r="K5951" s="3" t="str">
        <f t="shared" si="276"/>
        <v>0-1 Year</v>
      </c>
    </row>
    <row r="5952" spans="1:11" x14ac:dyDescent="0.3">
      <c r="A5952" t="s">
        <v>5969</v>
      </c>
      <c r="B5952" t="s">
        <v>9</v>
      </c>
      <c r="C5952" t="s">
        <v>30</v>
      </c>
      <c r="D5952" t="s">
        <v>24</v>
      </c>
      <c r="E5952">
        <v>19.8</v>
      </c>
      <c r="F5952">
        <v>33</v>
      </c>
      <c r="G5952">
        <v>653.4</v>
      </c>
      <c r="H5952" t="s">
        <v>12</v>
      </c>
      <c r="I5952" t="str">
        <f t="shared" si="277"/>
        <v>Low Value</v>
      </c>
      <c r="J5952" t="str">
        <f t="shared" si="278"/>
        <v>Low Risk</v>
      </c>
      <c r="K5952" s="3" t="str">
        <f t="shared" si="276"/>
        <v>2-4 Years</v>
      </c>
    </row>
    <row r="5953" spans="1:11" x14ac:dyDescent="0.3">
      <c r="A5953" t="s">
        <v>5970</v>
      </c>
      <c r="B5953" t="s">
        <v>9</v>
      </c>
      <c r="C5953" t="s">
        <v>15</v>
      </c>
      <c r="D5953" t="s">
        <v>11</v>
      </c>
      <c r="E5953">
        <v>84.45</v>
      </c>
      <c r="F5953">
        <v>62</v>
      </c>
      <c r="G5953">
        <v>5235.8999999999996</v>
      </c>
      <c r="H5953" t="s">
        <v>12</v>
      </c>
      <c r="I5953" t="str">
        <f t="shared" si="277"/>
        <v>High Value</v>
      </c>
      <c r="J5953" t="str">
        <f t="shared" si="278"/>
        <v>Low Risk</v>
      </c>
      <c r="K5953" s="3" t="str">
        <f t="shared" si="276"/>
        <v>4+ Years</v>
      </c>
    </row>
    <row r="5954" spans="1:11" x14ac:dyDescent="0.3">
      <c r="A5954" t="s">
        <v>5971</v>
      </c>
      <c r="B5954" t="s">
        <v>9</v>
      </c>
      <c r="C5954" t="s">
        <v>10</v>
      </c>
      <c r="D5954" t="s">
        <v>16</v>
      </c>
      <c r="E5954">
        <v>35.9</v>
      </c>
      <c r="F5954">
        <v>1</v>
      </c>
      <c r="G5954">
        <v>35.9</v>
      </c>
      <c r="H5954" t="s">
        <v>12</v>
      </c>
      <c r="I5954" t="str">
        <f t="shared" si="277"/>
        <v>Low Value</v>
      </c>
      <c r="J5954" t="str">
        <f t="shared" si="278"/>
        <v>High Risk</v>
      </c>
      <c r="K5954" s="3" t="str">
        <f t="shared" si="276"/>
        <v>0-1 Year</v>
      </c>
    </row>
    <row r="5955" spans="1:11" x14ac:dyDescent="0.3">
      <c r="A5955" t="s">
        <v>5972</v>
      </c>
      <c r="B5955" t="s">
        <v>14</v>
      </c>
      <c r="C5955" t="s">
        <v>10</v>
      </c>
      <c r="D5955" t="s">
        <v>20</v>
      </c>
      <c r="E5955">
        <v>80.75</v>
      </c>
      <c r="F5955">
        <v>16</v>
      </c>
      <c r="G5955">
        <v>1292</v>
      </c>
      <c r="H5955" t="s">
        <v>12</v>
      </c>
      <c r="I5955" t="str">
        <f t="shared" si="277"/>
        <v>Low Value</v>
      </c>
      <c r="J5955" t="str">
        <f t="shared" si="278"/>
        <v>Medium Risk</v>
      </c>
      <c r="K5955" s="3" t="str">
        <f t="shared" ref="K5955:K6018" si="279">IF(F5955&lt;=12,"0-1 Year",
IF(F5955&lt;=24,"1-2 Years",
IF(F5955&lt;=48,"2-4 Years","4+ Years")))</f>
        <v>1-2 Years</v>
      </c>
    </row>
    <row r="5956" spans="1:11" x14ac:dyDescent="0.3">
      <c r="A5956" t="s">
        <v>5973</v>
      </c>
      <c r="B5956" t="s">
        <v>14</v>
      </c>
      <c r="C5956" t="s">
        <v>15</v>
      </c>
      <c r="D5956" t="s">
        <v>16</v>
      </c>
      <c r="E5956">
        <v>78.650000000000006</v>
      </c>
      <c r="F5956">
        <v>22</v>
      </c>
      <c r="G5956">
        <v>1730.3</v>
      </c>
      <c r="H5956" t="s">
        <v>12</v>
      </c>
      <c r="I5956" t="str">
        <f t="shared" ref="I5956:I6019" si="280">IF(G5956&gt;5000,"High Value",
IF(G5956&gt;2000,"Medium Value","Low Value"))</f>
        <v>Low Value</v>
      </c>
      <c r="J5956" t="str">
        <f t="shared" ref="J5956:J6019" si="281">IF(F5956&lt;12,"High Risk",
IF(F5956&lt;24,"Medium Risk","Low Risk"))</f>
        <v>Medium Risk</v>
      </c>
      <c r="K5956" s="3" t="str">
        <f t="shared" si="279"/>
        <v>1-2 Years</v>
      </c>
    </row>
    <row r="5957" spans="1:11" x14ac:dyDescent="0.3">
      <c r="A5957" t="s">
        <v>5974</v>
      </c>
      <c r="B5957" t="s">
        <v>9</v>
      </c>
      <c r="C5957" t="s">
        <v>10</v>
      </c>
      <c r="D5957" t="s">
        <v>20</v>
      </c>
      <c r="E5957">
        <v>61.75</v>
      </c>
      <c r="F5957">
        <v>49</v>
      </c>
      <c r="G5957">
        <v>3025.75</v>
      </c>
      <c r="H5957" t="s">
        <v>12</v>
      </c>
      <c r="I5957" t="str">
        <f t="shared" si="280"/>
        <v>Medium Value</v>
      </c>
      <c r="J5957" t="str">
        <f t="shared" si="281"/>
        <v>Low Risk</v>
      </c>
      <c r="K5957" s="3" t="str">
        <f t="shared" si="279"/>
        <v>4+ Years</v>
      </c>
    </row>
    <row r="5958" spans="1:11" x14ac:dyDescent="0.3">
      <c r="A5958" t="s">
        <v>5975</v>
      </c>
      <c r="B5958" t="s">
        <v>14</v>
      </c>
      <c r="C5958" t="s">
        <v>15</v>
      </c>
      <c r="D5958" t="s">
        <v>24</v>
      </c>
      <c r="E5958">
        <v>63.7</v>
      </c>
      <c r="F5958">
        <v>36</v>
      </c>
      <c r="G5958">
        <v>2293.1999999999998</v>
      </c>
      <c r="H5958" t="s">
        <v>12</v>
      </c>
      <c r="I5958" t="str">
        <f t="shared" si="280"/>
        <v>Medium Value</v>
      </c>
      <c r="J5958" t="str">
        <f t="shared" si="281"/>
        <v>Low Risk</v>
      </c>
      <c r="K5958" s="3" t="str">
        <f t="shared" si="279"/>
        <v>2-4 Years</v>
      </c>
    </row>
    <row r="5959" spans="1:11" x14ac:dyDescent="0.3">
      <c r="A5959" t="s">
        <v>5976</v>
      </c>
      <c r="B5959" t="s">
        <v>14</v>
      </c>
      <c r="C5959" t="s">
        <v>10</v>
      </c>
      <c r="D5959" t="s">
        <v>11</v>
      </c>
      <c r="E5959">
        <v>99.45</v>
      </c>
      <c r="F5959">
        <v>42</v>
      </c>
      <c r="G5959">
        <v>4176.8999999999996</v>
      </c>
      <c r="H5959" t="s">
        <v>18</v>
      </c>
      <c r="I5959" t="str">
        <f t="shared" si="280"/>
        <v>Medium Value</v>
      </c>
      <c r="J5959" t="str">
        <f t="shared" si="281"/>
        <v>Low Risk</v>
      </c>
      <c r="K5959" s="3" t="str">
        <f t="shared" si="279"/>
        <v>2-4 Years</v>
      </c>
    </row>
    <row r="5960" spans="1:11" x14ac:dyDescent="0.3">
      <c r="A5960" t="s">
        <v>5977</v>
      </c>
      <c r="B5960" t="s">
        <v>14</v>
      </c>
      <c r="C5960" t="s">
        <v>10</v>
      </c>
      <c r="D5960" t="s">
        <v>20</v>
      </c>
      <c r="E5960">
        <v>25.2</v>
      </c>
      <c r="F5960">
        <v>4</v>
      </c>
      <c r="G5960">
        <v>100.8</v>
      </c>
      <c r="H5960" t="s">
        <v>18</v>
      </c>
      <c r="I5960" t="str">
        <f t="shared" si="280"/>
        <v>Low Value</v>
      </c>
      <c r="J5960" t="str">
        <f t="shared" si="281"/>
        <v>High Risk</v>
      </c>
      <c r="K5960" s="3" t="str">
        <f t="shared" si="279"/>
        <v>0-1 Year</v>
      </c>
    </row>
    <row r="5961" spans="1:11" x14ac:dyDescent="0.3">
      <c r="A5961" t="s">
        <v>5978</v>
      </c>
      <c r="B5961" t="s">
        <v>9</v>
      </c>
      <c r="C5961" t="s">
        <v>15</v>
      </c>
      <c r="D5961" t="s">
        <v>16</v>
      </c>
      <c r="E5961">
        <v>74.05</v>
      </c>
      <c r="F5961">
        <v>12</v>
      </c>
      <c r="G5961">
        <v>888.599999999999</v>
      </c>
      <c r="H5961" t="s">
        <v>18</v>
      </c>
      <c r="I5961" t="str">
        <f t="shared" si="280"/>
        <v>Low Value</v>
      </c>
      <c r="J5961" t="str">
        <f t="shared" si="281"/>
        <v>Medium Risk</v>
      </c>
      <c r="K5961" s="3" t="str">
        <f t="shared" si="279"/>
        <v>0-1 Year</v>
      </c>
    </row>
    <row r="5962" spans="1:11" x14ac:dyDescent="0.3">
      <c r="A5962" t="s">
        <v>5979</v>
      </c>
      <c r="B5962" t="s">
        <v>9</v>
      </c>
      <c r="C5962" t="s">
        <v>10</v>
      </c>
      <c r="D5962" t="s">
        <v>11</v>
      </c>
      <c r="E5962">
        <v>87.6</v>
      </c>
      <c r="F5962">
        <v>31</v>
      </c>
      <c r="G5962">
        <v>2715.6</v>
      </c>
      <c r="H5962" t="s">
        <v>12</v>
      </c>
      <c r="I5962" t="str">
        <f t="shared" si="280"/>
        <v>Medium Value</v>
      </c>
      <c r="J5962" t="str">
        <f t="shared" si="281"/>
        <v>Low Risk</v>
      </c>
      <c r="K5962" s="3" t="str">
        <f t="shared" si="279"/>
        <v>2-4 Years</v>
      </c>
    </row>
    <row r="5963" spans="1:11" x14ac:dyDescent="0.3">
      <c r="A5963" t="s">
        <v>5980</v>
      </c>
      <c r="B5963" t="s">
        <v>14</v>
      </c>
      <c r="C5963" t="s">
        <v>10</v>
      </c>
      <c r="D5963" t="s">
        <v>11</v>
      </c>
      <c r="E5963">
        <v>89.15</v>
      </c>
      <c r="F5963">
        <v>5</v>
      </c>
      <c r="G5963">
        <v>445.75</v>
      </c>
      <c r="H5963" t="s">
        <v>12</v>
      </c>
      <c r="I5963" t="str">
        <f t="shared" si="280"/>
        <v>Low Value</v>
      </c>
      <c r="J5963" t="str">
        <f t="shared" si="281"/>
        <v>High Risk</v>
      </c>
      <c r="K5963" s="3" t="str">
        <f t="shared" si="279"/>
        <v>0-1 Year</v>
      </c>
    </row>
    <row r="5964" spans="1:11" x14ac:dyDescent="0.3">
      <c r="A5964" t="s">
        <v>5981</v>
      </c>
      <c r="B5964" t="s">
        <v>14</v>
      </c>
      <c r="C5964" t="s">
        <v>30</v>
      </c>
      <c r="D5964" t="s">
        <v>24</v>
      </c>
      <c r="E5964">
        <v>20</v>
      </c>
      <c r="F5964">
        <v>66</v>
      </c>
      <c r="G5964">
        <v>1320</v>
      </c>
      <c r="H5964" t="s">
        <v>12</v>
      </c>
      <c r="I5964" t="str">
        <f t="shared" si="280"/>
        <v>Low Value</v>
      </c>
      <c r="J5964" t="str">
        <f t="shared" si="281"/>
        <v>Low Risk</v>
      </c>
      <c r="K5964" s="3" t="str">
        <f t="shared" si="279"/>
        <v>4+ Years</v>
      </c>
    </row>
    <row r="5965" spans="1:11" x14ac:dyDescent="0.3">
      <c r="A5965" t="s">
        <v>5982</v>
      </c>
      <c r="B5965" t="s">
        <v>9</v>
      </c>
      <c r="C5965" t="s">
        <v>10</v>
      </c>
      <c r="D5965" t="s">
        <v>24</v>
      </c>
      <c r="E5965">
        <v>55</v>
      </c>
      <c r="F5965">
        <v>15</v>
      </c>
      <c r="G5965">
        <v>825</v>
      </c>
      <c r="H5965" t="s">
        <v>18</v>
      </c>
      <c r="I5965" t="str">
        <f t="shared" si="280"/>
        <v>Low Value</v>
      </c>
      <c r="J5965" t="str">
        <f t="shared" si="281"/>
        <v>Medium Risk</v>
      </c>
      <c r="K5965" s="3" t="str">
        <f t="shared" si="279"/>
        <v>1-2 Years</v>
      </c>
    </row>
    <row r="5966" spans="1:11" x14ac:dyDescent="0.3">
      <c r="A5966" t="s">
        <v>5983</v>
      </c>
      <c r="B5966" t="s">
        <v>14</v>
      </c>
      <c r="C5966" t="s">
        <v>30</v>
      </c>
      <c r="D5966" t="s">
        <v>20</v>
      </c>
      <c r="E5966">
        <v>104.4</v>
      </c>
      <c r="F5966">
        <v>64</v>
      </c>
      <c r="G5966">
        <v>6681.6</v>
      </c>
      <c r="H5966" t="s">
        <v>12</v>
      </c>
      <c r="I5966" t="str">
        <f t="shared" si="280"/>
        <v>High Value</v>
      </c>
      <c r="J5966" t="str">
        <f t="shared" si="281"/>
        <v>Low Risk</v>
      </c>
      <c r="K5966" s="3" t="str">
        <f t="shared" si="279"/>
        <v>4+ Years</v>
      </c>
    </row>
    <row r="5967" spans="1:11" x14ac:dyDescent="0.3">
      <c r="A5967" t="s">
        <v>5984</v>
      </c>
      <c r="B5967" t="s">
        <v>14</v>
      </c>
      <c r="C5967" t="s">
        <v>10</v>
      </c>
      <c r="D5967" t="s">
        <v>24</v>
      </c>
      <c r="E5967">
        <v>20.05</v>
      </c>
      <c r="F5967">
        <v>10</v>
      </c>
      <c r="G5967">
        <v>200.5</v>
      </c>
      <c r="H5967" t="s">
        <v>12</v>
      </c>
      <c r="I5967" t="str">
        <f t="shared" si="280"/>
        <v>Low Value</v>
      </c>
      <c r="J5967" t="str">
        <f t="shared" si="281"/>
        <v>High Risk</v>
      </c>
      <c r="K5967" s="3" t="str">
        <f t="shared" si="279"/>
        <v>0-1 Year</v>
      </c>
    </row>
    <row r="5968" spans="1:11" x14ac:dyDescent="0.3">
      <c r="A5968" t="s">
        <v>5985</v>
      </c>
      <c r="B5968" t="s">
        <v>14</v>
      </c>
      <c r="C5968" t="s">
        <v>10</v>
      </c>
      <c r="D5968" t="s">
        <v>11</v>
      </c>
      <c r="E5968">
        <v>89.75</v>
      </c>
      <c r="F5968">
        <v>7</v>
      </c>
      <c r="G5968">
        <v>628.25</v>
      </c>
      <c r="H5968" t="s">
        <v>18</v>
      </c>
      <c r="I5968" t="str">
        <f t="shared" si="280"/>
        <v>Low Value</v>
      </c>
      <c r="J5968" t="str">
        <f t="shared" si="281"/>
        <v>High Risk</v>
      </c>
      <c r="K5968" s="3" t="str">
        <f t="shared" si="279"/>
        <v>0-1 Year</v>
      </c>
    </row>
    <row r="5969" spans="1:11" x14ac:dyDescent="0.3">
      <c r="A5969" t="s">
        <v>5986</v>
      </c>
      <c r="B5969" t="s">
        <v>14</v>
      </c>
      <c r="C5969" t="s">
        <v>10</v>
      </c>
      <c r="D5969" t="s">
        <v>11</v>
      </c>
      <c r="E5969">
        <v>34.299999999999997</v>
      </c>
      <c r="F5969">
        <v>29</v>
      </c>
      <c r="G5969">
        <v>994.69999999999902</v>
      </c>
      <c r="H5969" t="s">
        <v>12</v>
      </c>
      <c r="I5969" t="str">
        <f t="shared" si="280"/>
        <v>Low Value</v>
      </c>
      <c r="J5969" t="str">
        <f t="shared" si="281"/>
        <v>Low Risk</v>
      </c>
      <c r="K5969" s="3" t="str">
        <f t="shared" si="279"/>
        <v>2-4 Years</v>
      </c>
    </row>
    <row r="5970" spans="1:11" x14ac:dyDescent="0.3">
      <c r="A5970" t="s">
        <v>5987</v>
      </c>
      <c r="B5970" t="s">
        <v>14</v>
      </c>
      <c r="C5970" t="s">
        <v>30</v>
      </c>
      <c r="D5970" t="s">
        <v>20</v>
      </c>
      <c r="E5970">
        <v>20.65</v>
      </c>
      <c r="F5970">
        <v>57</v>
      </c>
      <c r="G5970">
        <v>1177.05</v>
      </c>
      <c r="H5970" t="s">
        <v>12</v>
      </c>
      <c r="I5970" t="str">
        <f t="shared" si="280"/>
        <v>Low Value</v>
      </c>
      <c r="J5970" t="str">
        <f t="shared" si="281"/>
        <v>Low Risk</v>
      </c>
      <c r="K5970" s="3" t="str">
        <f t="shared" si="279"/>
        <v>4+ Years</v>
      </c>
    </row>
    <row r="5971" spans="1:11" x14ac:dyDescent="0.3">
      <c r="A5971" t="s">
        <v>5988</v>
      </c>
      <c r="B5971" t="s">
        <v>9</v>
      </c>
      <c r="C5971" t="s">
        <v>10</v>
      </c>
      <c r="D5971" t="s">
        <v>16</v>
      </c>
      <c r="E5971">
        <v>84.25</v>
      </c>
      <c r="F5971">
        <v>46</v>
      </c>
      <c r="G5971">
        <v>3875.5</v>
      </c>
      <c r="H5971" t="s">
        <v>12</v>
      </c>
      <c r="I5971" t="str">
        <f t="shared" si="280"/>
        <v>Medium Value</v>
      </c>
      <c r="J5971" t="str">
        <f t="shared" si="281"/>
        <v>Low Risk</v>
      </c>
      <c r="K5971" s="3" t="str">
        <f t="shared" si="279"/>
        <v>2-4 Years</v>
      </c>
    </row>
    <row r="5972" spans="1:11" x14ac:dyDescent="0.3">
      <c r="A5972" t="s">
        <v>5989</v>
      </c>
      <c r="B5972" t="s">
        <v>14</v>
      </c>
      <c r="C5972" t="s">
        <v>30</v>
      </c>
      <c r="D5972" t="s">
        <v>20</v>
      </c>
      <c r="E5972">
        <v>19.649999999999999</v>
      </c>
      <c r="F5972">
        <v>53</v>
      </c>
      <c r="G5972">
        <v>1041.44999999999</v>
      </c>
      <c r="H5972" t="s">
        <v>12</v>
      </c>
      <c r="I5972" t="str">
        <f t="shared" si="280"/>
        <v>Low Value</v>
      </c>
      <c r="J5972" t="str">
        <f t="shared" si="281"/>
        <v>Low Risk</v>
      </c>
      <c r="K5972" s="3" t="str">
        <f t="shared" si="279"/>
        <v>4+ Years</v>
      </c>
    </row>
    <row r="5973" spans="1:11" x14ac:dyDescent="0.3">
      <c r="A5973" t="s">
        <v>5990</v>
      </c>
      <c r="B5973" t="s">
        <v>9</v>
      </c>
      <c r="C5973" t="s">
        <v>15</v>
      </c>
      <c r="D5973" t="s">
        <v>24</v>
      </c>
      <c r="E5973">
        <v>79.849999999999994</v>
      </c>
      <c r="F5973">
        <v>17</v>
      </c>
      <c r="G5973">
        <v>1357.44999999999</v>
      </c>
      <c r="H5973" t="s">
        <v>12</v>
      </c>
      <c r="I5973" t="str">
        <f t="shared" si="280"/>
        <v>Low Value</v>
      </c>
      <c r="J5973" t="str">
        <f t="shared" si="281"/>
        <v>Medium Risk</v>
      </c>
      <c r="K5973" s="3" t="str">
        <f t="shared" si="279"/>
        <v>1-2 Years</v>
      </c>
    </row>
    <row r="5974" spans="1:11" x14ac:dyDescent="0.3">
      <c r="A5974" t="s">
        <v>5991</v>
      </c>
      <c r="B5974" t="s">
        <v>9</v>
      </c>
      <c r="C5974" t="s">
        <v>30</v>
      </c>
      <c r="D5974" t="s">
        <v>16</v>
      </c>
      <c r="E5974">
        <v>20.2</v>
      </c>
      <c r="F5974">
        <v>38</v>
      </c>
      <c r="G5974">
        <v>767.6</v>
      </c>
      <c r="H5974" t="s">
        <v>12</v>
      </c>
      <c r="I5974" t="str">
        <f t="shared" si="280"/>
        <v>Low Value</v>
      </c>
      <c r="J5974" t="str">
        <f t="shared" si="281"/>
        <v>Low Risk</v>
      </c>
      <c r="K5974" s="3" t="str">
        <f t="shared" si="279"/>
        <v>2-4 Years</v>
      </c>
    </row>
    <row r="5975" spans="1:11" x14ac:dyDescent="0.3">
      <c r="A5975" t="s">
        <v>5992</v>
      </c>
      <c r="B5975" t="s">
        <v>14</v>
      </c>
      <c r="C5975" t="s">
        <v>15</v>
      </c>
      <c r="D5975" t="s">
        <v>16</v>
      </c>
      <c r="E5975">
        <v>19.8</v>
      </c>
      <c r="F5975">
        <v>15</v>
      </c>
      <c r="G5975">
        <v>297</v>
      </c>
      <c r="H5975" t="s">
        <v>12</v>
      </c>
      <c r="I5975" t="str">
        <f t="shared" si="280"/>
        <v>Low Value</v>
      </c>
      <c r="J5975" t="str">
        <f t="shared" si="281"/>
        <v>Medium Risk</v>
      </c>
      <c r="K5975" s="3" t="str">
        <f t="shared" si="279"/>
        <v>1-2 Years</v>
      </c>
    </row>
    <row r="5976" spans="1:11" x14ac:dyDescent="0.3">
      <c r="A5976" t="s">
        <v>5993</v>
      </c>
      <c r="B5976" t="s">
        <v>9</v>
      </c>
      <c r="C5976" t="s">
        <v>10</v>
      </c>
      <c r="D5976" t="s">
        <v>11</v>
      </c>
      <c r="E5976">
        <v>50.35</v>
      </c>
      <c r="F5976">
        <v>22</v>
      </c>
      <c r="G5976">
        <v>1107.7</v>
      </c>
      <c r="H5976" t="s">
        <v>12</v>
      </c>
      <c r="I5976" t="str">
        <f t="shared" si="280"/>
        <v>Low Value</v>
      </c>
      <c r="J5976" t="str">
        <f t="shared" si="281"/>
        <v>Medium Risk</v>
      </c>
      <c r="K5976" s="3" t="str">
        <f t="shared" si="279"/>
        <v>1-2 Years</v>
      </c>
    </row>
    <row r="5977" spans="1:11" x14ac:dyDescent="0.3">
      <c r="A5977" t="s">
        <v>5994</v>
      </c>
      <c r="B5977" t="s">
        <v>14</v>
      </c>
      <c r="C5977" t="s">
        <v>10</v>
      </c>
      <c r="D5977" t="s">
        <v>11</v>
      </c>
      <c r="E5977">
        <v>85.15</v>
      </c>
      <c r="F5977">
        <v>14</v>
      </c>
      <c r="G5977">
        <v>1192.0999999999999</v>
      </c>
      <c r="H5977" t="s">
        <v>18</v>
      </c>
      <c r="I5977" t="str">
        <f t="shared" si="280"/>
        <v>Low Value</v>
      </c>
      <c r="J5977" t="str">
        <f t="shared" si="281"/>
        <v>Medium Risk</v>
      </c>
      <c r="K5977" s="3" t="str">
        <f t="shared" si="279"/>
        <v>1-2 Years</v>
      </c>
    </row>
    <row r="5978" spans="1:11" x14ac:dyDescent="0.3">
      <c r="A5978" t="s">
        <v>5995</v>
      </c>
      <c r="B5978" t="s">
        <v>9</v>
      </c>
      <c r="C5978" t="s">
        <v>15</v>
      </c>
      <c r="D5978" t="s">
        <v>20</v>
      </c>
      <c r="E5978">
        <v>74.599999999999994</v>
      </c>
      <c r="F5978">
        <v>57</v>
      </c>
      <c r="G5978">
        <v>4252.2</v>
      </c>
      <c r="H5978" t="s">
        <v>12</v>
      </c>
      <c r="I5978" t="str">
        <f t="shared" si="280"/>
        <v>Medium Value</v>
      </c>
      <c r="J5978" t="str">
        <f t="shared" si="281"/>
        <v>Low Risk</v>
      </c>
      <c r="K5978" s="3" t="str">
        <f t="shared" si="279"/>
        <v>4+ Years</v>
      </c>
    </row>
    <row r="5979" spans="1:11" x14ac:dyDescent="0.3">
      <c r="A5979" t="s">
        <v>5996</v>
      </c>
      <c r="B5979" t="s">
        <v>14</v>
      </c>
      <c r="C5979" t="s">
        <v>10</v>
      </c>
      <c r="D5979" t="s">
        <v>24</v>
      </c>
      <c r="E5979">
        <v>79.150000000000006</v>
      </c>
      <c r="F5979">
        <v>11</v>
      </c>
      <c r="G5979">
        <v>870.65</v>
      </c>
      <c r="H5979" t="s">
        <v>12</v>
      </c>
      <c r="I5979" t="str">
        <f t="shared" si="280"/>
        <v>Low Value</v>
      </c>
      <c r="J5979" t="str">
        <f t="shared" si="281"/>
        <v>High Risk</v>
      </c>
      <c r="K5979" s="3" t="str">
        <f t="shared" si="279"/>
        <v>0-1 Year</v>
      </c>
    </row>
    <row r="5980" spans="1:11" x14ac:dyDescent="0.3">
      <c r="A5980" t="s">
        <v>5997</v>
      </c>
      <c r="B5980" t="s">
        <v>9</v>
      </c>
      <c r="C5980" t="s">
        <v>30</v>
      </c>
      <c r="D5980" t="s">
        <v>16</v>
      </c>
      <c r="E5980">
        <v>20.350000000000001</v>
      </c>
      <c r="F5980">
        <v>1</v>
      </c>
      <c r="G5980">
        <v>20.350000000000001</v>
      </c>
      <c r="H5980" t="s">
        <v>12</v>
      </c>
      <c r="I5980" t="str">
        <f t="shared" si="280"/>
        <v>Low Value</v>
      </c>
      <c r="J5980" t="str">
        <f t="shared" si="281"/>
        <v>High Risk</v>
      </c>
      <c r="K5980" s="3" t="str">
        <f t="shared" si="279"/>
        <v>0-1 Year</v>
      </c>
    </row>
    <row r="5981" spans="1:11" x14ac:dyDescent="0.3">
      <c r="A5981" t="s">
        <v>5998</v>
      </c>
      <c r="B5981" t="s">
        <v>14</v>
      </c>
      <c r="C5981" t="s">
        <v>30</v>
      </c>
      <c r="D5981" t="s">
        <v>20</v>
      </c>
      <c r="E5981">
        <v>21.05</v>
      </c>
      <c r="F5981">
        <v>12</v>
      </c>
      <c r="G5981">
        <v>252.6</v>
      </c>
      <c r="H5981" t="s">
        <v>12</v>
      </c>
      <c r="I5981" t="str">
        <f t="shared" si="280"/>
        <v>Low Value</v>
      </c>
      <c r="J5981" t="str">
        <f t="shared" si="281"/>
        <v>Medium Risk</v>
      </c>
      <c r="K5981" s="3" t="str">
        <f t="shared" si="279"/>
        <v>0-1 Year</v>
      </c>
    </row>
    <row r="5982" spans="1:11" x14ac:dyDescent="0.3">
      <c r="A5982" t="s">
        <v>5999</v>
      </c>
      <c r="B5982" t="s">
        <v>14</v>
      </c>
      <c r="C5982" t="s">
        <v>10</v>
      </c>
      <c r="D5982" t="s">
        <v>11</v>
      </c>
      <c r="E5982">
        <v>94.6</v>
      </c>
      <c r="F5982">
        <v>3</v>
      </c>
      <c r="G5982">
        <v>283.79999999999899</v>
      </c>
      <c r="H5982" t="s">
        <v>18</v>
      </c>
      <c r="I5982" t="str">
        <f t="shared" si="280"/>
        <v>Low Value</v>
      </c>
      <c r="J5982" t="str">
        <f t="shared" si="281"/>
        <v>High Risk</v>
      </c>
      <c r="K5982" s="3" t="str">
        <f t="shared" si="279"/>
        <v>0-1 Year</v>
      </c>
    </row>
    <row r="5983" spans="1:11" x14ac:dyDescent="0.3">
      <c r="A5983" t="s">
        <v>6000</v>
      </c>
      <c r="B5983" t="s">
        <v>14</v>
      </c>
      <c r="C5983" t="s">
        <v>10</v>
      </c>
      <c r="D5983" t="s">
        <v>11</v>
      </c>
      <c r="E5983">
        <v>94.7</v>
      </c>
      <c r="F5983">
        <v>36</v>
      </c>
      <c r="G5983">
        <v>3409.2</v>
      </c>
      <c r="H5983" t="s">
        <v>12</v>
      </c>
      <c r="I5983" t="str">
        <f t="shared" si="280"/>
        <v>Medium Value</v>
      </c>
      <c r="J5983" t="str">
        <f t="shared" si="281"/>
        <v>Low Risk</v>
      </c>
      <c r="K5983" s="3" t="str">
        <f t="shared" si="279"/>
        <v>2-4 Years</v>
      </c>
    </row>
    <row r="5984" spans="1:11" x14ac:dyDescent="0.3">
      <c r="A5984" t="s">
        <v>6001</v>
      </c>
      <c r="B5984" t="s">
        <v>14</v>
      </c>
      <c r="C5984" t="s">
        <v>10</v>
      </c>
      <c r="D5984" t="s">
        <v>11</v>
      </c>
      <c r="E5984">
        <v>94.25</v>
      </c>
      <c r="F5984">
        <v>16</v>
      </c>
      <c r="G5984">
        <v>1508</v>
      </c>
      <c r="H5984" t="s">
        <v>18</v>
      </c>
      <c r="I5984" t="str">
        <f t="shared" si="280"/>
        <v>Low Value</v>
      </c>
      <c r="J5984" t="str">
        <f t="shared" si="281"/>
        <v>Medium Risk</v>
      </c>
      <c r="K5984" s="3" t="str">
        <f t="shared" si="279"/>
        <v>1-2 Years</v>
      </c>
    </row>
    <row r="5985" spans="1:11" x14ac:dyDescent="0.3">
      <c r="A5985" t="s">
        <v>6002</v>
      </c>
      <c r="B5985" t="s">
        <v>14</v>
      </c>
      <c r="C5985" t="s">
        <v>15</v>
      </c>
      <c r="D5985" t="s">
        <v>24</v>
      </c>
      <c r="E5985">
        <v>72.45</v>
      </c>
      <c r="F5985">
        <v>65</v>
      </c>
      <c r="G5985">
        <v>4709.25</v>
      </c>
      <c r="H5985" t="s">
        <v>18</v>
      </c>
      <c r="I5985" t="str">
        <f t="shared" si="280"/>
        <v>Medium Value</v>
      </c>
      <c r="J5985" t="str">
        <f t="shared" si="281"/>
        <v>Low Risk</v>
      </c>
      <c r="K5985" s="3" t="str">
        <f t="shared" si="279"/>
        <v>4+ Years</v>
      </c>
    </row>
    <row r="5986" spans="1:11" x14ac:dyDescent="0.3">
      <c r="A5986" t="s">
        <v>6003</v>
      </c>
      <c r="B5986" t="s">
        <v>14</v>
      </c>
      <c r="C5986" t="s">
        <v>10</v>
      </c>
      <c r="D5986" t="s">
        <v>11</v>
      </c>
      <c r="E5986">
        <v>74.95</v>
      </c>
      <c r="F5986">
        <v>2</v>
      </c>
      <c r="G5986">
        <v>149.9</v>
      </c>
      <c r="H5986" t="s">
        <v>12</v>
      </c>
      <c r="I5986" t="str">
        <f t="shared" si="280"/>
        <v>Low Value</v>
      </c>
      <c r="J5986" t="str">
        <f t="shared" si="281"/>
        <v>High Risk</v>
      </c>
      <c r="K5986" s="3" t="str">
        <f t="shared" si="279"/>
        <v>0-1 Year</v>
      </c>
    </row>
    <row r="5987" spans="1:11" x14ac:dyDescent="0.3">
      <c r="A5987" t="s">
        <v>6004</v>
      </c>
      <c r="B5987" t="s">
        <v>9</v>
      </c>
      <c r="C5987" t="s">
        <v>10</v>
      </c>
      <c r="D5987" t="s">
        <v>11</v>
      </c>
      <c r="E5987">
        <v>105.2</v>
      </c>
      <c r="F5987">
        <v>42</v>
      </c>
      <c r="G5987">
        <v>4418.3999999999996</v>
      </c>
      <c r="H5987" t="s">
        <v>18</v>
      </c>
      <c r="I5987" t="str">
        <f t="shared" si="280"/>
        <v>Medium Value</v>
      </c>
      <c r="J5987" t="str">
        <f t="shared" si="281"/>
        <v>Low Risk</v>
      </c>
      <c r="K5987" s="3" t="str">
        <f t="shared" si="279"/>
        <v>2-4 Years</v>
      </c>
    </row>
    <row r="5988" spans="1:11" x14ac:dyDescent="0.3">
      <c r="A5988" t="s">
        <v>6005</v>
      </c>
      <c r="B5988" t="s">
        <v>14</v>
      </c>
      <c r="C5988" t="s">
        <v>30</v>
      </c>
      <c r="D5988" t="s">
        <v>20</v>
      </c>
      <c r="E5988">
        <v>111.95</v>
      </c>
      <c r="F5988">
        <v>72</v>
      </c>
      <c r="G5988">
        <v>8060.4</v>
      </c>
      <c r="H5988" t="s">
        <v>12</v>
      </c>
      <c r="I5988" t="str">
        <f t="shared" si="280"/>
        <v>High Value</v>
      </c>
      <c r="J5988" t="str">
        <f t="shared" si="281"/>
        <v>Low Risk</v>
      </c>
      <c r="K5988" s="3" t="str">
        <f t="shared" si="279"/>
        <v>4+ Years</v>
      </c>
    </row>
    <row r="5989" spans="1:11" x14ac:dyDescent="0.3">
      <c r="A5989" t="s">
        <v>6006</v>
      </c>
      <c r="B5989" t="s">
        <v>14</v>
      </c>
      <c r="C5989" t="s">
        <v>30</v>
      </c>
      <c r="D5989" t="s">
        <v>20</v>
      </c>
      <c r="E5989">
        <v>19.850000000000001</v>
      </c>
      <c r="F5989">
        <v>62</v>
      </c>
      <c r="G5989">
        <v>1230.7</v>
      </c>
      <c r="H5989" t="s">
        <v>12</v>
      </c>
      <c r="I5989" t="str">
        <f t="shared" si="280"/>
        <v>Low Value</v>
      </c>
      <c r="J5989" t="str">
        <f t="shared" si="281"/>
        <v>Low Risk</v>
      </c>
      <c r="K5989" s="3" t="str">
        <f t="shared" si="279"/>
        <v>4+ Years</v>
      </c>
    </row>
    <row r="5990" spans="1:11" x14ac:dyDescent="0.3">
      <c r="A5990" t="s">
        <v>6007</v>
      </c>
      <c r="B5990" t="s">
        <v>9</v>
      </c>
      <c r="C5990" t="s">
        <v>10</v>
      </c>
      <c r="D5990" t="s">
        <v>11</v>
      </c>
      <c r="E5990">
        <v>89.75</v>
      </c>
      <c r="F5990">
        <v>6</v>
      </c>
      <c r="G5990">
        <v>538.5</v>
      </c>
      <c r="H5990" t="s">
        <v>12</v>
      </c>
      <c r="I5990" t="str">
        <f t="shared" si="280"/>
        <v>Low Value</v>
      </c>
      <c r="J5990" t="str">
        <f t="shared" si="281"/>
        <v>High Risk</v>
      </c>
      <c r="K5990" s="3" t="str">
        <f t="shared" si="279"/>
        <v>0-1 Year</v>
      </c>
    </row>
    <row r="5991" spans="1:11" x14ac:dyDescent="0.3">
      <c r="A5991" t="s">
        <v>6008</v>
      </c>
      <c r="B5991" t="s">
        <v>14</v>
      </c>
      <c r="C5991" t="s">
        <v>30</v>
      </c>
      <c r="D5991" t="s">
        <v>16</v>
      </c>
      <c r="E5991">
        <v>20.05</v>
      </c>
      <c r="F5991">
        <v>48</v>
      </c>
      <c r="G5991">
        <v>962.4</v>
      </c>
      <c r="H5991" t="s">
        <v>12</v>
      </c>
      <c r="I5991" t="str">
        <f t="shared" si="280"/>
        <v>Low Value</v>
      </c>
      <c r="J5991" t="str">
        <f t="shared" si="281"/>
        <v>Low Risk</v>
      </c>
      <c r="K5991" s="3" t="str">
        <f t="shared" si="279"/>
        <v>2-4 Years</v>
      </c>
    </row>
    <row r="5992" spans="1:11" x14ac:dyDescent="0.3">
      <c r="A5992" t="s">
        <v>6009</v>
      </c>
      <c r="B5992" t="s">
        <v>14</v>
      </c>
      <c r="C5992" t="s">
        <v>30</v>
      </c>
      <c r="D5992" t="s">
        <v>11</v>
      </c>
      <c r="E5992">
        <v>108.95</v>
      </c>
      <c r="F5992">
        <v>35</v>
      </c>
      <c r="G5992">
        <v>3813.25</v>
      </c>
      <c r="H5992" t="s">
        <v>12</v>
      </c>
      <c r="I5992" t="str">
        <f t="shared" si="280"/>
        <v>Medium Value</v>
      </c>
      <c r="J5992" t="str">
        <f t="shared" si="281"/>
        <v>Low Risk</v>
      </c>
      <c r="K5992" s="3" t="str">
        <f t="shared" si="279"/>
        <v>2-4 Years</v>
      </c>
    </row>
    <row r="5993" spans="1:11" x14ac:dyDescent="0.3">
      <c r="A5993" t="s">
        <v>6010</v>
      </c>
      <c r="B5993" t="s">
        <v>14</v>
      </c>
      <c r="C5993" t="s">
        <v>15</v>
      </c>
      <c r="D5993" t="s">
        <v>24</v>
      </c>
      <c r="E5993">
        <v>19.649999999999999</v>
      </c>
      <c r="F5993">
        <v>52</v>
      </c>
      <c r="G5993">
        <v>1021.8</v>
      </c>
      <c r="H5993" t="s">
        <v>12</v>
      </c>
      <c r="I5993" t="str">
        <f t="shared" si="280"/>
        <v>Low Value</v>
      </c>
      <c r="J5993" t="str">
        <f t="shared" si="281"/>
        <v>Low Risk</v>
      </c>
      <c r="K5993" s="3" t="str">
        <f t="shared" si="279"/>
        <v>4+ Years</v>
      </c>
    </row>
    <row r="5994" spans="1:11" x14ac:dyDescent="0.3">
      <c r="A5994" t="s">
        <v>6011</v>
      </c>
      <c r="B5994" t="s">
        <v>9</v>
      </c>
      <c r="C5994" t="s">
        <v>10</v>
      </c>
      <c r="D5994" t="s">
        <v>16</v>
      </c>
      <c r="E5994">
        <v>24.9</v>
      </c>
      <c r="F5994">
        <v>1</v>
      </c>
      <c r="G5994">
        <v>24.9</v>
      </c>
      <c r="H5994" t="s">
        <v>12</v>
      </c>
      <c r="I5994" t="str">
        <f t="shared" si="280"/>
        <v>Low Value</v>
      </c>
      <c r="J5994" t="str">
        <f t="shared" si="281"/>
        <v>High Risk</v>
      </c>
      <c r="K5994" s="3" t="str">
        <f t="shared" si="279"/>
        <v>0-1 Year</v>
      </c>
    </row>
    <row r="5995" spans="1:11" x14ac:dyDescent="0.3">
      <c r="A5995" t="s">
        <v>6012</v>
      </c>
      <c r="B5995" t="s">
        <v>14</v>
      </c>
      <c r="C5995" t="s">
        <v>10</v>
      </c>
      <c r="D5995" t="s">
        <v>11</v>
      </c>
      <c r="E5995">
        <v>82.85</v>
      </c>
      <c r="F5995">
        <v>6</v>
      </c>
      <c r="G5995">
        <v>497.099999999999</v>
      </c>
      <c r="H5995" t="s">
        <v>18</v>
      </c>
      <c r="I5995" t="str">
        <f t="shared" si="280"/>
        <v>Low Value</v>
      </c>
      <c r="J5995" t="str">
        <f t="shared" si="281"/>
        <v>High Risk</v>
      </c>
      <c r="K5995" s="3" t="str">
        <f t="shared" si="279"/>
        <v>0-1 Year</v>
      </c>
    </row>
    <row r="5996" spans="1:11" x14ac:dyDescent="0.3">
      <c r="A5996" t="s">
        <v>6013</v>
      </c>
      <c r="B5996" t="s">
        <v>9</v>
      </c>
      <c r="C5996" t="s">
        <v>30</v>
      </c>
      <c r="D5996" t="s">
        <v>24</v>
      </c>
      <c r="E5996">
        <v>93.2</v>
      </c>
      <c r="F5996">
        <v>71</v>
      </c>
      <c r="G5996">
        <v>6617.2</v>
      </c>
      <c r="H5996" t="s">
        <v>12</v>
      </c>
      <c r="I5996" t="str">
        <f t="shared" si="280"/>
        <v>High Value</v>
      </c>
      <c r="J5996" t="str">
        <f t="shared" si="281"/>
        <v>Low Risk</v>
      </c>
      <c r="K5996" s="3" t="str">
        <f t="shared" si="279"/>
        <v>4+ Years</v>
      </c>
    </row>
    <row r="5997" spans="1:11" x14ac:dyDescent="0.3">
      <c r="A5997" t="s">
        <v>6014</v>
      </c>
      <c r="B5997" t="s">
        <v>9</v>
      </c>
      <c r="C5997" t="s">
        <v>15</v>
      </c>
      <c r="D5997" t="s">
        <v>20</v>
      </c>
      <c r="E5997">
        <v>84.8</v>
      </c>
      <c r="F5997">
        <v>67</v>
      </c>
      <c r="G5997">
        <v>5681.5999999999904</v>
      </c>
      <c r="H5997" t="s">
        <v>12</v>
      </c>
      <c r="I5997" t="str">
        <f t="shared" si="280"/>
        <v>High Value</v>
      </c>
      <c r="J5997" t="str">
        <f t="shared" si="281"/>
        <v>Low Risk</v>
      </c>
      <c r="K5997" s="3" t="str">
        <f t="shared" si="279"/>
        <v>4+ Years</v>
      </c>
    </row>
    <row r="5998" spans="1:11" x14ac:dyDescent="0.3">
      <c r="A5998" t="s">
        <v>6015</v>
      </c>
      <c r="B5998" t="s">
        <v>14</v>
      </c>
      <c r="C5998" t="s">
        <v>15</v>
      </c>
      <c r="D5998" t="s">
        <v>11</v>
      </c>
      <c r="E5998">
        <v>71.75</v>
      </c>
      <c r="F5998">
        <v>60</v>
      </c>
      <c r="G5998">
        <v>4305</v>
      </c>
      <c r="H5998" t="s">
        <v>12</v>
      </c>
      <c r="I5998" t="str">
        <f t="shared" si="280"/>
        <v>Medium Value</v>
      </c>
      <c r="J5998" t="str">
        <f t="shared" si="281"/>
        <v>Low Risk</v>
      </c>
      <c r="K5998" s="3" t="str">
        <f t="shared" si="279"/>
        <v>4+ Years</v>
      </c>
    </row>
    <row r="5999" spans="1:11" x14ac:dyDescent="0.3">
      <c r="A5999" t="s">
        <v>6016</v>
      </c>
      <c r="B5999" t="s">
        <v>14</v>
      </c>
      <c r="C5999" t="s">
        <v>10</v>
      </c>
      <c r="D5999" t="s">
        <v>20</v>
      </c>
      <c r="E5999">
        <v>30.35</v>
      </c>
      <c r="F5999">
        <v>23</v>
      </c>
      <c r="G5999">
        <v>698.05</v>
      </c>
      <c r="H5999" t="s">
        <v>12</v>
      </c>
      <c r="I5999" t="str">
        <f t="shared" si="280"/>
        <v>Low Value</v>
      </c>
      <c r="J5999" t="str">
        <f t="shared" si="281"/>
        <v>Medium Risk</v>
      </c>
      <c r="K5999" s="3" t="str">
        <f t="shared" si="279"/>
        <v>1-2 Years</v>
      </c>
    </row>
    <row r="6000" spans="1:11" x14ac:dyDescent="0.3">
      <c r="A6000" t="s">
        <v>6017</v>
      </c>
      <c r="B6000" t="s">
        <v>14</v>
      </c>
      <c r="C6000" t="s">
        <v>15</v>
      </c>
      <c r="D6000" t="s">
        <v>20</v>
      </c>
      <c r="E6000">
        <v>54.85</v>
      </c>
      <c r="F6000">
        <v>39</v>
      </c>
      <c r="G6000">
        <v>2139.15</v>
      </c>
      <c r="H6000" t="s">
        <v>12</v>
      </c>
      <c r="I6000" t="str">
        <f t="shared" si="280"/>
        <v>Medium Value</v>
      </c>
      <c r="J6000" t="str">
        <f t="shared" si="281"/>
        <v>Low Risk</v>
      </c>
      <c r="K6000" s="3" t="str">
        <f t="shared" si="279"/>
        <v>2-4 Years</v>
      </c>
    </row>
    <row r="6001" spans="1:11" x14ac:dyDescent="0.3">
      <c r="A6001" t="s">
        <v>6018</v>
      </c>
      <c r="B6001" t="s">
        <v>14</v>
      </c>
      <c r="C6001" t="s">
        <v>15</v>
      </c>
      <c r="D6001" t="s">
        <v>16</v>
      </c>
      <c r="E6001">
        <v>19.5</v>
      </c>
      <c r="F6001">
        <v>15</v>
      </c>
      <c r="G6001">
        <v>292.5</v>
      </c>
      <c r="H6001" t="s">
        <v>12</v>
      </c>
      <c r="I6001" t="str">
        <f t="shared" si="280"/>
        <v>Low Value</v>
      </c>
      <c r="J6001" t="str">
        <f t="shared" si="281"/>
        <v>Medium Risk</v>
      </c>
      <c r="K6001" s="3" t="str">
        <f t="shared" si="279"/>
        <v>1-2 Years</v>
      </c>
    </row>
    <row r="6002" spans="1:11" x14ac:dyDescent="0.3">
      <c r="A6002" t="s">
        <v>6019</v>
      </c>
      <c r="B6002" t="s">
        <v>14</v>
      </c>
      <c r="C6002" t="s">
        <v>10</v>
      </c>
      <c r="D6002" t="s">
        <v>11</v>
      </c>
      <c r="E6002">
        <v>103.85</v>
      </c>
      <c r="F6002">
        <v>53</v>
      </c>
      <c r="G6002">
        <v>5504.0499999999902</v>
      </c>
      <c r="H6002" t="s">
        <v>18</v>
      </c>
      <c r="I6002" t="str">
        <f t="shared" si="280"/>
        <v>High Value</v>
      </c>
      <c r="J6002" t="str">
        <f t="shared" si="281"/>
        <v>Low Risk</v>
      </c>
      <c r="K6002" s="3" t="str">
        <f t="shared" si="279"/>
        <v>4+ Years</v>
      </c>
    </row>
    <row r="6003" spans="1:11" x14ac:dyDescent="0.3">
      <c r="A6003" t="s">
        <v>6020</v>
      </c>
      <c r="B6003" t="s">
        <v>14</v>
      </c>
      <c r="C6003" t="s">
        <v>30</v>
      </c>
      <c r="D6003" t="s">
        <v>16</v>
      </c>
      <c r="E6003">
        <v>24.2</v>
      </c>
      <c r="F6003">
        <v>24</v>
      </c>
      <c r="G6003">
        <v>580.79999999999995</v>
      </c>
      <c r="H6003" t="s">
        <v>12</v>
      </c>
      <c r="I6003" t="str">
        <f t="shared" si="280"/>
        <v>Low Value</v>
      </c>
      <c r="J6003" t="str">
        <f t="shared" si="281"/>
        <v>Low Risk</v>
      </c>
      <c r="K6003" s="3" t="str">
        <f t="shared" si="279"/>
        <v>1-2 Years</v>
      </c>
    </row>
    <row r="6004" spans="1:11" x14ac:dyDescent="0.3">
      <c r="A6004" t="s">
        <v>6021</v>
      </c>
      <c r="B6004" t="s">
        <v>9</v>
      </c>
      <c r="C6004" t="s">
        <v>10</v>
      </c>
      <c r="D6004" t="s">
        <v>11</v>
      </c>
      <c r="E6004">
        <v>19.350000000000001</v>
      </c>
      <c r="F6004">
        <v>37</v>
      </c>
      <c r="G6004">
        <v>715.95</v>
      </c>
      <c r="H6004" t="s">
        <v>12</v>
      </c>
      <c r="I6004" t="str">
        <f t="shared" si="280"/>
        <v>Low Value</v>
      </c>
      <c r="J6004" t="str">
        <f t="shared" si="281"/>
        <v>Low Risk</v>
      </c>
      <c r="K6004" s="3" t="str">
        <f t="shared" si="279"/>
        <v>2-4 Years</v>
      </c>
    </row>
    <row r="6005" spans="1:11" x14ac:dyDescent="0.3">
      <c r="A6005" t="s">
        <v>6022</v>
      </c>
      <c r="B6005" t="s">
        <v>9</v>
      </c>
      <c r="C6005" t="s">
        <v>10</v>
      </c>
      <c r="D6005" t="s">
        <v>11</v>
      </c>
      <c r="E6005">
        <v>83.6</v>
      </c>
      <c r="F6005">
        <v>5</v>
      </c>
      <c r="G6005">
        <v>418</v>
      </c>
      <c r="H6005" t="s">
        <v>18</v>
      </c>
      <c r="I6005" t="str">
        <f t="shared" si="280"/>
        <v>Low Value</v>
      </c>
      <c r="J6005" t="str">
        <f t="shared" si="281"/>
        <v>High Risk</v>
      </c>
      <c r="K6005" s="3" t="str">
        <f t="shared" si="279"/>
        <v>0-1 Year</v>
      </c>
    </row>
    <row r="6006" spans="1:11" x14ac:dyDescent="0.3">
      <c r="A6006" t="s">
        <v>6023</v>
      </c>
      <c r="B6006" t="s">
        <v>9</v>
      </c>
      <c r="C6006" t="s">
        <v>15</v>
      </c>
      <c r="D6006" t="s">
        <v>11</v>
      </c>
      <c r="E6006">
        <v>100.65</v>
      </c>
      <c r="F6006">
        <v>50</v>
      </c>
      <c r="G6006">
        <v>5032.5</v>
      </c>
      <c r="H6006" t="s">
        <v>12</v>
      </c>
      <c r="I6006" t="str">
        <f t="shared" si="280"/>
        <v>High Value</v>
      </c>
      <c r="J6006" t="str">
        <f t="shared" si="281"/>
        <v>Low Risk</v>
      </c>
      <c r="K6006" s="3" t="str">
        <f t="shared" si="279"/>
        <v>4+ Years</v>
      </c>
    </row>
    <row r="6007" spans="1:11" x14ac:dyDescent="0.3">
      <c r="A6007" t="s">
        <v>6024</v>
      </c>
      <c r="B6007" t="s">
        <v>9</v>
      </c>
      <c r="C6007" t="s">
        <v>15</v>
      </c>
      <c r="D6007" t="s">
        <v>24</v>
      </c>
      <c r="E6007">
        <v>94.1</v>
      </c>
      <c r="F6007">
        <v>54</v>
      </c>
      <c r="G6007">
        <v>5081.3999999999996</v>
      </c>
      <c r="H6007" t="s">
        <v>12</v>
      </c>
      <c r="I6007" t="str">
        <f t="shared" si="280"/>
        <v>High Value</v>
      </c>
      <c r="J6007" t="str">
        <f t="shared" si="281"/>
        <v>Low Risk</v>
      </c>
      <c r="K6007" s="3" t="str">
        <f t="shared" si="279"/>
        <v>4+ Years</v>
      </c>
    </row>
    <row r="6008" spans="1:11" x14ac:dyDescent="0.3">
      <c r="A6008" t="s">
        <v>6025</v>
      </c>
      <c r="B6008" t="s">
        <v>9</v>
      </c>
      <c r="C6008" t="s">
        <v>10</v>
      </c>
      <c r="D6008" t="s">
        <v>11</v>
      </c>
      <c r="E6008">
        <v>74.55</v>
      </c>
      <c r="F6008">
        <v>3</v>
      </c>
      <c r="G6008">
        <v>223.64999999999901</v>
      </c>
      <c r="H6008" t="s">
        <v>12</v>
      </c>
      <c r="I6008" t="str">
        <f t="shared" si="280"/>
        <v>Low Value</v>
      </c>
      <c r="J6008" t="str">
        <f t="shared" si="281"/>
        <v>High Risk</v>
      </c>
      <c r="K6008" s="3" t="str">
        <f t="shared" si="279"/>
        <v>0-1 Year</v>
      </c>
    </row>
    <row r="6009" spans="1:11" x14ac:dyDescent="0.3">
      <c r="A6009" t="s">
        <v>6026</v>
      </c>
      <c r="B6009" t="s">
        <v>14</v>
      </c>
      <c r="C6009" t="s">
        <v>15</v>
      </c>
      <c r="D6009" t="s">
        <v>11</v>
      </c>
      <c r="E6009">
        <v>108.45</v>
      </c>
      <c r="F6009">
        <v>68</v>
      </c>
      <c r="G6009">
        <v>7374.6</v>
      </c>
      <c r="H6009" t="s">
        <v>18</v>
      </c>
      <c r="I6009" t="str">
        <f t="shared" si="280"/>
        <v>High Value</v>
      </c>
      <c r="J6009" t="str">
        <f t="shared" si="281"/>
        <v>Low Risk</v>
      </c>
      <c r="K6009" s="3" t="str">
        <f t="shared" si="279"/>
        <v>4+ Years</v>
      </c>
    </row>
    <row r="6010" spans="1:11" x14ac:dyDescent="0.3">
      <c r="A6010" t="s">
        <v>6027</v>
      </c>
      <c r="B6010" t="s">
        <v>14</v>
      </c>
      <c r="C6010" t="s">
        <v>10</v>
      </c>
      <c r="D6010" t="s">
        <v>11</v>
      </c>
      <c r="E6010">
        <v>56.15</v>
      </c>
      <c r="F6010">
        <v>5</v>
      </c>
      <c r="G6010">
        <v>280.75</v>
      </c>
      <c r="H6010" t="s">
        <v>12</v>
      </c>
      <c r="I6010" t="str">
        <f t="shared" si="280"/>
        <v>Low Value</v>
      </c>
      <c r="J6010" t="str">
        <f t="shared" si="281"/>
        <v>High Risk</v>
      </c>
      <c r="K6010" s="3" t="str">
        <f t="shared" si="279"/>
        <v>0-1 Year</v>
      </c>
    </row>
    <row r="6011" spans="1:11" x14ac:dyDescent="0.3">
      <c r="A6011" t="s">
        <v>6028</v>
      </c>
      <c r="B6011" t="s">
        <v>14</v>
      </c>
      <c r="C6011" t="s">
        <v>30</v>
      </c>
      <c r="D6011" t="s">
        <v>16</v>
      </c>
      <c r="E6011">
        <v>20.350000000000001</v>
      </c>
      <c r="F6011">
        <v>33</v>
      </c>
      <c r="G6011">
        <v>671.55</v>
      </c>
      <c r="H6011" t="s">
        <v>12</v>
      </c>
      <c r="I6011" t="str">
        <f t="shared" si="280"/>
        <v>Low Value</v>
      </c>
      <c r="J6011" t="str">
        <f t="shared" si="281"/>
        <v>Low Risk</v>
      </c>
      <c r="K6011" s="3" t="str">
        <f t="shared" si="279"/>
        <v>2-4 Years</v>
      </c>
    </row>
    <row r="6012" spans="1:11" x14ac:dyDescent="0.3">
      <c r="A6012" t="s">
        <v>6029</v>
      </c>
      <c r="B6012" t="s">
        <v>9</v>
      </c>
      <c r="C6012" t="s">
        <v>15</v>
      </c>
      <c r="D6012" t="s">
        <v>11</v>
      </c>
      <c r="E6012">
        <v>80.55</v>
      </c>
      <c r="F6012">
        <v>41</v>
      </c>
      <c r="G6012">
        <v>3302.5499999999902</v>
      </c>
      <c r="H6012" t="s">
        <v>12</v>
      </c>
      <c r="I6012" t="str">
        <f t="shared" si="280"/>
        <v>Medium Value</v>
      </c>
      <c r="J6012" t="str">
        <f t="shared" si="281"/>
        <v>Low Risk</v>
      </c>
      <c r="K6012" s="3" t="str">
        <f t="shared" si="279"/>
        <v>2-4 Years</v>
      </c>
    </row>
    <row r="6013" spans="1:11" x14ac:dyDescent="0.3">
      <c r="A6013" t="s">
        <v>6030</v>
      </c>
      <c r="B6013" t="s">
        <v>9</v>
      </c>
      <c r="C6013" t="s">
        <v>15</v>
      </c>
      <c r="D6013" t="s">
        <v>16</v>
      </c>
      <c r="E6013">
        <v>61.25</v>
      </c>
      <c r="F6013">
        <v>34</v>
      </c>
      <c r="G6013">
        <v>2082.5</v>
      </c>
      <c r="H6013" t="s">
        <v>12</v>
      </c>
      <c r="I6013" t="str">
        <f t="shared" si="280"/>
        <v>Medium Value</v>
      </c>
      <c r="J6013" t="str">
        <f t="shared" si="281"/>
        <v>Low Risk</v>
      </c>
      <c r="K6013" s="3" t="str">
        <f t="shared" si="279"/>
        <v>2-4 Years</v>
      </c>
    </row>
    <row r="6014" spans="1:11" x14ac:dyDescent="0.3">
      <c r="A6014" t="s">
        <v>6031</v>
      </c>
      <c r="B6014" t="s">
        <v>9</v>
      </c>
      <c r="C6014" t="s">
        <v>10</v>
      </c>
      <c r="D6014" t="s">
        <v>16</v>
      </c>
      <c r="E6014">
        <v>20.45</v>
      </c>
      <c r="F6014">
        <v>13</v>
      </c>
      <c r="G6014">
        <v>265.849999999999</v>
      </c>
      <c r="H6014" t="s">
        <v>12</v>
      </c>
      <c r="I6014" t="str">
        <f t="shared" si="280"/>
        <v>Low Value</v>
      </c>
      <c r="J6014" t="str">
        <f t="shared" si="281"/>
        <v>Medium Risk</v>
      </c>
      <c r="K6014" s="3" t="str">
        <f t="shared" si="279"/>
        <v>1-2 Years</v>
      </c>
    </row>
    <row r="6015" spans="1:11" x14ac:dyDescent="0.3">
      <c r="A6015" t="s">
        <v>6032</v>
      </c>
      <c r="B6015" t="s">
        <v>9</v>
      </c>
      <c r="C6015" t="s">
        <v>10</v>
      </c>
      <c r="D6015" t="s">
        <v>24</v>
      </c>
      <c r="E6015">
        <v>18.899999999999999</v>
      </c>
      <c r="F6015">
        <v>20</v>
      </c>
      <c r="G6015">
        <v>378</v>
      </c>
      <c r="H6015" t="s">
        <v>12</v>
      </c>
      <c r="I6015" t="str">
        <f t="shared" si="280"/>
        <v>Low Value</v>
      </c>
      <c r="J6015" t="str">
        <f t="shared" si="281"/>
        <v>Medium Risk</v>
      </c>
      <c r="K6015" s="3" t="str">
        <f t="shared" si="279"/>
        <v>1-2 Years</v>
      </c>
    </row>
    <row r="6016" spans="1:11" x14ac:dyDescent="0.3">
      <c r="A6016" t="s">
        <v>6033</v>
      </c>
      <c r="B6016" t="s">
        <v>9</v>
      </c>
      <c r="C6016" t="s">
        <v>30</v>
      </c>
      <c r="D6016" t="s">
        <v>24</v>
      </c>
      <c r="E6016">
        <v>19.600000000000001</v>
      </c>
      <c r="F6016">
        <v>51</v>
      </c>
      <c r="G6016">
        <v>999.6</v>
      </c>
      <c r="H6016" t="s">
        <v>12</v>
      </c>
      <c r="I6016" t="str">
        <f t="shared" si="280"/>
        <v>Low Value</v>
      </c>
      <c r="J6016" t="str">
        <f t="shared" si="281"/>
        <v>Low Risk</v>
      </c>
      <c r="K6016" s="3" t="str">
        <f t="shared" si="279"/>
        <v>4+ Years</v>
      </c>
    </row>
    <row r="6017" spans="1:11" x14ac:dyDescent="0.3">
      <c r="A6017" t="s">
        <v>6034</v>
      </c>
      <c r="B6017" t="s">
        <v>9</v>
      </c>
      <c r="C6017" t="s">
        <v>10</v>
      </c>
      <c r="D6017" t="s">
        <v>24</v>
      </c>
      <c r="E6017">
        <v>91.5</v>
      </c>
      <c r="F6017">
        <v>3</v>
      </c>
      <c r="G6017">
        <v>274.5</v>
      </c>
      <c r="H6017" t="s">
        <v>18</v>
      </c>
      <c r="I6017" t="str">
        <f t="shared" si="280"/>
        <v>Low Value</v>
      </c>
      <c r="J6017" t="str">
        <f t="shared" si="281"/>
        <v>High Risk</v>
      </c>
      <c r="K6017" s="3" t="str">
        <f t="shared" si="279"/>
        <v>0-1 Year</v>
      </c>
    </row>
    <row r="6018" spans="1:11" x14ac:dyDescent="0.3">
      <c r="A6018" t="s">
        <v>6035</v>
      </c>
      <c r="B6018" t="s">
        <v>9</v>
      </c>
      <c r="C6018" t="s">
        <v>10</v>
      </c>
      <c r="D6018" t="s">
        <v>20</v>
      </c>
      <c r="E6018">
        <v>45.2</v>
      </c>
      <c r="F6018">
        <v>41</v>
      </c>
      <c r="G6018">
        <v>1853.2</v>
      </c>
      <c r="H6018" t="s">
        <v>12</v>
      </c>
      <c r="I6018" t="str">
        <f t="shared" si="280"/>
        <v>Low Value</v>
      </c>
      <c r="J6018" t="str">
        <f t="shared" si="281"/>
        <v>Low Risk</v>
      </c>
      <c r="K6018" s="3" t="str">
        <f t="shared" si="279"/>
        <v>2-4 Years</v>
      </c>
    </row>
    <row r="6019" spans="1:11" x14ac:dyDescent="0.3">
      <c r="A6019" t="s">
        <v>6036</v>
      </c>
      <c r="B6019" t="s">
        <v>9</v>
      </c>
      <c r="C6019" t="s">
        <v>10</v>
      </c>
      <c r="D6019" t="s">
        <v>24</v>
      </c>
      <c r="E6019">
        <v>19.45</v>
      </c>
      <c r="F6019">
        <v>13</v>
      </c>
      <c r="G6019">
        <v>252.85</v>
      </c>
      <c r="H6019" t="s">
        <v>12</v>
      </c>
      <c r="I6019" t="str">
        <f t="shared" si="280"/>
        <v>Low Value</v>
      </c>
      <c r="J6019" t="str">
        <f t="shared" si="281"/>
        <v>Medium Risk</v>
      </c>
      <c r="K6019" s="3" t="str">
        <f t="shared" ref="K6019:K6082" si="282">IF(F6019&lt;=12,"0-1 Year",
IF(F6019&lt;=24,"1-2 Years",
IF(F6019&lt;=48,"2-4 Years","4+ Years")))</f>
        <v>1-2 Years</v>
      </c>
    </row>
    <row r="6020" spans="1:11" x14ac:dyDescent="0.3">
      <c r="A6020" t="s">
        <v>6037</v>
      </c>
      <c r="B6020" t="s">
        <v>14</v>
      </c>
      <c r="C6020" t="s">
        <v>30</v>
      </c>
      <c r="D6020" t="s">
        <v>20</v>
      </c>
      <c r="E6020">
        <v>25.45</v>
      </c>
      <c r="F6020">
        <v>35</v>
      </c>
      <c r="G6020">
        <v>890.75</v>
      </c>
      <c r="H6020" t="s">
        <v>12</v>
      </c>
      <c r="I6020" t="str">
        <f t="shared" ref="I6020:I6083" si="283">IF(G6020&gt;5000,"High Value",
IF(G6020&gt;2000,"Medium Value","Low Value"))</f>
        <v>Low Value</v>
      </c>
      <c r="J6020" t="str">
        <f t="shared" ref="J6020:J6083" si="284">IF(F6020&lt;12,"High Risk",
IF(F6020&lt;24,"Medium Risk","Low Risk"))</f>
        <v>Low Risk</v>
      </c>
      <c r="K6020" s="3" t="str">
        <f t="shared" si="282"/>
        <v>2-4 Years</v>
      </c>
    </row>
    <row r="6021" spans="1:11" x14ac:dyDescent="0.3">
      <c r="A6021" t="s">
        <v>6038</v>
      </c>
      <c r="B6021" t="s">
        <v>14</v>
      </c>
      <c r="C6021" t="s">
        <v>10</v>
      </c>
      <c r="D6021" t="s">
        <v>20</v>
      </c>
      <c r="E6021">
        <v>80.849999999999994</v>
      </c>
      <c r="F6021">
        <v>12</v>
      </c>
      <c r="G6021">
        <v>970.19999999999902</v>
      </c>
      <c r="H6021" t="s">
        <v>18</v>
      </c>
      <c r="I6021" t="str">
        <f t="shared" si="283"/>
        <v>Low Value</v>
      </c>
      <c r="J6021" t="str">
        <f t="shared" si="284"/>
        <v>Medium Risk</v>
      </c>
      <c r="K6021" s="3" t="str">
        <f t="shared" si="282"/>
        <v>0-1 Year</v>
      </c>
    </row>
    <row r="6022" spans="1:11" x14ac:dyDescent="0.3">
      <c r="A6022" t="s">
        <v>6039</v>
      </c>
      <c r="B6022" t="s">
        <v>14</v>
      </c>
      <c r="C6022" t="s">
        <v>10</v>
      </c>
      <c r="D6022" t="s">
        <v>16</v>
      </c>
      <c r="E6022">
        <v>94.9</v>
      </c>
      <c r="F6022">
        <v>4</v>
      </c>
      <c r="G6022">
        <v>379.6</v>
      </c>
      <c r="H6022" t="s">
        <v>12</v>
      </c>
      <c r="I6022" t="str">
        <f t="shared" si="283"/>
        <v>Low Value</v>
      </c>
      <c r="J6022" t="str">
        <f t="shared" si="284"/>
        <v>High Risk</v>
      </c>
      <c r="K6022" s="3" t="str">
        <f t="shared" si="282"/>
        <v>0-1 Year</v>
      </c>
    </row>
    <row r="6023" spans="1:11" x14ac:dyDescent="0.3">
      <c r="A6023" t="s">
        <v>6040</v>
      </c>
      <c r="B6023" t="s">
        <v>9</v>
      </c>
      <c r="C6023" t="s">
        <v>10</v>
      </c>
      <c r="D6023" t="s">
        <v>20</v>
      </c>
      <c r="E6023">
        <v>49.05</v>
      </c>
      <c r="F6023">
        <v>43</v>
      </c>
      <c r="G6023">
        <v>2109.15</v>
      </c>
      <c r="H6023" t="s">
        <v>18</v>
      </c>
      <c r="I6023" t="str">
        <f t="shared" si="283"/>
        <v>Medium Value</v>
      </c>
      <c r="J6023" t="str">
        <f t="shared" si="284"/>
        <v>Low Risk</v>
      </c>
      <c r="K6023" s="3" t="str">
        <f t="shared" si="282"/>
        <v>2-4 Years</v>
      </c>
    </row>
    <row r="6024" spans="1:11" x14ac:dyDescent="0.3">
      <c r="A6024" t="s">
        <v>6041</v>
      </c>
      <c r="B6024" t="s">
        <v>9</v>
      </c>
      <c r="C6024" t="s">
        <v>10</v>
      </c>
      <c r="D6024" t="s">
        <v>16</v>
      </c>
      <c r="E6024">
        <v>29.3</v>
      </c>
      <c r="F6024">
        <v>12</v>
      </c>
      <c r="G6024">
        <v>351.6</v>
      </c>
      <c r="H6024" t="s">
        <v>12</v>
      </c>
      <c r="I6024" t="str">
        <f t="shared" si="283"/>
        <v>Low Value</v>
      </c>
      <c r="J6024" t="str">
        <f t="shared" si="284"/>
        <v>Medium Risk</v>
      </c>
      <c r="K6024" s="3" t="str">
        <f t="shared" si="282"/>
        <v>0-1 Year</v>
      </c>
    </row>
    <row r="6025" spans="1:11" x14ac:dyDescent="0.3">
      <c r="A6025" t="s">
        <v>6042</v>
      </c>
      <c r="B6025" t="s">
        <v>14</v>
      </c>
      <c r="C6025" t="s">
        <v>10</v>
      </c>
      <c r="D6025" t="s">
        <v>11</v>
      </c>
      <c r="E6025">
        <v>105.3</v>
      </c>
      <c r="F6025">
        <v>68</v>
      </c>
      <c r="G6025">
        <v>7160.4</v>
      </c>
      <c r="H6025" t="s">
        <v>18</v>
      </c>
      <c r="I6025" t="str">
        <f t="shared" si="283"/>
        <v>High Value</v>
      </c>
      <c r="J6025" t="str">
        <f t="shared" si="284"/>
        <v>Low Risk</v>
      </c>
      <c r="K6025" s="3" t="str">
        <f t="shared" si="282"/>
        <v>4+ Years</v>
      </c>
    </row>
    <row r="6026" spans="1:11" x14ac:dyDescent="0.3">
      <c r="A6026" t="s">
        <v>6043</v>
      </c>
      <c r="B6026" t="s">
        <v>14</v>
      </c>
      <c r="C6026" t="s">
        <v>10</v>
      </c>
      <c r="D6026" t="s">
        <v>11</v>
      </c>
      <c r="E6026">
        <v>88.95</v>
      </c>
      <c r="F6026">
        <v>25</v>
      </c>
      <c r="G6026">
        <v>2223.75</v>
      </c>
      <c r="H6026" t="s">
        <v>18</v>
      </c>
      <c r="I6026" t="str">
        <f t="shared" si="283"/>
        <v>Medium Value</v>
      </c>
      <c r="J6026" t="str">
        <f t="shared" si="284"/>
        <v>Low Risk</v>
      </c>
      <c r="K6026" s="3" t="str">
        <f t="shared" si="282"/>
        <v>2-4 Years</v>
      </c>
    </row>
    <row r="6027" spans="1:11" x14ac:dyDescent="0.3">
      <c r="A6027" t="s">
        <v>6044</v>
      </c>
      <c r="B6027" t="s">
        <v>9</v>
      </c>
      <c r="C6027" t="s">
        <v>15</v>
      </c>
      <c r="D6027" t="s">
        <v>16</v>
      </c>
      <c r="E6027">
        <v>20.25</v>
      </c>
      <c r="F6027">
        <v>7</v>
      </c>
      <c r="G6027">
        <v>141.75</v>
      </c>
      <c r="H6027" t="s">
        <v>12</v>
      </c>
      <c r="I6027" t="str">
        <f t="shared" si="283"/>
        <v>Low Value</v>
      </c>
      <c r="J6027" t="str">
        <f t="shared" si="284"/>
        <v>High Risk</v>
      </c>
      <c r="K6027" s="3" t="str">
        <f t="shared" si="282"/>
        <v>0-1 Year</v>
      </c>
    </row>
    <row r="6028" spans="1:11" x14ac:dyDescent="0.3">
      <c r="A6028" t="s">
        <v>6045</v>
      </c>
      <c r="B6028" t="s">
        <v>14</v>
      </c>
      <c r="C6028" t="s">
        <v>15</v>
      </c>
      <c r="D6028" t="s">
        <v>11</v>
      </c>
      <c r="E6028">
        <v>110.85</v>
      </c>
      <c r="F6028">
        <v>66</v>
      </c>
      <c r="G6028">
        <v>7316.0999999999904</v>
      </c>
      <c r="H6028" t="s">
        <v>18</v>
      </c>
      <c r="I6028" t="str">
        <f t="shared" si="283"/>
        <v>High Value</v>
      </c>
      <c r="J6028" t="str">
        <f t="shared" si="284"/>
        <v>Low Risk</v>
      </c>
      <c r="K6028" s="3" t="str">
        <f t="shared" si="282"/>
        <v>4+ Years</v>
      </c>
    </row>
    <row r="6029" spans="1:11" x14ac:dyDescent="0.3">
      <c r="A6029" t="s">
        <v>6046</v>
      </c>
      <c r="B6029" t="s">
        <v>9</v>
      </c>
      <c r="C6029" t="s">
        <v>15</v>
      </c>
      <c r="D6029" t="s">
        <v>11</v>
      </c>
      <c r="E6029">
        <v>110.5</v>
      </c>
      <c r="F6029">
        <v>53</v>
      </c>
      <c r="G6029">
        <v>5856.5</v>
      </c>
      <c r="H6029" t="s">
        <v>12</v>
      </c>
      <c r="I6029" t="str">
        <f t="shared" si="283"/>
        <v>High Value</v>
      </c>
      <c r="J6029" t="str">
        <f t="shared" si="284"/>
        <v>Low Risk</v>
      </c>
      <c r="K6029" s="3" t="str">
        <f t="shared" si="282"/>
        <v>4+ Years</v>
      </c>
    </row>
    <row r="6030" spans="1:11" x14ac:dyDescent="0.3">
      <c r="A6030" t="s">
        <v>6047</v>
      </c>
      <c r="B6030" t="s">
        <v>14</v>
      </c>
      <c r="C6030" t="s">
        <v>10</v>
      </c>
      <c r="D6030" t="s">
        <v>20</v>
      </c>
      <c r="E6030">
        <v>109.4</v>
      </c>
      <c r="F6030">
        <v>63</v>
      </c>
      <c r="G6030">
        <v>6892.2</v>
      </c>
      <c r="H6030" t="s">
        <v>12</v>
      </c>
      <c r="I6030" t="str">
        <f t="shared" si="283"/>
        <v>High Value</v>
      </c>
      <c r="J6030" t="str">
        <f t="shared" si="284"/>
        <v>Low Risk</v>
      </c>
      <c r="K6030" s="3" t="str">
        <f t="shared" si="282"/>
        <v>4+ Years</v>
      </c>
    </row>
    <row r="6031" spans="1:11" x14ac:dyDescent="0.3">
      <c r="A6031" t="s">
        <v>6048</v>
      </c>
      <c r="B6031" t="s">
        <v>9</v>
      </c>
      <c r="C6031" t="s">
        <v>30</v>
      </c>
      <c r="D6031" t="s">
        <v>20</v>
      </c>
      <c r="E6031">
        <v>114.2</v>
      </c>
      <c r="F6031">
        <v>70</v>
      </c>
      <c r="G6031">
        <v>7994</v>
      </c>
      <c r="H6031" t="s">
        <v>18</v>
      </c>
      <c r="I6031" t="str">
        <f t="shared" si="283"/>
        <v>High Value</v>
      </c>
      <c r="J6031" t="str">
        <f t="shared" si="284"/>
        <v>Low Risk</v>
      </c>
      <c r="K6031" s="3" t="str">
        <f t="shared" si="282"/>
        <v>4+ Years</v>
      </c>
    </row>
    <row r="6032" spans="1:11" x14ac:dyDescent="0.3">
      <c r="A6032" t="s">
        <v>6049</v>
      </c>
      <c r="B6032" t="s">
        <v>14</v>
      </c>
      <c r="C6032" t="s">
        <v>10</v>
      </c>
      <c r="D6032" t="s">
        <v>20</v>
      </c>
      <c r="E6032">
        <v>36.5</v>
      </c>
      <c r="F6032">
        <v>27</v>
      </c>
      <c r="G6032">
        <v>985.5</v>
      </c>
      <c r="H6032" t="s">
        <v>18</v>
      </c>
      <c r="I6032" t="str">
        <f t="shared" si="283"/>
        <v>Low Value</v>
      </c>
      <c r="J6032" t="str">
        <f t="shared" si="284"/>
        <v>Low Risk</v>
      </c>
      <c r="K6032" s="3" t="str">
        <f t="shared" si="282"/>
        <v>2-4 Years</v>
      </c>
    </row>
    <row r="6033" spans="1:11" x14ac:dyDescent="0.3">
      <c r="A6033" t="s">
        <v>6050</v>
      </c>
      <c r="B6033" t="s">
        <v>9</v>
      </c>
      <c r="C6033" t="s">
        <v>10</v>
      </c>
      <c r="D6033" t="s">
        <v>16</v>
      </c>
      <c r="E6033">
        <v>70.75</v>
      </c>
      <c r="F6033">
        <v>1</v>
      </c>
      <c r="G6033">
        <v>70.75</v>
      </c>
      <c r="H6033" t="s">
        <v>18</v>
      </c>
      <c r="I6033" t="str">
        <f t="shared" si="283"/>
        <v>Low Value</v>
      </c>
      <c r="J6033" t="str">
        <f t="shared" si="284"/>
        <v>High Risk</v>
      </c>
      <c r="K6033" s="3" t="str">
        <f t="shared" si="282"/>
        <v>0-1 Year</v>
      </c>
    </row>
    <row r="6034" spans="1:11" x14ac:dyDescent="0.3">
      <c r="A6034" t="s">
        <v>6051</v>
      </c>
      <c r="B6034" t="s">
        <v>9</v>
      </c>
      <c r="C6034" t="s">
        <v>10</v>
      </c>
      <c r="D6034" t="s">
        <v>16</v>
      </c>
      <c r="E6034">
        <v>19.95</v>
      </c>
      <c r="F6034">
        <v>5</v>
      </c>
      <c r="G6034">
        <v>99.75</v>
      </c>
      <c r="H6034" t="s">
        <v>12</v>
      </c>
      <c r="I6034" t="str">
        <f t="shared" si="283"/>
        <v>Low Value</v>
      </c>
      <c r="J6034" t="str">
        <f t="shared" si="284"/>
        <v>High Risk</v>
      </c>
      <c r="K6034" s="3" t="str">
        <f t="shared" si="282"/>
        <v>0-1 Year</v>
      </c>
    </row>
    <row r="6035" spans="1:11" x14ac:dyDescent="0.3">
      <c r="A6035" t="s">
        <v>6052</v>
      </c>
      <c r="B6035" t="s">
        <v>9</v>
      </c>
      <c r="C6035" t="s">
        <v>15</v>
      </c>
      <c r="D6035" t="s">
        <v>16</v>
      </c>
      <c r="E6035">
        <v>19.600000000000001</v>
      </c>
      <c r="F6035">
        <v>37</v>
      </c>
      <c r="G6035">
        <v>725.2</v>
      </c>
      <c r="H6035" t="s">
        <v>12</v>
      </c>
      <c r="I6035" t="str">
        <f t="shared" si="283"/>
        <v>Low Value</v>
      </c>
      <c r="J6035" t="str">
        <f t="shared" si="284"/>
        <v>Low Risk</v>
      </c>
      <c r="K6035" s="3" t="str">
        <f t="shared" si="282"/>
        <v>2-4 Years</v>
      </c>
    </row>
    <row r="6036" spans="1:11" x14ac:dyDescent="0.3">
      <c r="A6036" t="s">
        <v>6053</v>
      </c>
      <c r="B6036" t="s">
        <v>14</v>
      </c>
      <c r="C6036" t="s">
        <v>10</v>
      </c>
      <c r="D6036" t="s">
        <v>16</v>
      </c>
      <c r="E6036">
        <v>40.15</v>
      </c>
      <c r="F6036">
        <v>3</v>
      </c>
      <c r="G6036">
        <v>120.44999999999899</v>
      </c>
      <c r="H6036" t="s">
        <v>18</v>
      </c>
      <c r="I6036" t="str">
        <f t="shared" si="283"/>
        <v>Low Value</v>
      </c>
      <c r="J6036" t="str">
        <f t="shared" si="284"/>
        <v>High Risk</v>
      </c>
      <c r="K6036" s="3" t="str">
        <f t="shared" si="282"/>
        <v>0-1 Year</v>
      </c>
    </row>
    <row r="6037" spans="1:11" x14ac:dyDescent="0.3">
      <c r="A6037" t="s">
        <v>6054</v>
      </c>
      <c r="B6037" t="s">
        <v>9</v>
      </c>
      <c r="C6037" t="s">
        <v>10</v>
      </c>
      <c r="D6037" t="s">
        <v>11</v>
      </c>
      <c r="E6037">
        <v>76.599999999999994</v>
      </c>
      <c r="F6037">
        <v>12</v>
      </c>
      <c r="G6037">
        <v>919.19999999999902</v>
      </c>
      <c r="H6037" t="s">
        <v>12</v>
      </c>
      <c r="I6037" t="str">
        <f t="shared" si="283"/>
        <v>Low Value</v>
      </c>
      <c r="J6037" t="str">
        <f t="shared" si="284"/>
        <v>Medium Risk</v>
      </c>
      <c r="K6037" s="3" t="str">
        <f t="shared" si="282"/>
        <v>0-1 Year</v>
      </c>
    </row>
    <row r="6038" spans="1:11" x14ac:dyDescent="0.3">
      <c r="A6038" t="s">
        <v>6055</v>
      </c>
      <c r="B6038" t="s">
        <v>9</v>
      </c>
      <c r="C6038" t="s">
        <v>15</v>
      </c>
      <c r="D6038" t="s">
        <v>24</v>
      </c>
      <c r="E6038">
        <v>19.600000000000001</v>
      </c>
      <c r="F6038">
        <v>38</v>
      </c>
      <c r="G6038">
        <v>744.8</v>
      </c>
      <c r="H6038" t="s">
        <v>12</v>
      </c>
      <c r="I6038" t="str">
        <f t="shared" si="283"/>
        <v>Low Value</v>
      </c>
      <c r="J6038" t="str">
        <f t="shared" si="284"/>
        <v>Low Risk</v>
      </c>
      <c r="K6038" s="3" t="str">
        <f t="shared" si="282"/>
        <v>2-4 Years</v>
      </c>
    </row>
    <row r="6039" spans="1:11" x14ac:dyDescent="0.3">
      <c r="A6039" t="s">
        <v>6056</v>
      </c>
      <c r="B6039" t="s">
        <v>9</v>
      </c>
      <c r="C6039" t="s">
        <v>10</v>
      </c>
      <c r="D6039" t="s">
        <v>24</v>
      </c>
      <c r="E6039">
        <v>85.3</v>
      </c>
      <c r="F6039">
        <v>9</v>
      </c>
      <c r="G6039">
        <v>767.69999999999902</v>
      </c>
      <c r="H6039" t="s">
        <v>12</v>
      </c>
      <c r="I6039" t="str">
        <f t="shared" si="283"/>
        <v>Low Value</v>
      </c>
      <c r="J6039" t="str">
        <f t="shared" si="284"/>
        <v>High Risk</v>
      </c>
      <c r="K6039" s="3" t="str">
        <f t="shared" si="282"/>
        <v>0-1 Year</v>
      </c>
    </row>
    <row r="6040" spans="1:11" x14ac:dyDescent="0.3">
      <c r="A6040" t="s">
        <v>6057</v>
      </c>
      <c r="B6040" t="s">
        <v>14</v>
      </c>
      <c r="C6040" t="s">
        <v>10</v>
      </c>
      <c r="D6040" t="s">
        <v>11</v>
      </c>
      <c r="E6040">
        <v>65.849999999999994</v>
      </c>
      <c r="F6040">
        <v>13</v>
      </c>
      <c r="G6040">
        <v>856.05</v>
      </c>
      <c r="H6040" t="s">
        <v>12</v>
      </c>
      <c r="I6040" t="str">
        <f t="shared" si="283"/>
        <v>Low Value</v>
      </c>
      <c r="J6040" t="str">
        <f t="shared" si="284"/>
        <v>Medium Risk</v>
      </c>
      <c r="K6040" s="3" t="str">
        <f t="shared" si="282"/>
        <v>1-2 Years</v>
      </c>
    </row>
    <row r="6041" spans="1:11" x14ac:dyDescent="0.3">
      <c r="A6041" t="s">
        <v>6058</v>
      </c>
      <c r="B6041" t="s">
        <v>14</v>
      </c>
      <c r="C6041" t="s">
        <v>10</v>
      </c>
      <c r="D6041" t="s">
        <v>11</v>
      </c>
      <c r="E6041">
        <v>94.45</v>
      </c>
      <c r="F6041">
        <v>29</v>
      </c>
      <c r="G6041">
        <v>2739.05</v>
      </c>
      <c r="H6041" t="s">
        <v>18</v>
      </c>
      <c r="I6041" t="str">
        <f t="shared" si="283"/>
        <v>Medium Value</v>
      </c>
      <c r="J6041" t="str">
        <f t="shared" si="284"/>
        <v>Low Risk</v>
      </c>
      <c r="K6041" s="3" t="str">
        <f t="shared" si="282"/>
        <v>2-4 Years</v>
      </c>
    </row>
    <row r="6042" spans="1:11" x14ac:dyDescent="0.3">
      <c r="A6042" t="s">
        <v>6059</v>
      </c>
      <c r="B6042" t="s">
        <v>9</v>
      </c>
      <c r="C6042" t="s">
        <v>30</v>
      </c>
      <c r="D6042" t="s">
        <v>24</v>
      </c>
      <c r="E6042">
        <v>20.05</v>
      </c>
      <c r="F6042">
        <v>47</v>
      </c>
      <c r="G6042">
        <v>942.35</v>
      </c>
      <c r="H6042" t="s">
        <v>12</v>
      </c>
      <c r="I6042" t="str">
        <f t="shared" si="283"/>
        <v>Low Value</v>
      </c>
      <c r="J6042" t="str">
        <f t="shared" si="284"/>
        <v>Low Risk</v>
      </c>
      <c r="K6042" s="3" t="str">
        <f t="shared" si="282"/>
        <v>2-4 Years</v>
      </c>
    </row>
    <row r="6043" spans="1:11" x14ac:dyDescent="0.3">
      <c r="A6043" t="s">
        <v>6060</v>
      </c>
      <c r="B6043" t="s">
        <v>14</v>
      </c>
      <c r="C6043" t="s">
        <v>10</v>
      </c>
      <c r="D6043" t="s">
        <v>20</v>
      </c>
      <c r="E6043">
        <v>99.4</v>
      </c>
      <c r="F6043">
        <v>61</v>
      </c>
      <c r="G6043">
        <v>6063.4</v>
      </c>
      <c r="H6043" t="s">
        <v>12</v>
      </c>
      <c r="I6043" t="str">
        <f t="shared" si="283"/>
        <v>High Value</v>
      </c>
      <c r="J6043" t="str">
        <f t="shared" si="284"/>
        <v>Low Risk</v>
      </c>
      <c r="K6043" s="3" t="str">
        <f t="shared" si="282"/>
        <v>4+ Years</v>
      </c>
    </row>
    <row r="6044" spans="1:11" x14ac:dyDescent="0.3">
      <c r="A6044" t="s">
        <v>6061</v>
      </c>
      <c r="B6044" t="s">
        <v>14</v>
      </c>
      <c r="C6044" t="s">
        <v>10</v>
      </c>
      <c r="D6044" t="s">
        <v>16</v>
      </c>
      <c r="E6044">
        <v>20</v>
      </c>
      <c r="F6044">
        <v>16</v>
      </c>
      <c r="G6044">
        <v>320</v>
      </c>
      <c r="H6044" t="s">
        <v>12</v>
      </c>
      <c r="I6044" t="str">
        <f t="shared" si="283"/>
        <v>Low Value</v>
      </c>
      <c r="J6044" t="str">
        <f t="shared" si="284"/>
        <v>Medium Risk</v>
      </c>
      <c r="K6044" s="3" t="str">
        <f t="shared" si="282"/>
        <v>1-2 Years</v>
      </c>
    </row>
    <row r="6045" spans="1:11" x14ac:dyDescent="0.3">
      <c r="A6045" t="s">
        <v>6062</v>
      </c>
      <c r="B6045" t="s">
        <v>9</v>
      </c>
      <c r="C6045" t="s">
        <v>30</v>
      </c>
      <c r="D6045" t="s">
        <v>11</v>
      </c>
      <c r="E6045">
        <v>78.45</v>
      </c>
      <c r="F6045">
        <v>41</v>
      </c>
      <c r="G6045">
        <v>3216.45</v>
      </c>
      <c r="H6045" t="s">
        <v>12</v>
      </c>
      <c r="I6045" t="str">
        <f t="shared" si="283"/>
        <v>Medium Value</v>
      </c>
      <c r="J6045" t="str">
        <f t="shared" si="284"/>
        <v>Low Risk</v>
      </c>
      <c r="K6045" s="3" t="str">
        <f t="shared" si="282"/>
        <v>2-4 Years</v>
      </c>
    </row>
    <row r="6046" spans="1:11" x14ac:dyDescent="0.3">
      <c r="A6046" t="s">
        <v>6063</v>
      </c>
      <c r="B6046" t="s">
        <v>9</v>
      </c>
      <c r="C6046" t="s">
        <v>30</v>
      </c>
      <c r="D6046" t="s">
        <v>11</v>
      </c>
      <c r="E6046">
        <v>25.1</v>
      </c>
      <c r="F6046">
        <v>43</v>
      </c>
      <c r="G6046">
        <v>1079.3</v>
      </c>
      <c r="H6046" t="s">
        <v>12</v>
      </c>
      <c r="I6046" t="str">
        <f t="shared" si="283"/>
        <v>Low Value</v>
      </c>
      <c r="J6046" t="str">
        <f t="shared" si="284"/>
        <v>Low Risk</v>
      </c>
      <c r="K6046" s="3" t="str">
        <f t="shared" si="282"/>
        <v>2-4 Years</v>
      </c>
    </row>
    <row r="6047" spans="1:11" x14ac:dyDescent="0.3">
      <c r="A6047" t="s">
        <v>6064</v>
      </c>
      <c r="B6047" t="s">
        <v>9</v>
      </c>
      <c r="C6047" t="s">
        <v>10</v>
      </c>
      <c r="D6047" t="s">
        <v>20</v>
      </c>
      <c r="E6047">
        <v>97.35</v>
      </c>
      <c r="F6047">
        <v>36</v>
      </c>
      <c r="G6047">
        <v>3504.6</v>
      </c>
      <c r="H6047" t="s">
        <v>18</v>
      </c>
      <c r="I6047" t="str">
        <f t="shared" si="283"/>
        <v>Medium Value</v>
      </c>
      <c r="J6047" t="str">
        <f t="shared" si="284"/>
        <v>Low Risk</v>
      </c>
      <c r="K6047" s="3" t="str">
        <f t="shared" si="282"/>
        <v>2-4 Years</v>
      </c>
    </row>
    <row r="6048" spans="1:11" x14ac:dyDescent="0.3">
      <c r="A6048" t="s">
        <v>6065</v>
      </c>
      <c r="B6048" t="s">
        <v>9</v>
      </c>
      <c r="C6048" t="s">
        <v>10</v>
      </c>
      <c r="D6048" t="s">
        <v>11</v>
      </c>
      <c r="E6048">
        <v>55</v>
      </c>
      <c r="F6048">
        <v>6</v>
      </c>
      <c r="G6048">
        <v>330</v>
      </c>
      <c r="H6048" t="s">
        <v>12</v>
      </c>
      <c r="I6048" t="str">
        <f t="shared" si="283"/>
        <v>Low Value</v>
      </c>
      <c r="J6048" t="str">
        <f t="shared" si="284"/>
        <v>High Risk</v>
      </c>
      <c r="K6048" s="3" t="str">
        <f t="shared" si="282"/>
        <v>0-1 Year</v>
      </c>
    </row>
    <row r="6049" spans="1:11" x14ac:dyDescent="0.3">
      <c r="A6049" t="s">
        <v>6066</v>
      </c>
      <c r="B6049" t="s">
        <v>9</v>
      </c>
      <c r="C6049" t="s">
        <v>15</v>
      </c>
      <c r="D6049" t="s">
        <v>24</v>
      </c>
      <c r="E6049">
        <v>71.099999999999994</v>
      </c>
      <c r="F6049">
        <v>58</v>
      </c>
      <c r="G6049">
        <v>4123.7999999999902</v>
      </c>
      <c r="H6049" t="s">
        <v>12</v>
      </c>
      <c r="I6049" t="str">
        <f t="shared" si="283"/>
        <v>Medium Value</v>
      </c>
      <c r="J6049" t="str">
        <f t="shared" si="284"/>
        <v>Low Risk</v>
      </c>
      <c r="K6049" s="3" t="str">
        <f t="shared" si="282"/>
        <v>4+ Years</v>
      </c>
    </row>
    <row r="6050" spans="1:11" x14ac:dyDescent="0.3">
      <c r="A6050" t="s">
        <v>6067</v>
      </c>
      <c r="B6050" t="s">
        <v>14</v>
      </c>
      <c r="C6050" t="s">
        <v>10</v>
      </c>
      <c r="D6050" t="s">
        <v>24</v>
      </c>
      <c r="E6050">
        <v>61.55</v>
      </c>
      <c r="F6050">
        <v>19</v>
      </c>
      <c r="G6050">
        <v>1169.45</v>
      </c>
      <c r="H6050" t="s">
        <v>12</v>
      </c>
      <c r="I6050" t="str">
        <f t="shared" si="283"/>
        <v>Low Value</v>
      </c>
      <c r="J6050" t="str">
        <f t="shared" si="284"/>
        <v>Medium Risk</v>
      </c>
      <c r="K6050" s="3" t="str">
        <f t="shared" si="282"/>
        <v>1-2 Years</v>
      </c>
    </row>
    <row r="6051" spans="1:11" x14ac:dyDescent="0.3">
      <c r="A6051" t="s">
        <v>6068</v>
      </c>
      <c r="B6051" t="s">
        <v>14</v>
      </c>
      <c r="C6051" t="s">
        <v>10</v>
      </c>
      <c r="D6051" t="s">
        <v>20</v>
      </c>
      <c r="E6051">
        <v>45.9</v>
      </c>
      <c r="F6051">
        <v>11</v>
      </c>
      <c r="G6051">
        <v>504.9</v>
      </c>
      <c r="H6051" t="s">
        <v>12</v>
      </c>
      <c r="I6051" t="str">
        <f t="shared" si="283"/>
        <v>Low Value</v>
      </c>
      <c r="J6051" t="str">
        <f t="shared" si="284"/>
        <v>High Risk</v>
      </c>
      <c r="K6051" s="3" t="str">
        <f t="shared" si="282"/>
        <v>0-1 Year</v>
      </c>
    </row>
    <row r="6052" spans="1:11" x14ac:dyDescent="0.3">
      <c r="A6052" t="s">
        <v>6069</v>
      </c>
      <c r="B6052" t="s">
        <v>9</v>
      </c>
      <c r="C6052" t="s">
        <v>15</v>
      </c>
      <c r="D6052" t="s">
        <v>20</v>
      </c>
      <c r="E6052">
        <v>40.299999999999997</v>
      </c>
      <c r="F6052">
        <v>39</v>
      </c>
      <c r="G6052">
        <v>1571.69999999999</v>
      </c>
      <c r="H6052" t="s">
        <v>12</v>
      </c>
      <c r="I6052" t="str">
        <f t="shared" si="283"/>
        <v>Low Value</v>
      </c>
      <c r="J6052" t="str">
        <f t="shared" si="284"/>
        <v>Low Risk</v>
      </c>
      <c r="K6052" s="3" t="str">
        <f t="shared" si="282"/>
        <v>2-4 Years</v>
      </c>
    </row>
    <row r="6053" spans="1:11" x14ac:dyDescent="0.3">
      <c r="A6053" t="s">
        <v>6070</v>
      </c>
      <c r="B6053" t="s">
        <v>9</v>
      </c>
      <c r="C6053" t="s">
        <v>10</v>
      </c>
      <c r="D6053" t="s">
        <v>11</v>
      </c>
      <c r="E6053">
        <v>87.1</v>
      </c>
      <c r="F6053">
        <v>8</v>
      </c>
      <c r="G6053">
        <v>696.8</v>
      </c>
      <c r="H6053" t="s">
        <v>12</v>
      </c>
      <c r="I6053" t="str">
        <f t="shared" si="283"/>
        <v>Low Value</v>
      </c>
      <c r="J6053" t="str">
        <f t="shared" si="284"/>
        <v>High Risk</v>
      </c>
      <c r="K6053" s="3" t="str">
        <f t="shared" si="282"/>
        <v>0-1 Year</v>
      </c>
    </row>
    <row r="6054" spans="1:11" x14ac:dyDescent="0.3">
      <c r="A6054" t="s">
        <v>6071</v>
      </c>
      <c r="B6054" t="s">
        <v>9</v>
      </c>
      <c r="C6054" t="s">
        <v>10</v>
      </c>
      <c r="D6054" t="s">
        <v>16</v>
      </c>
      <c r="E6054">
        <v>49.5</v>
      </c>
      <c r="F6054">
        <v>26</v>
      </c>
      <c r="G6054">
        <v>1287</v>
      </c>
      <c r="H6054" t="s">
        <v>12</v>
      </c>
      <c r="I6054" t="str">
        <f t="shared" si="283"/>
        <v>Low Value</v>
      </c>
      <c r="J6054" t="str">
        <f t="shared" si="284"/>
        <v>Low Risk</v>
      </c>
      <c r="K6054" s="3" t="str">
        <f t="shared" si="282"/>
        <v>2-4 Years</v>
      </c>
    </row>
    <row r="6055" spans="1:11" x14ac:dyDescent="0.3">
      <c r="A6055" t="s">
        <v>6072</v>
      </c>
      <c r="B6055" t="s">
        <v>9</v>
      </c>
      <c r="C6055" t="s">
        <v>10</v>
      </c>
      <c r="D6055" t="s">
        <v>24</v>
      </c>
      <c r="E6055">
        <v>73.8</v>
      </c>
      <c r="F6055">
        <v>53</v>
      </c>
      <c r="G6055">
        <v>3911.3999999999901</v>
      </c>
      <c r="H6055" t="s">
        <v>12</v>
      </c>
      <c r="I6055" t="str">
        <f t="shared" si="283"/>
        <v>Medium Value</v>
      </c>
      <c r="J6055" t="str">
        <f t="shared" si="284"/>
        <v>Low Risk</v>
      </c>
      <c r="K6055" s="3" t="str">
        <f t="shared" si="282"/>
        <v>4+ Years</v>
      </c>
    </row>
    <row r="6056" spans="1:11" x14ac:dyDescent="0.3">
      <c r="A6056" t="s">
        <v>6073</v>
      </c>
      <c r="B6056" t="s">
        <v>9</v>
      </c>
      <c r="C6056" t="s">
        <v>30</v>
      </c>
      <c r="D6056" t="s">
        <v>16</v>
      </c>
      <c r="E6056">
        <v>19.2</v>
      </c>
      <c r="F6056">
        <v>70</v>
      </c>
      <c r="G6056">
        <v>1344</v>
      </c>
      <c r="H6056" t="s">
        <v>12</v>
      </c>
      <c r="I6056" t="str">
        <f t="shared" si="283"/>
        <v>Low Value</v>
      </c>
      <c r="J6056" t="str">
        <f t="shared" si="284"/>
        <v>Low Risk</v>
      </c>
      <c r="K6056" s="3" t="str">
        <f t="shared" si="282"/>
        <v>4+ Years</v>
      </c>
    </row>
    <row r="6057" spans="1:11" x14ac:dyDescent="0.3">
      <c r="A6057" t="s">
        <v>6074</v>
      </c>
      <c r="B6057" t="s">
        <v>14</v>
      </c>
      <c r="C6057" t="s">
        <v>10</v>
      </c>
      <c r="D6057" t="s">
        <v>16</v>
      </c>
      <c r="E6057">
        <v>45.3</v>
      </c>
      <c r="F6057">
        <v>1</v>
      </c>
      <c r="G6057">
        <v>45.3</v>
      </c>
      <c r="H6057" t="s">
        <v>18</v>
      </c>
      <c r="I6057" t="str">
        <f t="shared" si="283"/>
        <v>Low Value</v>
      </c>
      <c r="J6057" t="str">
        <f t="shared" si="284"/>
        <v>High Risk</v>
      </c>
      <c r="K6057" s="3" t="str">
        <f t="shared" si="282"/>
        <v>0-1 Year</v>
      </c>
    </row>
    <row r="6058" spans="1:11" x14ac:dyDescent="0.3">
      <c r="A6058" t="s">
        <v>6075</v>
      </c>
      <c r="B6058" t="s">
        <v>14</v>
      </c>
      <c r="C6058" t="s">
        <v>30</v>
      </c>
      <c r="D6058" t="s">
        <v>16</v>
      </c>
      <c r="E6058">
        <v>25</v>
      </c>
      <c r="F6058">
        <v>59</v>
      </c>
      <c r="G6058">
        <v>1475</v>
      </c>
      <c r="H6058" t="s">
        <v>12</v>
      </c>
      <c r="I6058" t="str">
        <f t="shared" si="283"/>
        <v>Low Value</v>
      </c>
      <c r="J6058" t="str">
        <f t="shared" si="284"/>
        <v>Low Risk</v>
      </c>
      <c r="K6058" s="3" t="str">
        <f t="shared" si="282"/>
        <v>4+ Years</v>
      </c>
    </row>
    <row r="6059" spans="1:11" x14ac:dyDescent="0.3">
      <c r="A6059" t="s">
        <v>6076</v>
      </c>
      <c r="B6059" t="s">
        <v>14</v>
      </c>
      <c r="C6059" t="s">
        <v>10</v>
      </c>
      <c r="D6059" t="s">
        <v>11</v>
      </c>
      <c r="E6059">
        <v>94.95</v>
      </c>
      <c r="F6059">
        <v>2</v>
      </c>
      <c r="G6059">
        <v>189.9</v>
      </c>
      <c r="H6059" t="s">
        <v>18</v>
      </c>
      <c r="I6059" t="str">
        <f t="shared" si="283"/>
        <v>Low Value</v>
      </c>
      <c r="J6059" t="str">
        <f t="shared" si="284"/>
        <v>High Risk</v>
      </c>
      <c r="K6059" s="3" t="str">
        <f t="shared" si="282"/>
        <v>0-1 Year</v>
      </c>
    </row>
    <row r="6060" spans="1:11" x14ac:dyDescent="0.3">
      <c r="A6060" t="s">
        <v>6077</v>
      </c>
      <c r="B6060" t="s">
        <v>14</v>
      </c>
      <c r="C6060" t="s">
        <v>15</v>
      </c>
      <c r="D6060" t="s">
        <v>16</v>
      </c>
      <c r="E6060">
        <v>35.299999999999997</v>
      </c>
      <c r="F6060">
        <v>7</v>
      </c>
      <c r="G6060">
        <v>247.099999999999</v>
      </c>
      <c r="H6060" t="s">
        <v>12</v>
      </c>
      <c r="I6060" t="str">
        <f t="shared" si="283"/>
        <v>Low Value</v>
      </c>
      <c r="J6060" t="str">
        <f t="shared" si="284"/>
        <v>High Risk</v>
      </c>
      <c r="K6060" s="3" t="str">
        <f t="shared" si="282"/>
        <v>0-1 Year</v>
      </c>
    </row>
    <row r="6061" spans="1:11" x14ac:dyDescent="0.3">
      <c r="A6061" t="s">
        <v>6078</v>
      </c>
      <c r="B6061" t="s">
        <v>9</v>
      </c>
      <c r="C6061" t="s">
        <v>10</v>
      </c>
      <c r="D6061" t="s">
        <v>11</v>
      </c>
      <c r="E6061">
        <v>44.55</v>
      </c>
      <c r="F6061">
        <v>12</v>
      </c>
      <c r="G6061">
        <v>534.599999999999</v>
      </c>
      <c r="H6061" t="s">
        <v>18</v>
      </c>
      <c r="I6061" t="str">
        <f t="shared" si="283"/>
        <v>Low Value</v>
      </c>
      <c r="J6061" t="str">
        <f t="shared" si="284"/>
        <v>Medium Risk</v>
      </c>
      <c r="K6061" s="3" t="str">
        <f t="shared" si="282"/>
        <v>0-1 Year</v>
      </c>
    </row>
    <row r="6062" spans="1:11" x14ac:dyDescent="0.3">
      <c r="A6062" t="s">
        <v>6079</v>
      </c>
      <c r="B6062" t="s">
        <v>14</v>
      </c>
      <c r="C6062" t="s">
        <v>15</v>
      </c>
      <c r="D6062" t="s">
        <v>24</v>
      </c>
      <c r="E6062">
        <v>76.75</v>
      </c>
      <c r="F6062">
        <v>59</v>
      </c>
      <c r="G6062">
        <v>4528.25</v>
      </c>
      <c r="H6062" t="s">
        <v>12</v>
      </c>
      <c r="I6062" t="str">
        <f t="shared" si="283"/>
        <v>Medium Value</v>
      </c>
      <c r="J6062" t="str">
        <f t="shared" si="284"/>
        <v>Low Risk</v>
      </c>
      <c r="K6062" s="3" t="str">
        <f t="shared" si="282"/>
        <v>4+ Years</v>
      </c>
    </row>
    <row r="6063" spans="1:11" x14ac:dyDescent="0.3">
      <c r="A6063" t="s">
        <v>6080</v>
      </c>
      <c r="B6063" t="s">
        <v>14</v>
      </c>
      <c r="C6063" t="s">
        <v>30</v>
      </c>
      <c r="D6063" t="s">
        <v>20</v>
      </c>
      <c r="E6063">
        <v>81</v>
      </c>
      <c r="F6063">
        <v>61</v>
      </c>
      <c r="G6063">
        <v>4941</v>
      </c>
      <c r="H6063" t="s">
        <v>12</v>
      </c>
      <c r="I6063" t="str">
        <f t="shared" si="283"/>
        <v>Medium Value</v>
      </c>
      <c r="J6063" t="str">
        <f t="shared" si="284"/>
        <v>Low Risk</v>
      </c>
      <c r="K6063" s="3" t="str">
        <f t="shared" si="282"/>
        <v>4+ Years</v>
      </c>
    </row>
    <row r="6064" spans="1:11" x14ac:dyDescent="0.3">
      <c r="A6064" t="s">
        <v>6081</v>
      </c>
      <c r="B6064" t="s">
        <v>14</v>
      </c>
      <c r="C6064" t="s">
        <v>30</v>
      </c>
      <c r="D6064" t="s">
        <v>20</v>
      </c>
      <c r="E6064">
        <v>105.55</v>
      </c>
      <c r="F6064">
        <v>72</v>
      </c>
      <c r="G6064">
        <v>7599.5999999999904</v>
      </c>
      <c r="H6064" t="s">
        <v>12</v>
      </c>
      <c r="I6064" t="str">
        <f t="shared" si="283"/>
        <v>High Value</v>
      </c>
      <c r="J6064" t="str">
        <f t="shared" si="284"/>
        <v>Low Risk</v>
      </c>
      <c r="K6064" s="3" t="str">
        <f t="shared" si="282"/>
        <v>4+ Years</v>
      </c>
    </row>
    <row r="6065" spans="1:11" x14ac:dyDescent="0.3">
      <c r="A6065" t="s">
        <v>6082</v>
      </c>
      <c r="B6065" t="s">
        <v>9</v>
      </c>
      <c r="C6065" t="s">
        <v>10</v>
      </c>
      <c r="D6065" t="s">
        <v>16</v>
      </c>
      <c r="E6065">
        <v>18.8</v>
      </c>
      <c r="F6065">
        <v>13</v>
      </c>
      <c r="G6065">
        <v>244.4</v>
      </c>
      <c r="H6065" t="s">
        <v>12</v>
      </c>
      <c r="I6065" t="str">
        <f t="shared" si="283"/>
        <v>Low Value</v>
      </c>
      <c r="J6065" t="str">
        <f t="shared" si="284"/>
        <v>Medium Risk</v>
      </c>
      <c r="K6065" s="3" t="str">
        <f t="shared" si="282"/>
        <v>1-2 Years</v>
      </c>
    </row>
    <row r="6066" spans="1:11" x14ac:dyDescent="0.3">
      <c r="A6066" t="s">
        <v>6083</v>
      </c>
      <c r="B6066" t="s">
        <v>9</v>
      </c>
      <c r="C6066" t="s">
        <v>15</v>
      </c>
      <c r="D6066" t="s">
        <v>16</v>
      </c>
      <c r="E6066">
        <v>24.9</v>
      </c>
      <c r="F6066">
        <v>64</v>
      </c>
      <c r="G6066">
        <v>1593.6</v>
      </c>
      <c r="H6066" t="s">
        <v>12</v>
      </c>
      <c r="I6066" t="str">
        <f t="shared" si="283"/>
        <v>Low Value</v>
      </c>
      <c r="J6066" t="str">
        <f t="shared" si="284"/>
        <v>Low Risk</v>
      </c>
      <c r="K6066" s="3" t="str">
        <f t="shared" si="282"/>
        <v>4+ Years</v>
      </c>
    </row>
    <row r="6067" spans="1:11" x14ac:dyDescent="0.3">
      <c r="A6067" t="s">
        <v>6084</v>
      </c>
      <c r="B6067" t="s">
        <v>14</v>
      </c>
      <c r="C6067" t="s">
        <v>10</v>
      </c>
      <c r="D6067" t="s">
        <v>11</v>
      </c>
      <c r="E6067">
        <v>23.45</v>
      </c>
      <c r="F6067">
        <v>1</v>
      </c>
      <c r="G6067">
        <v>23.45</v>
      </c>
      <c r="H6067" t="s">
        <v>18</v>
      </c>
      <c r="I6067" t="str">
        <f t="shared" si="283"/>
        <v>Low Value</v>
      </c>
      <c r="J6067" t="str">
        <f t="shared" si="284"/>
        <v>High Risk</v>
      </c>
      <c r="K6067" s="3" t="str">
        <f t="shared" si="282"/>
        <v>0-1 Year</v>
      </c>
    </row>
    <row r="6068" spans="1:11" x14ac:dyDescent="0.3">
      <c r="A6068" t="s">
        <v>6085</v>
      </c>
      <c r="B6068" t="s">
        <v>9</v>
      </c>
      <c r="C6068" t="s">
        <v>15</v>
      </c>
      <c r="D6068" t="s">
        <v>16</v>
      </c>
      <c r="E6068">
        <v>64.900000000000006</v>
      </c>
      <c r="F6068">
        <v>10</v>
      </c>
      <c r="G6068">
        <v>649</v>
      </c>
      <c r="H6068" t="s">
        <v>12</v>
      </c>
      <c r="I6068" t="str">
        <f t="shared" si="283"/>
        <v>Low Value</v>
      </c>
      <c r="J6068" t="str">
        <f t="shared" si="284"/>
        <v>High Risk</v>
      </c>
      <c r="K6068" s="3" t="str">
        <f t="shared" si="282"/>
        <v>0-1 Year</v>
      </c>
    </row>
    <row r="6069" spans="1:11" x14ac:dyDescent="0.3">
      <c r="A6069" t="s">
        <v>6086</v>
      </c>
      <c r="B6069" t="s">
        <v>9</v>
      </c>
      <c r="C6069" t="s">
        <v>15</v>
      </c>
      <c r="D6069" t="s">
        <v>20</v>
      </c>
      <c r="E6069">
        <v>61.35</v>
      </c>
      <c r="F6069">
        <v>65</v>
      </c>
      <c r="G6069">
        <v>3987.75</v>
      </c>
      <c r="H6069" t="s">
        <v>12</v>
      </c>
      <c r="I6069" t="str">
        <f t="shared" si="283"/>
        <v>Medium Value</v>
      </c>
      <c r="J6069" t="str">
        <f t="shared" si="284"/>
        <v>Low Risk</v>
      </c>
      <c r="K6069" s="3" t="str">
        <f t="shared" si="282"/>
        <v>4+ Years</v>
      </c>
    </row>
    <row r="6070" spans="1:11" x14ac:dyDescent="0.3">
      <c r="A6070" t="s">
        <v>6087</v>
      </c>
      <c r="B6070" t="s">
        <v>9</v>
      </c>
      <c r="C6070" t="s">
        <v>30</v>
      </c>
      <c r="D6070" t="s">
        <v>16</v>
      </c>
      <c r="E6070">
        <v>113.95</v>
      </c>
      <c r="F6070">
        <v>62</v>
      </c>
      <c r="G6070">
        <v>7064.9</v>
      </c>
      <c r="H6070" t="s">
        <v>12</v>
      </c>
      <c r="I6070" t="str">
        <f t="shared" si="283"/>
        <v>High Value</v>
      </c>
      <c r="J6070" t="str">
        <f t="shared" si="284"/>
        <v>Low Risk</v>
      </c>
      <c r="K6070" s="3" t="str">
        <f t="shared" si="282"/>
        <v>4+ Years</v>
      </c>
    </row>
    <row r="6071" spans="1:11" x14ac:dyDescent="0.3">
      <c r="A6071" t="s">
        <v>6088</v>
      </c>
      <c r="B6071" t="s">
        <v>9</v>
      </c>
      <c r="C6071" t="s">
        <v>15</v>
      </c>
      <c r="D6071" t="s">
        <v>11</v>
      </c>
      <c r="E6071">
        <v>90.15</v>
      </c>
      <c r="F6071">
        <v>55</v>
      </c>
      <c r="G6071">
        <v>4958.25</v>
      </c>
      <c r="H6071" t="s">
        <v>12</v>
      </c>
      <c r="I6071" t="str">
        <f t="shared" si="283"/>
        <v>Medium Value</v>
      </c>
      <c r="J6071" t="str">
        <f t="shared" si="284"/>
        <v>Low Risk</v>
      </c>
      <c r="K6071" s="3" t="str">
        <f t="shared" si="282"/>
        <v>4+ Years</v>
      </c>
    </row>
    <row r="6072" spans="1:11" x14ac:dyDescent="0.3">
      <c r="A6072" t="s">
        <v>6089</v>
      </c>
      <c r="B6072" t="s">
        <v>9</v>
      </c>
      <c r="C6072" t="s">
        <v>10</v>
      </c>
      <c r="D6072" t="s">
        <v>11</v>
      </c>
      <c r="E6072">
        <v>54.1</v>
      </c>
      <c r="F6072">
        <v>25</v>
      </c>
      <c r="G6072">
        <v>1352.5</v>
      </c>
      <c r="H6072" t="s">
        <v>12</v>
      </c>
      <c r="I6072" t="str">
        <f t="shared" si="283"/>
        <v>Low Value</v>
      </c>
      <c r="J6072" t="str">
        <f t="shared" si="284"/>
        <v>Low Risk</v>
      </c>
      <c r="K6072" s="3" t="str">
        <f t="shared" si="282"/>
        <v>2-4 Years</v>
      </c>
    </row>
    <row r="6073" spans="1:11" x14ac:dyDescent="0.3">
      <c r="A6073" t="s">
        <v>6090</v>
      </c>
      <c r="B6073" t="s">
        <v>14</v>
      </c>
      <c r="C6073" t="s">
        <v>10</v>
      </c>
      <c r="D6073" t="s">
        <v>16</v>
      </c>
      <c r="E6073">
        <v>29.7</v>
      </c>
      <c r="F6073">
        <v>1</v>
      </c>
      <c r="G6073">
        <v>29.7</v>
      </c>
      <c r="H6073" t="s">
        <v>18</v>
      </c>
      <c r="I6073" t="str">
        <f t="shared" si="283"/>
        <v>Low Value</v>
      </c>
      <c r="J6073" t="str">
        <f t="shared" si="284"/>
        <v>High Risk</v>
      </c>
      <c r="K6073" s="3" t="str">
        <f t="shared" si="282"/>
        <v>0-1 Year</v>
      </c>
    </row>
    <row r="6074" spans="1:11" x14ac:dyDescent="0.3">
      <c r="A6074" t="s">
        <v>6091</v>
      </c>
      <c r="B6074" t="s">
        <v>14</v>
      </c>
      <c r="C6074" t="s">
        <v>10</v>
      </c>
      <c r="D6074" t="s">
        <v>24</v>
      </c>
      <c r="E6074">
        <v>49.8</v>
      </c>
      <c r="F6074">
        <v>1</v>
      </c>
      <c r="G6074">
        <v>49.8</v>
      </c>
      <c r="H6074" t="s">
        <v>12</v>
      </c>
      <c r="I6074" t="str">
        <f t="shared" si="283"/>
        <v>Low Value</v>
      </c>
      <c r="J6074" t="str">
        <f t="shared" si="284"/>
        <v>High Risk</v>
      </c>
      <c r="K6074" s="3" t="str">
        <f t="shared" si="282"/>
        <v>0-1 Year</v>
      </c>
    </row>
    <row r="6075" spans="1:11" x14ac:dyDescent="0.3">
      <c r="A6075" t="s">
        <v>6092</v>
      </c>
      <c r="B6075" t="s">
        <v>9</v>
      </c>
      <c r="C6075" t="s">
        <v>10</v>
      </c>
      <c r="D6075" t="s">
        <v>11</v>
      </c>
      <c r="E6075">
        <v>101.1</v>
      </c>
      <c r="F6075">
        <v>59</v>
      </c>
      <c r="G6075">
        <v>5964.9</v>
      </c>
      <c r="H6075" t="s">
        <v>18</v>
      </c>
      <c r="I6075" t="str">
        <f t="shared" si="283"/>
        <v>High Value</v>
      </c>
      <c r="J6075" t="str">
        <f t="shared" si="284"/>
        <v>Low Risk</v>
      </c>
      <c r="K6075" s="3" t="str">
        <f t="shared" si="282"/>
        <v>4+ Years</v>
      </c>
    </row>
    <row r="6076" spans="1:11" x14ac:dyDescent="0.3">
      <c r="A6076" t="s">
        <v>6093</v>
      </c>
      <c r="B6076" t="s">
        <v>14</v>
      </c>
      <c r="C6076" t="s">
        <v>30</v>
      </c>
      <c r="D6076" t="s">
        <v>20</v>
      </c>
      <c r="E6076">
        <v>24.4</v>
      </c>
      <c r="F6076">
        <v>64</v>
      </c>
      <c r="G6076">
        <v>1561.6</v>
      </c>
      <c r="H6076" t="s">
        <v>12</v>
      </c>
      <c r="I6076" t="str">
        <f t="shared" si="283"/>
        <v>Low Value</v>
      </c>
      <c r="J6076" t="str">
        <f t="shared" si="284"/>
        <v>Low Risk</v>
      </c>
      <c r="K6076" s="3" t="str">
        <f t="shared" si="282"/>
        <v>4+ Years</v>
      </c>
    </row>
    <row r="6077" spans="1:11" x14ac:dyDescent="0.3">
      <c r="A6077" t="s">
        <v>6094</v>
      </c>
      <c r="B6077" t="s">
        <v>14</v>
      </c>
      <c r="C6077" t="s">
        <v>10</v>
      </c>
      <c r="D6077" t="s">
        <v>20</v>
      </c>
      <c r="E6077">
        <v>95</v>
      </c>
      <c r="F6077">
        <v>36</v>
      </c>
      <c r="G6077">
        <v>3420</v>
      </c>
      <c r="H6077" t="s">
        <v>12</v>
      </c>
      <c r="I6077" t="str">
        <f t="shared" si="283"/>
        <v>Medium Value</v>
      </c>
      <c r="J6077" t="str">
        <f t="shared" si="284"/>
        <v>Low Risk</v>
      </c>
      <c r="K6077" s="3" t="str">
        <f t="shared" si="282"/>
        <v>2-4 Years</v>
      </c>
    </row>
    <row r="6078" spans="1:11" x14ac:dyDescent="0.3">
      <c r="A6078" t="s">
        <v>6095</v>
      </c>
      <c r="B6078" t="s">
        <v>9</v>
      </c>
      <c r="C6078" t="s">
        <v>10</v>
      </c>
      <c r="D6078" t="s">
        <v>16</v>
      </c>
      <c r="E6078">
        <v>50.65</v>
      </c>
      <c r="F6078">
        <v>3</v>
      </c>
      <c r="G6078">
        <v>151.94999999999999</v>
      </c>
      <c r="H6078" t="s">
        <v>18</v>
      </c>
      <c r="I6078" t="str">
        <f t="shared" si="283"/>
        <v>Low Value</v>
      </c>
      <c r="J6078" t="str">
        <f t="shared" si="284"/>
        <v>High Risk</v>
      </c>
      <c r="K6078" s="3" t="str">
        <f t="shared" si="282"/>
        <v>0-1 Year</v>
      </c>
    </row>
    <row r="6079" spans="1:11" x14ac:dyDescent="0.3">
      <c r="A6079" t="s">
        <v>6096</v>
      </c>
      <c r="B6079" t="s">
        <v>14</v>
      </c>
      <c r="C6079" t="s">
        <v>30</v>
      </c>
      <c r="D6079" t="s">
        <v>16</v>
      </c>
      <c r="E6079">
        <v>69.900000000000006</v>
      </c>
      <c r="F6079">
        <v>61</v>
      </c>
      <c r="G6079">
        <v>4263.8999999999996</v>
      </c>
      <c r="H6079" t="s">
        <v>12</v>
      </c>
      <c r="I6079" t="str">
        <f t="shared" si="283"/>
        <v>Medium Value</v>
      </c>
      <c r="J6079" t="str">
        <f t="shared" si="284"/>
        <v>Low Risk</v>
      </c>
      <c r="K6079" s="3" t="str">
        <f t="shared" si="282"/>
        <v>4+ Years</v>
      </c>
    </row>
    <row r="6080" spans="1:11" x14ac:dyDescent="0.3">
      <c r="A6080" t="s">
        <v>6097</v>
      </c>
      <c r="B6080" t="s">
        <v>14</v>
      </c>
      <c r="C6080" t="s">
        <v>15</v>
      </c>
      <c r="D6080" t="s">
        <v>20</v>
      </c>
      <c r="E6080">
        <v>39.950000000000003</v>
      </c>
      <c r="F6080">
        <v>26</v>
      </c>
      <c r="G6080">
        <v>1038.7</v>
      </c>
      <c r="H6080" t="s">
        <v>12</v>
      </c>
      <c r="I6080" t="str">
        <f t="shared" si="283"/>
        <v>Low Value</v>
      </c>
      <c r="J6080" t="str">
        <f t="shared" si="284"/>
        <v>Low Risk</v>
      </c>
      <c r="K6080" s="3" t="str">
        <f t="shared" si="282"/>
        <v>2-4 Years</v>
      </c>
    </row>
    <row r="6081" spans="1:11" x14ac:dyDescent="0.3">
      <c r="A6081" t="s">
        <v>6098</v>
      </c>
      <c r="B6081" t="s">
        <v>9</v>
      </c>
      <c r="C6081" t="s">
        <v>10</v>
      </c>
      <c r="D6081" t="s">
        <v>11</v>
      </c>
      <c r="E6081">
        <v>55.4</v>
      </c>
      <c r="F6081">
        <v>1</v>
      </c>
      <c r="G6081">
        <v>55.4</v>
      </c>
      <c r="H6081" t="s">
        <v>18</v>
      </c>
      <c r="I6081" t="str">
        <f t="shared" si="283"/>
        <v>Low Value</v>
      </c>
      <c r="J6081" t="str">
        <f t="shared" si="284"/>
        <v>High Risk</v>
      </c>
      <c r="K6081" s="3" t="str">
        <f t="shared" si="282"/>
        <v>0-1 Year</v>
      </c>
    </row>
    <row r="6082" spans="1:11" x14ac:dyDescent="0.3">
      <c r="A6082" t="s">
        <v>6099</v>
      </c>
      <c r="B6082" t="s">
        <v>9</v>
      </c>
      <c r="C6082" t="s">
        <v>10</v>
      </c>
      <c r="D6082" t="s">
        <v>11</v>
      </c>
      <c r="E6082">
        <v>90.6</v>
      </c>
      <c r="F6082">
        <v>1</v>
      </c>
      <c r="G6082">
        <v>90.6</v>
      </c>
      <c r="H6082" t="s">
        <v>18</v>
      </c>
      <c r="I6082" t="str">
        <f t="shared" si="283"/>
        <v>Low Value</v>
      </c>
      <c r="J6082" t="str">
        <f t="shared" si="284"/>
        <v>High Risk</v>
      </c>
      <c r="K6082" s="3" t="str">
        <f t="shared" si="282"/>
        <v>0-1 Year</v>
      </c>
    </row>
    <row r="6083" spans="1:11" x14ac:dyDescent="0.3">
      <c r="A6083" t="s">
        <v>6100</v>
      </c>
      <c r="B6083" t="s">
        <v>14</v>
      </c>
      <c r="C6083" t="s">
        <v>30</v>
      </c>
      <c r="D6083" t="s">
        <v>24</v>
      </c>
      <c r="E6083">
        <v>103.25</v>
      </c>
      <c r="F6083">
        <v>68</v>
      </c>
      <c r="G6083">
        <v>7021</v>
      </c>
      <c r="H6083" t="s">
        <v>12</v>
      </c>
      <c r="I6083" t="str">
        <f t="shared" si="283"/>
        <v>High Value</v>
      </c>
      <c r="J6083" t="str">
        <f t="shared" si="284"/>
        <v>Low Risk</v>
      </c>
      <c r="K6083" s="3" t="str">
        <f t="shared" ref="K6083:K6146" si="285">IF(F6083&lt;=12,"0-1 Year",
IF(F6083&lt;=24,"1-2 Years",
IF(F6083&lt;=48,"2-4 Years","4+ Years")))</f>
        <v>4+ Years</v>
      </c>
    </row>
    <row r="6084" spans="1:11" x14ac:dyDescent="0.3">
      <c r="A6084" t="s">
        <v>6101</v>
      </c>
      <c r="B6084" t="s">
        <v>14</v>
      </c>
      <c r="C6084" t="s">
        <v>10</v>
      </c>
      <c r="D6084" t="s">
        <v>16</v>
      </c>
      <c r="E6084">
        <v>86.85</v>
      </c>
      <c r="F6084">
        <v>2</v>
      </c>
      <c r="G6084">
        <v>173.7</v>
      </c>
      <c r="H6084" t="s">
        <v>18</v>
      </c>
      <c r="I6084" t="str">
        <f t="shared" ref="I6084:I6147" si="286">IF(G6084&gt;5000,"High Value",
IF(G6084&gt;2000,"Medium Value","Low Value"))</f>
        <v>Low Value</v>
      </c>
      <c r="J6084" t="str">
        <f t="shared" ref="J6084:J6147" si="287">IF(F6084&lt;12,"High Risk",
IF(F6084&lt;24,"Medium Risk","Low Risk"))</f>
        <v>High Risk</v>
      </c>
      <c r="K6084" s="3" t="str">
        <f t="shared" si="285"/>
        <v>0-1 Year</v>
      </c>
    </row>
    <row r="6085" spans="1:11" x14ac:dyDescent="0.3">
      <c r="A6085" t="s">
        <v>6102</v>
      </c>
      <c r="B6085" t="s">
        <v>9</v>
      </c>
      <c r="C6085" t="s">
        <v>30</v>
      </c>
      <c r="D6085" t="s">
        <v>20</v>
      </c>
      <c r="E6085">
        <v>94.25</v>
      </c>
      <c r="F6085">
        <v>72</v>
      </c>
      <c r="G6085">
        <v>6786</v>
      </c>
      <c r="H6085" t="s">
        <v>12</v>
      </c>
      <c r="I6085" t="str">
        <f t="shared" si="286"/>
        <v>High Value</v>
      </c>
      <c r="J6085" t="str">
        <f t="shared" si="287"/>
        <v>Low Risk</v>
      </c>
      <c r="K6085" s="3" t="str">
        <f t="shared" si="285"/>
        <v>4+ Years</v>
      </c>
    </row>
    <row r="6086" spans="1:11" x14ac:dyDescent="0.3">
      <c r="A6086" t="s">
        <v>6103</v>
      </c>
      <c r="B6086" t="s">
        <v>9</v>
      </c>
      <c r="C6086" t="s">
        <v>30</v>
      </c>
      <c r="D6086" t="s">
        <v>11</v>
      </c>
      <c r="E6086">
        <v>47.05</v>
      </c>
      <c r="F6086">
        <v>71</v>
      </c>
      <c r="G6086">
        <v>3340.5499999999902</v>
      </c>
      <c r="H6086" t="s">
        <v>12</v>
      </c>
      <c r="I6086" t="str">
        <f t="shared" si="286"/>
        <v>Medium Value</v>
      </c>
      <c r="J6086" t="str">
        <f t="shared" si="287"/>
        <v>Low Risk</v>
      </c>
      <c r="K6086" s="3" t="str">
        <f t="shared" si="285"/>
        <v>4+ Years</v>
      </c>
    </row>
    <row r="6087" spans="1:11" x14ac:dyDescent="0.3">
      <c r="A6087" t="s">
        <v>6104</v>
      </c>
      <c r="B6087" t="s">
        <v>14</v>
      </c>
      <c r="C6087" t="s">
        <v>30</v>
      </c>
      <c r="D6087" t="s">
        <v>24</v>
      </c>
      <c r="E6087">
        <v>20.55</v>
      </c>
      <c r="F6087">
        <v>57</v>
      </c>
      <c r="G6087">
        <v>1171.3499999999999</v>
      </c>
      <c r="H6087" t="s">
        <v>12</v>
      </c>
      <c r="I6087" t="str">
        <f t="shared" si="286"/>
        <v>Low Value</v>
      </c>
      <c r="J6087" t="str">
        <f t="shared" si="287"/>
        <v>Low Risk</v>
      </c>
      <c r="K6087" s="3" t="str">
        <f t="shared" si="285"/>
        <v>4+ Years</v>
      </c>
    </row>
    <row r="6088" spans="1:11" x14ac:dyDescent="0.3">
      <c r="A6088" t="s">
        <v>6105</v>
      </c>
      <c r="B6088" t="s">
        <v>14</v>
      </c>
      <c r="C6088" t="s">
        <v>10</v>
      </c>
      <c r="D6088" t="s">
        <v>16</v>
      </c>
      <c r="E6088">
        <v>19.649999999999999</v>
      </c>
      <c r="F6088">
        <v>4</v>
      </c>
      <c r="G6088">
        <v>78.599999999999994</v>
      </c>
      <c r="H6088" t="s">
        <v>12</v>
      </c>
      <c r="I6088" t="str">
        <f t="shared" si="286"/>
        <v>Low Value</v>
      </c>
      <c r="J6088" t="str">
        <f t="shared" si="287"/>
        <v>High Risk</v>
      </c>
      <c r="K6088" s="3" t="str">
        <f t="shared" si="285"/>
        <v>0-1 Year</v>
      </c>
    </row>
    <row r="6089" spans="1:11" x14ac:dyDescent="0.3">
      <c r="A6089" t="s">
        <v>6106</v>
      </c>
      <c r="B6089" t="s">
        <v>9</v>
      </c>
      <c r="C6089" t="s">
        <v>10</v>
      </c>
      <c r="D6089" t="s">
        <v>11</v>
      </c>
      <c r="E6089">
        <v>70.2</v>
      </c>
      <c r="F6089">
        <v>1</v>
      </c>
      <c r="G6089">
        <v>70.2</v>
      </c>
      <c r="H6089" t="s">
        <v>12</v>
      </c>
      <c r="I6089" t="str">
        <f t="shared" si="286"/>
        <v>Low Value</v>
      </c>
      <c r="J6089" t="str">
        <f t="shared" si="287"/>
        <v>High Risk</v>
      </c>
      <c r="K6089" s="3" t="str">
        <f t="shared" si="285"/>
        <v>0-1 Year</v>
      </c>
    </row>
    <row r="6090" spans="1:11" x14ac:dyDescent="0.3">
      <c r="A6090" t="s">
        <v>6107</v>
      </c>
      <c r="B6090" t="s">
        <v>14</v>
      </c>
      <c r="C6090" t="s">
        <v>30</v>
      </c>
      <c r="D6090" t="s">
        <v>24</v>
      </c>
      <c r="E6090">
        <v>81</v>
      </c>
      <c r="F6090">
        <v>72</v>
      </c>
      <c r="G6090">
        <v>5832</v>
      </c>
      <c r="H6090" t="s">
        <v>12</v>
      </c>
      <c r="I6090" t="str">
        <f t="shared" si="286"/>
        <v>High Value</v>
      </c>
      <c r="J6090" t="str">
        <f t="shared" si="287"/>
        <v>Low Risk</v>
      </c>
      <c r="K6090" s="3" t="str">
        <f t="shared" si="285"/>
        <v>4+ Years</v>
      </c>
    </row>
    <row r="6091" spans="1:11" x14ac:dyDescent="0.3">
      <c r="A6091" t="s">
        <v>6108</v>
      </c>
      <c r="B6091" t="s">
        <v>14</v>
      </c>
      <c r="C6091" t="s">
        <v>15</v>
      </c>
      <c r="D6091" t="s">
        <v>20</v>
      </c>
      <c r="E6091">
        <v>75.900000000000006</v>
      </c>
      <c r="F6091">
        <v>21</v>
      </c>
      <c r="G6091">
        <v>1593.9</v>
      </c>
      <c r="H6091" t="s">
        <v>12</v>
      </c>
      <c r="I6091" t="str">
        <f t="shared" si="286"/>
        <v>Low Value</v>
      </c>
      <c r="J6091" t="str">
        <f t="shared" si="287"/>
        <v>Medium Risk</v>
      </c>
      <c r="K6091" s="3" t="str">
        <f t="shared" si="285"/>
        <v>1-2 Years</v>
      </c>
    </row>
    <row r="6092" spans="1:11" x14ac:dyDescent="0.3">
      <c r="A6092" t="s">
        <v>6109</v>
      </c>
      <c r="B6092" t="s">
        <v>9</v>
      </c>
      <c r="C6092" t="s">
        <v>30</v>
      </c>
      <c r="D6092" t="s">
        <v>20</v>
      </c>
      <c r="E6092">
        <v>24.7</v>
      </c>
      <c r="F6092">
        <v>71</v>
      </c>
      <c r="G6092">
        <v>1753.7</v>
      </c>
      <c r="H6092" t="s">
        <v>12</v>
      </c>
      <c r="I6092" t="str">
        <f t="shared" si="286"/>
        <v>Low Value</v>
      </c>
      <c r="J6092" t="str">
        <f t="shared" si="287"/>
        <v>Low Risk</v>
      </c>
      <c r="K6092" s="3" t="str">
        <f t="shared" si="285"/>
        <v>4+ Years</v>
      </c>
    </row>
    <row r="6093" spans="1:11" x14ac:dyDescent="0.3">
      <c r="A6093" t="s">
        <v>6110</v>
      </c>
      <c r="B6093" t="s">
        <v>9</v>
      </c>
      <c r="C6093" t="s">
        <v>10</v>
      </c>
      <c r="D6093" t="s">
        <v>20</v>
      </c>
      <c r="E6093">
        <v>99.05</v>
      </c>
      <c r="F6093">
        <v>29</v>
      </c>
      <c r="G6093">
        <v>2872.45</v>
      </c>
      <c r="H6093" t="s">
        <v>18</v>
      </c>
      <c r="I6093" t="str">
        <f t="shared" si="286"/>
        <v>Medium Value</v>
      </c>
      <c r="J6093" t="str">
        <f t="shared" si="287"/>
        <v>Low Risk</v>
      </c>
      <c r="K6093" s="3" t="str">
        <f t="shared" si="285"/>
        <v>2-4 Years</v>
      </c>
    </row>
    <row r="6094" spans="1:11" x14ac:dyDescent="0.3">
      <c r="A6094" t="s">
        <v>6111</v>
      </c>
      <c r="B6094" t="s">
        <v>9</v>
      </c>
      <c r="C6094" t="s">
        <v>30</v>
      </c>
      <c r="D6094" t="s">
        <v>24</v>
      </c>
      <c r="E6094">
        <v>110.25</v>
      </c>
      <c r="F6094">
        <v>69</v>
      </c>
      <c r="G6094">
        <v>7607.25</v>
      </c>
      <c r="H6094" t="s">
        <v>12</v>
      </c>
      <c r="I6094" t="str">
        <f t="shared" si="286"/>
        <v>High Value</v>
      </c>
      <c r="J6094" t="str">
        <f t="shared" si="287"/>
        <v>Low Risk</v>
      </c>
      <c r="K6094" s="3" t="str">
        <f t="shared" si="285"/>
        <v>4+ Years</v>
      </c>
    </row>
    <row r="6095" spans="1:11" x14ac:dyDescent="0.3">
      <c r="A6095" t="s">
        <v>6112</v>
      </c>
      <c r="B6095" t="s">
        <v>9</v>
      </c>
      <c r="C6095" t="s">
        <v>30</v>
      </c>
      <c r="D6095" t="s">
        <v>24</v>
      </c>
      <c r="E6095">
        <v>85</v>
      </c>
      <c r="F6095">
        <v>64</v>
      </c>
      <c r="G6095">
        <v>5440</v>
      </c>
      <c r="H6095" t="s">
        <v>12</v>
      </c>
      <c r="I6095" t="str">
        <f t="shared" si="286"/>
        <v>High Value</v>
      </c>
      <c r="J6095" t="str">
        <f t="shared" si="287"/>
        <v>Low Risk</v>
      </c>
      <c r="K6095" s="3" t="str">
        <f t="shared" si="285"/>
        <v>4+ Years</v>
      </c>
    </row>
    <row r="6096" spans="1:11" x14ac:dyDescent="0.3">
      <c r="A6096" t="s">
        <v>6113</v>
      </c>
      <c r="B6096" t="s">
        <v>14</v>
      </c>
      <c r="C6096" t="s">
        <v>10</v>
      </c>
      <c r="D6096" t="s">
        <v>24</v>
      </c>
      <c r="E6096">
        <v>19.75</v>
      </c>
      <c r="F6096">
        <v>16</v>
      </c>
      <c r="G6096">
        <v>316</v>
      </c>
      <c r="H6096" t="s">
        <v>12</v>
      </c>
      <c r="I6096" t="str">
        <f t="shared" si="286"/>
        <v>Low Value</v>
      </c>
      <c r="J6096" t="str">
        <f t="shared" si="287"/>
        <v>Medium Risk</v>
      </c>
      <c r="K6096" s="3" t="str">
        <f t="shared" si="285"/>
        <v>1-2 Years</v>
      </c>
    </row>
    <row r="6097" spans="1:11" x14ac:dyDescent="0.3">
      <c r="A6097" t="s">
        <v>6114</v>
      </c>
      <c r="B6097" t="s">
        <v>9</v>
      </c>
      <c r="C6097" t="s">
        <v>15</v>
      </c>
      <c r="D6097" t="s">
        <v>11</v>
      </c>
      <c r="E6097">
        <v>23.9</v>
      </c>
      <c r="F6097">
        <v>4</v>
      </c>
      <c r="G6097">
        <v>95.6</v>
      </c>
      <c r="H6097" t="s">
        <v>12</v>
      </c>
      <c r="I6097" t="str">
        <f t="shared" si="286"/>
        <v>Low Value</v>
      </c>
      <c r="J6097" t="str">
        <f t="shared" si="287"/>
        <v>High Risk</v>
      </c>
      <c r="K6097" s="3" t="str">
        <f t="shared" si="285"/>
        <v>0-1 Year</v>
      </c>
    </row>
    <row r="6098" spans="1:11" x14ac:dyDescent="0.3">
      <c r="A6098" t="s">
        <v>6115</v>
      </c>
      <c r="B6098" t="s">
        <v>9</v>
      </c>
      <c r="C6098" t="s">
        <v>15</v>
      </c>
      <c r="D6098" t="s">
        <v>24</v>
      </c>
      <c r="E6098">
        <v>111.25</v>
      </c>
      <c r="F6098">
        <v>52</v>
      </c>
      <c r="G6098">
        <v>5785</v>
      </c>
      <c r="H6098" t="s">
        <v>18</v>
      </c>
      <c r="I6098" t="str">
        <f t="shared" si="286"/>
        <v>High Value</v>
      </c>
      <c r="J6098" t="str">
        <f t="shared" si="287"/>
        <v>Low Risk</v>
      </c>
      <c r="K6098" s="3" t="str">
        <f t="shared" si="285"/>
        <v>4+ Years</v>
      </c>
    </row>
    <row r="6099" spans="1:11" x14ac:dyDescent="0.3">
      <c r="A6099" t="s">
        <v>6116</v>
      </c>
      <c r="B6099" t="s">
        <v>14</v>
      </c>
      <c r="C6099" t="s">
        <v>10</v>
      </c>
      <c r="D6099" t="s">
        <v>16</v>
      </c>
      <c r="E6099">
        <v>55.1</v>
      </c>
      <c r="F6099">
        <v>2</v>
      </c>
      <c r="G6099">
        <v>110.2</v>
      </c>
      <c r="H6099" t="s">
        <v>18</v>
      </c>
      <c r="I6099" t="str">
        <f t="shared" si="286"/>
        <v>Low Value</v>
      </c>
      <c r="J6099" t="str">
        <f t="shared" si="287"/>
        <v>High Risk</v>
      </c>
      <c r="K6099" s="3" t="str">
        <f t="shared" si="285"/>
        <v>0-1 Year</v>
      </c>
    </row>
    <row r="6100" spans="1:11" x14ac:dyDescent="0.3">
      <c r="A6100" t="s">
        <v>6117</v>
      </c>
      <c r="B6100" t="s">
        <v>14</v>
      </c>
      <c r="C6100" t="s">
        <v>10</v>
      </c>
      <c r="D6100" t="s">
        <v>16</v>
      </c>
      <c r="E6100">
        <v>19.95</v>
      </c>
      <c r="F6100">
        <v>1</v>
      </c>
      <c r="G6100">
        <v>19.95</v>
      </c>
      <c r="H6100" t="s">
        <v>12</v>
      </c>
      <c r="I6100" t="str">
        <f t="shared" si="286"/>
        <v>Low Value</v>
      </c>
      <c r="J6100" t="str">
        <f t="shared" si="287"/>
        <v>High Risk</v>
      </c>
      <c r="K6100" s="3" t="str">
        <f t="shared" si="285"/>
        <v>0-1 Year</v>
      </c>
    </row>
    <row r="6101" spans="1:11" x14ac:dyDescent="0.3">
      <c r="A6101" t="s">
        <v>6118</v>
      </c>
      <c r="B6101" t="s">
        <v>14</v>
      </c>
      <c r="C6101" t="s">
        <v>10</v>
      </c>
      <c r="D6101" t="s">
        <v>16</v>
      </c>
      <c r="E6101">
        <v>25.15</v>
      </c>
      <c r="F6101">
        <v>18</v>
      </c>
      <c r="G6101">
        <v>452.7</v>
      </c>
      <c r="H6101" t="s">
        <v>12</v>
      </c>
      <c r="I6101" t="str">
        <f t="shared" si="286"/>
        <v>Low Value</v>
      </c>
      <c r="J6101" t="str">
        <f t="shared" si="287"/>
        <v>Medium Risk</v>
      </c>
      <c r="K6101" s="3" t="str">
        <f t="shared" si="285"/>
        <v>1-2 Years</v>
      </c>
    </row>
    <row r="6102" spans="1:11" x14ac:dyDescent="0.3">
      <c r="A6102" t="s">
        <v>6119</v>
      </c>
      <c r="B6102" t="s">
        <v>9</v>
      </c>
      <c r="C6102" t="s">
        <v>10</v>
      </c>
      <c r="D6102" t="s">
        <v>16</v>
      </c>
      <c r="E6102">
        <v>54.15</v>
      </c>
      <c r="F6102">
        <v>2</v>
      </c>
      <c r="G6102">
        <v>108.3</v>
      </c>
      <c r="H6102" t="s">
        <v>12</v>
      </c>
      <c r="I6102" t="str">
        <f t="shared" si="286"/>
        <v>Low Value</v>
      </c>
      <c r="J6102" t="str">
        <f t="shared" si="287"/>
        <v>High Risk</v>
      </c>
      <c r="K6102" s="3" t="str">
        <f t="shared" si="285"/>
        <v>0-1 Year</v>
      </c>
    </row>
    <row r="6103" spans="1:11" x14ac:dyDescent="0.3">
      <c r="A6103" t="s">
        <v>6120</v>
      </c>
      <c r="B6103" t="s">
        <v>9</v>
      </c>
      <c r="C6103" t="s">
        <v>10</v>
      </c>
      <c r="D6103" t="s">
        <v>16</v>
      </c>
      <c r="E6103">
        <v>59.8</v>
      </c>
      <c r="F6103">
        <v>19</v>
      </c>
      <c r="G6103">
        <v>1136.2</v>
      </c>
      <c r="H6103" t="s">
        <v>12</v>
      </c>
      <c r="I6103" t="str">
        <f t="shared" si="286"/>
        <v>Low Value</v>
      </c>
      <c r="J6103" t="str">
        <f t="shared" si="287"/>
        <v>Medium Risk</v>
      </c>
      <c r="K6103" s="3" t="str">
        <f t="shared" si="285"/>
        <v>1-2 Years</v>
      </c>
    </row>
    <row r="6104" spans="1:11" x14ac:dyDescent="0.3">
      <c r="A6104" t="s">
        <v>6121</v>
      </c>
      <c r="B6104" t="s">
        <v>9</v>
      </c>
      <c r="C6104" t="s">
        <v>10</v>
      </c>
      <c r="D6104" t="s">
        <v>20</v>
      </c>
      <c r="E6104">
        <v>83.85</v>
      </c>
      <c r="F6104">
        <v>40</v>
      </c>
      <c r="G6104">
        <v>3354</v>
      </c>
      <c r="H6104" t="s">
        <v>12</v>
      </c>
      <c r="I6104" t="str">
        <f t="shared" si="286"/>
        <v>Medium Value</v>
      </c>
      <c r="J6104" t="str">
        <f t="shared" si="287"/>
        <v>Low Risk</v>
      </c>
      <c r="K6104" s="3" t="str">
        <f t="shared" si="285"/>
        <v>2-4 Years</v>
      </c>
    </row>
    <row r="6105" spans="1:11" x14ac:dyDescent="0.3">
      <c r="A6105" t="s">
        <v>6122</v>
      </c>
      <c r="B6105" t="s">
        <v>9</v>
      </c>
      <c r="C6105" t="s">
        <v>15</v>
      </c>
      <c r="D6105" t="s">
        <v>11</v>
      </c>
      <c r="E6105">
        <v>104.9</v>
      </c>
      <c r="F6105">
        <v>66</v>
      </c>
      <c r="G6105">
        <v>6923.4</v>
      </c>
      <c r="H6105" t="s">
        <v>12</v>
      </c>
      <c r="I6105" t="str">
        <f t="shared" si="286"/>
        <v>High Value</v>
      </c>
      <c r="J6105" t="str">
        <f t="shared" si="287"/>
        <v>Low Risk</v>
      </c>
      <c r="K6105" s="3" t="str">
        <f t="shared" si="285"/>
        <v>4+ Years</v>
      </c>
    </row>
    <row r="6106" spans="1:11" x14ac:dyDescent="0.3">
      <c r="A6106" t="s">
        <v>6123</v>
      </c>
      <c r="B6106" t="s">
        <v>14</v>
      </c>
      <c r="C6106" t="s">
        <v>10</v>
      </c>
      <c r="D6106" t="s">
        <v>16</v>
      </c>
      <c r="E6106">
        <v>75.3</v>
      </c>
      <c r="F6106">
        <v>21</v>
      </c>
      <c r="G6106">
        <v>1581.3</v>
      </c>
      <c r="H6106" t="s">
        <v>12</v>
      </c>
      <c r="I6106" t="str">
        <f t="shared" si="286"/>
        <v>Low Value</v>
      </c>
      <c r="J6106" t="str">
        <f t="shared" si="287"/>
        <v>Medium Risk</v>
      </c>
      <c r="K6106" s="3" t="str">
        <f t="shared" si="285"/>
        <v>1-2 Years</v>
      </c>
    </row>
    <row r="6107" spans="1:11" x14ac:dyDescent="0.3">
      <c r="A6107" t="s">
        <v>6124</v>
      </c>
      <c r="B6107" t="s">
        <v>14</v>
      </c>
      <c r="C6107" t="s">
        <v>10</v>
      </c>
      <c r="D6107" t="s">
        <v>11</v>
      </c>
      <c r="E6107">
        <v>66.650000000000006</v>
      </c>
      <c r="F6107">
        <v>8</v>
      </c>
      <c r="G6107">
        <v>533.20000000000005</v>
      </c>
      <c r="H6107" t="s">
        <v>12</v>
      </c>
      <c r="I6107" t="str">
        <f t="shared" si="286"/>
        <v>Low Value</v>
      </c>
      <c r="J6107" t="str">
        <f t="shared" si="287"/>
        <v>High Risk</v>
      </c>
      <c r="K6107" s="3" t="str">
        <f t="shared" si="285"/>
        <v>0-1 Year</v>
      </c>
    </row>
    <row r="6108" spans="1:11" x14ac:dyDescent="0.3">
      <c r="A6108" t="s">
        <v>6125</v>
      </c>
      <c r="B6108" t="s">
        <v>9</v>
      </c>
      <c r="C6108" t="s">
        <v>30</v>
      </c>
      <c r="D6108" t="s">
        <v>24</v>
      </c>
      <c r="E6108">
        <v>109.5</v>
      </c>
      <c r="F6108">
        <v>72</v>
      </c>
      <c r="G6108">
        <v>7884</v>
      </c>
      <c r="H6108" t="s">
        <v>12</v>
      </c>
      <c r="I6108" t="str">
        <f t="shared" si="286"/>
        <v>High Value</v>
      </c>
      <c r="J6108" t="str">
        <f t="shared" si="287"/>
        <v>Low Risk</v>
      </c>
      <c r="K6108" s="3" t="str">
        <f t="shared" si="285"/>
        <v>4+ Years</v>
      </c>
    </row>
    <row r="6109" spans="1:11" x14ac:dyDescent="0.3">
      <c r="A6109" t="s">
        <v>6126</v>
      </c>
      <c r="B6109" t="s">
        <v>9</v>
      </c>
      <c r="C6109" t="s">
        <v>15</v>
      </c>
      <c r="D6109" t="s">
        <v>20</v>
      </c>
      <c r="E6109">
        <v>73.849999999999994</v>
      </c>
      <c r="F6109">
        <v>48</v>
      </c>
      <c r="G6109">
        <v>3544.7999999999902</v>
      </c>
      <c r="H6109" t="s">
        <v>12</v>
      </c>
      <c r="I6109" t="str">
        <f t="shared" si="286"/>
        <v>Medium Value</v>
      </c>
      <c r="J6109" t="str">
        <f t="shared" si="287"/>
        <v>Low Risk</v>
      </c>
      <c r="K6109" s="3" t="str">
        <f t="shared" si="285"/>
        <v>2-4 Years</v>
      </c>
    </row>
    <row r="6110" spans="1:11" x14ac:dyDescent="0.3">
      <c r="A6110" t="s">
        <v>6127</v>
      </c>
      <c r="B6110" t="s">
        <v>14</v>
      </c>
      <c r="C6110" t="s">
        <v>30</v>
      </c>
      <c r="D6110" t="s">
        <v>20</v>
      </c>
      <c r="E6110">
        <v>19.3</v>
      </c>
      <c r="F6110">
        <v>69</v>
      </c>
      <c r="G6110">
        <v>1331.7</v>
      </c>
      <c r="H6110" t="s">
        <v>12</v>
      </c>
      <c r="I6110" t="str">
        <f t="shared" si="286"/>
        <v>Low Value</v>
      </c>
      <c r="J6110" t="str">
        <f t="shared" si="287"/>
        <v>Low Risk</v>
      </c>
      <c r="K6110" s="3" t="str">
        <f t="shared" si="285"/>
        <v>4+ Years</v>
      </c>
    </row>
    <row r="6111" spans="1:11" x14ac:dyDescent="0.3">
      <c r="A6111" t="s">
        <v>6128</v>
      </c>
      <c r="B6111" t="s">
        <v>14</v>
      </c>
      <c r="C6111" t="s">
        <v>30</v>
      </c>
      <c r="D6111" t="s">
        <v>11</v>
      </c>
      <c r="E6111">
        <v>118.2</v>
      </c>
      <c r="F6111">
        <v>72</v>
      </c>
      <c r="G6111">
        <v>8510.4</v>
      </c>
      <c r="H6111" t="s">
        <v>12</v>
      </c>
      <c r="I6111" t="str">
        <f t="shared" si="286"/>
        <v>High Value</v>
      </c>
      <c r="J6111" t="str">
        <f t="shared" si="287"/>
        <v>Low Risk</v>
      </c>
      <c r="K6111" s="3" t="str">
        <f t="shared" si="285"/>
        <v>4+ Years</v>
      </c>
    </row>
    <row r="6112" spans="1:11" x14ac:dyDescent="0.3">
      <c r="A6112" t="s">
        <v>6129</v>
      </c>
      <c r="B6112" t="s">
        <v>9</v>
      </c>
      <c r="C6112" t="s">
        <v>15</v>
      </c>
      <c r="D6112" t="s">
        <v>24</v>
      </c>
      <c r="E6112">
        <v>51.45</v>
      </c>
      <c r="F6112">
        <v>14</v>
      </c>
      <c r="G6112">
        <v>720.3</v>
      </c>
      <c r="H6112" t="s">
        <v>12</v>
      </c>
      <c r="I6112" t="str">
        <f t="shared" si="286"/>
        <v>Low Value</v>
      </c>
      <c r="J6112" t="str">
        <f t="shared" si="287"/>
        <v>Medium Risk</v>
      </c>
      <c r="K6112" s="3" t="str">
        <f t="shared" si="285"/>
        <v>1-2 Years</v>
      </c>
    </row>
    <row r="6113" spans="1:11" x14ac:dyDescent="0.3">
      <c r="A6113" t="s">
        <v>6130</v>
      </c>
      <c r="B6113" t="s">
        <v>14</v>
      </c>
      <c r="C6113" t="s">
        <v>10</v>
      </c>
      <c r="D6113" t="s">
        <v>11</v>
      </c>
      <c r="E6113">
        <v>59.45</v>
      </c>
      <c r="F6113">
        <v>6</v>
      </c>
      <c r="G6113">
        <v>356.7</v>
      </c>
      <c r="H6113" t="s">
        <v>12</v>
      </c>
      <c r="I6113" t="str">
        <f t="shared" si="286"/>
        <v>Low Value</v>
      </c>
      <c r="J6113" t="str">
        <f t="shared" si="287"/>
        <v>High Risk</v>
      </c>
      <c r="K6113" s="3" t="str">
        <f t="shared" si="285"/>
        <v>0-1 Year</v>
      </c>
    </row>
    <row r="6114" spans="1:11" x14ac:dyDescent="0.3">
      <c r="A6114" t="s">
        <v>6131</v>
      </c>
      <c r="B6114" t="s">
        <v>9</v>
      </c>
      <c r="C6114" t="s">
        <v>30</v>
      </c>
      <c r="D6114" t="s">
        <v>20</v>
      </c>
      <c r="E6114">
        <v>19.5</v>
      </c>
      <c r="F6114">
        <v>8</v>
      </c>
      <c r="G6114">
        <v>156</v>
      </c>
      <c r="H6114" t="s">
        <v>12</v>
      </c>
      <c r="I6114" t="str">
        <f t="shared" si="286"/>
        <v>Low Value</v>
      </c>
      <c r="J6114" t="str">
        <f t="shared" si="287"/>
        <v>High Risk</v>
      </c>
      <c r="K6114" s="3" t="str">
        <f t="shared" si="285"/>
        <v>0-1 Year</v>
      </c>
    </row>
    <row r="6115" spans="1:11" x14ac:dyDescent="0.3">
      <c r="A6115" t="s">
        <v>6132</v>
      </c>
      <c r="B6115" t="s">
        <v>9</v>
      </c>
      <c r="C6115" t="s">
        <v>15</v>
      </c>
      <c r="D6115" t="s">
        <v>16</v>
      </c>
      <c r="E6115">
        <v>19.55</v>
      </c>
      <c r="F6115">
        <v>17</v>
      </c>
      <c r="G6115">
        <v>332.35</v>
      </c>
      <c r="H6115" t="s">
        <v>12</v>
      </c>
      <c r="I6115" t="str">
        <f t="shared" si="286"/>
        <v>Low Value</v>
      </c>
      <c r="J6115" t="str">
        <f t="shared" si="287"/>
        <v>Medium Risk</v>
      </c>
      <c r="K6115" s="3" t="str">
        <f t="shared" si="285"/>
        <v>1-2 Years</v>
      </c>
    </row>
    <row r="6116" spans="1:11" x14ac:dyDescent="0.3">
      <c r="A6116" t="s">
        <v>6133</v>
      </c>
      <c r="B6116" t="s">
        <v>14</v>
      </c>
      <c r="C6116" t="s">
        <v>15</v>
      </c>
      <c r="D6116" t="s">
        <v>11</v>
      </c>
      <c r="E6116">
        <v>93.55</v>
      </c>
      <c r="F6116">
        <v>65</v>
      </c>
      <c r="G6116">
        <v>6080.75</v>
      </c>
      <c r="H6116" t="s">
        <v>12</v>
      </c>
      <c r="I6116" t="str">
        <f t="shared" si="286"/>
        <v>High Value</v>
      </c>
      <c r="J6116" t="str">
        <f t="shared" si="287"/>
        <v>Low Risk</v>
      </c>
      <c r="K6116" s="3" t="str">
        <f t="shared" si="285"/>
        <v>4+ Years</v>
      </c>
    </row>
    <row r="6117" spans="1:11" x14ac:dyDescent="0.3">
      <c r="A6117" t="s">
        <v>6134</v>
      </c>
      <c r="B6117" t="s">
        <v>9</v>
      </c>
      <c r="C6117" t="s">
        <v>15</v>
      </c>
      <c r="D6117" t="s">
        <v>16</v>
      </c>
      <c r="E6117">
        <v>59.3</v>
      </c>
      <c r="F6117">
        <v>57</v>
      </c>
      <c r="G6117">
        <v>3380.1</v>
      </c>
      <c r="H6117" t="s">
        <v>12</v>
      </c>
      <c r="I6117" t="str">
        <f t="shared" si="286"/>
        <v>Medium Value</v>
      </c>
      <c r="J6117" t="str">
        <f t="shared" si="287"/>
        <v>Low Risk</v>
      </c>
      <c r="K6117" s="3" t="str">
        <f t="shared" si="285"/>
        <v>4+ Years</v>
      </c>
    </row>
    <row r="6118" spans="1:11" x14ac:dyDescent="0.3">
      <c r="A6118" t="s">
        <v>6135</v>
      </c>
      <c r="B6118" t="s">
        <v>14</v>
      </c>
      <c r="C6118" t="s">
        <v>10</v>
      </c>
      <c r="D6118" t="s">
        <v>24</v>
      </c>
      <c r="E6118">
        <v>102.25</v>
      </c>
      <c r="F6118">
        <v>13</v>
      </c>
      <c r="G6118">
        <v>1329.25</v>
      </c>
      <c r="H6118" t="s">
        <v>18</v>
      </c>
      <c r="I6118" t="str">
        <f t="shared" si="286"/>
        <v>Low Value</v>
      </c>
      <c r="J6118" t="str">
        <f t="shared" si="287"/>
        <v>Medium Risk</v>
      </c>
      <c r="K6118" s="3" t="str">
        <f t="shared" si="285"/>
        <v>1-2 Years</v>
      </c>
    </row>
    <row r="6119" spans="1:11" x14ac:dyDescent="0.3">
      <c r="A6119" t="s">
        <v>6136</v>
      </c>
      <c r="B6119" t="s">
        <v>14</v>
      </c>
      <c r="C6119" t="s">
        <v>10</v>
      </c>
      <c r="D6119" t="s">
        <v>24</v>
      </c>
      <c r="E6119">
        <v>95.9</v>
      </c>
      <c r="F6119">
        <v>19</v>
      </c>
      <c r="G6119">
        <v>1822.1</v>
      </c>
      <c r="H6119" t="s">
        <v>18</v>
      </c>
      <c r="I6119" t="str">
        <f t="shared" si="286"/>
        <v>Low Value</v>
      </c>
      <c r="J6119" t="str">
        <f t="shared" si="287"/>
        <v>Medium Risk</v>
      </c>
      <c r="K6119" s="3" t="str">
        <f t="shared" si="285"/>
        <v>1-2 Years</v>
      </c>
    </row>
    <row r="6120" spans="1:11" x14ac:dyDescent="0.3">
      <c r="A6120" t="s">
        <v>6137</v>
      </c>
      <c r="B6120" t="s">
        <v>9</v>
      </c>
      <c r="C6120" t="s">
        <v>15</v>
      </c>
      <c r="D6120" t="s">
        <v>20</v>
      </c>
      <c r="E6120">
        <v>109.8</v>
      </c>
      <c r="F6120">
        <v>56</v>
      </c>
      <c r="G6120">
        <v>6148.8</v>
      </c>
      <c r="H6120" t="s">
        <v>12</v>
      </c>
      <c r="I6120" t="str">
        <f t="shared" si="286"/>
        <v>High Value</v>
      </c>
      <c r="J6120" t="str">
        <f t="shared" si="287"/>
        <v>Low Risk</v>
      </c>
      <c r="K6120" s="3" t="str">
        <f t="shared" si="285"/>
        <v>4+ Years</v>
      </c>
    </row>
    <row r="6121" spans="1:11" x14ac:dyDescent="0.3">
      <c r="A6121" t="s">
        <v>6138</v>
      </c>
      <c r="B6121" t="s">
        <v>9</v>
      </c>
      <c r="C6121" t="s">
        <v>10</v>
      </c>
      <c r="D6121" t="s">
        <v>11</v>
      </c>
      <c r="E6121">
        <v>78.099999999999994</v>
      </c>
      <c r="F6121">
        <v>14</v>
      </c>
      <c r="G6121">
        <v>1093.3999999999901</v>
      </c>
      <c r="H6121" t="s">
        <v>12</v>
      </c>
      <c r="I6121" t="str">
        <f t="shared" si="286"/>
        <v>Low Value</v>
      </c>
      <c r="J6121" t="str">
        <f t="shared" si="287"/>
        <v>Medium Risk</v>
      </c>
      <c r="K6121" s="3" t="str">
        <f t="shared" si="285"/>
        <v>1-2 Years</v>
      </c>
    </row>
    <row r="6122" spans="1:11" x14ac:dyDescent="0.3">
      <c r="A6122" t="s">
        <v>6139</v>
      </c>
      <c r="B6122" t="s">
        <v>14</v>
      </c>
      <c r="C6122" t="s">
        <v>10</v>
      </c>
      <c r="D6122" t="s">
        <v>11</v>
      </c>
      <c r="E6122">
        <v>39.9</v>
      </c>
      <c r="F6122">
        <v>52</v>
      </c>
      <c r="G6122">
        <v>2074.7999999999902</v>
      </c>
      <c r="H6122" t="s">
        <v>12</v>
      </c>
      <c r="I6122" t="str">
        <f t="shared" si="286"/>
        <v>Medium Value</v>
      </c>
      <c r="J6122" t="str">
        <f t="shared" si="287"/>
        <v>Low Risk</v>
      </c>
      <c r="K6122" s="3" t="str">
        <f t="shared" si="285"/>
        <v>4+ Years</v>
      </c>
    </row>
    <row r="6123" spans="1:11" x14ac:dyDescent="0.3">
      <c r="A6123" t="s">
        <v>6140</v>
      </c>
      <c r="B6123" t="s">
        <v>9</v>
      </c>
      <c r="C6123" t="s">
        <v>30</v>
      </c>
      <c r="D6123" t="s">
        <v>24</v>
      </c>
      <c r="E6123">
        <v>64.900000000000006</v>
      </c>
      <c r="F6123">
        <v>58</v>
      </c>
      <c r="G6123">
        <v>3764.2</v>
      </c>
      <c r="H6123" t="s">
        <v>12</v>
      </c>
      <c r="I6123" t="str">
        <f t="shared" si="286"/>
        <v>Medium Value</v>
      </c>
      <c r="J6123" t="str">
        <f t="shared" si="287"/>
        <v>Low Risk</v>
      </c>
      <c r="K6123" s="3" t="str">
        <f t="shared" si="285"/>
        <v>4+ Years</v>
      </c>
    </row>
    <row r="6124" spans="1:11" x14ac:dyDescent="0.3">
      <c r="A6124" t="s">
        <v>6141</v>
      </c>
      <c r="B6124" t="s">
        <v>9</v>
      </c>
      <c r="C6124" t="s">
        <v>10</v>
      </c>
      <c r="D6124" t="s">
        <v>11</v>
      </c>
      <c r="E6124">
        <v>95.05</v>
      </c>
      <c r="F6124">
        <v>47</v>
      </c>
      <c r="G6124">
        <v>4467.3499999999904</v>
      </c>
      <c r="H6124" t="s">
        <v>18</v>
      </c>
      <c r="I6124" t="str">
        <f t="shared" si="286"/>
        <v>Medium Value</v>
      </c>
      <c r="J6124" t="str">
        <f t="shared" si="287"/>
        <v>Low Risk</v>
      </c>
      <c r="K6124" s="3" t="str">
        <f t="shared" si="285"/>
        <v>2-4 Years</v>
      </c>
    </row>
    <row r="6125" spans="1:11" x14ac:dyDescent="0.3">
      <c r="A6125" t="s">
        <v>6142</v>
      </c>
      <c r="B6125" t="s">
        <v>9</v>
      </c>
      <c r="C6125" t="s">
        <v>10</v>
      </c>
      <c r="D6125" t="s">
        <v>24</v>
      </c>
      <c r="E6125">
        <v>53.4</v>
      </c>
      <c r="F6125">
        <v>67</v>
      </c>
      <c r="G6125">
        <v>3577.7999999999902</v>
      </c>
      <c r="H6125" t="s">
        <v>12</v>
      </c>
      <c r="I6125" t="str">
        <f t="shared" si="286"/>
        <v>Medium Value</v>
      </c>
      <c r="J6125" t="str">
        <f t="shared" si="287"/>
        <v>Low Risk</v>
      </c>
      <c r="K6125" s="3" t="str">
        <f t="shared" si="285"/>
        <v>4+ Years</v>
      </c>
    </row>
    <row r="6126" spans="1:11" x14ac:dyDescent="0.3">
      <c r="A6126" t="s">
        <v>6143</v>
      </c>
      <c r="B6126" t="s">
        <v>14</v>
      </c>
      <c r="C6126" t="s">
        <v>10</v>
      </c>
      <c r="D6126" t="s">
        <v>24</v>
      </c>
      <c r="E6126">
        <v>24.9</v>
      </c>
      <c r="F6126">
        <v>2</v>
      </c>
      <c r="G6126">
        <v>49.8</v>
      </c>
      <c r="H6126" t="s">
        <v>12</v>
      </c>
      <c r="I6126" t="str">
        <f t="shared" si="286"/>
        <v>Low Value</v>
      </c>
      <c r="J6126" t="str">
        <f t="shared" si="287"/>
        <v>High Risk</v>
      </c>
      <c r="K6126" s="3" t="str">
        <f t="shared" si="285"/>
        <v>0-1 Year</v>
      </c>
    </row>
    <row r="6127" spans="1:11" x14ac:dyDescent="0.3">
      <c r="A6127" t="s">
        <v>6144</v>
      </c>
      <c r="B6127" t="s">
        <v>14</v>
      </c>
      <c r="C6127" t="s">
        <v>10</v>
      </c>
      <c r="D6127" t="s">
        <v>24</v>
      </c>
      <c r="E6127">
        <v>44.7</v>
      </c>
      <c r="F6127">
        <v>6</v>
      </c>
      <c r="G6127">
        <v>268.2</v>
      </c>
      <c r="H6127" t="s">
        <v>12</v>
      </c>
      <c r="I6127" t="str">
        <f t="shared" si="286"/>
        <v>Low Value</v>
      </c>
      <c r="J6127" t="str">
        <f t="shared" si="287"/>
        <v>High Risk</v>
      </c>
      <c r="K6127" s="3" t="str">
        <f t="shared" si="285"/>
        <v>0-1 Year</v>
      </c>
    </row>
    <row r="6128" spans="1:11" x14ac:dyDescent="0.3">
      <c r="A6128" t="s">
        <v>6145</v>
      </c>
      <c r="B6128" t="s">
        <v>14</v>
      </c>
      <c r="C6128" t="s">
        <v>30</v>
      </c>
      <c r="D6128" t="s">
        <v>20</v>
      </c>
      <c r="E6128">
        <v>114</v>
      </c>
      <c r="F6128">
        <v>71</v>
      </c>
      <c r="G6128">
        <v>8094</v>
      </c>
      <c r="H6128" t="s">
        <v>12</v>
      </c>
      <c r="I6128" t="str">
        <f t="shared" si="286"/>
        <v>High Value</v>
      </c>
      <c r="J6128" t="str">
        <f t="shared" si="287"/>
        <v>Low Risk</v>
      </c>
      <c r="K6128" s="3" t="str">
        <f t="shared" si="285"/>
        <v>4+ Years</v>
      </c>
    </row>
    <row r="6129" spans="1:11" x14ac:dyDescent="0.3">
      <c r="A6129" t="s">
        <v>6146</v>
      </c>
      <c r="B6129" t="s">
        <v>9</v>
      </c>
      <c r="C6129" t="s">
        <v>30</v>
      </c>
      <c r="D6129" t="s">
        <v>20</v>
      </c>
      <c r="E6129">
        <v>20.25</v>
      </c>
      <c r="F6129">
        <v>46</v>
      </c>
      <c r="G6129">
        <v>931.5</v>
      </c>
      <c r="H6129" t="s">
        <v>12</v>
      </c>
      <c r="I6129" t="str">
        <f t="shared" si="286"/>
        <v>Low Value</v>
      </c>
      <c r="J6129" t="str">
        <f t="shared" si="287"/>
        <v>Low Risk</v>
      </c>
      <c r="K6129" s="3" t="str">
        <f t="shared" si="285"/>
        <v>2-4 Years</v>
      </c>
    </row>
    <row r="6130" spans="1:11" x14ac:dyDescent="0.3">
      <c r="A6130" t="s">
        <v>6147</v>
      </c>
      <c r="B6130" t="s">
        <v>9</v>
      </c>
      <c r="C6130" t="s">
        <v>10</v>
      </c>
      <c r="D6130" t="s">
        <v>24</v>
      </c>
      <c r="E6130">
        <v>53.85</v>
      </c>
      <c r="F6130">
        <v>5</v>
      </c>
      <c r="G6130">
        <v>269.25</v>
      </c>
      <c r="H6130" t="s">
        <v>18</v>
      </c>
      <c r="I6130" t="str">
        <f t="shared" si="286"/>
        <v>Low Value</v>
      </c>
      <c r="J6130" t="str">
        <f t="shared" si="287"/>
        <v>High Risk</v>
      </c>
      <c r="K6130" s="3" t="str">
        <f t="shared" si="285"/>
        <v>0-1 Year</v>
      </c>
    </row>
    <row r="6131" spans="1:11" x14ac:dyDescent="0.3">
      <c r="A6131" t="s">
        <v>6148</v>
      </c>
      <c r="B6131" t="s">
        <v>14</v>
      </c>
      <c r="C6131" t="s">
        <v>10</v>
      </c>
      <c r="D6131" t="s">
        <v>20</v>
      </c>
      <c r="E6131">
        <v>83.85</v>
      </c>
      <c r="F6131">
        <v>67</v>
      </c>
      <c r="G6131">
        <v>5617.95</v>
      </c>
      <c r="H6131" t="s">
        <v>12</v>
      </c>
      <c r="I6131" t="str">
        <f t="shared" si="286"/>
        <v>High Value</v>
      </c>
      <c r="J6131" t="str">
        <f t="shared" si="287"/>
        <v>Low Risk</v>
      </c>
      <c r="K6131" s="3" t="str">
        <f t="shared" si="285"/>
        <v>4+ Years</v>
      </c>
    </row>
    <row r="6132" spans="1:11" x14ac:dyDescent="0.3">
      <c r="A6132" t="s">
        <v>6149</v>
      </c>
      <c r="B6132" t="s">
        <v>14</v>
      </c>
      <c r="C6132" t="s">
        <v>10</v>
      </c>
      <c r="D6132" t="s">
        <v>20</v>
      </c>
      <c r="E6132">
        <v>20.2</v>
      </c>
      <c r="F6132">
        <v>3</v>
      </c>
      <c r="G6132">
        <v>60.599999999999902</v>
      </c>
      <c r="H6132" t="s">
        <v>12</v>
      </c>
      <c r="I6132" t="str">
        <f t="shared" si="286"/>
        <v>Low Value</v>
      </c>
      <c r="J6132" t="str">
        <f t="shared" si="287"/>
        <v>High Risk</v>
      </c>
      <c r="K6132" s="3" t="str">
        <f t="shared" si="285"/>
        <v>0-1 Year</v>
      </c>
    </row>
    <row r="6133" spans="1:11" x14ac:dyDescent="0.3">
      <c r="A6133" t="s">
        <v>6150</v>
      </c>
      <c r="B6133" t="s">
        <v>9</v>
      </c>
      <c r="C6133" t="s">
        <v>10</v>
      </c>
      <c r="D6133" t="s">
        <v>16</v>
      </c>
      <c r="E6133">
        <v>19.95</v>
      </c>
      <c r="F6133">
        <v>3</v>
      </c>
      <c r="G6133">
        <v>59.849999999999902</v>
      </c>
      <c r="H6133" t="s">
        <v>12</v>
      </c>
      <c r="I6133" t="str">
        <f t="shared" si="286"/>
        <v>Low Value</v>
      </c>
      <c r="J6133" t="str">
        <f t="shared" si="287"/>
        <v>High Risk</v>
      </c>
      <c r="K6133" s="3" t="str">
        <f t="shared" si="285"/>
        <v>0-1 Year</v>
      </c>
    </row>
    <row r="6134" spans="1:11" x14ac:dyDescent="0.3">
      <c r="A6134" t="s">
        <v>6151</v>
      </c>
      <c r="B6134" t="s">
        <v>14</v>
      </c>
      <c r="C6134" t="s">
        <v>10</v>
      </c>
      <c r="D6134" t="s">
        <v>11</v>
      </c>
      <c r="E6134">
        <v>104.2</v>
      </c>
      <c r="F6134">
        <v>52</v>
      </c>
      <c r="G6134">
        <v>5418.4</v>
      </c>
      <c r="H6134" t="s">
        <v>18</v>
      </c>
      <c r="I6134" t="str">
        <f t="shared" si="286"/>
        <v>High Value</v>
      </c>
      <c r="J6134" t="str">
        <f t="shared" si="287"/>
        <v>Low Risk</v>
      </c>
      <c r="K6134" s="3" t="str">
        <f t="shared" si="285"/>
        <v>4+ Years</v>
      </c>
    </row>
    <row r="6135" spans="1:11" x14ac:dyDescent="0.3">
      <c r="A6135" t="s">
        <v>6152</v>
      </c>
      <c r="B6135" t="s">
        <v>9</v>
      </c>
      <c r="C6135" t="s">
        <v>10</v>
      </c>
      <c r="D6135" t="s">
        <v>11</v>
      </c>
      <c r="E6135">
        <v>50.25</v>
      </c>
      <c r="F6135">
        <v>42</v>
      </c>
      <c r="G6135">
        <v>2110.5</v>
      </c>
      <c r="H6135" t="s">
        <v>18</v>
      </c>
      <c r="I6135" t="str">
        <f t="shared" si="286"/>
        <v>Medium Value</v>
      </c>
      <c r="J6135" t="str">
        <f t="shared" si="287"/>
        <v>Low Risk</v>
      </c>
      <c r="K6135" s="3" t="str">
        <f t="shared" si="285"/>
        <v>2-4 Years</v>
      </c>
    </row>
    <row r="6136" spans="1:11" x14ac:dyDescent="0.3">
      <c r="A6136" t="s">
        <v>6153</v>
      </c>
      <c r="B6136" t="s">
        <v>14</v>
      </c>
      <c r="C6136" t="s">
        <v>15</v>
      </c>
      <c r="D6136" t="s">
        <v>16</v>
      </c>
      <c r="E6136">
        <v>20.350000000000001</v>
      </c>
      <c r="F6136">
        <v>50</v>
      </c>
      <c r="G6136">
        <v>1017.5</v>
      </c>
      <c r="H6136" t="s">
        <v>12</v>
      </c>
      <c r="I6136" t="str">
        <f t="shared" si="286"/>
        <v>Low Value</v>
      </c>
      <c r="J6136" t="str">
        <f t="shared" si="287"/>
        <v>Low Risk</v>
      </c>
      <c r="K6136" s="3" t="str">
        <f t="shared" si="285"/>
        <v>4+ Years</v>
      </c>
    </row>
    <row r="6137" spans="1:11" x14ac:dyDescent="0.3">
      <c r="A6137" t="s">
        <v>6154</v>
      </c>
      <c r="B6137" t="s">
        <v>14</v>
      </c>
      <c r="C6137" t="s">
        <v>10</v>
      </c>
      <c r="D6137" t="s">
        <v>11</v>
      </c>
      <c r="E6137">
        <v>90</v>
      </c>
      <c r="F6137">
        <v>23</v>
      </c>
      <c r="G6137">
        <v>2070</v>
      </c>
      <c r="H6137" t="s">
        <v>12</v>
      </c>
      <c r="I6137" t="str">
        <f t="shared" si="286"/>
        <v>Medium Value</v>
      </c>
      <c r="J6137" t="str">
        <f t="shared" si="287"/>
        <v>Medium Risk</v>
      </c>
      <c r="K6137" s="3" t="str">
        <f t="shared" si="285"/>
        <v>1-2 Years</v>
      </c>
    </row>
    <row r="6138" spans="1:11" x14ac:dyDescent="0.3">
      <c r="A6138" t="s">
        <v>6155</v>
      </c>
      <c r="B6138" t="s">
        <v>9</v>
      </c>
      <c r="C6138" t="s">
        <v>30</v>
      </c>
      <c r="D6138" t="s">
        <v>24</v>
      </c>
      <c r="E6138">
        <v>54.2</v>
      </c>
      <c r="F6138">
        <v>67</v>
      </c>
      <c r="G6138">
        <v>3631.4</v>
      </c>
      <c r="H6138" t="s">
        <v>12</v>
      </c>
      <c r="I6138" t="str">
        <f t="shared" si="286"/>
        <v>Medium Value</v>
      </c>
      <c r="J6138" t="str">
        <f t="shared" si="287"/>
        <v>Low Risk</v>
      </c>
      <c r="K6138" s="3" t="str">
        <f t="shared" si="285"/>
        <v>4+ Years</v>
      </c>
    </row>
    <row r="6139" spans="1:11" x14ac:dyDescent="0.3">
      <c r="A6139" t="s">
        <v>6156</v>
      </c>
      <c r="B6139" t="s">
        <v>9</v>
      </c>
      <c r="C6139" t="s">
        <v>10</v>
      </c>
      <c r="D6139" t="s">
        <v>11</v>
      </c>
      <c r="E6139">
        <v>99.5</v>
      </c>
      <c r="F6139">
        <v>25</v>
      </c>
      <c r="G6139">
        <v>2487.5</v>
      </c>
      <c r="H6139" t="s">
        <v>18</v>
      </c>
      <c r="I6139" t="str">
        <f t="shared" si="286"/>
        <v>Medium Value</v>
      </c>
      <c r="J6139" t="str">
        <f t="shared" si="287"/>
        <v>Low Risk</v>
      </c>
      <c r="K6139" s="3" t="str">
        <f t="shared" si="285"/>
        <v>2-4 Years</v>
      </c>
    </row>
    <row r="6140" spans="1:11" x14ac:dyDescent="0.3">
      <c r="A6140" t="s">
        <v>6157</v>
      </c>
      <c r="B6140" t="s">
        <v>9</v>
      </c>
      <c r="C6140" t="s">
        <v>15</v>
      </c>
      <c r="D6140" t="s">
        <v>16</v>
      </c>
      <c r="E6140">
        <v>99.1</v>
      </c>
      <c r="F6140">
        <v>39</v>
      </c>
      <c r="G6140">
        <v>3864.8999999999901</v>
      </c>
      <c r="H6140" t="s">
        <v>12</v>
      </c>
      <c r="I6140" t="str">
        <f t="shared" si="286"/>
        <v>Medium Value</v>
      </c>
      <c r="J6140" t="str">
        <f t="shared" si="287"/>
        <v>Low Risk</v>
      </c>
      <c r="K6140" s="3" t="str">
        <f t="shared" si="285"/>
        <v>2-4 Years</v>
      </c>
    </row>
    <row r="6141" spans="1:11" x14ac:dyDescent="0.3">
      <c r="A6141" t="s">
        <v>6158</v>
      </c>
      <c r="B6141" t="s">
        <v>9</v>
      </c>
      <c r="C6141" t="s">
        <v>30</v>
      </c>
      <c r="D6141" t="s">
        <v>16</v>
      </c>
      <c r="E6141">
        <v>66.900000000000006</v>
      </c>
      <c r="F6141">
        <v>69</v>
      </c>
      <c r="G6141">
        <v>4616.1000000000004</v>
      </c>
      <c r="H6141" t="s">
        <v>12</v>
      </c>
      <c r="I6141" t="str">
        <f t="shared" si="286"/>
        <v>Medium Value</v>
      </c>
      <c r="J6141" t="str">
        <f t="shared" si="287"/>
        <v>Low Risk</v>
      </c>
      <c r="K6141" s="3" t="str">
        <f t="shared" si="285"/>
        <v>4+ Years</v>
      </c>
    </row>
    <row r="6142" spans="1:11" x14ac:dyDescent="0.3">
      <c r="A6142" t="s">
        <v>6159</v>
      </c>
      <c r="B6142" t="s">
        <v>9</v>
      </c>
      <c r="C6142" t="s">
        <v>15</v>
      </c>
      <c r="D6142" t="s">
        <v>16</v>
      </c>
      <c r="E6142">
        <v>25.85</v>
      </c>
      <c r="F6142">
        <v>1</v>
      </c>
      <c r="G6142">
        <v>25.85</v>
      </c>
      <c r="H6142" t="s">
        <v>12</v>
      </c>
      <c r="I6142" t="str">
        <f t="shared" si="286"/>
        <v>Low Value</v>
      </c>
      <c r="J6142" t="str">
        <f t="shared" si="287"/>
        <v>High Risk</v>
      </c>
      <c r="K6142" s="3" t="str">
        <f t="shared" si="285"/>
        <v>0-1 Year</v>
      </c>
    </row>
    <row r="6143" spans="1:11" x14ac:dyDescent="0.3">
      <c r="A6143" t="s">
        <v>6160</v>
      </c>
      <c r="B6143" t="s">
        <v>14</v>
      </c>
      <c r="C6143" t="s">
        <v>10</v>
      </c>
      <c r="D6143" t="s">
        <v>11</v>
      </c>
      <c r="E6143">
        <v>91.05</v>
      </c>
      <c r="F6143">
        <v>32</v>
      </c>
      <c r="G6143">
        <v>2913.6</v>
      </c>
      <c r="H6143" t="s">
        <v>12</v>
      </c>
      <c r="I6143" t="str">
        <f t="shared" si="286"/>
        <v>Medium Value</v>
      </c>
      <c r="J6143" t="str">
        <f t="shared" si="287"/>
        <v>Low Risk</v>
      </c>
      <c r="K6143" s="3" t="str">
        <f t="shared" si="285"/>
        <v>2-4 Years</v>
      </c>
    </row>
    <row r="6144" spans="1:11" x14ac:dyDescent="0.3">
      <c r="A6144" t="s">
        <v>6161</v>
      </c>
      <c r="B6144" t="s">
        <v>9</v>
      </c>
      <c r="C6144" t="s">
        <v>10</v>
      </c>
      <c r="D6144" t="s">
        <v>11</v>
      </c>
      <c r="E6144">
        <v>71</v>
      </c>
      <c r="F6144">
        <v>9</v>
      </c>
      <c r="G6144">
        <v>639</v>
      </c>
      <c r="H6144" t="s">
        <v>18</v>
      </c>
      <c r="I6144" t="str">
        <f t="shared" si="286"/>
        <v>Low Value</v>
      </c>
      <c r="J6144" t="str">
        <f t="shared" si="287"/>
        <v>High Risk</v>
      </c>
      <c r="K6144" s="3" t="str">
        <f t="shared" si="285"/>
        <v>0-1 Year</v>
      </c>
    </row>
    <row r="6145" spans="1:11" x14ac:dyDescent="0.3">
      <c r="A6145" t="s">
        <v>6162</v>
      </c>
      <c r="B6145" t="s">
        <v>9</v>
      </c>
      <c r="C6145" t="s">
        <v>10</v>
      </c>
      <c r="D6145" t="s">
        <v>24</v>
      </c>
      <c r="E6145">
        <v>93.2</v>
      </c>
      <c r="F6145">
        <v>16</v>
      </c>
      <c r="G6145">
        <v>1491.2</v>
      </c>
      <c r="H6145" t="s">
        <v>18</v>
      </c>
      <c r="I6145" t="str">
        <f t="shared" si="286"/>
        <v>Low Value</v>
      </c>
      <c r="J6145" t="str">
        <f t="shared" si="287"/>
        <v>Medium Risk</v>
      </c>
      <c r="K6145" s="3" t="str">
        <f t="shared" si="285"/>
        <v>1-2 Years</v>
      </c>
    </row>
    <row r="6146" spans="1:11" x14ac:dyDescent="0.3">
      <c r="A6146" t="s">
        <v>6163</v>
      </c>
      <c r="B6146" t="s">
        <v>14</v>
      </c>
      <c r="C6146" t="s">
        <v>30</v>
      </c>
      <c r="D6146" t="s">
        <v>20</v>
      </c>
      <c r="E6146">
        <v>20.95</v>
      </c>
      <c r="F6146">
        <v>60</v>
      </c>
      <c r="G6146">
        <v>1257</v>
      </c>
      <c r="H6146" t="s">
        <v>12</v>
      </c>
      <c r="I6146" t="str">
        <f t="shared" si="286"/>
        <v>Low Value</v>
      </c>
      <c r="J6146" t="str">
        <f t="shared" si="287"/>
        <v>Low Risk</v>
      </c>
      <c r="K6146" s="3" t="str">
        <f t="shared" si="285"/>
        <v>4+ Years</v>
      </c>
    </row>
    <row r="6147" spans="1:11" x14ac:dyDescent="0.3">
      <c r="A6147" t="s">
        <v>6164</v>
      </c>
      <c r="B6147" t="s">
        <v>9</v>
      </c>
      <c r="C6147" t="s">
        <v>30</v>
      </c>
      <c r="D6147" t="s">
        <v>20</v>
      </c>
      <c r="E6147">
        <v>109.2</v>
      </c>
      <c r="F6147">
        <v>72</v>
      </c>
      <c r="G6147">
        <v>7862.4</v>
      </c>
      <c r="H6147" t="s">
        <v>12</v>
      </c>
      <c r="I6147" t="str">
        <f t="shared" si="286"/>
        <v>High Value</v>
      </c>
      <c r="J6147" t="str">
        <f t="shared" si="287"/>
        <v>Low Risk</v>
      </c>
      <c r="K6147" s="3" t="str">
        <f t="shared" ref="K6147:K6210" si="288">IF(F6147&lt;=12,"0-1 Year",
IF(F6147&lt;=24,"1-2 Years",
IF(F6147&lt;=48,"2-4 Years","4+ Years")))</f>
        <v>4+ Years</v>
      </c>
    </row>
    <row r="6148" spans="1:11" x14ac:dyDescent="0.3">
      <c r="A6148" t="s">
        <v>6165</v>
      </c>
      <c r="B6148" t="s">
        <v>14</v>
      </c>
      <c r="C6148" t="s">
        <v>10</v>
      </c>
      <c r="D6148" t="s">
        <v>16</v>
      </c>
      <c r="E6148">
        <v>19.350000000000001</v>
      </c>
      <c r="F6148">
        <v>5</v>
      </c>
      <c r="G6148">
        <v>96.75</v>
      </c>
      <c r="H6148" t="s">
        <v>18</v>
      </c>
      <c r="I6148" t="str">
        <f t="shared" ref="I6148:I6211" si="289">IF(G6148&gt;5000,"High Value",
IF(G6148&gt;2000,"Medium Value","Low Value"))</f>
        <v>Low Value</v>
      </c>
      <c r="J6148" t="str">
        <f t="shared" ref="J6148:J6211" si="290">IF(F6148&lt;12,"High Risk",
IF(F6148&lt;24,"Medium Risk","Low Risk"))</f>
        <v>High Risk</v>
      </c>
      <c r="K6148" s="3" t="str">
        <f t="shared" si="288"/>
        <v>0-1 Year</v>
      </c>
    </row>
    <row r="6149" spans="1:11" x14ac:dyDescent="0.3">
      <c r="A6149" t="s">
        <v>6166</v>
      </c>
      <c r="B6149" t="s">
        <v>9</v>
      </c>
      <c r="C6149" t="s">
        <v>10</v>
      </c>
      <c r="D6149" t="s">
        <v>24</v>
      </c>
      <c r="E6149">
        <v>85.8</v>
      </c>
      <c r="F6149">
        <v>26</v>
      </c>
      <c r="G6149">
        <v>2230.7999999999902</v>
      </c>
      <c r="H6149" t="s">
        <v>12</v>
      </c>
      <c r="I6149" t="str">
        <f t="shared" si="289"/>
        <v>Medium Value</v>
      </c>
      <c r="J6149" t="str">
        <f t="shared" si="290"/>
        <v>Low Risk</v>
      </c>
      <c r="K6149" s="3" t="str">
        <f t="shared" si="288"/>
        <v>2-4 Years</v>
      </c>
    </row>
    <row r="6150" spans="1:11" x14ac:dyDescent="0.3">
      <c r="A6150" t="s">
        <v>6167</v>
      </c>
      <c r="B6150" t="s">
        <v>14</v>
      </c>
      <c r="C6150" t="s">
        <v>10</v>
      </c>
      <c r="D6150" t="s">
        <v>16</v>
      </c>
      <c r="E6150">
        <v>19.850000000000001</v>
      </c>
      <c r="F6150">
        <v>3</v>
      </c>
      <c r="G6150">
        <v>59.55</v>
      </c>
      <c r="H6150" t="s">
        <v>18</v>
      </c>
      <c r="I6150" t="str">
        <f t="shared" si="289"/>
        <v>Low Value</v>
      </c>
      <c r="J6150" t="str">
        <f t="shared" si="290"/>
        <v>High Risk</v>
      </c>
      <c r="K6150" s="3" t="str">
        <f t="shared" si="288"/>
        <v>0-1 Year</v>
      </c>
    </row>
    <row r="6151" spans="1:11" x14ac:dyDescent="0.3">
      <c r="A6151" t="s">
        <v>6168</v>
      </c>
      <c r="B6151" t="s">
        <v>14</v>
      </c>
      <c r="C6151" t="s">
        <v>10</v>
      </c>
      <c r="D6151" t="s">
        <v>11</v>
      </c>
      <c r="E6151">
        <v>19.649999999999999</v>
      </c>
      <c r="F6151">
        <v>2</v>
      </c>
      <c r="G6151">
        <v>39.299999999999997</v>
      </c>
      <c r="H6151" t="s">
        <v>12</v>
      </c>
      <c r="I6151" t="str">
        <f t="shared" si="289"/>
        <v>Low Value</v>
      </c>
      <c r="J6151" t="str">
        <f t="shared" si="290"/>
        <v>High Risk</v>
      </c>
      <c r="K6151" s="3" t="str">
        <f t="shared" si="288"/>
        <v>0-1 Year</v>
      </c>
    </row>
    <row r="6152" spans="1:11" x14ac:dyDescent="0.3">
      <c r="A6152" t="s">
        <v>6169</v>
      </c>
      <c r="B6152" t="s">
        <v>9</v>
      </c>
      <c r="C6152" t="s">
        <v>15</v>
      </c>
      <c r="D6152" t="s">
        <v>20</v>
      </c>
      <c r="E6152">
        <v>20.5</v>
      </c>
      <c r="F6152">
        <v>2</v>
      </c>
      <c r="G6152">
        <v>41</v>
      </c>
      <c r="H6152" t="s">
        <v>12</v>
      </c>
      <c r="I6152" t="str">
        <f t="shared" si="289"/>
        <v>Low Value</v>
      </c>
      <c r="J6152" t="str">
        <f t="shared" si="290"/>
        <v>High Risk</v>
      </c>
      <c r="K6152" s="3" t="str">
        <f t="shared" si="288"/>
        <v>0-1 Year</v>
      </c>
    </row>
    <row r="6153" spans="1:11" x14ac:dyDescent="0.3">
      <c r="A6153" t="s">
        <v>6170</v>
      </c>
      <c r="B6153" t="s">
        <v>9</v>
      </c>
      <c r="C6153" t="s">
        <v>15</v>
      </c>
      <c r="D6153" t="s">
        <v>24</v>
      </c>
      <c r="E6153">
        <v>89.65</v>
      </c>
      <c r="F6153">
        <v>36</v>
      </c>
      <c r="G6153">
        <v>3227.4</v>
      </c>
      <c r="H6153" t="s">
        <v>12</v>
      </c>
      <c r="I6153" t="str">
        <f t="shared" si="289"/>
        <v>Medium Value</v>
      </c>
      <c r="J6153" t="str">
        <f t="shared" si="290"/>
        <v>Low Risk</v>
      </c>
      <c r="K6153" s="3" t="str">
        <f t="shared" si="288"/>
        <v>2-4 Years</v>
      </c>
    </row>
    <row r="6154" spans="1:11" x14ac:dyDescent="0.3">
      <c r="A6154" t="s">
        <v>6171</v>
      </c>
      <c r="B6154" t="s">
        <v>14</v>
      </c>
      <c r="C6154" t="s">
        <v>10</v>
      </c>
      <c r="D6154" t="s">
        <v>16</v>
      </c>
      <c r="E6154">
        <v>74.349999999999994</v>
      </c>
      <c r="F6154">
        <v>7</v>
      </c>
      <c r="G6154">
        <v>520.44999999999902</v>
      </c>
      <c r="H6154" t="s">
        <v>12</v>
      </c>
      <c r="I6154" t="str">
        <f t="shared" si="289"/>
        <v>Low Value</v>
      </c>
      <c r="J6154" t="str">
        <f t="shared" si="290"/>
        <v>High Risk</v>
      </c>
      <c r="K6154" s="3" t="str">
        <f t="shared" si="288"/>
        <v>0-1 Year</v>
      </c>
    </row>
    <row r="6155" spans="1:11" x14ac:dyDescent="0.3">
      <c r="A6155" t="s">
        <v>6172</v>
      </c>
      <c r="B6155" t="s">
        <v>9</v>
      </c>
      <c r="C6155" t="s">
        <v>30</v>
      </c>
      <c r="D6155" t="s">
        <v>24</v>
      </c>
      <c r="E6155">
        <v>49.45</v>
      </c>
      <c r="F6155">
        <v>60</v>
      </c>
      <c r="G6155">
        <v>2967</v>
      </c>
      <c r="H6155" t="s">
        <v>12</v>
      </c>
      <c r="I6155" t="str">
        <f t="shared" si="289"/>
        <v>Medium Value</v>
      </c>
      <c r="J6155" t="str">
        <f t="shared" si="290"/>
        <v>Low Risk</v>
      </c>
      <c r="K6155" s="3" t="str">
        <f t="shared" si="288"/>
        <v>4+ Years</v>
      </c>
    </row>
    <row r="6156" spans="1:11" x14ac:dyDescent="0.3">
      <c r="A6156" t="s">
        <v>6173</v>
      </c>
      <c r="B6156" t="s">
        <v>9</v>
      </c>
      <c r="C6156" t="s">
        <v>10</v>
      </c>
      <c r="D6156" t="s">
        <v>11</v>
      </c>
      <c r="E6156">
        <v>89.1</v>
      </c>
      <c r="F6156">
        <v>19</v>
      </c>
      <c r="G6156">
        <v>1692.8999999999901</v>
      </c>
      <c r="H6156" t="s">
        <v>12</v>
      </c>
      <c r="I6156" t="str">
        <f t="shared" si="289"/>
        <v>Low Value</v>
      </c>
      <c r="J6156" t="str">
        <f t="shared" si="290"/>
        <v>Medium Risk</v>
      </c>
      <c r="K6156" s="3" t="str">
        <f t="shared" si="288"/>
        <v>1-2 Years</v>
      </c>
    </row>
    <row r="6157" spans="1:11" x14ac:dyDescent="0.3">
      <c r="A6157" t="s">
        <v>6174</v>
      </c>
      <c r="B6157" t="s">
        <v>14</v>
      </c>
      <c r="C6157" t="s">
        <v>30</v>
      </c>
      <c r="D6157" t="s">
        <v>24</v>
      </c>
      <c r="E6157">
        <v>75.150000000000006</v>
      </c>
      <c r="F6157">
        <v>45</v>
      </c>
      <c r="G6157">
        <v>3381.75</v>
      </c>
      <c r="H6157" t="s">
        <v>12</v>
      </c>
      <c r="I6157" t="str">
        <f t="shared" si="289"/>
        <v>Medium Value</v>
      </c>
      <c r="J6157" t="str">
        <f t="shared" si="290"/>
        <v>Low Risk</v>
      </c>
      <c r="K6157" s="3" t="str">
        <f t="shared" si="288"/>
        <v>2-4 Years</v>
      </c>
    </row>
    <row r="6158" spans="1:11" x14ac:dyDescent="0.3">
      <c r="A6158" t="s">
        <v>6175</v>
      </c>
      <c r="B6158" t="s">
        <v>14</v>
      </c>
      <c r="C6158" t="s">
        <v>10</v>
      </c>
      <c r="D6158" t="s">
        <v>11</v>
      </c>
      <c r="E6158">
        <v>70.650000000000006</v>
      </c>
      <c r="F6158">
        <v>4</v>
      </c>
      <c r="G6158">
        <v>282.60000000000002</v>
      </c>
      <c r="H6158" t="s">
        <v>12</v>
      </c>
      <c r="I6158" t="str">
        <f t="shared" si="289"/>
        <v>Low Value</v>
      </c>
      <c r="J6158" t="str">
        <f t="shared" si="290"/>
        <v>High Risk</v>
      </c>
      <c r="K6158" s="3" t="str">
        <f t="shared" si="288"/>
        <v>0-1 Year</v>
      </c>
    </row>
    <row r="6159" spans="1:11" x14ac:dyDescent="0.3">
      <c r="A6159" t="s">
        <v>6176</v>
      </c>
      <c r="B6159" t="s">
        <v>9</v>
      </c>
      <c r="C6159" t="s">
        <v>10</v>
      </c>
      <c r="D6159" t="s">
        <v>11</v>
      </c>
      <c r="E6159">
        <v>104.2</v>
      </c>
      <c r="F6159">
        <v>31</v>
      </c>
      <c r="G6159">
        <v>3230.2</v>
      </c>
      <c r="H6159" t="s">
        <v>18</v>
      </c>
      <c r="I6159" t="str">
        <f t="shared" si="289"/>
        <v>Medium Value</v>
      </c>
      <c r="J6159" t="str">
        <f t="shared" si="290"/>
        <v>Low Risk</v>
      </c>
      <c r="K6159" s="3" t="str">
        <f t="shared" si="288"/>
        <v>2-4 Years</v>
      </c>
    </row>
    <row r="6160" spans="1:11" x14ac:dyDescent="0.3">
      <c r="A6160" t="s">
        <v>6177</v>
      </c>
      <c r="B6160" t="s">
        <v>14</v>
      </c>
      <c r="C6160" t="s">
        <v>10</v>
      </c>
      <c r="D6160" t="s">
        <v>11</v>
      </c>
      <c r="E6160">
        <v>90.05</v>
      </c>
      <c r="F6160">
        <v>47</v>
      </c>
      <c r="G6160">
        <v>4232.3499999999904</v>
      </c>
      <c r="H6160" t="s">
        <v>12</v>
      </c>
      <c r="I6160" t="str">
        <f t="shared" si="289"/>
        <v>Medium Value</v>
      </c>
      <c r="J6160" t="str">
        <f t="shared" si="290"/>
        <v>Low Risk</v>
      </c>
      <c r="K6160" s="3" t="str">
        <f t="shared" si="288"/>
        <v>2-4 Years</v>
      </c>
    </row>
    <row r="6161" spans="1:11" x14ac:dyDescent="0.3">
      <c r="A6161" t="s">
        <v>6178</v>
      </c>
      <c r="B6161" t="s">
        <v>14</v>
      </c>
      <c r="C6161" t="s">
        <v>10</v>
      </c>
      <c r="D6161" t="s">
        <v>11</v>
      </c>
      <c r="E6161">
        <v>79.25</v>
      </c>
      <c r="F6161">
        <v>1</v>
      </c>
      <c r="G6161">
        <v>79.25</v>
      </c>
      <c r="H6161" t="s">
        <v>18</v>
      </c>
      <c r="I6161" t="str">
        <f t="shared" si="289"/>
        <v>Low Value</v>
      </c>
      <c r="J6161" t="str">
        <f t="shared" si="290"/>
        <v>High Risk</v>
      </c>
      <c r="K6161" s="3" t="str">
        <f t="shared" si="288"/>
        <v>0-1 Year</v>
      </c>
    </row>
    <row r="6162" spans="1:11" x14ac:dyDescent="0.3">
      <c r="A6162" t="s">
        <v>6179</v>
      </c>
      <c r="B6162" t="s">
        <v>9</v>
      </c>
      <c r="C6162" t="s">
        <v>10</v>
      </c>
      <c r="D6162" t="s">
        <v>20</v>
      </c>
      <c r="E6162">
        <v>44.9</v>
      </c>
      <c r="F6162">
        <v>1</v>
      </c>
      <c r="G6162">
        <v>44.9</v>
      </c>
      <c r="H6162" t="s">
        <v>18</v>
      </c>
      <c r="I6162" t="str">
        <f t="shared" si="289"/>
        <v>Low Value</v>
      </c>
      <c r="J6162" t="str">
        <f t="shared" si="290"/>
        <v>High Risk</v>
      </c>
      <c r="K6162" s="3" t="str">
        <f t="shared" si="288"/>
        <v>0-1 Year</v>
      </c>
    </row>
    <row r="6163" spans="1:11" x14ac:dyDescent="0.3">
      <c r="A6163" t="s">
        <v>6180</v>
      </c>
      <c r="B6163" t="s">
        <v>9</v>
      </c>
      <c r="C6163" t="s">
        <v>10</v>
      </c>
      <c r="D6163" t="s">
        <v>24</v>
      </c>
      <c r="E6163">
        <v>19.399999999999999</v>
      </c>
      <c r="F6163">
        <v>1</v>
      </c>
      <c r="G6163">
        <v>19.399999999999999</v>
      </c>
      <c r="H6163" t="s">
        <v>12</v>
      </c>
      <c r="I6163" t="str">
        <f t="shared" si="289"/>
        <v>Low Value</v>
      </c>
      <c r="J6163" t="str">
        <f t="shared" si="290"/>
        <v>High Risk</v>
      </c>
      <c r="K6163" s="3" t="str">
        <f t="shared" si="288"/>
        <v>0-1 Year</v>
      </c>
    </row>
    <row r="6164" spans="1:11" x14ac:dyDescent="0.3">
      <c r="A6164" t="s">
        <v>6181</v>
      </c>
      <c r="B6164" t="s">
        <v>9</v>
      </c>
      <c r="C6164" t="s">
        <v>10</v>
      </c>
      <c r="D6164" t="s">
        <v>24</v>
      </c>
      <c r="E6164">
        <v>88.75</v>
      </c>
      <c r="F6164">
        <v>59</v>
      </c>
      <c r="G6164">
        <v>5236.25</v>
      </c>
      <c r="H6164" t="s">
        <v>12</v>
      </c>
      <c r="I6164" t="str">
        <f t="shared" si="289"/>
        <v>High Value</v>
      </c>
      <c r="J6164" t="str">
        <f t="shared" si="290"/>
        <v>Low Risk</v>
      </c>
      <c r="K6164" s="3" t="str">
        <f t="shared" si="288"/>
        <v>4+ Years</v>
      </c>
    </row>
    <row r="6165" spans="1:11" x14ac:dyDescent="0.3">
      <c r="A6165" t="s">
        <v>6182</v>
      </c>
      <c r="B6165" t="s">
        <v>14</v>
      </c>
      <c r="C6165" t="s">
        <v>10</v>
      </c>
      <c r="D6165" t="s">
        <v>11</v>
      </c>
      <c r="E6165">
        <v>70.099999999999994</v>
      </c>
      <c r="F6165">
        <v>10</v>
      </c>
      <c r="G6165">
        <v>701</v>
      </c>
      <c r="H6165" t="s">
        <v>18</v>
      </c>
      <c r="I6165" t="str">
        <f t="shared" si="289"/>
        <v>Low Value</v>
      </c>
      <c r="J6165" t="str">
        <f t="shared" si="290"/>
        <v>High Risk</v>
      </c>
      <c r="K6165" s="3" t="str">
        <f t="shared" si="288"/>
        <v>0-1 Year</v>
      </c>
    </row>
    <row r="6166" spans="1:11" x14ac:dyDescent="0.3">
      <c r="A6166" t="s">
        <v>6183</v>
      </c>
      <c r="B6166" t="s">
        <v>14</v>
      </c>
      <c r="C6166" t="s">
        <v>10</v>
      </c>
      <c r="D6166" t="s">
        <v>24</v>
      </c>
      <c r="E6166">
        <v>91</v>
      </c>
      <c r="F6166">
        <v>35</v>
      </c>
      <c r="G6166">
        <v>3185</v>
      </c>
      <c r="H6166" t="s">
        <v>12</v>
      </c>
      <c r="I6166" t="str">
        <f t="shared" si="289"/>
        <v>Medium Value</v>
      </c>
      <c r="J6166" t="str">
        <f t="shared" si="290"/>
        <v>Low Risk</v>
      </c>
      <c r="K6166" s="3" t="str">
        <f t="shared" si="288"/>
        <v>2-4 Years</v>
      </c>
    </row>
    <row r="6167" spans="1:11" x14ac:dyDescent="0.3">
      <c r="A6167" t="s">
        <v>6184</v>
      </c>
      <c r="B6167" t="s">
        <v>14</v>
      </c>
      <c r="C6167" t="s">
        <v>10</v>
      </c>
      <c r="D6167" t="s">
        <v>11</v>
      </c>
      <c r="E6167">
        <v>29.65</v>
      </c>
      <c r="F6167">
        <v>4</v>
      </c>
      <c r="G6167">
        <v>118.6</v>
      </c>
      <c r="H6167" t="s">
        <v>18</v>
      </c>
      <c r="I6167" t="str">
        <f t="shared" si="289"/>
        <v>Low Value</v>
      </c>
      <c r="J6167" t="str">
        <f t="shared" si="290"/>
        <v>High Risk</v>
      </c>
      <c r="K6167" s="3" t="str">
        <f t="shared" si="288"/>
        <v>0-1 Year</v>
      </c>
    </row>
    <row r="6168" spans="1:11" x14ac:dyDescent="0.3">
      <c r="A6168" t="s">
        <v>6185</v>
      </c>
      <c r="B6168" t="s">
        <v>14</v>
      </c>
      <c r="C6168" t="s">
        <v>15</v>
      </c>
      <c r="D6168" t="s">
        <v>11</v>
      </c>
      <c r="E6168">
        <v>90.8</v>
      </c>
      <c r="F6168">
        <v>32</v>
      </c>
      <c r="G6168">
        <v>2905.6</v>
      </c>
      <c r="H6168" t="s">
        <v>12</v>
      </c>
      <c r="I6168" t="str">
        <f t="shared" si="289"/>
        <v>Medium Value</v>
      </c>
      <c r="J6168" t="str">
        <f t="shared" si="290"/>
        <v>Low Risk</v>
      </c>
      <c r="K6168" s="3" t="str">
        <f t="shared" si="288"/>
        <v>2-4 Years</v>
      </c>
    </row>
    <row r="6169" spans="1:11" x14ac:dyDescent="0.3">
      <c r="A6169" t="s">
        <v>6186</v>
      </c>
      <c r="B6169" t="s">
        <v>14</v>
      </c>
      <c r="C6169" t="s">
        <v>10</v>
      </c>
      <c r="D6169" t="s">
        <v>11</v>
      </c>
      <c r="E6169">
        <v>77.849999999999994</v>
      </c>
      <c r="F6169">
        <v>43</v>
      </c>
      <c r="G6169">
        <v>3347.5499999999902</v>
      </c>
      <c r="H6169" t="s">
        <v>18</v>
      </c>
      <c r="I6169" t="str">
        <f t="shared" si="289"/>
        <v>Medium Value</v>
      </c>
      <c r="J6169" t="str">
        <f t="shared" si="290"/>
        <v>Low Risk</v>
      </c>
      <c r="K6169" s="3" t="str">
        <f t="shared" si="288"/>
        <v>2-4 Years</v>
      </c>
    </row>
    <row r="6170" spans="1:11" x14ac:dyDescent="0.3">
      <c r="A6170" t="s">
        <v>6187</v>
      </c>
      <c r="B6170" t="s">
        <v>14</v>
      </c>
      <c r="C6170" t="s">
        <v>10</v>
      </c>
      <c r="D6170" t="s">
        <v>11</v>
      </c>
      <c r="E6170">
        <v>54.3</v>
      </c>
      <c r="F6170">
        <v>4</v>
      </c>
      <c r="G6170">
        <v>217.2</v>
      </c>
      <c r="H6170" t="s">
        <v>18</v>
      </c>
      <c r="I6170" t="str">
        <f t="shared" si="289"/>
        <v>Low Value</v>
      </c>
      <c r="J6170" t="str">
        <f t="shared" si="290"/>
        <v>High Risk</v>
      </c>
      <c r="K6170" s="3" t="str">
        <f t="shared" si="288"/>
        <v>0-1 Year</v>
      </c>
    </row>
    <row r="6171" spans="1:11" x14ac:dyDescent="0.3">
      <c r="A6171" t="s">
        <v>6188</v>
      </c>
      <c r="B6171" t="s">
        <v>9</v>
      </c>
      <c r="C6171" t="s">
        <v>30</v>
      </c>
      <c r="D6171" t="s">
        <v>16</v>
      </c>
      <c r="E6171">
        <v>18.95</v>
      </c>
      <c r="F6171">
        <v>54</v>
      </c>
      <c r="G6171">
        <v>1023.3</v>
      </c>
      <c r="H6171" t="s">
        <v>12</v>
      </c>
      <c r="I6171" t="str">
        <f t="shared" si="289"/>
        <v>Low Value</v>
      </c>
      <c r="J6171" t="str">
        <f t="shared" si="290"/>
        <v>Low Risk</v>
      </c>
      <c r="K6171" s="3" t="str">
        <f t="shared" si="288"/>
        <v>4+ Years</v>
      </c>
    </row>
    <row r="6172" spans="1:11" x14ac:dyDescent="0.3">
      <c r="A6172" t="s">
        <v>6189</v>
      </c>
      <c r="B6172" t="s">
        <v>9</v>
      </c>
      <c r="C6172" t="s">
        <v>10</v>
      </c>
      <c r="D6172" t="s">
        <v>20</v>
      </c>
      <c r="E6172">
        <v>95.15</v>
      </c>
      <c r="F6172">
        <v>11</v>
      </c>
      <c r="G6172">
        <v>1046.6500000000001</v>
      </c>
      <c r="H6172" t="s">
        <v>18</v>
      </c>
      <c r="I6172" t="str">
        <f t="shared" si="289"/>
        <v>Low Value</v>
      </c>
      <c r="J6172" t="str">
        <f t="shared" si="290"/>
        <v>High Risk</v>
      </c>
      <c r="K6172" s="3" t="str">
        <f t="shared" si="288"/>
        <v>0-1 Year</v>
      </c>
    </row>
    <row r="6173" spans="1:11" x14ac:dyDescent="0.3">
      <c r="A6173" t="s">
        <v>6190</v>
      </c>
      <c r="B6173" t="s">
        <v>9</v>
      </c>
      <c r="C6173" t="s">
        <v>30</v>
      </c>
      <c r="D6173" t="s">
        <v>20</v>
      </c>
      <c r="E6173">
        <v>102.4</v>
      </c>
      <c r="F6173">
        <v>66</v>
      </c>
      <c r="G6173">
        <v>6758.4</v>
      </c>
      <c r="H6173" t="s">
        <v>12</v>
      </c>
      <c r="I6173" t="str">
        <f t="shared" si="289"/>
        <v>High Value</v>
      </c>
      <c r="J6173" t="str">
        <f t="shared" si="290"/>
        <v>Low Risk</v>
      </c>
      <c r="K6173" s="3" t="str">
        <f t="shared" si="288"/>
        <v>4+ Years</v>
      </c>
    </row>
    <row r="6174" spans="1:11" x14ac:dyDescent="0.3">
      <c r="A6174" t="s">
        <v>6191</v>
      </c>
      <c r="B6174" t="s">
        <v>14</v>
      </c>
      <c r="C6174" t="s">
        <v>15</v>
      </c>
      <c r="D6174" t="s">
        <v>11</v>
      </c>
      <c r="E6174">
        <v>99.9</v>
      </c>
      <c r="F6174">
        <v>61</v>
      </c>
      <c r="G6174">
        <v>6093.9</v>
      </c>
      <c r="H6174" t="s">
        <v>12</v>
      </c>
      <c r="I6174" t="str">
        <f t="shared" si="289"/>
        <v>High Value</v>
      </c>
      <c r="J6174" t="str">
        <f t="shared" si="290"/>
        <v>Low Risk</v>
      </c>
      <c r="K6174" s="3" t="str">
        <f t="shared" si="288"/>
        <v>4+ Years</v>
      </c>
    </row>
    <row r="6175" spans="1:11" x14ac:dyDescent="0.3">
      <c r="A6175" t="s">
        <v>6192</v>
      </c>
      <c r="B6175" t="s">
        <v>14</v>
      </c>
      <c r="C6175" t="s">
        <v>30</v>
      </c>
      <c r="D6175" t="s">
        <v>24</v>
      </c>
      <c r="E6175">
        <v>88.7</v>
      </c>
      <c r="F6175">
        <v>72</v>
      </c>
      <c r="G6175">
        <v>6386.4</v>
      </c>
      <c r="H6175" t="s">
        <v>12</v>
      </c>
      <c r="I6175" t="str">
        <f t="shared" si="289"/>
        <v>High Value</v>
      </c>
      <c r="J6175" t="str">
        <f t="shared" si="290"/>
        <v>Low Risk</v>
      </c>
      <c r="K6175" s="3" t="str">
        <f t="shared" si="288"/>
        <v>4+ Years</v>
      </c>
    </row>
    <row r="6176" spans="1:11" x14ac:dyDescent="0.3">
      <c r="A6176" t="s">
        <v>6193</v>
      </c>
      <c r="B6176" t="s">
        <v>14</v>
      </c>
      <c r="C6176" t="s">
        <v>15</v>
      </c>
      <c r="D6176" t="s">
        <v>11</v>
      </c>
      <c r="E6176">
        <v>54.3</v>
      </c>
      <c r="F6176">
        <v>44</v>
      </c>
      <c r="G6176">
        <v>2389.1999999999998</v>
      </c>
      <c r="H6176" t="s">
        <v>12</v>
      </c>
      <c r="I6176" t="str">
        <f t="shared" si="289"/>
        <v>Medium Value</v>
      </c>
      <c r="J6176" t="str">
        <f t="shared" si="290"/>
        <v>Low Risk</v>
      </c>
      <c r="K6176" s="3" t="str">
        <f t="shared" si="288"/>
        <v>2-4 Years</v>
      </c>
    </row>
    <row r="6177" spans="1:11" x14ac:dyDescent="0.3">
      <c r="A6177" t="s">
        <v>6194</v>
      </c>
      <c r="B6177" t="s">
        <v>14</v>
      </c>
      <c r="C6177" t="s">
        <v>10</v>
      </c>
      <c r="D6177" t="s">
        <v>20</v>
      </c>
      <c r="E6177">
        <v>55.7</v>
      </c>
      <c r="F6177">
        <v>41</v>
      </c>
      <c r="G6177">
        <v>2283.6999999999998</v>
      </c>
      <c r="H6177" t="s">
        <v>12</v>
      </c>
      <c r="I6177" t="str">
        <f t="shared" si="289"/>
        <v>Medium Value</v>
      </c>
      <c r="J6177" t="str">
        <f t="shared" si="290"/>
        <v>Low Risk</v>
      </c>
      <c r="K6177" s="3" t="str">
        <f t="shared" si="288"/>
        <v>2-4 Years</v>
      </c>
    </row>
    <row r="6178" spans="1:11" x14ac:dyDescent="0.3">
      <c r="A6178" t="s">
        <v>6195</v>
      </c>
      <c r="B6178" t="s">
        <v>14</v>
      </c>
      <c r="C6178" t="s">
        <v>15</v>
      </c>
      <c r="D6178" t="s">
        <v>11</v>
      </c>
      <c r="E6178">
        <v>103.95</v>
      </c>
      <c r="F6178">
        <v>50</v>
      </c>
      <c r="G6178">
        <v>5197.5</v>
      </c>
      <c r="H6178" t="s">
        <v>12</v>
      </c>
      <c r="I6178" t="str">
        <f t="shared" si="289"/>
        <v>High Value</v>
      </c>
      <c r="J6178" t="str">
        <f t="shared" si="290"/>
        <v>Low Risk</v>
      </c>
      <c r="K6178" s="3" t="str">
        <f t="shared" si="288"/>
        <v>4+ Years</v>
      </c>
    </row>
    <row r="6179" spans="1:11" x14ac:dyDescent="0.3">
      <c r="A6179" t="s">
        <v>6196</v>
      </c>
      <c r="B6179" t="s">
        <v>14</v>
      </c>
      <c r="C6179" t="s">
        <v>15</v>
      </c>
      <c r="D6179" t="s">
        <v>24</v>
      </c>
      <c r="E6179">
        <v>110.85</v>
      </c>
      <c r="F6179">
        <v>47</v>
      </c>
      <c r="G6179">
        <v>5209.95</v>
      </c>
      <c r="H6179" t="s">
        <v>18</v>
      </c>
      <c r="I6179" t="str">
        <f t="shared" si="289"/>
        <v>High Value</v>
      </c>
      <c r="J6179" t="str">
        <f t="shared" si="290"/>
        <v>Low Risk</v>
      </c>
      <c r="K6179" s="3" t="str">
        <f t="shared" si="288"/>
        <v>2-4 Years</v>
      </c>
    </row>
    <row r="6180" spans="1:11" x14ac:dyDescent="0.3">
      <c r="A6180" t="s">
        <v>6197</v>
      </c>
      <c r="B6180" t="s">
        <v>14</v>
      </c>
      <c r="C6180" t="s">
        <v>30</v>
      </c>
      <c r="D6180" t="s">
        <v>16</v>
      </c>
      <c r="E6180">
        <v>20.149999999999999</v>
      </c>
      <c r="F6180">
        <v>8</v>
      </c>
      <c r="G6180">
        <v>161.19999999999999</v>
      </c>
      <c r="H6180" t="s">
        <v>12</v>
      </c>
      <c r="I6180" t="str">
        <f t="shared" si="289"/>
        <v>Low Value</v>
      </c>
      <c r="J6180" t="str">
        <f t="shared" si="290"/>
        <v>High Risk</v>
      </c>
      <c r="K6180" s="3" t="str">
        <f t="shared" si="288"/>
        <v>0-1 Year</v>
      </c>
    </row>
    <row r="6181" spans="1:11" x14ac:dyDescent="0.3">
      <c r="A6181" t="s">
        <v>6198</v>
      </c>
      <c r="B6181" t="s">
        <v>14</v>
      </c>
      <c r="C6181" t="s">
        <v>10</v>
      </c>
      <c r="D6181" t="s">
        <v>16</v>
      </c>
      <c r="E6181">
        <v>20.05</v>
      </c>
      <c r="F6181">
        <v>18</v>
      </c>
      <c r="G6181">
        <v>360.9</v>
      </c>
      <c r="H6181" t="s">
        <v>12</v>
      </c>
      <c r="I6181" t="str">
        <f t="shared" si="289"/>
        <v>Low Value</v>
      </c>
      <c r="J6181" t="str">
        <f t="shared" si="290"/>
        <v>Medium Risk</v>
      </c>
      <c r="K6181" s="3" t="str">
        <f t="shared" si="288"/>
        <v>1-2 Years</v>
      </c>
    </row>
    <row r="6182" spans="1:11" x14ac:dyDescent="0.3">
      <c r="A6182" t="s">
        <v>6199</v>
      </c>
      <c r="B6182" t="s">
        <v>14</v>
      </c>
      <c r="C6182" t="s">
        <v>30</v>
      </c>
      <c r="D6182" t="s">
        <v>24</v>
      </c>
      <c r="E6182">
        <v>91.95</v>
      </c>
      <c r="F6182">
        <v>72</v>
      </c>
      <c r="G6182">
        <v>6620.4</v>
      </c>
      <c r="H6182" t="s">
        <v>12</v>
      </c>
      <c r="I6182" t="str">
        <f t="shared" si="289"/>
        <v>High Value</v>
      </c>
      <c r="J6182" t="str">
        <f t="shared" si="290"/>
        <v>Low Risk</v>
      </c>
      <c r="K6182" s="3" t="str">
        <f t="shared" si="288"/>
        <v>4+ Years</v>
      </c>
    </row>
    <row r="6183" spans="1:11" x14ac:dyDescent="0.3">
      <c r="A6183" t="s">
        <v>6200</v>
      </c>
      <c r="B6183" t="s">
        <v>14</v>
      </c>
      <c r="C6183" t="s">
        <v>10</v>
      </c>
      <c r="D6183" t="s">
        <v>11</v>
      </c>
      <c r="E6183">
        <v>80.5</v>
      </c>
      <c r="F6183">
        <v>1</v>
      </c>
      <c r="G6183">
        <v>80.5</v>
      </c>
      <c r="H6183" t="s">
        <v>18</v>
      </c>
      <c r="I6183" t="str">
        <f t="shared" si="289"/>
        <v>Low Value</v>
      </c>
      <c r="J6183" t="str">
        <f t="shared" si="290"/>
        <v>High Risk</v>
      </c>
      <c r="K6183" s="3" t="str">
        <f t="shared" si="288"/>
        <v>0-1 Year</v>
      </c>
    </row>
    <row r="6184" spans="1:11" x14ac:dyDescent="0.3">
      <c r="A6184" t="s">
        <v>6201</v>
      </c>
      <c r="B6184" t="s">
        <v>9</v>
      </c>
      <c r="C6184" t="s">
        <v>10</v>
      </c>
      <c r="D6184" t="s">
        <v>11</v>
      </c>
      <c r="E6184">
        <v>55.65</v>
      </c>
      <c r="F6184">
        <v>42</v>
      </c>
      <c r="G6184">
        <v>2337.2999999999902</v>
      </c>
      <c r="H6184" t="s">
        <v>12</v>
      </c>
      <c r="I6184" t="str">
        <f t="shared" si="289"/>
        <v>Medium Value</v>
      </c>
      <c r="J6184" t="str">
        <f t="shared" si="290"/>
        <v>Low Risk</v>
      </c>
      <c r="K6184" s="3" t="str">
        <f t="shared" si="288"/>
        <v>2-4 Years</v>
      </c>
    </row>
    <row r="6185" spans="1:11" x14ac:dyDescent="0.3">
      <c r="A6185" t="s">
        <v>6202</v>
      </c>
      <c r="B6185" t="s">
        <v>9</v>
      </c>
      <c r="C6185" t="s">
        <v>10</v>
      </c>
      <c r="D6185" t="s">
        <v>11</v>
      </c>
      <c r="E6185">
        <v>74.7</v>
      </c>
      <c r="F6185">
        <v>18</v>
      </c>
      <c r="G6185">
        <v>1344.6</v>
      </c>
      <c r="H6185" t="s">
        <v>12</v>
      </c>
      <c r="I6185" t="str">
        <f t="shared" si="289"/>
        <v>Low Value</v>
      </c>
      <c r="J6185" t="str">
        <f t="shared" si="290"/>
        <v>Medium Risk</v>
      </c>
      <c r="K6185" s="3" t="str">
        <f t="shared" si="288"/>
        <v>1-2 Years</v>
      </c>
    </row>
    <row r="6186" spans="1:11" x14ac:dyDescent="0.3">
      <c r="A6186" t="s">
        <v>6203</v>
      </c>
      <c r="B6186" t="s">
        <v>9</v>
      </c>
      <c r="C6186" t="s">
        <v>15</v>
      </c>
      <c r="D6186" t="s">
        <v>24</v>
      </c>
      <c r="E6186">
        <v>104.15</v>
      </c>
      <c r="F6186">
        <v>13</v>
      </c>
      <c r="G6186">
        <v>1353.95</v>
      </c>
      <c r="H6186" t="s">
        <v>12</v>
      </c>
      <c r="I6186" t="str">
        <f t="shared" si="289"/>
        <v>Low Value</v>
      </c>
      <c r="J6186" t="str">
        <f t="shared" si="290"/>
        <v>Medium Risk</v>
      </c>
      <c r="K6186" s="3" t="str">
        <f t="shared" si="288"/>
        <v>1-2 Years</v>
      </c>
    </row>
    <row r="6187" spans="1:11" x14ac:dyDescent="0.3">
      <c r="A6187" t="s">
        <v>6204</v>
      </c>
      <c r="B6187" t="s">
        <v>9</v>
      </c>
      <c r="C6187" t="s">
        <v>15</v>
      </c>
      <c r="D6187" t="s">
        <v>20</v>
      </c>
      <c r="E6187">
        <v>83.65</v>
      </c>
      <c r="F6187">
        <v>68</v>
      </c>
      <c r="G6187">
        <v>5688.2</v>
      </c>
      <c r="H6187" t="s">
        <v>12</v>
      </c>
      <c r="I6187" t="str">
        <f t="shared" si="289"/>
        <v>High Value</v>
      </c>
      <c r="J6187" t="str">
        <f t="shared" si="290"/>
        <v>Low Risk</v>
      </c>
      <c r="K6187" s="3" t="str">
        <f t="shared" si="288"/>
        <v>4+ Years</v>
      </c>
    </row>
    <row r="6188" spans="1:11" x14ac:dyDescent="0.3">
      <c r="A6188" t="s">
        <v>6205</v>
      </c>
      <c r="B6188" t="s">
        <v>14</v>
      </c>
      <c r="C6188" t="s">
        <v>10</v>
      </c>
      <c r="D6188" t="s">
        <v>20</v>
      </c>
      <c r="E6188">
        <v>72.2</v>
      </c>
      <c r="F6188">
        <v>4</v>
      </c>
      <c r="G6188">
        <v>288.8</v>
      </c>
      <c r="H6188" t="s">
        <v>18</v>
      </c>
      <c r="I6188" t="str">
        <f t="shared" si="289"/>
        <v>Low Value</v>
      </c>
      <c r="J6188" t="str">
        <f t="shared" si="290"/>
        <v>High Risk</v>
      </c>
      <c r="K6188" s="3" t="str">
        <f t="shared" si="288"/>
        <v>0-1 Year</v>
      </c>
    </row>
    <row r="6189" spans="1:11" x14ac:dyDescent="0.3">
      <c r="A6189" t="s">
        <v>6206</v>
      </c>
      <c r="B6189" t="s">
        <v>14</v>
      </c>
      <c r="C6189" t="s">
        <v>30</v>
      </c>
      <c r="D6189" t="s">
        <v>24</v>
      </c>
      <c r="E6189">
        <v>110.05</v>
      </c>
      <c r="F6189">
        <v>69</v>
      </c>
      <c r="G6189">
        <v>7593.45</v>
      </c>
      <c r="H6189" t="s">
        <v>12</v>
      </c>
      <c r="I6189" t="str">
        <f t="shared" si="289"/>
        <v>High Value</v>
      </c>
      <c r="J6189" t="str">
        <f t="shared" si="290"/>
        <v>Low Risk</v>
      </c>
      <c r="K6189" s="3" t="str">
        <f t="shared" si="288"/>
        <v>4+ Years</v>
      </c>
    </row>
    <row r="6190" spans="1:11" x14ac:dyDescent="0.3">
      <c r="A6190" t="s">
        <v>6207</v>
      </c>
      <c r="B6190" t="s">
        <v>14</v>
      </c>
      <c r="C6190" t="s">
        <v>10</v>
      </c>
      <c r="D6190" t="s">
        <v>16</v>
      </c>
      <c r="E6190">
        <v>51.5</v>
      </c>
      <c r="F6190">
        <v>17</v>
      </c>
      <c r="G6190">
        <v>875.5</v>
      </c>
      <c r="H6190" t="s">
        <v>18</v>
      </c>
      <c r="I6190" t="str">
        <f t="shared" si="289"/>
        <v>Low Value</v>
      </c>
      <c r="J6190" t="str">
        <f t="shared" si="290"/>
        <v>Medium Risk</v>
      </c>
      <c r="K6190" s="3" t="str">
        <f t="shared" si="288"/>
        <v>1-2 Years</v>
      </c>
    </row>
    <row r="6191" spans="1:11" x14ac:dyDescent="0.3">
      <c r="A6191" t="s">
        <v>6208</v>
      </c>
      <c r="B6191" t="s">
        <v>14</v>
      </c>
      <c r="C6191" t="s">
        <v>30</v>
      </c>
      <c r="D6191" t="s">
        <v>24</v>
      </c>
      <c r="E6191">
        <v>25.5</v>
      </c>
      <c r="F6191">
        <v>25</v>
      </c>
      <c r="G6191">
        <v>637.5</v>
      </c>
      <c r="H6191" t="s">
        <v>12</v>
      </c>
      <c r="I6191" t="str">
        <f t="shared" si="289"/>
        <v>Low Value</v>
      </c>
      <c r="J6191" t="str">
        <f t="shared" si="290"/>
        <v>Low Risk</v>
      </c>
      <c r="K6191" s="3" t="str">
        <f t="shared" si="288"/>
        <v>2-4 Years</v>
      </c>
    </row>
    <row r="6192" spans="1:11" x14ac:dyDescent="0.3">
      <c r="A6192" t="s">
        <v>6209</v>
      </c>
      <c r="B6192" t="s">
        <v>14</v>
      </c>
      <c r="C6192" t="s">
        <v>10</v>
      </c>
      <c r="D6192" t="s">
        <v>16</v>
      </c>
      <c r="E6192">
        <v>89.55</v>
      </c>
      <c r="F6192">
        <v>43</v>
      </c>
      <c r="G6192">
        <v>3850.65</v>
      </c>
      <c r="H6192" t="s">
        <v>18</v>
      </c>
      <c r="I6192" t="str">
        <f t="shared" si="289"/>
        <v>Medium Value</v>
      </c>
      <c r="J6192" t="str">
        <f t="shared" si="290"/>
        <v>Low Risk</v>
      </c>
      <c r="K6192" s="3" t="str">
        <f t="shared" si="288"/>
        <v>2-4 Years</v>
      </c>
    </row>
    <row r="6193" spans="1:11" x14ac:dyDescent="0.3">
      <c r="A6193" t="s">
        <v>6210</v>
      </c>
      <c r="B6193" t="s">
        <v>9</v>
      </c>
      <c r="C6193" t="s">
        <v>30</v>
      </c>
      <c r="D6193" t="s">
        <v>24</v>
      </c>
      <c r="E6193">
        <v>19.5</v>
      </c>
      <c r="F6193">
        <v>59</v>
      </c>
      <c r="G6193">
        <v>1150.5</v>
      </c>
      <c r="H6193" t="s">
        <v>12</v>
      </c>
      <c r="I6193" t="str">
        <f t="shared" si="289"/>
        <v>Low Value</v>
      </c>
      <c r="J6193" t="str">
        <f t="shared" si="290"/>
        <v>Low Risk</v>
      </c>
      <c r="K6193" s="3" t="str">
        <f t="shared" si="288"/>
        <v>4+ Years</v>
      </c>
    </row>
    <row r="6194" spans="1:11" x14ac:dyDescent="0.3">
      <c r="A6194" t="s">
        <v>6211</v>
      </c>
      <c r="B6194" t="s">
        <v>9</v>
      </c>
      <c r="C6194" t="s">
        <v>10</v>
      </c>
      <c r="D6194" t="s">
        <v>11</v>
      </c>
      <c r="E6194">
        <v>80.7</v>
      </c>
      <c r="F6194">
        <v>5</v>
      </c>
      <c r="G6194">
        <v>403.5</v>
      </c>
      <c r="H6194" t="s">
        <v>12</v>
      </c>
      <c r="I6194" t="str">
        <f t="shared" si="289"/>
        <v>Low Value</v>
      </c>
      <c r="J6194" t="str">
        <f t="shared" si="290"/>
        <v>High Risk</v>
      </c>
      <c r="K6194" s="3" t="str">
        <f t="shared" si="288"/>
        <v>0-1 Year</v>
      </c>
    </row>
    <row r="6195" spans="1:11" x14ac:dyDescent="0.3">
      <c r="A6195" t="s">
        <v>6212</v>
      </c>
      <c r="B6195" t="s">
        <v>14</v>
      </c>
      <c r="C6195" t="s">
        <v>15</v>
      </c>
      <c r="D6195" t="s">
        <v>16</v>
      </c>
      <c r="E6195">
        <v>77.5</v>
      </c>
      <c r="F6195">
        <v>21</v>
      </c>
      <c r="G6195">
        <v>1627.5</v>
      </c>
      <c r="H6195" t="s">
        <v>18</v>
      </c>
      <c r="I6195" t="str">
        <f t="shared" si="289"/>
        <v>Low Value</v>
      </c>
      <c r="J6195" t="str">
        <f t="shared" si="290"/>
        <v>Medium Risk</v>
      </c>
      <c r="K6195" s="3" t="str">
        <f t="shared" si="288"/>
        <v>1-2 Years</v>
      </c>
    </row>
    <row r="6196" spans="1:11" x14ac:dyDescent="0.3">
      <c r="A6196" t="s">
        <v>6213</v>
      </c>
      <c r="B6196" t="s">
        <v>9</v>
      </c>
      <c r="C6196" t="s">
        <v>15</v>
      </c>
      <c r="D6196" t="s">
        <v>24</v>
      </c>
      <c r="E6196">
        <v>105.1</v>
      </c>
      <c r="F6196">
        <v>69</v>
      </c>
      <c r="G6196">
        <v>7251.9</v>
      </c>
      <c r="H6196" t="s">
        <v>12</v>
      </c>
      <c r="I6196" t="str">
        <f t="shared" si="289"/>
        <v>High Value</v>
      </c>
      <c r="J6196" t="str">
        <f t="shared" si="290"/>
        <v>Low Risk</v>
      </c>
      <c r="K6196" s="3" t="str">
        <f t="shared" si="288"/>
        <v>4+ Years</v>
      </c>
    </row>
    <row r="6197" spans="1:11" x14ac:dyDescent="0.3">
      <c r="A6197" t="s">
        <v>6214</v>
      </c>
      <c r="B6197" t="s">
        <v>14</v>
      </c>
      <c r="C6197" t="s">
        <v>10</v>
      </c>
      <c r="D6197" t="s">
        <v>20</v>
      </c>
      <c r="E6197">
        <v>25.15</v>
      </c>
      <c r="F6197">
        <v>13</v>
      </c>
      <c r="G6197">
        <v>326.95</v>
      </c>
      <c r="H6197" t="s">
        <v>12</v>
      </c>
      <c r="I6197" t="str">
        <f t="shared" si="289"/>
        <v>Low Value</v>
      </c>
      <c r="J6197" t="str">
        <f t="shared" si="290"/>
        <v>Medium Risk</v>
      </c>
      <c r="K6197" s="3" t="str">
        <f t="shared" si="288"/>
        <v>1-2 Years</v>
      </c>
    </row>
    <row r="6198" spans="1:11" x14ac:dyDescent="0.3">
      <c r="A6198" t="s">
        <v>6215</v>
      </c>
      <c r="B6198" t="s">
        <v>14</v>
      </c>
      <c r="C6198" t="s">
        <v>10</v>
      </c>
      <c r="D6198" t="s">
        <v>20</v>
      </c>
      <c r="E6198">
        <v>95.25</v>
      </c>
      <c r="F6198">
        <v>42</v>
      </c>
      <c r="G6198">
        <v>4000.5</v>
      </c>
      <c r="H6198" t="s">
        <v>18</v>
      </c>
      <c r="I6198" t="str">
        <f t="shared" si="289"/>
        <v>Medium Value</v>
      </c>
      <c r="J6198" t="str">
        <f t="shared" si="290"/>
        <v>Low Risk</v>
      </c>
      <c r="K6198" s="3" t="str">
        <f t="shared" si="288"/>
        <v>2-4 Years</v>
      </c>
    </row>
    <row r="6199" spans="1:11" x14ac:dyDescent="0.3">
      <c r="A6199" t="s">
        <v>6216</v>
      </c>
      <c r="B6199" t="s">
        <v>14</v>
      </c>
      <c r="C6199" t="s">
        <v>10</v>
      </c>
      <c r="D6199" t="s">
        <v>24</v>
      </c>
      <c r="E6199">
        <v>95.65</v>
      </c>
      <c r="F6199">
        <v>52</v>
      </c>
      <c r="G6199">
        <v>4973.8</v>
      </c>
      <c r="H6199" t="s">
        <v>12</v>
      </c>
      <c r="I6199" t="str">
        <f t="shared" si="289"/>
        <v>Medium Value</v>
      </c>
      <c r="J6199" t="str">
        <f t="shared" si="290"/>
        <v>Low Risk</v>
      </c>
      <c r="K6199" s="3" t="str">
        <f t="shared" si="288"/>
        <v>4+ Years</v>
      </c>
    </row>
    <row r="6200" spans="1:11" x14ac:dyDescent="0.3">
      <c r="A6200" t="s">
        <v>6217</v>
      </c>
      <c r="B6200" t="s">
        <v>14</v>
      </c>
      <c r="C6200" t="s">
        <v>10</v>
      </c>
      <c r="D6200" t="s">
        <v>11</v>
      </c>
      <c r="E6200">
        <v>85</v>
      </c>
      <c r="F6200">
        <v>46</v>
      </c>
      <c r="G6200">
        <v>3910</v>
      </c>
      <c r="H6200" t="s">
        <v>18</v>
      </c>
      <c r="I6200" t="str">
        <f t="shared" si="289"/>
        <v>Medium Value</v>
      </c>
      <c r="J6200" t="str">
        <f t="shared" si="290"/>
        <v>Low Risk</v>
      </c>
      <c r="K6200" s="3" t="str">
        <f t="shared" si="288"/>
        <v>2-4 Years</v>
      </c>
    </row>
    <row r="6201" spans="1:11" x14ac:dyDescent="0.3">
      <c r="A6201" t="s">
        <v>6218</v>
      </c>
      <c r="B6201" t="s">
        <v>14</v>
      </c>
      <c r="C6201" t="s">
        <v>30</v>
      </c>
      <c r="D6201" t="s">
        <v>20</v>
      </c>
      <c r="E6201">
        <v>80.8</v>
      </c>
      <c r="F6201">
        <v>61</v>
      </c>
      <c r="G6201">
        <v>4928.8</v>
      </c>
      <c r="H6201" t="s">
        <v>12</v>
      </c>
      <c r="I6201" t="str">
        <f t="shared" si="289"/>
        <v>Medium Value</v>
      </c>
      <c r="J6201" t="str">
        <f t="shared" si="290"/>
        <v>Low Risk</v>
      </c>
      <c r="K6201" s="3" t="str">
        <f t="shared" si="288"/>
        <v>4+ Years</v>
      </c>
    </row>
    <row r="6202" spans="1:11" x14ac:dyDescent="0.3">
      <c r="A6202" t="s">
        <v>6219</v>
      </c>
      <c r="B6202" t="s">
        <v>14</v>
      </c>
      <c r="C6202" t="s">
        <v>15</v>
      </c>
      <c r="D6202" t="s">
        <v>16</v>
      </c>
      <c r="E6202">
        <v>24.85</v>
      </c>
      <c r="F6202">
        <v>29</v>
      </c>
      <c r="G6202">
        <v>720.65</v>
      </c>
      <c r="H6202" t="s">
        <v>12</v>
      </c>
      <c r="I6202" t="str">
        <f t="shared" si="289"/>
        <v>Low Value</v>
      </c>
      <c r="J6202" t="str">
        <f t="shared" si="290"/>
        <v>Low Risk</v>
      </c>
      <c r="K6202" s="3" t="str">
        <f t="shared" si="288"/>
        <v>2-4 Years</v>
      </c>
    </row>
    <row r="6203" spans="1:11" x14ac:dyDescent="0.3">
      <c r="A6203" t="s">
        <v>6220</v>
      </c>
      <c r="B6203" t="s">
        <v>9</v>
      </c>
      <c r="C6203" t="s">
        <v>15</v>
      </c>
      <c r="D6203" t="s">
        <v>24</v>
      </c>
      <c r="E6203">
        <v>54.75</v>
      </c>
      <c r="F6203">
        <v>25</v>
      </c>
      <c r="G6203">
        <v>1368.75</v>
      </c>
      <c r="H6203" t="s">
        <v>12</v>
      </c>
      <c r="I6203" t="str">
        <f t="shared" si="289"/>
        <v>Low Value</v>
      </c>
      <c r="J6203" t="str">
        <f t="shared" si="290"/>
        <v>Low Risk</v>
      </c>
      <c r="K6203" s="3" t="str">
        <f t="shared" si="288"/>
        <v>2-4 Years</v>
      </c>
    </row>
    <row r="6204" spans="1:11" x14ac:dyDescent="0.3">
      <c r="A6204" t="s">
        <v>6221</v>
      </c>
      <c r="B6204" t="s">
        <v>9</v>
      </c>
      <c r="C6204" t="s">
        <v>10</v>
      </c>
      <c r="D6204" t="s">
        <v>11</v>
      </c>
      <c r="E6204">
        <v>85.75</v>
      </c>
      <c r="F6204">
        <v>5</v>
      </c>
      <c r="G6204">
        <v>428.75</v>
      </c>
      <c r="H6204" t="s">
        <v>18</v>
      </c>
      <c r="I6204" t="str">
        <f t="shared" si="289"/>
        <v>Low Value</v>
      </c>
      <c r="J6204" t="str">
        <f t="shared" si="290"/>
        <v>High Risk</v>
      </c>
      <c r="K6204" s="3" t="str">
        <f t="shared" si="288"/>
        <v>0-1 Year</v>
      </c>
    </row>
    <row r="6205" spans="1:11" x14ac:dyDescent="0.3">
      <c r="A6205" t="s">
        <v>6222</v>
      </c>
      <c r="B6205" t="s">
        <v>14</v>
      </c>
      <c r="C6205" t="s">
        <v>15</v>
      </c>
      <c r="D6205" t="s">
        <v>11</v>
      </c>
      <c r="E6205">
        <v>50.75</v>
      </c>
      <c r="F6205">
        <v>15</v>
      </c>
      <c r="G6205">
        <v>761.25</v>
      </c>
      <c r="H6205" t="s">
        <v>12</v>
      </c>
      <c r="I6205" t="str">
        <f t="shared" si="289"/>
        <v>Low Value</v>
      </c>
      <c r="J6205" t="str">
        <f t="shared" si="290"/>
        <v>Medium Risk</v>
      </c>
      <c r="K6205" s="3" t="str">
        <f t="shared" si="288"/>
        <v>1-2 Years</v>
      </c>
    </row>
    <row r="6206" spans="1:11" x14ac:dyDescent="0.3">
      <c r="A6206" t="s">
        <v>6223</v>
      </c>
      <c r="B6206" t="s">
        <v>9</v>
      </c>
      <c r="C6206" t="s">
        <v>30</v>
      </c>
      <c r="D6206" t="s">
        <v>16</v>
      </c>
      <c r="E6206">
        <v>20.149999999999999</v>
      </c>
      <c r="F6206">
        <v>19</v>
      </c>
      <c r="G6206">
        <v>382.849999999999</v>
      </c>
      <c r="H6206" t="s">
        <v>12</v>
      </c>
      <c r="I6206" t="str">
        <f t="shared" si="289"/>
        <v>Low Value</v>
      </c>
      <c r="J6206" t="str">
        <f t="shared" si="290"/>
        <v>Medium Risk</v>
      </c>
      <c r="K6206" s="3" t="str">
        <f t="shared" si="288"/>
        <v>1-2 Years</v>
      </c>
    </row>
    <row r="6207" spans="1:11" x14ac:dyDescent="0.3">
      <c r="A6207" t="s">
        <v>6224</v>
      </c>
      <c r="B6207" t="s">
        <v>14</v>
      </c>
      <c r="C6207" t="s">
        <v>30</v>
      </c>
      <c r="D6207" t="s">
        <v>16</v>
      </c>
      <c r="E6207">
        <v>20.05</v>
      </c>
      <c r="F6207">
        <v>44</v>
      </c>
      <c r="G6207">
        <v>882.2</v>
      </c>
      <c r="H6207" t="s">
        <v>12</v>
      </c>
      <c r="I6207" t="str">
        <f t="shared" si="289"/>
        <v>Low Value</v>
      </c>
      <c r="J6207" t="str">
        <f t="shared" si="290"/>
        <v>Low Risk</v>
      </c>
      <c r="K6207" s="3" t="str">
        <f t="shared" si="288"/>
        <v>2-4 Years</v>
      </c>
    </row>
    <row r="6208" spans="1:11" x14ac:dyDescent="0.3">
      <c r="A6208" t="s">
        <v>6225</v>
      </c>
      <c r="B6208" t="s">
        <v>9</v>
      </c>
      <c r="C6208" t="s">
        <v>10</v>
      </c>
      <c r="D6208" t="s">
        <v>11</v>
      </c>
      <c r="E6208">
        <v>98.25</v>
      </c>
      <c r="F6208">
        <v>6</v>
      </c>
      <c r="G6208">
        <v>589.5</v>
      </c>
      <c r="H6208" t="s">
        <v>18</v>
      </c>
      <c r="I6208" t="str">
        <f t="shared" si="289"/>
        <v>Low Value</v>
      </c>
      <c r="J6208" t="str">
        <f t="shared" si="290"/>
        <v>High Risk</v>
      </c>
      <c r="K6208" s="3" t="str">
        <f t="shared" si="288"/>
        <v>0-1 Year</v>
      </c>
    </row>
    <row r="6209" spans="1:11" x14ac:dyDescent="0.3">
      <c r="A6209" t="s">
        <v>6226</v>
      </c>
      <c r="B6209" t="s">
        <v>14</v>
      </c>
      <c r="C6209" t="s">
        <v>30</v>
      </c>
      <c r="D6209" t="s">
        <v>24</v>
      </c>
      <c r="E6209">
        <v>71.599999999999994</v>
      </c>
      <c r="F6209">
        <v>58</v>
      </c>
      <c r="G6209">
        <v>4152.7999999999902</v>
      </c>
      <c r="H6209" t="s">
        <v>12</v>
      </c>
      <c r="I6209" t="str">
        <f t="shared" si="289"/>
        <v>Medium Value</v>
      </c>
      <c r="J6209" t="str">
        <f t="shared" si="290"/>
        <v>Low Risk</v>
      </c>
      <c r="K6209" s="3" t="str">
        <f t="shared" si="288"/>
        <v>4+ Years</v>
      </c>
    </row>
    <row r="6210" spans="1:11" x14ac:dyDescent="0.3">
      <c r="A6210" t="s">
        <v>6227</v>
      </c>
      <c r="B6210" t="s">
        <v>14</v>
      </c>
      <c r="C6210" t="s">
        <v>15</v>
      </c>
      <c r="D6210" t="s">
        <v>24</v>
      </c>
      <c r="E6210">
        <v>81.45</v>
      </c>
      <c r="F6210">
        <v>62</v>
      </c>
      <c r="G6210">
        <v>5049.8999999999996</v>
      </c>
      <c r="H6210" t="s">
        <v>12</v>
      </c>
      <c r="I6210" t="str">
        <f t="shared" si="289"/>
        <v>High Value</v>
      </c>
      <c r="J6210" t="str">
        <f t="shared" si="290"/>
        <v>Low Risk</v>
      </c>
      <c r="K6210" s="3" t="str">
        <f t="shared" si="288"/>
        <v>4+ Years</v>
      </c>
    </row>
    <row r="6211" spans="1:11" x14ac:dyDescent="0.3">
      <c r="A6211" t="s">
        <v>6228</v>
      </c>
      <c r="B6211" t="s">
        <v>9</v>
      </c>
      <c r="C6211" t="s">
        <v>15</v>
      </c>
      <c r="D6211" t="s">
        <v>20</v>
      </c>
      <c r="E6211">
        <v>58.4</v>
      </c>
      <c r="F6211">
        <v>70</v>
      </c>
      <c r="G6211">
        <v>4088</v>
      </c>
      <c r="H6211" t="s">
        <v>12</v>
      </c>
      <c r="I6211" t="str">
        <f t="shared" si="289"/>
        <v>Medium Value</v>
      </c>
      <c r="J6211" t="str">
        <f t="shared" si="290"/>
        <v>Low Risk</v>
      </c>
      <c r="K6211" s="3" t="str">
        <f t="shared" ref="K6211:K6274" si="291">IF(F6211&lt;=12,"0-1 Year",
IF(F6211&lt;=24,"1-2 Years",
IF(F6211&lt;=48,"2-4 Years","4+ Years")))</f>
        <v>4+ Years</v>
      </c>
    </row>
    <row r="6212" spans="1:11" x14ac:dyDescent="0.3">
      <c r="A6212" t="s">
        <v>6229</v>
      </c>
      <c r="B6212" t="s">
        <v>9</v>
      </c>
      <c r="C6212" t="s">
        <v>10</v>
      </c>
      <c r="D6212" t="s">
        <v>16</v>
      </c>
      <c r="E6212">
        <v>25.7</v>
      </c>
      <c r="F6212">
        <v>1</v>
      </c>
      <c r="G6212">
        <v>25.7</v>
      </c>
      <c r="H6212" t="s">
        <v>18</v>
      </c>
      <c r="I6212" t="str">
        <f t="shared" ref="I6212:I6275" si="292">IF(G6212&gt;5000,"High Value",
IF(G6212&gt;2000,"Medium Value","Low Value"))</f>
        <v>Low Value</v>
      </c>
      <c r="J6212" t="str">
        <f t="shared" ref="J6212:J6275" si="293">IF(F6212&lt;12,"High Risk",
IF(F6212&lt;24,"Medium Risk","Low Risk"))</f>
        <v>High Risk</v>
      </c>
      <c r="K6212" s="3" t="str">
        <f t="shared" si="291"/>
        <v>0-1 Year</v>
      </c>
    </row>
    <row r="6213" spans="1:11" x14ac:dyDescent="0.3">
      <c r="A6213" t="s">
        <v>6230</v>
      </c>
      <c r="B6213" t="s">
        <v>14</v>
      </c>
      <c r="C6213" t="s">
        <v>30</v>
      </c>
      <c r="D6213" t="s">
        <v>24</v>
      </c>
      <c r="E6213">
        <v>53.7</v>
      </c>
      <c r="F6213">
        <v>10</v>
      </c>
      <c r="G6213">
        <v>537</v>
      </c>
      <c r="H6213" t="s">
        <v>12</v>
      </c>
      <c r="I6213" t="str">
        <f t="shared" si="292"/>
        <v>Low Value</v>
      </c>
      <c r="J6213" t="str">
        <f t="shared" si="293"/>
        <v>High Risk</v>
      </c>
      <c r="K6213" s="3" t="str">
        <f t="shared" si="291"/>
        <v>0-1 Year</v>
      </c>
    </row>
    <row r="6214" spans="1:11" x14ac:dyDescent="0.3">
      <c r="A6214" t="s">
        <v>6231</v>
      </c>
      <c r="B6214" t="s">
        <v>14</v>
      </c>
      <c r="C6214" t="s">
        <v>15</v>
      </c>
      <c r="D6214" t="s">
        <v>20</v>
      </c>
      <c r="E6214">
        <v>19.600000000000001</v>
      </c>
      <c r="F6214">
        <v>26</v>
      </c>
      <c r="G6214">
        <v>509.6</v>
      </c>
      <c r="H6214" t="s">
        <v>12</v>
      </c>
      <c r="I6214" t="str">
        <f t="shared" si="292"/>
        <v>Low Value</v>
      </c>
      <c r="J6214" t="str">
        <f t="shared" si="293"/>
        <v>Low Risk</v>
      </c>
      <c r="K6214" s="3" t="str">
        <f t="shared" si="291"/>
        <v>2-4 Years</v>
      </c>
    </row>
    <row r="6215" spans="1:11" x14ac:dyDescent="0.3">
      <c r="A6215" t="s">
        <v>6232</v>
      </c>
      <c r="B6215" t="s">
        <v>14</v>
      </c>
      <c r="C6215" t="s">
        <v>10</v>
      </c>
      <c r="D6215" t="s">
        <v>24</v>
      </c>
      <c r="E6215">
        <v>89.4</v>
      </c>
      <c r="F6215">
        <v>66</v>
      </c>
      <c r="G6215">
        <v>5900.4</v>
      </c>
      <c r="H6215" t="s">
        <v>12</v>
      </c>
      <c r="I6215" t="str">
        <f t="shared" si="292"/>
        <v>High Value</v>
      </c>
      <c r="J6215" t="str">
        <f t="shared" si="293"/>
        <v>Low Risk</v>
      </c>
      <c r="K6215" s="3" t="str">
        <f t="shared" si="291"/>
        <v>4+ Years</v>
      </c>
    </row>
    <row r="6216" spans="1:11" x14ac:dyDescent="0.3">
      <c r="A6216" t="s">
        <v>6233</v>
      </c>
      <c r="B6216" t="s">
        <v>9</v>
      </c>
      <c r="C6216" t="s">
        <v>10</v>
      </c>
      <c r="D6216" t="s">
        <v>11</v>
      </c>
      <c r="E6216">
        <v>69</v>
      </c>
      <c r="F6216">
        <v>7</v>
      </c>
      <c r="G6216">
        <v>483</v>
      </c>
      <c r="H6216" t="s">
        <v>18</v>
      </c>
      <c r="I6216" t="str">
        <f t="shared" si="292"/>
        <v>Low Value</v>
      </c>
      <c r="J6216" t="str">
        <f t="shared" si="293"/>
        <v>High Risk</v>
      </c>
      <c r="K6216" s="3" t="str">
        <f t="shared" si="291"/>
        <v>0-1 Year</v>
      </c>
    </row>
    <row r="6217" spans="1:11" x14ac:dyDescent="0.3">
      <c r="A6217" t="s">
        <v>6234</v>
      </c>
      <c r="B6217" t="s">
        <v>14</v>
      </c>
      <c r="C6217" t="s">
        <v>15</v>
      </c>
      <c r="D6217" t="s">
        <v>20</v>
      </c>
      <c r="E6217">
        <v>84.2</v>
      </c>
      <c r="F6217">
        <v>51</v>
      </c>
      <c r="G6217">
        <v>4294.2</v>
      </c>
      <c r="H6217" t="s">
        <v>12</v>
      </c>
      <c r="I6217" t="str">
        <f t="shared" si="292"/>
        <v>Medium Value</v>
      </c>
      <c r="J6217" t="str">
        <f t="shared" si="293"/>
        <v>Low Risk</v>
      </c>
      <c r="K6217" s="3" t="str">
        <f t="shared" si="291"/>
        <v>4+ Years</v>
      </c>
    </row>
    <row r="6218" spans="1:11" x14ac:dyDescent="0.3">
      <c r="A6218" t="s">
        <v>6235</v>
      </c>
      <c r="B6218" t="s">
        <v>14</v>
      </c>
      <c r="C6218" t="s">
        <v>30</v>
      </c>
      <c r="D6218" t="s">
        <v>24</v>
      </c>
      <c r="E6218">
        <v>106.1</v>
      </c>
      <c r="F6218">
        <v>72</v>
      </c>
      <c r="G6218">
        <v>7639.2</v>
      </c>
      <c r="H6218" t="s">
        <v>12</v>
      </c>
      <c r="I6218" t="str">
        <f t="shared" si="292"/>
        <v>High Value</v>
      </c>
      <c r="J6218" t="str">
        <f t="shared" si="293"/>
        <v>Low Risk</v>
      </c>
      <c r="K6218" s="3" t="str">
        <f t="shared" si="291"/>
        <v>4+ Years</v>
      </c>
    </row>
    <row r="6219" spans="1:11" x14ac:dyDescent="0.3">
      <c r="A6219" t="s">
        <v>6236</v>
      </c>
      <c r="B6219" t="s">
        <v>14</v>
      </c>
      <c r="C6219" t="s">
        <v>30</v>
      </c>
      <c r="D6219" t="s">
        <v>16</v>
      </c>
      <c r="E6219">
        <v>25.75</v>
      </c>
      <c r="F6219">
        <v>65</v>
      </c>
      <c r="G6219">
        <v>1673.75</v>
      </c>
      <c r="H6219" t="s">
        <v>12</v>
      </c>
      <c r="I6219" t="str">
        <f t="shared" si="292"/>
        <v>Low Value</v>
      </c>
      <c r="J6219" t="str">
        <f t="shared" si="293"/>
        <v>Low Risk</v>
      </c>
      <c r="K6219" s="3" t="str">
        <f t="shared" si="291"/>
        <v>4+ Years</v>
      </c>
    </row>
    <row r="6220" spans="1:11" x14ac:dyDescent="0.3">
      <c r="A6220" t="s">
        <v>6237</v>
      </c>
      <c r="B6220" t="s">
        <v>14</v>
      </c>
      <c r="C6220" t="s">
        <v>10</v>
      </c>
      <c r="D6220" t="s">
        <v>20</v>
      </c>
      <c r="E6220">
        <v>46.05</v>
      </c>
      <c r="F6220">
        <v>2</v>
      </c>
      <c r="G6220">
        <v>92.1</v>
      </c>
      <c r="H6220" t="s">
        <v>18</v>
      </c>
      <c r="I6220" t="str">
        <f t="shared" si="292"/>
        <v>Low Value</v>
      </c>
      <c r="J6220" t="str">
        <f t="shared" si="293"/>
        <v>High Risk</v>
      </c>
      <c r="K6220" s="3" t="str">
        <f t="shared" si="291"/>
        <v>0-1 Year</v>
      </c>
    </row>
    <row r="6221" spans="1:11" x14ac:dyDescent="0.3">
      <c r="A6221" t="s">
        <v>6238</v>
      </c>
      <c r="B6221" t="s">
        <v>14</v>
      </c>
      <c r="C6221" t="s">
        <v>15</v>
      </c>
      <c r="D6221" t="s">
        <v>20</v>
      </c>
      <c r="E6221">
        <v>64.95</v>
      </c>
      <c r="F6221">
        <v>70</v>
      </c>
      <c r="G6221">
        <v>4546.5</v>
      </c>
      <c r="H6221" t="s">
        <v>12</v>
      </c>
      <c r="I6221" t="str">
        <f t="shared" si="292"/>
        <v>Medium Value</v>
      </c>
      <c r="J6221" t="str">
        <f t="shared" si="293"/>
        <v>Low Risk</v>
      </c>
      <c r="K6221" s="3" t="str">
        <f t="shared" si="291"/>
        <v>4+ Years</v>
      </c>
    </row>
    <row r="6222" spans="1:11" x14ac:dyDescent="0.3">
      <c r="A6222" t="s">
        <v>6239</v>
      </c>
      <c r="B6222" t="s">
        <v>14</v>
      </c>
      <c r="C6222" t="s">
        <v>30</v>
      </c>
      <c r="D6222" t="s">
        <v>24</v>
      </c>
      <c r="E6222">
        <v>85.45</v>
      </c>
      <c r="F6222">
        <v>72</v>
      </c>
      <c r="G6222">
        <v>6152.4</v>
      </c>
      <c r="H6222" t="s">
        <v>12</v>
      </c>
      <c r="I6222" t="str">
        <f t="shared" si="292"/>
        <v>High Value</v>
      </c>
      <c r="J6222" t="str">
        <f t="shared" si="293"/>
        <v>Low Risk</v>
      </c>
      <c r="K6222" s="3" t="str">
        <f t="shared" si="291"/>
        <v>4+ Years</v>
      </c>
    </row>
    <row r="6223" spans="1:11" x14ac:dyDescent="0.3">
      <c r="A6223" t="s">
        <v>6240</v>
      </c>
      <c r="B6223" t="s">
        <v>9</v>
      </c>
      <c r="C6223" t="s">
        <v>10</v>
      </c>
      <c r="D6223" t="s">
        <v>16</v>
      </c>
      <c r="E6223">
        <v>20.05</v>
      </c>
      <c r="F6223">
        <v>1</v>
      </c>
      <c r="G6223">
        <v>20.05</v>
      </c>
      <c r="H6223" t="s">
        <v>12</v>
      </c>
      <c r="I6223" t="str">
        <f t="shared" si="292"/>
        <v>Low Value</v>
      </c>
      <c r="J6223" t="str">
        <f t="shared" si="293"/>
        <v>High Risk</v>
      </c>
      <c r="K6223" s="3" t="str">
        <f t="shared" si="291"/>
        <v>0-1 Year</v>
      </c>
    </row>
    <row r="6224" spans="1:11" x14ac:dyDescent="0.3">
      <c r="A6224" t="s">
        <v>6241</v>
      </c>
      <c r="B6224" t="s">
        <v>9</v>
      </c>
      <c r="C6224" t="s">
        <v>10</v>
      </c>
      <c r="D6224" t="s">
        <v>16</v>
      </c>
      <c r="E6224">
        <v>76.400000000000006</v>
      </c>
      <c r="F6224">
        <v>1</v>
      </c>
      <c r="G6224">
        <v>76.400000000000006</v>
      </c>
      <c r="H6224" t="s">
        <v>18</v>
      </c>
      <c r="I6224" t="str">
        <f t="shared" si="292"/>
        <v>Low Value</v>
      </c>
      <c r="J6224" t="str">
        <f t="shared" si="293"/>
        <v>High Risk</v>
      </c>
      <c r="K6224" s="3" t="str">
        <f t="shared" si="291"/>
        <v>0-1 Year</v>
      </c>
    </row>
    <row r="6225" spans="1:11" x14ac:dyDescent="0.3">
      <c r="A6225" t="s">
        <v>6242</v>
      </c>
      <c r="B6225" t="s">
        <v>9</v>
      </c>
      <c r="C6225" t="s">
        <v>10</v>
      </c>
      <c r="D6225" t="s">
        <v>11</v>
      </c>
      <c r="E6225">
        <v>100.5</v>
      </c>
      <c r="F6225">
        <v>5</v>
      </c>
      <c r="G6225">
        <v>502.5</v>
      </c>
      <c r="H6225" t="s">
        <v>18</v>
      </c>
      <c r="I6225" t="str">
        <f t="shared" si="292"/>
        <v>Low Value</v>
      </c>
      <c r="J6225" t="str">
        <f t="shared" si="293"/>
        <v>High Risk</v>
      </c>
      <c r="K6225" s="3" t="str">
        <f t="shared" si="291"/>
        <v>0-1 Year</v>
      </c>
    </row>
    <row r="6226" spans="1:11" x14ac:dyDescent="0.3">
      <c r="A6226" t="s">
        <v>6243</v>
      </c>
      <c r="B6226" t="s">
        <v>14</v>
      </c>
      <c r="C6226" t="s">
        <v>10</v>
      </c>
      <c r="D6226" t="s">
        <v>16</v>
      </c>
      <c r="E6226">
        <v>20.7</v>
      </c>
      <c r="F6226">
        <v>3</v>
      </c>
      <c r="G6226">
        <v>62.099999999999902</v>
      </c>
      <c r="H6226" t="s">
        <v>12</v>
      </c>
      <c r="I6226" t="str">
        <f t="shared" si="292"/>
        <v>Low Value</v>
      </c>
      <c r="J6226" t="str">
        <f t="shared" si="293"/>
        <v>High Risk</v>
      </c>
      <c r="K6226" s="3" t="str">
        <f t="shared" si="291"/>
        <v>0-1 Year</v>
      </c>
    </row>
    <row r="6227" spans="1:11" x14ac:dyDescent="0.3">
      <c r="A6227" t="s">
        <v>6244</v>
      </c>
      <c r="B6227" t="s">
        <v>14</v>
      </c>
      <c r="C6227" t="s">
        <v>30</v>
      </c>
      <c r="D6227" t="s">
        <v>24</v>
      </c>
      <c r="E6227">
        <v>25.3</v>
      </c>
      <c r="F6227">
        <v>58</v>
      </c>
      <c r="G6227">
        <v>1467.4</v>
      </c>
      <c r="H6227" t="s">
        <v>12</v>
      </c>
      <c r="I6227" t="str">
        <f t="shared" si="292"/>
        <v>Low Value</v>
      </c>
      <c r="J6227" t="str">
        <f t="shared" si="293"/>
        <v>Low Risk</v>
      </c>
      <c r="K6227" s="3" t="str">
        <f t="shared" si="291"/>
        <v>4+ Years</v>
      </c>
    </row>
    <row r="6228" spans="1:11" x14ac:dyDescent="0.3">
      <c r="A6228" t="s">
        <v>6245</v>
      </c>
      <c r="B6228" t="s">
        <v>14</v>
      </c>
      <c r="C6228" t="s">
        <v>10</v>
      </c>
      <c r="D6228" t="s">
        <v>16</v>
      </c>
      <c r="E6228">
        <v>40.049999999999997</v>
      </c>
      <c r="F6228">
        <v>22</v>
      </c>
      <c r="G6228">
        <v>881.099999999999</v>
      </c>
      <c r="H6228" t="s">
        <v>18</v>
      </c>
      <c r="I6228" t="str">
        <f t="shared" si="292"/>
        <v>Low Value</v>
      </c>
      <c r="J6228" t="str">
        <f t="shared" si="293"/>
        <v>Medium Risk</v>
      </c>
      <c r="K6228" s="3" t="str">
        <f t="shared" si="291"/>
        <v>1-2 Years</v>
      </c>
    </row>
    <row r="6229" spans="1:11" x14ac:dyDescent="0.3">
      <c r="A6229" t="s">
        <v>6246</v>
      </c>
      <c r="B6229" t="s">
        <v>14</v>
      </c>
      <c r="C6229" t="s">
        <v>10</v>
      </c>
      <c r="D6229" t="s">
        <v>20</v>
      </c>
      <c r="E6229">
        <v>100.6</v>
      </c>
      <c r="F6229">
        <v>33</v>
      </c>
      <c r="G6229">
        <v>3319.7999999999902</v>
      </c>
      <c r="H6229" t="s">
        <v>12</v>
      </c>
      <c r="I6229" t="str">
        <f t="shared" si="292"/>
        <v>Medium Value</v>
      </c>
      <c r="J6229" t="str">
        <f t="shared" si="293"/>
        <v>Low Risk</v>
      </c>
      <c r="K6229" s="3" t="str">
        <f t="shared" si="291"/>
        <v>2-4 Years</v>
      </c>
    </row>
    <row r="6230" spans="1:11" x14ac:dyDescent="0.3">
      <c r="A6230" t="s">
        <v>6247</v>
      </c>
      <c r="B6230" t="s">
        <v>14</v>
      </c>
      <c r="C6230" t="s">
        <v>10</v>
      </c>
      <c r="D6230" t="s">
        <v>11</v>
      </c>
      <c r="E6230">
        <v>69.95</v>
      </c>
      <c r="F6230">
        <v>1</v>
      </c>
      <c r="G6230">
        <v>69.95</v>
      </c>
      <c r="H6230" t="s">
        <v>18</v>
      </c>
      <c r="I6230" t="str">
        <f t="shared" si="292"/>
        <v>Low Value</v>
      </c>
      <c r="J6230" t="str">
        <f t="shared" si="293"/>
        <v>High Risk</v>
      </c>
      <c r="K6230" s="3" t="str">
        <f t="shared" si="291"/>
        <v>0-1 Year</v>
      </c>
    </row>
    <row r="6231" spans="1:11" x14ac:dyDescent="0.3">
      <c r="A6231" t="s">
        <v>6248</v>
      </c>
      <c r="B6231" t="s">
        <v>14</v>
      </c>
      <c r="C6231" t="s">
        <v>10</v>
      </c>
      <c r="D6231" t="s">
        <v>20</v>
      </c>
      <c r="E6231">
        <v>74</v>
      </c>
      <c r="F6231">
        <v>54</v>
      </c>
      <c r="G6231">
        <v>3996</v>
      </c>
      <c r="H6231" t="s">
        <v>12</v>
      </c>
      <c r="I6231" t="str">
        <f t="shared" si="292"/>
        <v>Medium Value</v>
      </c>
      <c r="J6231" t="str">
        <f t="shared" si="293"/>
        <v>Low Risk</v>
      </c>
      <c r="K6231" s="3" t="str">
        <f t="shared" si="291"/>
        <v>4+ Years</v>
      </c>
    </row>
    <row r="6232" spans="1:11" x14ac:dyDescent="0.3">
      <c r="A6232" t="s">
        <v>6249</v>
      </c>
      <c r="B6232" t="s">
        <v>14</v>
      </c>
      <c r="C6232" t="s">
        <v>30</v>
      </c>
      <c r="D6232" t="s">
        <v>11</v>
      </c>
      <c r="E6232">
        <v>99.4</v>
      </c>
      <c r="F6232">
        <v>72</v>
      </c>
      <c r="G6232">
        <v>7156.8</v>
      </c>
      <c r="H6232" t="s">
        <v>12</v>
      </c>
      <c r="I6232" t="str">
        <f t="shared" si="292"/>
        <v>High Value</v>
      </c>
      <c r="J6232" t="str">
        <f t="shared" si="293"/>
        <v>Low Risk</v>
      </c>
      <c r="K6232" s="3" t="str">
        <f t="shared" si="291"/>
        <v>4+ Years</v>
      </c>
    </row>
    <row r="6233" spans="1:11" x14ac:dyDescent="0.3">
      <c r="A6233" t="s">
        <v>6250</v>
      </c>
      <c r="B6233" t="s">
        <v>14</v>
      </c>
      <c r="C6233" t="s">
        <v>10</v>
      </c>
      <c r="D6233" t="s">
        <v>11</v>
      </c>
      <c r="E6233">
        <v>93.3</v>
      </c>
      <c r="F6233">
        <v>1</v>
      </c>
      <c r="G6233">
        <v>93.3</v>
      </c>
      <c r="H6233" t="s">
        <v>18</v>
      </c>
      <c r="I6233" t="str">
        <f t="shared" si="292"/>
        <v>Low Value</v>
      </c>
      <c r="J6233" t="str">
        <f t="shared" si="293"/>
        <v>High Risk</v>
      </c>
      <c r="K6233" s="3" t="str">
        <f t="shared" si="291"/>
        <v>0-1 Year</v>
      </c>
    </row>
    <row r="6234" spans="1:11" x14ac:dyDescent="0.3">
      <c r="A6234" t="s">
        <v>6251</v>
      </c>
      <c r="B6234" t="s">
        <v>14</v>
      </c>
      <c r="C6234" t="s">
        <v>10</v>
      </c>
      <c r="D6234" t="s">
        <v>11</v>
      </c>
      <c r="E6234">
        <v>49.15</v>
      </c>
      <c r="F6234">
        <v>3</v>
      </c>
      <c r="G6234">
        <v>147.44999999999999</v>
      </c>
      <c r="H6234" t="s">
        <v>18</v>
      </c>
      <c r="I6234" t="str">
        <f t="shared" si="292"/>
        <v>Low Value</v>
      </c>
      <c r="J6234" t="str">
        <f t="shared" si="293"/>
        <v>High Risk</v>
      </c>
      <c r="K6234" s="3" t="str">
        <f t="shared" si="291"/>
        <v>0-1 Year</v>
      </c>
    </row>
    <row r="6235" spans="1:11" x14ac:dyDescent="0.3">
      <c r="A6235" t="s">
        <v>6252</v>
      </c>
      <c r="B6235" t="s">
        <v>9</v>
      </c>
      <c r="C6235" t="s">
        <v>30</v>
      </c>
      <c r="D6235" t="s">
        <v>24</v>
      </c>
      <c r="E6235">
        <v>107.45</v>
      </c>
      <c r="F6235">
        <v>72</v>
      </c>
      <c r="G6235">
        <v>7736.4</v>
      </c>
      <c r="H6235" t="s">
        <v>12</v>
      </c>
      <c r="I6235" t="str">
        <f t="shared" si="292"/>
        <v>High Value</v>
      </c>
      <c r="J6235" t="str">
        <f t="shared" si="293"/>
        <v>Low Risk</v>
      </c>
      <c r="K6235" s="3" t="str">
        <f t="shared" si="291"/>
        <v>4+ Years</v>
      </c>
    </row>
    <row r="6236" spans="1:11" x14ac:dyDescent="0.3">
      <c r="A6236" t="s">
        <v>6253</v>
      </c>
      <c r="B6236" t="s">
        <v>9</v>
      </c>
      <c r="C6236" t="s">
        <v>30</v>
      </c>
      <c r="D6236" t="s">
        <v>24</v>
      </c>
      <c r="E6236">
        <v>83.6</v>
      </c>
      <c r="F6236">
        <v>72</v>
      </c>
      <c r="G6236">
        <v>6019.2</v>
      </c>
      <c r="H6236" t="s">
        <v>12</v>
      </c>
      <c r="I6236" t="str">
        <f t="shared" si="292"/>
        <v>High Value</v>
      </c>
      <c r="J6236" t="str">
        <f t="shared" si="293"/>
        <v>Low Risk</v>
      </c>
      <c r="K6236" s="3" t="str">
        <f t="shared" si="291"/>
        <v>4+ Years</v>
      </c>
    </row>
    <row r="6237" spans="1:11" x14ac:dyDescent="0.3">
      <c r="A6237" t="s">
        <v>6254</v>
      </c>
      <c r="B6237" t="s">
        <v>14</v>
      </c>
      <c r="C6237" t="s">
        <v>10</v>
      </c>
      <c r="D6237" t="s">
        <v>24</v>
      </c>
      <c r="E6237">
        <v>99.05</v>
      </c>
      <c r="F6237">
        <v>54</v>
      </c>
      <c r="G6237">
        <v>5348.7</v>
      </c>
      <c r="H6237" t="s">
        <v>12</v>
      </c>
      <c r="I6237" t="str">
        <f t="shared" si="292"/>
        <v>High Value</v>
      </c>
      <c r="J6237" t="str">
        <f t="shared" si="293"/>
        <v>Low Risk</v>
      </c>
      <c r="K6237" s="3" t="str">
        <f t="shared" si="291"/>
        <v>4+ Years</v>
      </c>
    </row>
    <row r="6238" spans="1:11" x14ac:dyDescent="0.3">
      <c r="A6238" t="s">
        <v>6255</v>
      </c>
      <c r="B6238" t="s">
        <v>9</v>
      </c>
      <c r="C6238" t="s">
        <v>15</v>
      </c>
      <c r="D6238" t="s">
        <v>11</v>
      </c>
      <c r="E6238">
        <v>80.099999999999994</v>
      </c>
      <c r="F6238">
        <v>59</v>
      </c>
      <c r="G6238">
        <v>4725.8999999999996</v>
      </c>
      <c r="H6238" t="s">
        <v>12</v>
      </c>
      <c r="I6238" t="str">
        <f t="shared" si="292"/>
        <v>Medium Value</v>
      </c>
      <c r="J6238" t="str">
        <f t="shared" si="293"/>
        <v>Low Risk</v>
      </c>
      <c r="K6238" s="3" t="str">
        <f t="shared" si="291"/>
        <v>4+ Years</v>
      </c>
    </row>
    <row r="6239" spans="1:11" x14ac:dyDescent="0.3">
      <c r="A6239" t="s">
        <v>6256</v>
      </c>
      <c r="B6239" t="s">
        <v>14</v>
      </c>
      <c r="C6239" t="s">
        <v>30</v>
      </c>
      <c r="D6239" t="s">
        <v>20</v>
      </c>
      <c r="E6239">
        <v>65.3</v>
      </c>
      <c r="F6239">
        <v>54</v>
      </c>
      <c r="G6239">
        <v>3526.2</v>
      </c>
      <c r="H6239" t="s">
        <v>12</v>
      </c>
      <c r="I6239" t="str">
        <f t="shared" si="292"/>
        <v>Medium Value</v>
      </c>
      <c r="J6239" t="str">
        <f t="shared" si="293"/>
        <v>Low Risk</v>
      </c>
      <c r="K6239" s="3" t="str">
        <f t="shared" si="291"/>
        <v>4+ Years</v>
      </c>
    </row>
    <row r="6240" spans="1:11" x14ac:dyDescent="0.3">
      <c r="A6240" t="s">
        <v>6257</v>
      </c>
      <c r="B6240" t="s">
        <v>14</v>
      </c>
      <c r="C6240" t="s">
        <v>30</v>
      </c>
      <c r="D6240" t="s">
        <v>11</v>
      </c>
      <c r="E6240">
        <v>89.55</v>
      </c>
      <c r="F6240">
        <v>60</v>
      </c>
      <c r="G6240">
        <v>5373</v>
      </c>
      <c r="H6240" t="s">
        <v>12</v>
      </c>
      <c r="I6240" t="str">
        <f t="shared" si="292"/>
        <v>High Value</v>
      </c>
      <c r="J6240" t="str">
        <f t="shared" si="293"/>
        <v>Low Risk</v>
      </c>
      <c r="K6240" s="3" t="str">
        <f t="shared" si="291"/>
        <v>4+ Years</v>
      </c>
    </row>
    <row r="6241" spans="1:11" x14ac:dyDescent="0.3">
      <c r="A6241" t="s">
        <v>6258</v>
      </c>
      <c r="B6241" t="s">
        <v>9</v>
      </c>
      <c r="C6241" t="s">
        <v>30</v>
      </c>
      <c r="D6241" t="s">
        <v>24</v>
      </c>
      <c r="E6241">
        <v>60.8</v>
      </c>
      <c r="F6241">
        <v>60</v>
      </c>
      <c r="G6241">
        <v>3648</v>
      </c>
      <c r="H6241" t="s">
        <v>12</v>
      </c>
      <c r="I6241" t="str">
        <f t="shared" si="292"/>
        <v>Medium Value</v>
      </c>
      <c r="J6241" t="str">
        <f t="shared" si="293"/>
        <v>Low Risk</v>
      </c>
      <c r="K6241" s="3" t="str">
        <f t="shared" si="291"/>
        <v>4+ Years</v>
      </c>
    </row>
    <row r="6242" spans="1:11" x14ac:dyDescent="0.3">
      <c r="A6242" t="s">
        <v>6259</v>
      </c>
      <c r="B6242" t="s">
        <v>14</v>
      </c>
      <c r="C6242" t="s">
        <v>10</v>
      </c>
      <c r="D6242" t="s">
        <v>11</v>
      </c>
      <c r="E6242">
        <v>74.5</v>
      </c>
      <c r="F6242">
        <v>3</v>
      </c>
      <c r="G6242">
        <v>223.5</v>
      </c>
      <c r="H6242" t="s">
        <v>12</v>
      </c>
      <c r="I6242" t="str">
        <f t="shared" si="292"/>
        <v>Low Value</v>
      </c>
      <c r="J6242" t="str">
        <f t="shared" si="293"/>
        <v>High Risk</v>
      </c>
      <c r="K6242" s="3" t="str">
        <f t="shared" si="291"/>
        <v>0-1 Year</v>
      </c>
    </row>
    <row r="6243" spans="1:11" x14ac:dyDescent="0.3">
      <c r="A6243" t="s">
        <v>6260</v>
      </c>
      <c r="B6243" t="s">
        <v>9</v>
      </c>
      <c r="C6243" t="s">
        <v>30</v>
      </c>
      <c r="D6243" t="s">
        <v>20</v>
      </c>
      <c r="E6243">
        <v>99.15</v>
      </c>
      <c r="F6243">
        <v>69</v>
      </c>
      <c r="G6243">
        <v>6841.35</v>
      </c>
      <c r="H6243" t="s">
        <v>12</v>
      </c>
      <c r="I6243" t="str">
        <f t="shared" si="292"/>
        <v>High Value</v>
      </c>
      <c r="J6243" t="str">
        <f t="shared" si="293"/>
        <v>Low Risk</v>
      </c>
      <c r="K6243" s="3" t="str">
        <f t="shared" si="291"/>
        <v>4+ Years</v>
      </c>
    </row>
    <row r="6244" spans="1:11" x14ac:dyDescent="0.3">
      <c r="A6244" t="s">
        <v>6261</v>
      </c>
      <c r="B6244" t="s">
        <v>9</v>
      </c>
      <c r="C6244" t="s">
        <v>10</v>
      </c>
      <c r="D6244" t="s">
        <v>11</v>
      </c>
      <c r="E6244">
        <v>19.25</v>
      </c>
      <c r="F6244">
        <v>1</v>
      </c>
      <c r="G6244">
        <v>19.25</v>
      </c>
      <c r="H6244" t="s">
        <v>12</v>
      </c>
      <c r="I6244" t="str">
        <f t="shared" si="292"/>
        <v>Low Value</v>
      </c>
      <c r="J6244" t="str">
        <f t="shared" si="293"/>
        <v>High Risk</v>
      </c>
      <c r="K6244" s="3" t="str">
        <f t="shared" si="291"/>
        <v>0-1 Year</v>
      </c>
    </row>
    <row r="6245" spans="1:11" x14ac:dyDescent="0.3">
      <c r="A6245" t="s">
        <v>6262</v>
      </c>
      <c r="B6245" t="s">
        <v>14</v>
      </c>
      <c r="C6245" t="s">
        <v>10</v>
      </c>
      <c r="D6245" t="s">
        <v>24</v>
      </c>
      <c r="E6245">
        <v>39.450000000000003</v>
      </c>
      <c r="F6245">
        <v>50</v>
      </c>
      <c r="G6245">
        <v>1972.5</v>
      </c>
      <c r="H6245" t="s">
        <v>12</v>
      </c>
      <c r="I6245" t="str">
        <f t="shared" si="292"/>
        <v>Low Value</v>
      </c>
      <c r="J6245" t="str">
        <f t="shared" si="293"/>
        <v>Low Risk</v>
      </c>
      <c r="K6245" s="3" t="str">
        <f t="shared" si="291"/>
        <v>4+ Years</v>
      </c>
    </row>
    <row r="6246" spans="1:11" x14ac:dyDescent="0.3">
      <c r="A6246" t="s">
        <v>6263</v>
      </c>
      <c r="B6246" t="s">
        <v>9</v>
      </c>
      <c r="C6246" t="s">
        <v>10</v>
      </c>
      <c r="D6246" t="s">
        <v>24</v>
      </c>
      <c r="E6246">
        <v>44.85</v>
      </c>
      <c r="F6246">
        <v>56</v>
      </c>
      <c r="G6246">
        <v>2511.6</v>
      </c>
      <c r="H6246" t="s">
        <v>12</v>
      </c>
      <c r="I6246" t="str">
        <f t="shared" si="292"/>
        <v>Medium Value</v>
      </c>
      <c r="J6246" t="str">
        <f t="shared" si="293"/>
        <v>Low Risk</v>
      </c>
      <c r="K6246" s="3" t="str">
        <f t="shared" si="291"/>
        <v>4+ Years</v>
      </c>
    </row>
    <row r="6247" spans="1:11" x14ac:dyDescent="0.3">
      <c r="A6247" t="s">
        <v>6264</v>
      </c>
      <c r="B6247" t="s">
        <v>9</v>
      </c>
      <c r="C6247" t="s">
        <v>30</v>
      </c>
      <c r="D6247" t="s">
        <v>11</v>
      </c>
      <c r="E6247">
        <v>97.2</v>
      </c>
      <c r="F6247">
        <v>60</v>
      </c>
      <c r="G6247">
        <v>5832</v>
      </c>
      <c r="H6247" t="s">
        <v>12</v>
      </c>
      <c r="I6247" t="str">
        <f t="shared" si="292"/>
        <v>High Value</v>
      </c>
      <c r="J6247" t="str">
        <f t="shared" si="293"/>
        <v>Low Risk</v>
      </c>
      <c r="K6247" s="3" t="str">
        <f t="shared" si="291"/>
        <v>4+ Years</v>
      </c>
    </row>
    <row r="6248" spans="1:11" x14ac:dyDescent="0.3">
      <c r="A6248" t="s">
        <v>6265</v>
      </c>
      <c r="B6248" t="s">
        <v>14</v>
      </c>
      <c r="C6248" t="s">
        <v>15</v>
      </c>
      <c r="D6248" t="s">
        <v>16</v>
      </c>
      <c r="E6248">
        <v>110.55</v>
      </c>
      <c r="F6248">
        <v>69</v>
      </c>
      <c r="G6248">
        <v>7627.95</v>
      </c>
      <c r="H6248" t="s">
        <v>12</v>
      </c>
      <c r="I6248" t="str">
        <f t="shared" si="292"/>
        <v>High Value</v>
      </c>
      <c r="J6248" t="str">
        <f t="shared" si="293"/>
        <v>Low Risk</v>
      </c>
      <c r="K6248" s="3" t="str">
        <f t="shared" si="291"/>
        <v>4+ Years</v>
      </c>
    </row>
    <row r="6249" spans="1:11" x14ac:dyDescent="0.3">
      <c r="A6249" t="s">
        <v>6266</v>
      </c>
      <c r="B6249" t="s">
        <v>9</v>
      </c>
      <c r="C6249" t="s">
        <v>10</v>
      </c>
      <c r="D6249" t="s">
        <v>16</v>
      </c>
      <c r="E6249">
        <v>35.049999999999997</v>
      </c>
      <c r="F6249">
        <v>1</v>
      </c>
      <c r="G6249">
        <v>35.049999999999997</v>
      </c>
      <c r="H6249" t="s">
        <v>18</v>
      </c>
      <c r="I6249" t="str">
        <f t="shared" si="292"/>
        <v>Low Value</v>
      </c>
      <c r="J6249" t="str">
        <f t="shared" si="293"/>
        <v>High Risk</v>
      </c>
      <c r="K6249" s="3" t="str">
        <f t="shared" si="291"/>
        <v>0-1 Year</v>
      </c>
    </row>
    <row r="6250" spans="1:11" x14ac:dyDescent="0.3">
      <c r="A6250" t="s">
        <v>6267</v>
      </c>
      <c r="B6250" t="s">
        <v>9</v>
      </c>
      <c r="C6250" t="s">
        <v>10</v>
      </c>
      <c r="D6250" t="s">
        <v>11</v>
      </c>
      <c r="E6250">
        <v>73</v>
      </c>
      <c r="F6250">
        <v>1</v>
      </c>
      <c r="G6250">
        <v>73</v>
      </c>
      <c r="H6250" t="s">
        <v>18</v>
      </c>
      <c r="I6250" t="str">
        <f t="shared" si="292"/>
        <v>Low Value</v>
      </c>
      <c r="J6250" t="str">
        <f t="shared" si="293"/>
        <v>High Risk</v>
      </c>
      <c r="K6250" s="3" t="str">
        <f t="shared" si="291"/>
        <v>0-1 Year</v>
      </c>
    </row>
    <row r="6251" spans="1:11" x14ac:dyDescent="0.3">
      <c r="A6251" t="s">
        <v>6268</v>
      </c>
      <c r="B6251" t="s">
        <v>9</v>
      </c>
      <c r="C6251" t="s">
        <v>10</v>
      </c>
      <c r="D6251" t="s">
        <v>16</v>
      </c>
      <c r="E6251">
        <v>19.899999999999999</v>
      </c>
      <c r="F6251">
        <v>3</v>
      </c>
      <c r="G6251">
        <v>59.699999999999903</v>
      </c>
      <c r="H6251" t="s">
        <v>12</v>
      </c>
      <c r="I6251" t="str">
        <f t="shared" si="292"/>
        <v>Low Value</v>
      </c>
      <c r="J6251" t="str">
        <f t="shared" si="293"/>
        <v>High Risk</v>
      </c>
      <c r="K6251" s="3" t="str">
        <f t="shared" si="291"/>
        <v>0-1 Year</v>
      </c>
    </row>
    <row r="6252" spans="1:11" x14ac:dyDescent="0.3">
      <c r="A6252" t="s">
        <v>6269</v>
      </c>
      <c r="B6252" t="s">
        <v>14</v>
      </c>
      <c r="C6252" t="s">
        <v>30</v>
      </c>
      <c r="D6252" t="s">
        <v>20</v>
      </c>
      <c r="E6252">
        <v>76.95</v>
      </c>
      <c r="F6252">
        <v>60</v>
      </c>
      <c r="G6252">
        <v>4617</v>
      </c>
      <c r="H6252" t="s">
        <v>12</v>
      </c>
      <c r="I6252" t="str">
        <f t="shared" si="292"/>
        <v>Medium Value</v>
      </c>
      <c r="J6252" t="str">
        <f t="shared" si="293"/>
        <v>Low Risk</v>
      </c>
      <c r="K6252" s="3" t="str">
        <f t="shared" si="291"/>
        <v>4+ Years</v>
      </c>
    </row>
    <row r="6253" spans="1:11" x14ac:dyDescent="0.3">
      <c r="A6253" t="s">
        <v>6270</v>
      </c>
      <c r="B6253" t="s">
        <v>9</v>
      </c>
      <c r="C6253" t="s">
        <v>30</v>
      </c>
      <c r="D6253" t="s">
        <v>16</v>
      </c>
      <c r="E6253">
        <v>35.4</v>
      </c>
      <c r="F6253">
        <v>13</v>
      </c>
      <c r="G6253">
        <v>460.2</v>
      </c>
      <c r="H6253" t="s">
        <v>12</v>
      </c>
      <c r="I6253" t="str">
        <f t="shared" si="292"/>
        <v>Low Value</v>
      </c>
      <c r="J6253" t="str">
        <f t="shared" si="293"/>
        <v>Medium Risk</v>
      </c>
      <c r="K6253" s="3" t="str">
        <f t="shared" si="291"/>
        <v>1-2 Years</v>
      </c>
    </row>
    <row r="6254" spans="1:11" x14ac:dyDescent="0.3">
      <c r="A6254" t="s">
        <v>6271</v>
      </c>
      <c r="B6254" t="s">
        <v>14</v>
      </c>
      <c r="C6254" t="s">
        <v>30</v>
      </c>
      <c r="D6254" t="s">
        <v>20</v>
      </c>
      <c r="E6254">
        <v>20.45</v>
      </c>
      <c r="F6254">
        <v>62</v>
      </c>
      <c r="G6254">
        <v>1267.8999999999901</v>
      </c>
      <c r="H6254" t="s">
        <v>12</v>
      </c>
      <c r="I6254" t="str">
        <f t="shared" si="292"/>
        <v>Low Value</v>
      </c>
      <c r="J6254" t="str">
        <f t="shared" si="293"/>
        <v>Low Risk</v>
      </c>
      <c r="K6254" s="3" t="str">
        <f t="shared" si="291"/>
        <v>4+ Years</v>
      </c>
    </row>
    <row r="6255" spans="1:11" x14ac:dyDescent="0.3">
      <c r="A6255" t="s">
        <v>6272</v>
      </c>
      <c r="B6255" t="s">
        <v>9</v>
      </c>
      <c r="C6255" t="s">
        <v>15</v>
      </c>
      <c r="D6255" t="s">
        <v>20</v>
      </c>
      <c r="E6255">
        <v>96.75</v>
      </c>
      <c r="F6255">
        <v>45</v>
      </c>
      <c r="G6255">
        <v>4353.75</v>
      </c>
      <c r="H6255" t="s">
        <v>12</v>
      </c>
      <c r="I6255" t="str">
        <f t="shared" si="292"/>
        <v>Medium Value</v>
      </c>
      <c r="J6255" t="str">
        <f t="shared" si="293"/>
        <v>Low Risk</v>
      </c>
      <c r="K6255" s="3" t="str">
        <f t="shared" si="291"/>
        <v>2-4 Years</v>
      </c>
    </row>
    <row r="6256" spans="1:11" x14ac:dyDescent="0.3">
      <c r="A6256" t="s">
        <v>6273</v>
      </c>
      <c r="B6256" t="s">
        <v>9</v>
      </c>
      <c r="C6256" t="s">
        <v>15</v>
      </c>
      <c r="D6256" t="s">
        <v>11</v>
      </c>
      <c r="E6256">
        <v>54.2</v>
      </c>
      <c r="F6256">
        <v>25</v>
      </c>
      <c r="G6256">
        <v>1355</v>
      </c>
      <c r="H6256" t="s">
        <v>12</v>
      </c>
      <c r="I6256" t="str">
        <f t="shared" si="292"/>
        <v>Low Value</v>
      </c>
      <c r="J6256" t="str">
        <f t="shared" si="293"/>
        <v>Low Risk</v>
      </c>
      <c r="K6256" s="3" t="str">
        <f t="shared" si="291"/>
        <v>2-4 Years</v>
      </c>
    </row>
    <row r="6257" spans="1:11" x14ac:dyDescent="0.3">
      <c r="A6257" t="s">
        <v>6274</v>
      </c>
      <c r="B6257" t="s">
        <v>14</v>
      </c>
      <c r="C6257" t="s">
        <v>30</v>
      </c>
      <c r="D6257" t="s">
        <v>20</v>
      </c>
      <c r="E6257">
        <v>100.1</v>
      </c>
      <c r="F6257">
        <v>44</v>
      </c>
      <c r="G6257">
        <v>4404.3999999999996</v>
      </c>
      <c r="H6257" t="s">
        <v>12</v>
      </c>
      <c r="I6257" t="str">
        <f t="shared" si="292"/>
        <v>Medium Value</v>
      </c>
      <c r="J6257" t="str">
        <f t="shared" si="293"/>
        <v>Low Risk</v>
      </c>
      <c r="K6257" s="3" t="str">
        <f t="shared" si="291"/>
        <v>2-4 Years</v>
      </c>
    </row>
    <row r="6258" spans="1:11" x14ac:dyDescent="0.3">
      <c r="A6258" t="s">
        <v>6275</v>
      </c>
      <c r="B6258" t="s">
        <v>9</v>
      </c>
      <c r="C6258" t="s">
        <v>10</v>
      </c>
      <c r="D6258" t="s">
        <v>16</v>
      </c>
      <c r="E6258">
        <v>45.25</v>
      </c>
      <c r="F6258">
        <v>2</v>
      </c>
      <c r="G6258">
        <v>90.5</v>
      </c>
      <c r="H6258" t="s">
        <v>12</v>
      </c>
      <c r="I6258" t="str">
        <f t="shared" si="292"/>
        <v>Low Value</v>
      </c>
      <c r="J6258" t="str">
        <f t="shared" si="293"/>
        <v>High Risk</v>
      </c>
      <c r="K6258" s="3" t="str">
        <f t="shared" si="291"/>
        <v>0-1 Year</v>
      </c>
    </row>
    <row r="6259" spans="1:11" x14ac:dyDescent="0.3">
      <c r="A6259" t="s">
        <v>6276</v>
      </c>
      <c r="B6259" t="s">
        <v>14</v>
      </c>
      <c r="C6259" t="s">
        <v>10</v>
      </c>
      <c r="D6259" t="s">
        <v>24</v>
      </c>
      <c r="E6259">
        <v>83.85</v>
      </c>
      <c r="F6259">
        <v>33</v>
      </c>
      <c r="G6259">
        <v>2767.0499999999902</v>
      </c>
      <c r="H6259" t="s">
        <v>18</v>
      </c>
      <c r="I6259" t="str">
        <f t="shared" si="292"/>
        <v>Medium Value</v>
      </c>
      <c r="J6259" t="str">
        <f t="shared" si="293"/>
        <v>Low Risk</v>
      </c>
      <c r="K6259" s="3" t="str">
        <f t="shared" si="291"/>
        <v>2-4 Years</v>
      </c>
    </row>
    <row r="6260" spans="1:11" x14ac:dyDescent="0.3">
      <c r="A6260" t="s">
        <v>6277</v>
      </c>
      <c r="B6260" t="s">
        <v>9</v>
      </c>
      <c r="C6260" t="s">
        <v>10</v>
      </c>
      <c r="D6260" t="s">
        <v>11</v>
      </c>
      <c r="E6260">
        <v>70.099999999999994</v>
      </c>
      <c r="F6260">
        <v>1</v>
      </c>
      <c r="G6260">
        <v>70.099999999999994</v>
      </c>
      <c r="H6260" t="s">
        <v>18</v>
      </c>
      <c r="I6260" t="str">
        <f t="shared" si="292"/>
        <v>Low Value</v>
      </c>
      <c r="J6260" t="str">
        <f t="shared" si="293"/>
        <v>High Risk</v>
      </c>
      <c r="K6260" s="3" t="str">
        <f t="shared" si="291"/>
        <v>0-1 Year</v>
      </c>
    </row>
    <row r="6261" spans="1:11" x14ac:dyDescent="0.3">
      <c r="A6261" t="s">
        <v>6278</v>
      </c>
      <c r="B6261" t="s">
        <v>9</v>
      </c>
      <c r="C6261" t="s">
        <v>15</v>
      </c>
      <c r="D6261" t="s">
        <v>20</v>
      </c>
      <c r="E6261">
        <v>20.85</v>
      </c>
      <c r="F6261">
        <v>22</v>
      </c>
      <c r="G6261">
        <v>458.7</v>
      </c>
      <c r="H6261" t="s">
        <v>12</v>
      </c>
      <c r="I6261" t="str">
        <f t="shared" si="292"/>
        <v>Low Value</v>
      </c>
      <c r="J6261" t="str">
        <f t="shared" si="293"/>
        <v>Medium Risk</v>
      </c>
      <c r="K6261" s="3" t="str">
        <f t="shared" si="291"/>
        <v>1-2 Years</v>
      </c>
    </row>
    <row r="6262" spans="1:11" x14ac:dyDescent="0.3">
      <c r="A6262" t="s">
        <v>6279</v>
      </c>
      <c r="B6262" t="s">
        <v>9</v>
      </c>
      <c r="C6262" t="s">
        <v>10</v>
      </c>
      <c r="D6262" t="s">
        <v>16</v>
      </c>
      <c r="E6262">
        <v>33.450000000000003</v>
      </c>
      <c r="F6262">
        <v>35</v>
      </c>
      <c r="G6262">
        <v>1170.75</v>
      </c>
      <c r="H6262" t="s">
        <v>12</v>
      </c>
      <c r="I6262" t="str">
        <f t="shared" si="292"/>
        <v>Low Value</v>
      </c>
      <c r="J6262" t="str">
        <f t="shared" si="293"/>
        <v>Low Risk</v>
      </c>
      <c r="K6262" s="3" t="str">
        <f t="shared" si="291"/>
        <v>2-4 Years</v>
      </c>
    </row>
    <row r="6263" spans="1:11" x14ac:dyDescent="0.3">
      <c r="A6263" t="s">
        <v>6280</v>
      </c>
      <c r="B6263" t="s">
        <v>9</v>
      </c>
      <c r="C6263" t="s">
        <v>30</v>
      </c>
      <c r="D6263" t="s">
        <v>16</v>
      </c>
      <c r="E6263">
        <v>20.2</v>
      </c>
      <c r="F6263">
        <v>29</v>
      </c>
      <c r="G6263">
        <v>585.79999999999995</v>
      </c>
      <c r="H6263" t="s">
        <v>12</v>
      </c>
      <c r="I6263" t="str">
        <f t="shared" si="292"/>
        <v>Low Value</v>
      </c>
      <c r="J6263" t="str">
        <f t="shared" si="293"/>
        <v>Low Risk</v>
      </c>
      <c r="K6263" s="3" t="str">
        <f t="shared" si="291"/>
        <v>2-4 Years</v>
      </c>
    </row>
    <row r="6264" spans="1:11" x14ac:dyDescent="0.3">
      <c r="A6264" t="s">
        <v>6281</v>
      </c>
      <c r="B6264" t="s">
        <v>14</v>
      </c>
      <c r="C6264" t="s">
        <v>15</v>
      </c>
      <c r="D6264" t="s">
        <v>11</v>
      </c>
      <c r="E6264">
        <v>85.9</v>
      </c>
      <c r="F6264">
        <v>27</v>
      </c>
      <c r="G6264">
        <v>2319.3000000000002</v>
      </c>
      <c r="H6264" t="s">
        <v>12</v>
      </c>
      <c r="I6264" t="str">
        <f t="shared" si="292"/>
        <v>Medium Value</v>
      </c>
      <c r="J6264" t="str">
        <f t="shared" si="293"/>
        <v>Low Risk</v>
      </c>
      <c r="K6264" s="3" t="str">
        <f t="shared" si="291"/>
        <v>2-4 Years</v>
      </c>
    </row>
    <row r="6265" spans="1:11" x14ac:dyDescent="0.3">
      <c r="A6265" t="s">
        <v>6282</v>
      </c>
      <c r="B6265" t="s">
        <v>14</v>
      </c>
      <c r="C6265" t="s">
        <v>15</v>
      </c>
      <c r="D6265" t="s">
        <v>11</v>
      </c>
      <c r="E6265">
        <v>61</v>
      </c>
      <c r="F6265">
        <v>54</v>
      </c>
      <c r="G6265">
        <v>3294</v>
      </c>
      <c r="H6265" t="s">
        <v>12</v>
      </c>
      <c r="I6265" t="str">
        <f t="shared" si="292"/>
        <v>Medium Value</v>
      </c>
      <c r="J6265" t="str">
        <f t="shared" si="293"/>
        <v>Low Risk</v>
      </c>
      <c r="K6265" s="3" t="str">
        <f t="shared" si="291"/>
        <v>4+ Years</v>
      </c>
    </row>
    <row r="6266" spans="1:11" x14ac:dyDescent="0.3">
      <c r="A6266" t="s">
        <v>6283</v>
      </c>
      <c r="B6266" t="s">
        <v>9</v>
      </c>
      <c r="C6266" t="s">
        <v>10</v>
      </c>
      <c r="D6266" t="s">
        <v>11</v>
      </c>
      <c r="E6266">
        <v>70.650000000000006</v>
      </c>
      <c r="F6266">
        <v>2</v>
      </c>
      <c r="G6266">
        <v>141.30000000000001</v>
      </c>
      <c r="H6266" t="s">
        <v>18</v>
      </c>
      <c r="I6266" t="str">
        <f t="shared" si="292"/>
        <v>Low Value</v>
      </c>
      <c r="J6266" t="str">
        <f t="shared" si="293"/>
        <v>High Risk</v>
      </c>
      <c r="K6266" s="3" t="str">
        <f t="shared" si="291"/>
        <v>0-1 Year</v>
      </c>
    </row>
    <row r="6267" spans="1:11" x14ac:dyDescent="0.3">
      <c r="A6267" t="s">
        <v>6284</v>
      </c>
      <c r="B6267" t="s">
        <v>14</v>
      </c>
      <c r="C6267" t="s">
        <v>15</v>
      </c>
      <c r="D6267" t="s">
        <v>11</v>
      </c>
      <c r="E6267">
        <v>86.9</v>
      </c>
      <c r="F6267">
        <v>57</v>
      </c>
      <c r="G6267">
        <v>4953.3</v>
      </c>
      <c r="H6267" t="s">
        <v>12</v>
      </c>
      <c r="I6267" t="str">
        <f t="shared" si="292"/>
        <v>Medium Value</v>
      </c>
      <c r="J6267" t="str">
        <f t="shared" si="293"/>
        <v>Low Risk</v>
      </c>
      <c r="K6267" s="3" t="str">
        <f t="shared" si="291"/>
        <v>4+ Years</v>
      </c>
    </row>
    <row r="6268" spans="1:11" x14ac:dyDescent="0.3">
      <c r="A6268" t="s">
        <v>6285</v>
      </c>
      <c r="B6268" t="s">
        <v>14</v>
      </c>
      <c r="C6268" t="s">
        <v>30</v>
      </c>
      <c r="D6268" t="s">
        <v>20</v>
      </c>
      <c r="E6268">
        <v>69.400000000000006</v>
      </c>
      <c r="F6268">
        <v>62</v>
      </c>
      <c r="G6268">
        <v>4302.8</v>
      </c>
      <c r="H6268" t="s">
        <v>12</v>
      </c>
      <c r="I6268" t="str">
        <f t="shared" si="292"/>
        <v>Medium Value</v>
      </c>
      <c r="J6268" t="str">
        <f t="shared" si="293"/>
        <v>Low Risk</v>
      </c>
      <c r="K6268" s="3" t="str">
        <f t="shared" si="291"/>
        <v>4+ Years</v>
      </c>
    </row>
    <row r="6269" spans="1:11" x14ac:dyDescent="0.3">
      <c r="A6269" t="s">
        <v>6286</v>
      </c>
      <c r="B6269" t="s">
        <v>9</v>
      </c>
      <c r="C6269" t="s">
        <v>15</v>
      </c>
      <c r="D6269" t="s">
        <v>24</v>
      </c>
      <c r="E6269">
        <v>20.350000000000001</v>
      </c>
      <c r="F6269">
        <v>15</v>
      </c>
      <c r="G6269">
        <v>305.25</v>
      </c>
      <c r="H6269" t="s">
        <v>12</v>
      </c>
      <c r="I6269" t="str">
        <f t="shared" si="292"/>
        <v>Low Value</v>
      </c>
      <c r="J6269" t="str">
        <f t="shared" si="293"/>
        <v>Medium Risk</v>
      </c>
      <c r="K6269" s="3" t="str">
        <f t="shared" si="291"/>
        <v>1-2 Years</v>
      </c>
    </row>
    <row r="6270" spans="1:11" x14ac:dyDescent="0.3">
      <c r="A6270" t="s">
        <v>6287</v>
      </c>
      <c r="B6270" t="s">
        <v>14</v>
      </c>
      <c r="C6270" t="s">
        <v>10</v>
      </c>
      <c r="D6270" t="s">
        <v>16</v>
      </c>
      <c r="E6270">
        <v>20.350000000000001</v>
      </c>
      <c r="F6270">
        <v>2</v>
      </c>
      <c r="G6270">
        <v>40.700000000000003</v>
      </c>
      <c r="H6270" t="s">
        <v>18</v>
      </c>
      <c r="I6270" t="str">
        <f t="shared" si="292"/>
        <v>Low Value</v>
      </c>
      <c r="J6270" t="str">
        <f t="shared" si="293"/>
        <v>High Risk</v>
      </c>
      <c r="K6270" s="3" t="str">
        <f t="shared" si="291"/>
        <v>0-1 Year</v>
      </c>
    </row>
    <row r="6271" spans="1:11" x14ac:dyDescent="0.3">
      <c r="A6271" t="s">
        <v>6288</v>
      </c>
      <c r="B6271" t="s">
        <v>9</v>
      </c>
      <c r="C6271" t="s">
        <v>30</v>
      </c>
      <c r="D6271" t="s">
        <v>20</v>
      </c>
      <c r="E6271">
        <v>104.3</v>
      </c>
      <c r="F6271">
        <v>70</v>
      </c>
      <c r="G6271">
        <v>7301</v>
      </c>
      <c r="H6271" t="s">
        <v>12</v>
      </c>
      <c r="I6271" t="str">
        <f t="shared" si="292"/>
        <v>High Value</v>
      </c>
      <c r="J6271" t="str">
        <f t="shared" si="293"/>
        <v>Low Risk</v>
      </c>
      <c r="K6271" s="3" t="str">
        <f t="shared" si="291"/>
        <v>4+ Years</v>
      </c>
    </row>
    <row r="6272" spans="1:11" x14ac:dyDescent="0.3">
      <c r="A6272" t="s">
        <v>6289</v>
      </c>
      <c r="B6272" t="s">
        <v>9</v>
      </c>
      <c r="C6272" t="s">
        <v>10</v>
      </c>
      <c r="D6272" t="s">
        <v>11</v>
      </c>
      <c r="E6272">
        <v>44.95</v>
      </c>
      <c r="F6272">
        <v>21</v>
      </c>
      <c r="G6272">
        <v>943.95</v>
      </c>
      <c r="H6272" t="s">
        <v>12</v>
      </c>
      <c r="I6272" t="str">
        <f t="shared" si="292"/>
        <v>Low Value</v>
      </c>
      <c r="J6272" t="str">
        <f t="shared" si="293"/>
        <v>Medium Risk</v>
      </c>
      <c r="K6272" s="3" t="str">
        <f t="shared" si="291"/>
        <v>1-2 Years</v>
      </c>
    </row>
    <row r="6273" spans="1:11" x14ac:dyDescent="0.3">
      <c r="A6273" t="s">
        <v>6290</v>
      </c>
      <c r="B6273" t="s">
        <v>9</v>
      </c>
      <c r="C6273" t="s">
        <v>15</v>
      </c>
      <c r="D6273" t="s">
        <v>11</v>
      </c>
      <c r="E6273">
        <v>49.45</v>
      </c>
      <c r="F6273">
        <v>23</v>
      </c>
      <c r="G6273">
        <v>1137.3499999999999</v>
      </c>
      <c r="H6273" t="s">
        <v>12</v>
      </c>
      <c r="I6273" t="str">
        <f t="shared" si="292"/>
        <v>Low Value</v>
      </c>
      <c r="J6273" t="str">
        <f t="shared" si="293"/>
        <v>Medium Risk</v>
      </c>
      <c r="K6273" s="3" t="str">
        <f t="shared" si="291"/>
        <v>1-2 Years</v>
      </c>
    </row>
    <row r="6274" spans="1:11" x14ac:dyDescent="0.3">
      <c r="A6274" t="s">
        <v>6291</v>
      </c>
      <c r="B6274" t="s">
        <v>14</v>
      </c>
      <c r="C6274" t="s">
        <v>15</v>
      </c>
      <c r="D6274" t="s">
        <v>16</v>
      </c>
      <c r="E6274">
        <v>20.6</v>
      </c>
      <c r="F6274">
        <v>6</v>
      </c>
      <c r="G6274">
        <v>123.6</v>
      </c>
      <c r="H6274" t="s">
        <v>12</v>
      </c>
      <c r="I6274" t="str">
        <f t="shared" si="292"/>
        <v>Low Value</v>
      </c>
      <c r="J6274" t="str">
        <f t="shared" si="293"/>
        <v>High Risk</v>
      </c>
      <c r="K6274" s="3" t="str">
        <f t="shared" si="291"/>
        <v>0-1 Year</v>
      </c>
    </row>
    <row r="6275" spans="1:11" x14ac:dyDescent="0.3">
      <c r="A6275" t="s">
        <v>6292</v>
      </c>
      <c r="B6275" t="s">
        <v>14</v>
      </c>
      <c r="C6275" t="s">
        <v>30</v>
      </c>
      <c r="D6275" t="s">
        <v>24</v>
      </c>
      <c r="E6275">
        <v>19.55</v>
      </c>
      <c r="F6275">
        <v>4</v>
      </c>
      <c r="G6275">
        <v>78.2</v>
      </c>
      <c r="H6275" t="s">
        <v>12</v>
      </c>
      <c r="I6275" t="str">
        <f t="shared" si="292"/>
        <v>Low Value</v>
      </c>
      <c r="J6275" t="str">
        <f t="shared" si="293"/>
        <v>High Risk</v>
      </c>
      <c r="K6275" s="3" t="str">
        <f t="shared" ref="K6275:K6338" si="294">IF(F6275&lt;=12,"0-1 Year",
IF(F6275&lt;=24,"1-2 Years",
IF(F6275&lt;=48,"2-4 Years","4+ Years")))</f>
        <v>0-1 Year</v>
      </c>
    </row>
    <row r="6276" spans="1:11" x14ac:dyDescent="0.3">
      <c r="A6276" t="s">
        <v>6293</v>
      </c>
      <c r="B6276" t="s">
        <v>9</v>
      </c>
      <c r="C6276" t="s">
        <v>10</v>
      </c>
      <c r="D6276" t="s">
        <v>24</v>
      </c>
      <c r="E6276">
        <v>99</v>
      </c>
      <c r="F6276">
        <v>3</v>
      </c>
      <c r="G6276">
        <v>297</v>
      </c>
      <c r="H6276" t="s">
        <v>18</v>
      </c>
      <c r="I6276" t="str">
        <f t="shared" ref="I6276:I6339" si="295">IF(G6276&gt;5000,"High Value",
IF(G6276&gt;2000,"Medium Value","Low Value"))</f>
        <v>Low Value</v>
      </c>
      <c r="J6276" t="str">
        <f t="shared" ref="J6276:J6339" si="296">IF(F6276&lt;12,"High Risk",
IF(F6276&lt;24,"Medium Risk","Low Risk"))</f>
        <v>High Risk</v>
      </c>
      <c r="K6276" s="3" t="str">
        <f t="shared" si="294"/>
        <v>0-1 Year</v>
      </c>
    </row>
    <row r="6277" spans="1:11" x14ac:dyDescent="0.3">
      <c r="A6277" t="s">
        <v>6294</v>
      </c>
      <c r="B6277" t="s">
        <v>9</v>
      </c>
      <c r="C6277" t="s">
        <v>10</v>
      </c>
      <c r="D6277" t="s">
        <v>11</v>
      </c>
      <c r="E6277">
        <v>93.5</v>
      </c>
      <c r="F6277">
        <v>23</v>
      </c>
      <c r="G6277">
        <v>2150.5</v>
      </c>
      <c r="H6277" t="s">
        <v>12</v>
      </c>
      <c r="I6277" t="str">
        <f t="shared" si="295"/>
        <v>Medium Value</v>
      </c>
      <c r="J6277" t="str">
        <f t="shared" si="296"/>
        <v>Medium Risk</v>
      </c>
      <c r="K6277" s="3" t="str">
        <f t="shared" si="294"/>
        <v>1-2 Years</v>
      </c>
    </row>
    <row r="6278" spans="1:11" x14ac:dyDescent="0.3">
      <c r="A6278" t="s">
        <v>6295</v>
      </c>
      <c r="B6278" t="s">
        <v>14</v>
      </c>
      <c r="C6278" t="s">
        <v>15</v>
      </c>
      <c r="D6278" t="s">
        <v>24</v>
      </c>
      <c r="E6278">
        <v>54.55</v>
      </c>
      <c r="F6278">
        <v>26</v>
      </c>
      <c r="G6278">
        <v>1418.3</v>
      </c>
      <c r="H6278" t="s">
        <v>12</v>
      </c>
      <c r="I6278" t="str">
        <f t="shared" si="295"/>
        <v>Low Value</v>
      </c>
      <c r="J6278" t="str">
        <f t="shared" si="296"/>
        <v>Low Risk</v>
      </c>
      <c r="K6278" s="3" t="str">
        <f t="shared" si="294"/>
        <v>2-4 Years</v>
      </c>
    </row>
    <row r="6279" spans="1:11" x14ac:dyDescent="0.3">
      <c r="A6279" t="s">
        <v>6296</v>
      </c>
      <c r="B6279" t="s">
        <v>9</v>
      </c>
      <c r="C6279" t="s">
        <v>10</v>
      </c>
      <c r="D6279" t="s">
        <v>16</v>
      </c>
      <c r="E6279">
        <v>20.05</v>
      </c>
      <c r="F6279">
        <v>8</v>
      </c>
      <c r="G6279">
        <v>160.4</v>
      </c>
      <c r="H6279" t="s">
        <v>12</v>
      </c>
      <c r="I6279" t="str">
        <f t="shared" si="295"/>
        <v>Low Value</v>
      </c>
      <c r="J6279" t="str">
        <f t="shared" si="296"/>
        <v>High Risk</v>
      </c>
      <c r="K6279" s="3" t="str">
        <f t="shared" si="294"/>
        <v>0-1 Year</v>
      </c>
    </row>
    <row r="6280" spans="1:11" x14ac:dyDescent="0.3">
      <c r="A6280" t="s">
        <v>6297</v>
      </c>
      <c r="B6280" t="s">
        <v>14</v>
      </c>
      <c r="C6280" t="s">
        <v>10</v>
      </c>
      <c r="D6280" t="s">
        <v>11</v>
      </c>
      <c r="E6280">
        <v>83.95</v>
      </c>
      <c r="F6280">
        <v>26</v>
      </c>
      <c r="G6280">
        <v>2182.6999999999998</v>
      </c>
      <c r="H6280" t="s">
        <v>18</v>
      </c>
      <c r="I6280" t="str">
        <f t="shared" si="295"/>
        <v>Medium Value</v>
      </c>
      <c r="J6280" t="str">
        <f t="shared" si="296"/>
        <v>Low Risk</v>
      </c>
      <c r="K6280" s="3" t="str">
        <f t="shared" si="294"/>
        <v>2-4 Years</v>
      </c>
    </row>
    <row r="6281" spans="1:11" x14ac:dyDescent="0.3">
      <c r="A6281" t="s">
        <v>6298</v>
      </c>
      <c r="B6281" t="s">
        <v>14</v>
      </c>
      <c r="C6281" t="s">
        <v>10</v>
      </c>
      <c r="D6281" t="s">
        <v>11</v>
      </c>
      <c r="E6281">
        <v>79.45</v>
      </c>
      <c r="F6281">
        <v>2</v>
      </c>
      <c r="G6281">
        <v>158.9</v>
      </c>
      <c r="H6281" t="s">
        <v>12</v>
      </c>
      <c r="I6281" t="str">
        <f t="shared" si="295"/>
        <v>Low Value</v>
      </c>
      <c r="J6281" t="str">
        <f t="shared" si="296"/>
        <v>High Risk</v>
      </c>
      <c r="K6281" s="3" t="str">
        <f t="shared" si="294"/>
        <v>0-1 Year</v>
      </c>
    </row>
    <row r="6282" spans="1:11" x14ac:dyDescent="0.3">
      <c r="A6282" t="s">
        <v>6299</v>
      </c>
      <c r="B6282" t="s">
        <v>14</v>
      </c>
      <c r="C6282" t="s">
        <v>30</v>
      </c>
      <c r="D6282" t="s">
        <v>24</v>
      </c>
      <c r="E6282">
        <v>116.2</v>
      </c>
      <c r="F6282">
        <v>67</v>
      </c>
      <c r="G6282">
        <v>7785.4</v>
      </c>
      <c r="H6282" t="s">
        <v>18</v>
      </c>
      <c r="I6282" t="str">
        <f t="shared" si="295"/>
        <v>High Value</v>
      </c>
      <c r="J6282" t="str">
        <f t="shared" si="296"/>
        <v>Low Risk</v>
      </c>
      <c r="K6282" s="3" t="str">
        <f t="shared" si="294"/>
        <v>4+ Years</v>
      </c>
    </row>
    <row r="6283" spans="1:11" x14ac:dyDescent="0.3">
      <c r="A6283" t="s">
        <v>6300</v>
      </c>
      <c r="B6283" t="s">
        <v>9</v>
      </c>
      <c r="C6283" t="s">
        <v>30</v>
      </c>
      <c r="D6283" t="s">
        <v>20</v>
      </c>
      <c r="E6283">
        <v>93.7</v>
      </c>
      <c r="F6283">
        <v>71</v>
      </c>
      <c r="G6283">
        <v>6652.7</v>
      </c>
      <c r="H6283" t="s">
        <v>18</v>
      </c>
      <c r="I6283" t="str">
        <f t="shared" si="295"/>
        <v>High Value</v>
      </c>
      <c r="J6283" t="str">
        <f t="shared" si="296"/>
        <v>Low Risk</v>
      </c>
      <c r="K6283" s="3" t="str">
        <f t="shared" si="294"/>
        <v>4+ Years</v>
      </c>
    </row>
    <row r="6284" spans="1:11" x14ac:dyDescent="0.3">
      <c r="A6284" t="s">
        <v>6301</v>
      </c>
      <c r="B6284" t="s">
        <v>9</v>
      </c>
      <c r="C6284" t="s">
        <v>15</v>
      </c>
      <c r="D6284" t="s">
        <v>24</v>
      </c>
      <c r="E6284">
        <v>79.849999999999994</v>
      </c>
      <c r="F6284">
        <v>59</v>
      </c>
      <c r="G6284">
        <v>4711.1499999999996</v>
      </c>
      <c r="H6284" t="s">
        <v>12</v>
      </c>
      <c r="I6284" t="str">
        <f t="shared" si="295"/>
        <v>Medium Value</v>
      </c>
      <c r="J6284" t="str">
        <f t="shared" si="296"/>
        <v>Low Risk</v>
      </c>
      <c r="K6284" s="3" t="str">
        <f t="shared" si="294"/>
        <v>4+ Years</v>
      </c>
    </row>
    <row r="6285" spans="1:11" x14ac:dyDescent="0.3">
      <c r="A6285" t="s">
        <v>6302</v>
      </c>
      <c r="B6285" t="s">
        <v>14</v>
      </c>
      <c r="C6285" t="s">
        <v>15</v>
      </c>
      <c r="D6285" t="s">
        <v>11</v>
      </c>
      <c r="E6285">
        <v>100</v>
      </c>
      <c r="F6285">
        <v>39</v>
      </c>
      <c r="G6285">
        <v>3900</v>
      </c>
      <c r="H6285" t="s">
        <v>12</v>
      </c>
      <c r="I6285" t="str">
        <f t="shared" si="295"/>
        <v>Medium Value</v>
      </c>
      <c r="J6285" t="str">
        <f t="shared" si="296"/>
        <v>Low Risk</v>
      </c>
      <c r="K6285" s="3" t="str">
        <f t="shared" si="294"/>
        <v>2-4 Years</v>
      </c>
    </row>
    <row r="6286" spans="1:11" x14ac:dyDescent="0.3">
      <c r="A6286" t="s">
        <v>6303</v>
      </c>
      <c r="B6286" t="s">
        <v>14</v>
      </c>
      <c r="C6286" t="s">
        <v>30</v>
      </c>
      <c r="D6286" t="s">
        <v>16</v>
      </c>
      <c r="E6286">
        <v>19.600000000000001</v>
      </c>
      <c r="F6286">
        <v>21</v>
      </c>
      <c r="G6286">
        <v>411.6</v>
      </c>
      <c r="H6286" t="s">
        <v>12</v>
      </c>
      <c r="I6286" t="str">
        <f t="shared" si="295"/>
        <v>Low Value</v>
      </c>
      <c r="J6286" t="str">
        <f t="shared" si="296"/>
        <v>Medium Risk</v>
      </c>
      <c r="K6286" s="3" t="str">
        <f t="shared" si="294"/>
        <v>1-2 Years</v>
      </c>
    </row>
    <row r="6287" spans="1:11" x14ac:dyDescent="0.3">
      <c r="A6287" t="s">
        <v>6304</v>
      </c>
      <c r="B6287" t="s">
        <v>14</v>
      </c>
      <c r="C6287" t="s">
        <v>10</v>
      </c>
      <c r="D6287" t="s">
        <v>16</v>
      </c>
      <c r="E6287">
        <v>19.7</v>
      </c>
      <c r="F6287">
        <v>1</v>
      </c>
      <c r="G6287">
        <v>19.7</v>
      </c>
      <c r="H6287" t="s">
        <v>18</v>
      </c>
      <c r="I6287" t="str">
        <f t="shared" si="295"/>
        <v>Low Value</v>
      </c>
      <c r="J6287" t="str">
        <f t="shared" si="296"/>
        <v>High Risk</v>
      </c>
      <c r="K6287" s="3" t="str">
        <f t="shared" si="294"/>
        <v>0-1 Year</v>
      </c>
    </row>
    <row r="6288" spans="1:11" x14ac:dyDescent="0.3">
      <c r="A6288" t="s">
        <v>6305</v>
      </c>
      <c r="B6288" t="s">
        <v>9</v>
      </c>
      <c r="C6288" t="s">
        <v>30</v>
      </c>
      <c r="D6288" t="s">
        <v>20</v>
      </c>
      <c r="E6288">
        <v>20.2</v>
      </c>
      <c r="F6288">
        <v>48</v>
      </c>
      <c r="G6288">
        <v>969.599999999999</v>
      </c>
      <c r="H6288" t="s">
        <v>12</v>
      </c>
      <c r="I6288" t="str">
        <f t="shared" si="295"/>
        <v>Low Value</v>
      </c>
      <c r="J6288" t="str">
        <f t="shared" si="296"/>
        <v>Low Risk</v>
      </c>
      <c r="K6288" s="3" t="str">
        <f t="shared" si="294"/>
        <v>2-4 Years</v>
      </c>
    </row>
    <row r="6289" spans="1:11" x14ac:dyDescent="0.3">
      <c r="A6289" t="s">
        <v>6306</v>
      </c>
      <c r="B6289" t="s">
        <v>9</v>
      </c>
      <c r="C6289" t="s">
        <v>15</v>
      </c>
      <c r="D6289" t="s">
        <v>24</v>
      </c>
      <c r="E6289">
        <v>50.4</v>
      </c>
      <c r="F6289">
        <v>31</v>
      </c>
      <c r="G6289">
        <v>1562.3999999999901</v>
      </c>
      <c r="H6289" t="s">
        <v>12</v>
      </c>
      <c r="I6289" t="str">
        <f t="shared" si="295"/>
        <v>Low Value</v>
      </c>
      <c r="J6289" t="str">
        <f t="shared" si="296"/>
        <v>Low Risk</v>
      </c>
      <c r="K6289" s="3" t="str">
        <f t="shared" si="294"/>
        <v>2-4 Years</v>
      </c>
    </row>
    <row r="6290" spans="1:11" x14ac:dyDescent="0.3">
      <c r="A6290" t="s">
        <v>6307</v>
      </c>
      <c r="B6290" t="s">
        <v>9</v>
      </c>
      <c r="C6290" t="s">
        <v>15</v>
      </c>
      <c r="D6290" t="s">
        <v>11</v>
      </c>
      <c r="E6290">
        <v>113.35</v>
      </c>
      <c r="F6290">
        <v>64</v>
      </c>
      <c r="G6290">
        <v>7254.4</v>
      </c>
      <c r="H6290" t="s">
        <v>12</v>
      </c>
      <c r="I6290" t="str">
        <f t="shared" si="295"/>
        <v>High Value</v>
      </c>
      <c r="J6290" t="str">
        <f t="shared" si="296"/>
        <v>Low Risk</v>
      </c>
      <c r="K6290" s="3" t="str">
        <f t="shared" si="294"/>
        <v>4+ Years</v>
      </c>
    </row>
    <row r="6291" spans="1:11" x14ac:dyDescent="0.3">
      <c r="A6291" t="s">
        <v>6308</v>
      </c>
      <c r="B6291" t="s">
        <v>14</v>
      </c>
      <c r="C6291" t="s">
        <v>10</v>
      </c>
      <c r="D6291" t="s">
        <v>20</v>
      </c>
      <c r="E6291">
        <v>80</v>
      </c>
      <c r="F6291">
        <v>46</v>
      </c>
      <c r="G6291">
        <v>3680</v>
      </c>
      <c r="H6291" t="s">
        <v>12</v>
      </c>
      <c r="I6291" t="str">
        <f t="shared" si="295"/>
        <v>Medium Value</v>
      </c>
      <c r="J6291" t="str">
        <f t="shared" si="296"/>
        <v>Low Risk</v>
      </c>
      <c r="K6291" s="3" t="str">
        <f t="shared" si="294"/>
        <v>2-4 Years</v>
      </c>
    </row>
    <row r="6292" spans="1:11" x14ac:dyDescent="0.3">
      <c r="A6292" t="s">
        <v>6309</v>
      </c>
      <c r="B6292" t="s">
        <v>9</v>
      </c>
      <c r="C6292" t="s">
        <v>30</v>
      </c>
      <c r="D6292" t="s">
        <v>20</v>
      </c>
      <c r="E6292">
        <v>80.95</v>
      </c>
      <c r="F6292">
        <v>52</v>
      </c>
      <c r="G6292">
        <v>4209.3999999999996</v>
      </c>
      <c r="H6292" t="s">
        <v>12</v>
      </c>
      <c r="I6292" t="str">
        <f t="shared" si="295"/>
        <v>Medium Value</v>
      </c>
      <c r="J6292" t="str">
        <f t="shared" si="296"/>
        <v>Low Risk</v>
      </c>
      <c r="K6292" s="3" t="str">
        <f t="shared" si="294"/>
        <v>4+ Years</v>
      </c>
    </row>
    <row r="6293" spans="1:11" x14ac:dyDescent="0.3">
      <c r="A6293" t="s">
        <v>6310</v>
      </c>
      <c r="B6293" t="s">
        <v>9</v>
      </c>
      <c r="C6293" t="s">
        <v>30</v>
      </c>
      <c r="D6293" t="s">
        <v>16</v>
      </c>
      <c r="E6293">
        <v>24.9</v>
      </c>
      <c r="F6293">
        <v>67</v>
      </c>
      <c r="G6293">
        <v>1668.3</v>
      </c>
      <c r="H6293" t="s">
        <v>12</v>
      </c>
      <c r="I6293" t="str">
        <f t="shared" si="295"/>
        <v>Low Value</v>
      </c>
      <c r="J6293" t="str">
        <f t="shared" si="296"/>
        <v>Low Risk</v>
      </c>
      <c r="K6293" s="3" t="str">
        <f t="shared" si="294"/>
        <v>4+ Years</v>
      </c>
    </row>
    <row r="6294" spans="1:11" x14ac:dyDescent="0.3">
      <c r="A6294" t="s">
        <v>6311</v>
      </c>
      <c r="B6294" t="s">
        <v>9</v>
      </c>
      <c r="C6294" t="s">
        <v>10</v>
      </c>
      <c r="D6294" t="s">
        <v>11</v>
      </c>
      <c r="E6294">
        <v>54.9</v>
      </c>
      <c r="F6294">
        <v>67</v>
      </c>
      <c r="G6294">
        <v>3678.2999999999902</v>
      </c>
      <c r="H6294" t="s">
        <v>12</v>
      </c>
      <c r="I6294" t="str">
        <f t="shared" si="295"/>
        <v>Medium Value</v>
      </c>
      <c r="J6294" t="str">
        <f t="shared" si="296"/>
        <v>Low Risk</v>
      </c>
      <c r="K6294" s="3" t="str">
        <f t="shared" si="294"/>
        <v>4+ Years</v>
      </c>
    </row>
    <row r="6295" spans="1:11" x14ac:dyDescent="0.3">
      <c r="A6295" t="s">
        <v>6312</v>
      </c>
      <c r="B6295" t="s">
        <v>9</v>
      </c>
      <c r="C6295" t="s">
        <v>10</v>
      </c>
      <c r="D6295" t="s">
        <v>11</v>
      </c>
      <c r="E6295">
        <v>75.55</v>
      </c>
      <c r="F6295">
        <v>5</v>
      </c>
      <c r="G6295">
        <v>377.75</v>
      </c>
      <c r="H6295" t="s">
        <v>18</v>
      </c>
      <c r="I6295" t="str">
        <f t="shared" si="295"/>
        <v>Low Value</v>
      </c>
      <c r="J6295" t="str">
        <f t="shared" si="296"/>
        <v>High Risk</v>
      </c>
      <c r="K6295" s="3" t="str">
        <f t="shared" si="294"/>
        <v>0-1 Year</v>
      </c>
    </row>
    <row r="6296" spans="1:11" x14ac:dyDescent="0.3">
      <c r="A6296" t="s">
        <v>6313</v>
      </c>
      <c r="B6296" t="s">
        <v>9</v>
      </c>
      <c r="C6296" t="s">
        <v>30</v>
      </c>
      <c r="D6296" t="s">
        <v>11</v>
      </c>
      <c r="E6296">
        <v>109.25</v>
      </c>
      <c r="F6296">
        <v>71</v>
      </c>
      <c r="G6296">
        <v>7756.75</v>
      </c>
      <c r="H6296" t="s">
        <v>12</v>
      </c>
      <c r="I6296" t="str">
        <f t="shared" si="295"/>
        <v>High Value</v>
      </c>
      <c r="J6296" t="str">
        <f t="shared" si="296"/>
        <v>Low Risk</v>
      </c>
      <c r="K6296" s="3" t="str">
        <f t="shared" si="294"/>
        <v>4+ Years</v>
      </c>
    </row>
    <row r="6297" spans="1:11" x14ac:dyDescent="0.3">
      <c r="A6297" t="s">
        <v>6314</v>
      </c>
      <c r="B6297" t="s">
        <v>9</v>
      </c>
      <c r="C6297" t="s">
        <v>10</v>
      </c>
      <c r="D6297" t="s">
        <v>20</v>
      </c>
      <c r="E6297">
        <v>77.650000000000006</v>
      </c>
      <c r="F6297">
        <v>9</v>
      </c>
      <c r="G6297">
        <v>698.85</v>
      </c>
      <c r="H6297" t="s">
        <v>18</v>
      </c>
      <c r="I6297" t="str">
        <f t="shared" si="295"/>
        <v>Low Value</v>
      </c>
      <c r="J6297" t="str">
        <f t="shared" si="296"/>
        <v>High Risk</v>
      </c>
      <c r="K6297" s="3" t="str">
        <f t="shared" si="294"/>
        <v>0-1 Year</v>
      </c>
    </row>
    <row r="6298" spans="1:11" x14ac:dyDescent="0.3">
      <c r="A6298" t="s">
        <v>6315</v>
      </c>
      <c r="B6298" t="s">
        <v>9</v>
      </c>
      <c r="C6298" t="s">
        <v>10</v>
      </c>
      <c r="D6298" t="s">
        <v>11</v>
      </c>
      <c r="E6298">
        <v>95</v>
      </c>
      <c r="F6298">
        <v>26</v>
      </c>
      <c r="G6298">
        <v>2470</v>
      </c>
      <c r="H6298" t="s">
        <v>18</v>
      </c>
      <c r="I6298" t="str">
        <f t="shared" si="295"/>
        <v>Medium Value</v>
      </c>
      <c r="J6298" t="str">
        <f t="shared" si="296"/>
        <v>Low Risk</v>
      </c>
      <c r="K6298" s="3" t="str">
        <f t="shared" si="294"/>
        <v>2-4 Years</v>
      </c>
    </row>
    <row r="6299" spans="1:11" x14ac:dyDescent="0.3">
      <c r="A6299" t="s">
        <v>6316</v>
      </c>
      <c r="B6299" t="s">
        <v>14</v>
      </c>
      <c r="C6299" t="s">
        <v>15</v>
      </c>
      <c r="D6299" t="s">
        <v>20</v>
      </c>
      <c r="E6299">
        <v>116.3</v>
      </c>
      <c r="F6299">
        <v>71</v>
      </c>
      <c r="G6299">
        <v>8257.2999999999993</v>
      </c>
      <c r="H6299" t="s">
        <v>12</v>
      </c>
      <c r="I6299" t="str">
        <f t="shared" si="295"/>
        <v>High Value</v>
      </c>
      <c r="J6299" t="str">
        <f t="shared" si="296"/>
        <v>Low Risk</v>
      </c>
      <c r="K6299" s="3" t="str">
        <f t="shared" si="294"/>
        <v>4+ Years</v>
      </c>
    </row>
    <row r="6300" spans="1:11" x14ac:dyDescent="0.3">
      <c r="A6300" t="s">
        <v>6317</v>
      </c>
      <c r="B6300" t="s">
        <v>9</v>
      </c>
      <c r="C6300" t="s">
        <v>10</v>
      </c>
      <c r="D6300" t="s">
        <v>20</v>
      </c>
      <c r="E6300">
        <v>19.899999999999999</v>
      </c>
      <c r="F6300">
        <v>32</v>
      </c>
      <c r="G6300">
        <v>636.79999999999995</v>
      </c>
      <c r="H6300" t="s">
        <v>12</v>
      </c>
      <c r="I6300" t="str">
        <f t="shared" si="295"/>
        <v>Low Value</v>
      </c>
      <c r="J6300" t="str">
        <f t="shared" si="296"/>
        <v>Low Risk</v>
      </c>
      <c r="K6300" s="3" t="str">
        <f t="shared" si="294"/>
        <v>2-4 Years</v>
      </c>
    </row>
    <row r="6301" spans="1:11" x14ac:dyDescent="0.3">
      <c r="A6301" t="s">
        <v>6318</v>
      </c>
      <c r="B6301" t="s">
        <v>9</v>
      </c>
      <c r="C6301" t="s">
        <v>10</v>
      </c>
      <c r="D6301" t="s">
        <v>11</v>
      </c>
      <c r="E6301">
        <v>70.349999999999994</v>
      </c>
      <c r="F6301">
        <v>2</v>
      </c>
      <c r="G6301">
        <v>140.69999999999999</v>
      </c>
      <c r="H6301" t="s">
        <v>12</v>
      </c>
      <c r="I6301" t="str">
        <f t="shared" si="295"/>
        <v>Low Value</v>
      </c>
      <c r="J6301" t="str">
        <f t="shared" si="296"/>
        <v>High Risk</v>
      </c>
      <c r="K6301" s="3" t="str">
        <f t="shared" si="294"/>
        <v>0-1 Year</v>
      </c>
    </row>
    <row r="6302" spans="1:11" x14ac:dyDescent="0.3">
      <c r="A6302" t="s">
        <v>6319</v>
      </c>
      <c r="B6302" t="s">
        <v>9</v>
      </c>
      <c r="C6302" t="s">
        <v>30</v>
      </c>
      <c r="D6302" t="s">
        <v>24</v>
      </c>
      <c r="E6302">
        <v>25.6</v>
      </c>
      <c r="F6302">
        <v>71</v>
      </c>
      <c r="G6302">
        <v>1817.6</v>
      </c>
      <c r="H6302" t="s">
        <v>12</v>
      </c>
      <c r="I6302" t="str">
        <f t="shared" si="295"/>
        <v>Low Value</v>
      </c>
      <c r="J6302" t="str">
        <f t="shared" si="296"/>
        <v>Low Risk</v>
      </c>
      <c r="K6302" s="3" t="str">
        <f t="shared" si="294"/>
        <v>4+ Years</v>
      </c>
    </row>
    <row r="6303" spans="1:11" x14ac:dyDescent="0.3">
      <c r="A6303" t="s">
        <v>6320</v>
      </c>
      <c r="B6303" t="s">
        <v>9</v>
      </c>
      <c r="C6303" t="s">
        <v>15</v>
      </c>
      <c r="D6303" t="s">
        <v>11</v>
      </c>
      <c r="E6303">
        <v>44.45</v>
      </c>
      <c r="F6303">
        <v>60</v>
      </c>
      <c r="G6303">
        <v>2667</v>
      </c>
      <c r="H6303" t="s">
        <v>12</v>
      </c>
      <c r="I6303" t="str">
        <f t="shared" si="295"/>
        <v>Medium Value</v>
      </c>
      <c r="J6303" t="str">
        <f t="shared" si="296"/>
        <v>Low Risk</v>
      </c>
      <c r="K6303" s="3" t="str">
        <f t="shared" si="294"/>
        <v>4+ Years</v>
      </c>
    </row>
    <row r="6304" spans="1:11" x14ac:dyDescent="0.3">
      <c r="A6304" t="s">
        <v>6321</v>
      </c>
      <c r="B6304" t="s">
        <v>9</v>
      </c>
      <c r="C6304" t="s">
        <v>15</v>
      </c>
      <c r="D6304" t="s">
        <v>11</v>
      </c>
      <c r="E6304">
        <v>100.15</v>
      </c>
      <c r="F6304">
        <v>55</v>
      </c>
      <c r="G6304">
        <v>5508.25</v>
      </c>
      <c r="H6304" t="s">
        <v>12</v>
      </c>
      <c r="I6304" t="str">
        <f t="shared" si="295"/>
        <v>High Value</v>
      </c>
      <c r="J6304" t="str">
        <f t="shared" si="296"/>
        <v>Low Risk</v>
      </c>
      <c r="K6304" s="3" t="str">
        <f t="shared" si="294"/>
        <v>4+ Years</v>
      </c>
    </row>
    <row r="6305" spans="1:11" x14ac:dyDescent="0.3">
      <c r="A6305" t="s">
        <v>6322</v>
      </c>
      <c r="B6305" t="s">
        <v>14</v>
      </c>
      <c r="C6305" t="s">
        <v>15</v>
      </c>
      <c r="D6305" t="s">
        <v>24</v>
      </c>
      <c r="E6305">
        <v>105.4</v>
      </c>
      <c r="F6305">
        <v>54</v>
      </c>
      <c r="G6305">
        <v>5691.6</v>
      </c>
      <c r="H6305" t="s">
        <v>18</v>
      </c>
      <c r="I6305" t="str">
        <f t="shared" si="295"/>
        <v>High Value</v>
      </c>
      <c r="J6305" t="str">
        <f t="shared" si="296"/>
        <v>Low Risk</v>
      </c>
      <c r="K6305" s="3" t="str">
        <f t="shared" si="294"/>
        <v>4+ Years</v>
      </c>
    </row>
    <row r="6306" spans="1:11" x14ac:dyDescent="0.3">
      <c r="A6306" t="s">
        <v>6323</v>
      </c>
      <c r="B6306" t="s">
        <v>14</v>
      </c>
      <c r="C6306" t="s">
        <v>10</v>
      </c>
      <c r="D6306" t="s">
        <v>11</v>
      </c>
      <c r="E6306">
        <v>95.85</v>
      </c>
      <c r="F6306">
        <v>2</v>
      </c>
      <c r="G6306">
        <v>191.7</v>
      </c>
      <c r="H6306" t="s">
        <v>18</v>
      </c>
      <c r="I6306" t="str">
        <f t="shared" si="295"/>
        <v>Low Value</v>
      </c>
      <c r="J6306" t="str">
        <f t="shared" si="296"/>
        <v>High Risk</v>
      </c>
      <c r="K6306" s="3" t="str">
        <f t="shared" si="294"/>
        <v>0-1 Year</v>
      </c>
    </row>
    <row r="6307" spans="1:11" x14ac:dyDescent="0.3">
      <c r="A6307" t="s">
        <v>6324</v>
      </c>
      <c r="B6307" t="s">
        <v>9</v>
      </c>
      <c r="C6307" t="s">
        <v>10</v>
      </c>
      <c r="D6307" t="s">
        <v>16</v>
      </c>
      <c r="E6307">
        <v>73.849999999999994</v>
      </c>
      <c r="F6307">
        <v>6</v>
      </c>
      <c r="G6307">
        <v>443.099999999999</v>
      </c>
      <c r="H6307" t="s">
        <v>12</v>
      </c>
      <c r="I6307" t="str">
        <f t="shared" si="295"/>
        <v>Low Value</v>
      </c>
      <c r="J6307" t="str">
        <f t="shared" si="296"/>
        <v>High Risk</v>
      </c>
      <c r="K6307" s="3" t="str">
        <f t="shared" si="294"/>
        <v>0-1 Year</v>
      </c>
    </row>
    <row r="6308" spans="1:11" x14ac:dyDescent="0.3">
      <c r="A6308" t="s">
        <v>6325</v>
      </c>
      <c r="B6308" t="s">
        <v>9</v>
      </c>
      <c r="C6308" t="s">
        <v>30</v>
      </c>
      <c r="D6308" t="s">
        <v>24</v>
      </c>
      <c r="E6308">
        <v>70.099999999999994</v>
      </c>
      <c r="F6308">
        <v>48</v>
      </c>
      <c r="G6308">
        <v>3364.7999999999902</v>
      </c>
      <c r="H6308" t="s">
        <v>12</v>
      </c>
      <c r="I6308" t="str">
        <f t="shared" si="295"/>
        <v>Medium Value</v>
      </c>
      <c r="J6308" t="str">
        <f t="shared" si="296"/>
        <v>Low Risk</v>
      </c>
      <c r="K6308" s="3" t="str">
        <f t="shared" si="294"/>
        <v>2-4 Years</v>
      </c>
    </row>
    <row r="6309" spans="1:11" x14ac:dyDescent="0.3">
      <c r="A6309" t="s">
        <v>6326</v>
      </c>
      <c r="B6309" t="s">
        <v>14</v>
      </c>
      <c r="C6309" t="s">
        <v>30</v>
      </c>
      <c r="D6309" t="s">
        <v>16</v>
      </c>
      <c r="E6309">
        <v>25.25</v>
      </c>
      <c r="F6309">
        <v>63</v>
      </c>
      <c r="G6309">
        <v>1590.75</v>
      </c>
      <c r="H6309" t="s">
        <v>12</v>
      </c>
      <c r="I6309" t="str">
        <f t="shared" si="295"/>
        <v>Low Value</v>
      </c>
      <c r="J6309" t="str">
        <f t="shared" si="296"/>
        <v>Low Risk</v>
      </c>
      <c r="K6309" s="3" t="str">
        <f t="shared" si="294"/>
        <v>4+ Years</v>
      </c>
    </row>
    <row r="6310" spans="1:11" x14ac:dyDescent="0.3">
      <c r="A6310" t="s">
        <v>6327</v>
      </c>
      <c r="B6310" t="s">
        <v>14</v>
      </c>
      <c r="C6310" t="s">
        <v>10</v>
      </c>
      <c r="D6310" t="s">
        <v>11</v>
      </c>
      <c r="E6310">
        <v>79.150000000000006</v>
      </c>
      <c r="F6310">
        <v>1</v>
      </c>
      <c r="G6310">
        <v>79.150000000000006</v>
      </c>
      <c r="H6310" t="s">
        <v>18</v>
      </c>
      <c r="I6310" t="str">
        <f t="shared" si="295"/>
        <v>Low Value</v>
      </c>
      <c r="J6310" t="str">
        <f t="shared" si="296"/>
        <v>High Risk</v>
      </c>
      <c r="K6310" s="3" t="str">
        <f t="shared" si="294"/>
        <v>0-1 Year</v>
      </c>
    </row>
    <row r="6311" spans="1:11" x14ac:dyDescent="0.3">
      <c r="A6311" t="s">
        <v>6328</v>
      </c>
      <c r="B6311" t="s">
        <v>14</v>
      </c>
      <c r="C6311" t="s">
        <v>10</v>
      </c>
      <c r="D6311" t="s">
        <v>24</v>
      </c>
      <c r="E6311">
        <v>21.05</v>
      </c>
      <c r="F6311">
        <v>12</v>
      </c>
      <c r="G6311">
        <v>252.6</v>
      </c>
      <c r="H6311" t="s">
        <v>12</v>
      </c>
      <c r="I6311" t="str">
        <f t="shared" si="295"/>
        <v>Low Value</v>
      </c>
      <c r="J6311" t="str">
        <f t="shared" si="296"/>
        <v>Medium Risk</v>
      </c>
      <c r="K6311" s="3" t="str">
        <f t="shared" si="294"/>
        <v>0-1 Year</v>
      </c>
    </row>
    <row r="6312" spans="1:11" x14ac:dyDescent="0.3">
      <c r="A6312" t="s">
        <v>6329</v>
      </c>
      <c r="B6312" t="s">
        <v>14</v>
      </c>
      <c r="C6312" t="s">
        <v>10</v>
      </c>
      <c r="D6312" t="s">
        <v>20</v>
      </c>
      <c r="E6312">
        <v>24.95</v>
      </c>
      <c r="F6312">
        <v>54</v>
      </c>
      <c r="G6312">
        <v>1347.3</v>
      </c>
      <c r="H6312" t="s">
        <v>12</v>
      </c>
      <c r="I6312" t="str">
        <f t="shared" si="295"/>
        <v>Low Value</v>
      </c>
      <c r="J6312" t="str">
        <f t="shared" si="296"/>
        <v>Low Risk</v>
      </c>
      <c r="K6312" s="3" t="str">
        <f t="shared" si="294"/>
        <v>4+ Years</v>
      </c>
    </row>
    <row r="6313" spans="1:11" x14ac:dyDescent="0.3">
      <c r="A6313" t="s">
        <v>6330</v>
      </c>
      <c r="B6313" t="s">
        <v>9</v>
      </c>
      <c r="C6313" t="s">
        <v>15</v>
      </c>
      <c r="D6313" t="s">
        <v>11</v>
      </c>
      <c r="E6313">
        <v>64.5</v>
      </c>
      <c r="F6313">
        <v>30</v>
      </c>
      <c r="G6313">
        <v>1935</v>
      </c>
      <c r="H6313" t="s">
        <v>12</v>
      </c>
      <c r="I6313" t="str">
        <f t="shared" si="295"/>
        <v>Low Value</v>
      </c>
      <c r="J6313" t="str">
        <f t="shared" si="296"/>
        <v>Low Risk</v>
      </c>
      <c r="K6313" s="3" t="str">
        <f t="shared" si="294"/>
        <v>2-4 Years</v>
      </c>
    </row>
    <row r="6314" spans="1:11" x14ac:dyDescent="0.3">
      <c r="A6314" t="s">
        <v>6331</v>
      </c>
      <c r="B6314" t="s">
        <v>9</v>
      </c>
      <c r="C6314" t="s">
        <v>10</v>
      </c>
      <c r="D6314" t="s">
        <v>20</v>
      </c>
      <c r="E6314">
        <v>19.649999999999999</v>
      </c>
      <c r="F6314">
        <v>30</v>
      </c>
      <c r="G6314">
        <v>589.5</v>
      </c>
      <c r="H6314" t="s">
        <v>18</v>
      </c>
      <c r="I6314" t="str">
        <f t="shared" si="295"/>
        <v>Low Value</v>
      </c>
      <c r="J6314" t="str">
        <f t="shared" si="296"/>
        <v>Low Risk</v>
      </c>
      <c r="K6314" s="3" t="str">
        <f t="shared" si="294"/>
        <v>2-4 Years</v>
      </c>
    </row>
    <row r="6315" spans="1:11" x14ac:dyDescent="0.3">
      <c r="A6315" t="s">
        <v>6332</v>
      </c>
      <c r="B6315" t="s">
        <v>9</v>
      </c>
      <c r="C6315" t="s">
        <v>10</v>
      </c>
      <c r="D6315" t="s">
        <v>11</v>
      </c>
      <c r="E6315">
        <v>79</v>
      </c>
      <c r="F6315">
        <v>4</v>
      </c>
      <c r="G6315">
        <v>316</v>
      </c>
      <c r="H6315" t="s">
        <v>18</v>
      </c>
      <c r="I6315" t="str">
        <f t="shared" si="295"/>
        <v>Low Value</v>
      </c>
      <c r="J6315" t="str">
        <f t="shared" si="296"/>
        <v>High Risk</v>
      </c>
      <c r="K6315" s="3" t="str">
        <f t="shared" si="294"/>
        <v>0-1 Year</v>
      </c>
    </row>
    <row r="6316" spans="1:11" x14ac:dyDescent="0.3">
      <c r="A6316" t="s">
        <v>6333</v>
      </c>
      <c r="B6316" t="s">
        <v>9</v>
      </c>
      <c r="C6316" t="s">
        <v>15</v>
      </c>
      <c r="D6316" t="s">
        <v>24</v>
      </c>
      <c r="E6316">
        <v>105.95</v>
      </c>
      <c r="F6316">
        <v>40</v>
      </c>
      <c r="G6316">
        <v>4238</v>
      </c>
      <c r="H6316" t="s">
        <v>12</v>
      </c>
      <c r="I6316" t="str">
        <f t="shared" si="295"/>
        <v>Medium Value</v>
      </c>
      <c r="J6316" t="str">
        <f t="shared" si="296"/>
        <v>Low Risk</v>
      </c>
      <c r="K6316" s="3" t="str">
        <f t="shared" si="294"/>
        <v>2-4 Years</v>
      </c>
    </row>
    <row r="6317" spans="1:11" x14ac:dyDescent="0.3">
      <c r="A6317" t="s">
        <v>6334</v>
      </c>
      <c r="B6317" t="s">
        <v>9</v>
      </c>
      <c r="C6317" t="s">
        <v>10</v>
      </c>
      <c r="D6317" t="s">
        <v>11</v>
      </c>
      <c r="E6317">
        <v>75.849999999999994</v>
      </c>
      <c r="F6317">
        <v>9</v>
      </c>
      <c r="G6317">
        <v>682.65</v>
      </c>
      <c r="H6317" t="s">
        <v>12</v>
      </c>
      <c r="I6317" t="str">
        <f t="shared" si="295"/>
        <v>Low Value</v>
      </c>
      <c r="J6317" t="str">
        <f t="shared" si="296"/>
        <v>High Risk</v>
      </c>
      <c r="K6317" s="3" t="str">
        <f t="shared" si="294"/>
        <v>0-1 Year</v>
      </c>
    </row>
    <row r="6318" spans="1:11" x14ac:dyDescent="0.3">
      <c r="A6318" t="s">
        <v>6335</v>
      </c>
      <c r="B6318" t="s">
        <v>9</v>
      </c>
      <c r="C6318" t="s">
        <v>10</v>
      </c>
      <c r="D6318" t="s">
        <v>11</v>
      </c>
      <c r="E6318">
        <v>91.85</v>
      </c>
      <c r="F6318">
        <v>17</v>
      </c>
      <c r="G6318">
        <v>1561.44999999999</v>
      </c>
      <c r="H6318" t="s">
        <v>18</v>
      </c>
      <c r="I6318" t="str">
        <f t="shared" si="295"/>
        <v>Low Value</v>
      </c>
      <c r="J6318" t="str">
        <f t="shared" si="296"/>
        <v>Medium Risk</v>
      </c>
      <c r="K6318" s="3" t="str">
        <f t="shared" si="294"/>
        <v>1-2 Years</v>
      </c>
    </row>
    <row r="6319" spans="1:11" x14ac:dyDescent="0.3">
      <c r="A6319" t="s">
        <v>6336</v>
      </c>
      <c r="B6319" t="s">
        <v>9</v>
      </c>
      <c r="C6319" t="s">
        <v>30</v>
      </c>
      <c r="D6319" t="s">
        <v>24</v>
      </c>
      <c r="E6319">
        <v>43.6</v>
      </c>
      <c r="F6319">
        <v>62</v>
      </c>
      <c r="G6319">
        <v>2703.2</v>
      </c>
      <c r="H6319" t="s">
        <v>12</v>
      </c>
      <c r="I6319" t="str">
        <f t="shared" si="295"/>
        <v>Medium Value</v>
      </c>
      <c r="J6319" t="str">
        <f t="shared" si="296"/>
        <v>Low Risk</v>
      </c>
      <c r="K6319" s="3" t="str">
        <f t="shared" si="294"/>
        <v>4+ Years</v>
      </c>
    </row>
    <row r="6320" spans="1:11" x14ac:dyDescent="0.3">
      <c r="A6320" t="s">
        <v>6337</v>
      </c>
      <c r="B6320" t="s">
        <v>14</v>
      </c>
      <c r="C6320" t="s">
        <v>15</v>
      </c>
      <c r="D6320" t="s">
        <v>20</v>
      </c>
      <c r="E6320">
        <v>91.25</v>
      </c>
      <c r="F6320">
        <v>28</v>
      </c>
      <c r="G6320">
        <v>2555</v>
      </c>
      <c r="H6320" t="s">
        <v>12</v>
      </c>
      <c r="I6320" t="str">
        <f t="shared" si="295"/>
        <v>Medium Value</v>
      </c>
      <c r="J6320" t="str">
        <f t="shared" si="296"/>
        <v>Low Risk</v>
      </c>
      <c r="K6320" s="3" t="str">
        <f t="shared" si="294"/>
        <v>2-4 Years</v>
      </c>
    </row>
    <row r="6321" spans="1:11" x14ac:dyDescent="0.3">
      <c r="A6321" t="s">
        <v>6338</v>
      </c>
      <c r="B6321" t="s">
        <v>9</v>
      </c>
      <c r="C6321" t="s">
        <v>30</v>
      </c>
      <c r="D6321" t="s">
        <v>24</v>
      </c>
      <c r="E6321">
        <v>89.75</v>
      </c>
      <c r="F6321">
        <v>70</v>
      </c>
      <c r="G6321">
        <v>6282.5</v>
      </c>
      <c r="H6321" t="s">
        <v>12</v>
      </c>
      <c r="I6321" t="str">
        <f t="shared" si="295"/>
        <v>High Value</v>
      </c>
      <c r="J6321" t="str">
        <f t="shared" si="296"/>
        <v>Low Risk</v>
      </c>
      <c r="K6321" s="3" t="str">
        <f t="shared" si="294"/>
        <v>4+ Years</v>
      </c>
    </row>
    <row r="6322" spans="1:11" x14ac:dyDescent="0.3">
      <c r="A6322" t="s">
        <v>6339</v>
      </c>
      <c r="B6322" t="s">
        <v>9</v>
      </c>
      <c r="C6322" t="s">
        <v>30</v>
      </c>
      <c r="D6322" t="s">
        <v>20</v>
      </c>
      <c r="E6322">
        <v>104.4</v>
      </c>
      <c r="F6322">
        <v>46</v>
      </c>
      <c r="G6322">
        <v>4802.3999999999996</v>
      </c>
      <c r="H6322" t="s">
        <v>12</v>
      </c>
      <c r="I6322" t="str">
        <f t="shared" si="295"/>
        <v>Medium Value</v>
      </c>
      <c r="J6322" t="str">
        <f t="shared" si="296"/>
        <v>Low Risk</v>
      </c>
      <c r="K6322" s="3" t="str">
        <f t="shared" si="294"/>
        <v>2-4 Years</v>
      </c>
    </row>
    <row r="6323" spans="1:11" x14ac:dyDescent="0.3">
      <c r="A6323" t="s">
        <v>6340</v>
      </c>
      <c r="B6323" t="s">
        <v>9</v>
      </c>
      <c r="C6323" t="s">
        <v>10</v>
      </c>
      <c r="D6323" t="s">
        <v>16</v>
      </c>
      <c r="E6323">
        <v>90.15</v>
      </c>
      <c r="F6323">
        <v>23</v>
      </c>
      <c r="G6323">
        <v>2073.4499999999998</v>
      </c>
      <c r="H6323" t="s">
        <v>12</v>
      </c>
      <c r="I6323" t="str">
        <f t="shared" si="295"/>
        <v>Medium Value</v>
      </c>
      <c r="J6323" t="str">
        <f t="shared" si="296"/>
        <v>Medium Risk</v>
      </c>
      <c r="K6323" s="3" t="str">
        <f t="shared" si="294"/>
        <v>1-2 Years</v>
      </c>
    </row>
    <row r="6324" spans="1:11" x14ac:dyDescent="0.3">
      <c r="A6324" t="s">
        <v>6341</v>
      </c>
      <c r="B6324" t="s">
        <v>14</v>
      </c>
      <c r="C6324" t="s">
        <v>15</v>
      </c>
      <c r="D6324" t="s">
        <v>11</v>
      </c>
      <c r="E6324">
        <v>40.299999999999997</v>
      </c>
      <c r="F6324">
        <v>47</v>
      </c>
      <c r="G6324">
        <v>1894.1</v>
      </c>
      <c r="H6324" t="s">
        <v>12</v>
      </c>
      <c r="I6324" t="str">
        <f t="shared" si="295"/>
        <v>Low Value</v>
      </c>
      <c r="J6324" t="str">
        <f t="shared" si="296"/>
        <v>Low Risk</v>
      </c>
      <c r="K6324" s="3" t="str">
        <f t="shared" si="294"/>
        <v>2-4 Years</v>
      </c>
    </row>
    <row r="6325" spans="1:11" x14ac:dyDescent="0.3">
      <c r="A6325" t="s">
        <v>6342</v>
      </c>
      <c r="B6325" t="s">
        <v>14</v>
      </c>
      <c r="C6325" t="s">
        <v>30</v>
      </c>
      <c r="D6325" t="s">
        <v>20</v>
      </c>
      <c r="E6325">
        <v>105.25</v>
      </c>
      <c r="F6325">
        <v>68</v>
      </c>
      <c r="G6325">
        <v>7157</v>
      </c>
      <c r="H6325" t="s">
        <v>12</v>
      </c>
      <c r="I6325" t="str">
        <f t="shared" si="295"/>
        <v>High Value</v>
      </c>
      <c r="J6325" t="str">
        <f t="shared" si="296"/>
        <v>Low Risk</v>
      </c>
      <c r="K6325" s="3" t="str">
        <f t="shared" si="294"/>
        <v>4+ Years</v>
      </c>
    </row>
    <row r="6326" spans="1:11" x14ac:dyDescent="0.3">
      <c r="A6326" t="s">
        <v>6343</v>
      </c>
      <c r="B6326" t="s">
        <v>9</v>
      </c>
      <c r="C6326" t="s">
        <v>15</v>
      </c>
      <c r="D6326" t="s">
        <v>11</v>
      </c>
      <c r="E6326">
        <v>106</v>
      </c>
      <c r="F6326">
        <v>60</v>
      </c>
      <c r="G6326">
        <v>6360</v>
      </c>
      <c r="H6326" t="s">
        <v>18</v>
      </c>
      <c r="I6326" t="str">
        <f t="shared" si="295"/>
        <v>High Value</v>
      </c>
      <c r="J6326" t="str">
        <f t="shared" si="296"/>
        <v>Low Risk</v>
      </c>
      <c r="K6326" s="3" t="str">
        <f t="shared" si="294"/>
        <v>4+ Years</v>
      </c>
    </row>
    <row r="6327" spans="1:11" x14ac:dyDescent="0.3">
      <c r="A6327" t="s">
        <v>6344</v>
      </c>
      <c r="B6327" t="s">
        <v>9</v>
      </c>
      <c r="C6327" t="s">
        <v>30</v>
      </c>
      <c r="D6327" t="s">
        <v>11</v>
      </c>
      <c r="E6327">
        <v>104</v>
      </c>
      <c r="F6327">
        <v>67</v>
      </c>
      <c r="G6327">
        <v>6968</v>
      </c>
      <c r="H6327" t="s">
        <v>12</v>
      </c>
      <c r="I6327" t="str">
        <f t="shared" si="295"/>
        <v>High Value</v>
      </c>
      <c r="J6327" t="str">
        <f t="shared" si="296"/>
        <v>Low Risk</v>
      </c>
      <c r="K6327" s="3" t="str">
        <f t="shared" si="294"/>
        <v>4+ Years</v>
      </c>
    </row>
    <row r="6328" spans="1:11" x14ac:dyDescent="0.3">
      <c r="A6328" t="s">
        <v>6345</v>
      </c>
      <c r="B6328" t="s">
        <v>9</v>
      </c>
      <c r="C6328" t="s">
        <v>10</v>
      </c>
      <c r="D6328" t="s">
        <v>11</v>
      </c>
      <c r="E6328">
        <v>69.650000000000006</v>
      </c>
      <c r="F6328">
        <v>14</v>
      </c>
      <c r="G6328">
        <v>975.1</v>
      </c>
      <c r="H6328" t="s">
        <v>12</v>
      </c>
      <c r="I6328" t="str">
        <f t="shared" si="295"/>
        <v>Low Value</v>
      </c>
      <c r="J6328" t="str">
        <f t="shared" si="296"/>
        <v>Medium Risk</v>
      </c>
      <c r="K6328" s="3" t="str">
        <f t="shared" si="294"/>
        <v>1-2 Years</v>
      </c>
    </row>
    <row r="6329" spans="1:11" x14ac:dyDescent="0.3">
      <c r="A6329" t="s">
        <v>6346</v>
      </c>
      <c r="B6329" t="s">
        <v>14</v>
      </c>
      <c r="C6329" t="s">
        <v>10</v>
      </c>
      <c r="D6329" t="s">
        <v>11</v>
      </c>
      <c r="E6329">
        <v>74.3</v>
      </c>
      <c r="F6329">
        <v>57</v>
      </c>
      <c r="G6329">
        <v>4235.0999999999904</v>
      </c>
      <c r="H6329" t="s">
        <v>12</v>
      </c>
      <c r="I6329" t="str">
        <f t="shared" si="295"/>
        <v>Medium Value</v>
      </c>
      <c r="J6329" t="str">
        <f t="shared" si="296"/>
        <v>Low Risk</v>
      </c>
      <c r="K6329" s="3" t="str">
        <f t="shared" si="294"/>
        <v>4+ Years</v>
      </c>
    </row>
    <row r="6330" spans="1:11" x14ac:dyDescent="0.3">
      <c r="A6330" t="s">
        <v>6347</v>
      </c>
      <c r="B6330" t="s">
        <v>9</v>
      </c>
      <c r="C6330" t="s">
        <v>15</v>
      </c>
      <c r="D6330" t="s">
        <v>16</v>
      </c>
      <c r="E6330">
        <v>100.9</v>
      </c>
      <c r="F6330">
        <v>55</v>
      </c>
      <c r="G6330">
        <v>5549.5</v>
      </c>
      <c r="H6330" t="s">
        <v>12</v>
      </c>
      <c r="I6330" t="str">
        <f t="shared" si="295"/>
        <v>High Value</v>
      </c>
      <c r="J6330" t="str">
        <f t="shared" si="296"/>
        <v>Low Risk</v>
      </c>
      <c r="K6330" s="3" t="str">
        <f t="shared" si="294"/>
        <v>4+ Years</v>
      </c>
    </row>
    <row r="6331" spans="1:11" x14ac:dyDescent="0.3">
      <c r="A6331" t="s">
        <v>6348</v>
      </c>
      <c r="B6331" t="s">
        <v>14</v>
      </c>
      <c r="C6331" t="s">
        <v>10</v>
      </c>
      <c r="D6331" t="s">
        <v>16</v>
      </c>
      <c r="E6331">
        <v>20.25</v>
      </c>
      <c r="F6331">
        <v>1</v>
      </c>
      <c r="G6331">
        <v>20.25</v>
      </c>
      <c r="H6331" t="s">
        <v>12</v>
      </c>
      <c r="I6331" t="str">
        <f t="shared" si="295"/>
        <v>Low Value</v>
      </c>
      <c r="J6331" t="str">
        <f t="shared" si="296"/>
        <v>High Risk</v>
      </c>
      <c r="K6331" s="3" t="str">
        <f t="shared" si="294"/>
        <v>0-1 Year</v>
      </c>
    </row>
    <row r="6332" spans="1:11" x14ac:dyDescent="0.3">
      <c r="A6332" t="s">
        <v>6349</v>
      </c>
      <c r="B6332" t="s">
        <v>14</v>
      </c>
      <c r="C6332" t="s">
        <v>10</v>
      </c>
      <c r="D6332" t="s">
        <v>16</v>
      </c>
      <c r="E6332">
        <v>49.9</v>
      </c>
      <c r="F6332">
        <v>1</v>
      </c>
      <c r="G6332">
        <v>49.9</v>
      </c>
      <c r="H6332" t="s">
        <v>18</v>
      </c>
      <c r="I6332" t="str">
        <f t="shared" si="295"/>
        <v>Low Value</v>
      </c>
      <c r="J6332" t="str">
        <f t="shared" si="296"/>
        <v>High Risk</v>
      </c>
      <c r="K6332" s="3" t="str">
        <f t="shared" si="294"/>
        <v>0-1 Year</v>
      </c>
    </row>
    <row r="6333" spans="1:11" x14ac:dyDescent="0.3">
      <c r="A6333" t="s">
        <v>6350</v>
      </c>
      <c r="B6333" t="s">
        <v>14</v>
      </c>
      <c r="C6333" t="s">
        <v>10</v>
      </c>
      <c r="D6333" t="s">
        <v>24</v>
      </c>
      <c r="E6333">
        <v>96.9</v>
      </c>
      <c r="F6333">
        <v>23</v>
      </c>
      <c r="G6333">
        <v>2228.6999999999998</v>
      </c>
      <c r="H6333" t="s">
        <v>12</v>
      </c>
      <c r="I6333" t="str">
        <f t="shared" si="295"/>
        <v>Medium Value</v>
      </c>
      <c r="J6333" t="str">
        <f t="shared" si="296"/>
        <v>Medium Risk</v>
      </c>
      <c r="K6333" s="3" t="str">
        <f t="shared" si="294"/>
        <v>1-2 Years</v>
      </c>
    </row>
    <row r="6334" spans="1:11" x14ac:dyDescent="0.3">
      <c r="A6334" t="s">
        <v>6351</v>
      </c>
      <c r="B6334" t="s">
        <v>9</v>
      </c>
      <c r="C6334" t="s">
        <v>10</v>
      </c>
      <c r="D6334" t="s">
        <v>11</v>
      </c>
      <c r="E6334">
        <v>100.35</v>
      </c>
      <c r="F6334">
        <v>13</v>
      </c>
      <c r="G6334">
        <v>1304.55</v>
      </c>
      <c r="H6334" t="s">
        <v>18</v>
      </c>
      <c r="I6334" t="str">
        <f t="shared" si="295"/>
        <v>Low Value</v>
      </c>
      <c r="J6334" t="str">
        <f t="shared" si="296"/>
        <v>Medium Risk</v>
      </c>
      <c r="K6334" s="3" t="str">
        <f t="shared" si="294"/>
        <v>1-2 Years</v>
      </c>
    </row>
    <row r="6335" spans="1:11" x14ac:dyDescent="0.3">
      <c r="A6335" t="s">
        <v>6352</v>
      </c>
      <c r="B6335" t="s">
        <v>14</v>
      </c>
      <c r="C6335" t="s">
        <v>10</v>
      </c>
      <c r="D6335" t="s">
        <v>11</v>
      </c>
      <c r="E6335">
        <v>104.1</v>
      </c>
      <c r="F6335">
        <v>47</v>
      </c>
      <c r="G6335">
        <v>4892.7</v>
      </c>
      <c r="H6335" t="s">
        <v>12</v>
      </c>
      <c r="I6335" t="str">
        <f t="shared" si="295"/>
        <v>Medium Value</v>
      </c>
      <c r="J6335" t="str">
        <f t="shared" si="296"/>
        <v>Low Risk</v>
      </c>
      <c r="K6335" s="3" t="str">
        <f t="shared" si="294"/>
        <v>2-4 Years</v>
      </c>
    </row>
    <row r="6336" spans="1:11" x14ac:dyDescent="0.3">
      <c r="A6336" t="s">
        <v>6353</v>
      </c>
      <c r="B6336" t="s">
        <v>14</v>
      </c>
      <c r="C6336" t="s">
        <v>15</v>
      </c>
      <c r="D6336" t="s">
        <v>16</v>
      </c>
      <c r="E6336">
        <v>20.100000000000001</v>
      </c>
      <c r="F6336">
        <v>38</v>
      </c>
      <c r="G6336">
        <v>763.8</v>
      </c>
      <c r="H6336" t="s">
        <v>12</v>
      </c>
      <c r="I6336" t="str">
        <f t="shared" si="295"/>
        <v>Low Value</v>
      </c>
      <c r="J6336" t="str">
        <f t="shared" si="296"/>
        <v>Low Risk</v>
      </c>
      <c r="K6336" s="3" t="str">
        <f t="shared" si="294"/>
        <v>2-4 Years</v>
      </c>
    </row>
    <row r="6337" spans="1:11" x14ac:dyDescent="0.3">
      <c r="A6337" t="s">
        <v>6354</v>
      </c>
      <c r="B6337" t="s">
        <v>9</v>
      </c>
      <c r="C6337" t="s">
        <v>10</v>
      </c>
      <c r="D6337" t="s">
        <v>20</v>
      </c>
      <c r="E6337">
        <v>74.95</v>
      </c>
      <c r="F6337">
        <v>38</v>
      </c>
      <c r="G6337">
        <v>2848.1</v>
      </c>
      <c r="H6337" t="s">
        <v>18</v>
      </c>
      <c r="I6337" t="str">
        <f t="shared" si="295"/>
        <v>Medium Value</v>
      </c>
      <c r="J6337" t="str">
        <f t="shared" si="296"/>
        <v>Low Risk</v>
      </c>
      <c r="K6337" s="3" t="str">
        <f t="shared" si="294"/>
        <v>2-4 Years</v>
      </c>
    </row>
    <row r="6338" spans="1:11" x14ac:dyDescent="0.3">
      <c r="A6338" t="s">
        <v>6355</v>
      </c>
      <c r="B6338" t="s">
        <v>9</v>
      </c>
      <c r="C6338" t="s">
        <v>10</v>
      </c>
      <c r="D6338" t="s">
        <v>24</v>
      </c>
      <c r="E6338">
        <v>56.55</v>
      </c>
      <c r="F6338">
        <v>2</v>
      </c>
      <c r="G6338">
        <v>113.1</v>
      </c>
      <c r="H6338" t="s">
        <v>12</v>
      </c>
      <c r="I6338" t="str">
        <f t="shared" si="295"/>
        <v>Low Value</v>
      </c>
      <c r="J6338" t="str">
        <f t="shared" si="296"/>
        <v>High Risk</v>
      </c>
      <c r="K6338" s="3" t="str">
        <f t="shared" si="294"/>
        <v>0-1 Year</v>
      </c>
    </row>
    <row r="6339" spans="1:11" x14ac:dyDescent="0.3">
      <c r="A6339" t="s">
        <v>6356</v>
      </c>
      <c r="B6339" t="s">
        <v>14</v>
      </c>
      <c r="C6339" t="s">
        <v>10</v>
      </c>
      <c r="D6339" t="s">
        <v>24</v>
      </c>
      <c r="E6339">
        <v>49.25</v>
      </c>
      <c r="F6339">
        <v>1</v>
      </c>
      <c r="G6339">
        <v>49.25</v>
      </c>
      <c r="H6339" t="s">
        <v>18</v>
      </c>
      <c r="I6339" t="str">
        <f t="shared" si="295"/>
        <v>Low Value</v>
      </c>
      <c r="J6339" t="str">
        <f t="shared" si="296"/>
        <v>High Risk</v>
      </c>
      <c r="K6339" s="3" t="str">
        <f t="shared" ref="K6339:K6402" si="297">IF(F6339&lt;=12,"0-1 Year",
IF(F6339&lt;=24,"1-2 Years",
IF(F6339&lt;=48,"2-4 Years","4+ Years")))</f>
        <v>0-1 Year</v>
      </c>
    </row>
    <row r="6340" spans="1:11" x14ac:dyDescent="0.3">
      <c r="A6340" t="s">
        <v>6357</v>
      </c>
      <c r="B6340" t="s">
        <v>14</v>
      </c>
      <c r="C6340" t="s">
        <v>10</v>
      </c>
      <c r="D6340" t="s">
        <v>20</v>
      </c>
      <c r="E6340">
        <v>68.599999999999994</v>
      </c>
      <c r="F6340">
        <v>15</v>
      </c>
      <c r="G6340">
        <v>1029</v>
      </c>
      <c r="H6340" t="s">
        <v>12</v>
      </c>
      <c r="I6340" t="str">
        <f t="shared" ref="I6340:I6403" si="298">IF(G6340&gt;5000,"High Value",
IF(G6340&gt;2000,"Medium Value","Low Value"))</f>
        <v>Low Value</v>
      </c>
      <c r="J6340" t="str">
        <f t="shared" ref="J6340:J6403" si="299">IF(F6340&lt;12,"High Risk",
IF(F6340&lt;24,"Medium Risk","Low Risk"))</f>
        <v>Medium Risk</v>
      </c>
      <c r="K6340" s="3" t="str">
        <f t="shared" si="297"/>
        <v>1-2 Years</v>
      </c>
    </row>
    <row r="6341" spans="1:11" x14ac:dyDescent="0.3">
      <c r="A6341" t="s">
        <v>6358</v>
      </c>
      <c r="B6341" t="s">
        <v>9</v>
      </c>
      <c r="C6341" t="s">
        <v>10</v>
      </c>
      <c r="D6341" t="s">
        <v>24</v>
      </c>
      <c r="E6341">
        <v>69.05</v>
      </c>
      <c r="F6341">
        <v>26</v>
      </c>
      <c r="G6341">
        <v>1795.3</v>
      </c>
      <c r="H6341" t="s">
        <v>12</v>
      </c>
      <c r="I6341" t="str">
        <f t="shared" si="298"/>
        <v>Low Value</v>
      </c>
      <c r="J6341" t="str">
        <f t="shared" si="299"/>
        <v>Low Risk</v>
      </c>
      <c r="K6341" s="3" t="str">
        <f t="shared" si="297"/>
        <v>2-4 Years</v>
      </c>
    </row>
    <row r="6342" spans="1:11" x14ac:dyDescent="0.3">
      <c r="A6342" t="s">
        <v>6359</v>
      </c>
      <c r="B6342" t="s">
        <v>9</v>
      </c>
      <c r="C6342" t="s">
        <v>30</v>
      </c>
      <c r="D6342" t="s">
        <v>24</v>
      </c>
      <c r="E6342">
        <v>19.7</v>
      </c>
      <c r="F6342">
        <v>35</v>
      </c>
      <c r="G6342">
        <v>689.5</v>
      </c>
      <c r="H6342" t="s">
        <v>12</v>
      </c>
      <c r="I6342" t="str">
        <f t="shared" si="298"/>
        <v>Low Value</v>
      </c>
      <c r="J6342" t="str">
        <f t="shared" si="299"/>
        <v>Low Risk</v>
      </c>
      <c r="K6342" s="3" t="str">
        <f t="shared" si="297"/>
        <v>2-4 Years</v>
      </c>
    </row>
    <row r="6343" spans="1:11" x14ac:dyDescent="0.3">
      <c r="A6343" t="s">
        <v>6360</v>
      </c>
      <c r="B6343" t="s">
        <v>14</v>
      </c>
      <c r="C6343" t="s">
        <v>10</v>
      </c>
      <c r="D6343" t="s">
        <v>16</v>
      </c>
      <c r="E6343">
        <v>20.05</v>
      </c>
      <c r="F6343">
        <v>3</v>
      </c>
      <c r="G6343">
        <v>60.15</v>
      </c>
      <c r="H6343" t="s">
        <v>12</v>
      </c>
      <c r="I6343" t="str">
        <f t="shared" si="298"/>
        <v>Low Value</v>
      </c>
      <c r="J6343" t="str">
        <f t="shared" si="299"/>
        <v>High Risk</v>
      </c>
      <c r="K6343" s="3" t="str">
        <f t="shared" si="297"/>
        <v>0-1 Year</v>
      </c>
    </row>
    <row r="6344" spans="1:11" x14ac:dyDescent="0.3">
      <c r="A6344" t="s">
        <v>6361</v>
      </c>
      <c r="B6344" t="s">
        <v>14</v>
      </c>
      <c r="C6344" t="s">
        <v>10</v>
      </c>
      <c r="D6344" t="s">
        <v>11</v>
      </c>
      <c r="E6344">
        <v>103.7</v>
      </c>
      <c r="F6344">
        <v>50</v>
      </c>
      <c r="G6344">
        <v>5185</v>
      </c>
      <c r="H6344" t="s">
        <v>18</v>
      </c>
      <c r="I6344" t="str">
        <f t="shared" si="298"/>
        <v>High Value</v>
      </c>
      <c r="J6344" t="str">
        <f t="shared" si="299"/>
        <v>Low Risk</v>
      </c>
      <c r="K6344" s="3" t="str">
        <f t="shared" si="297"/>
        <v>4+ Years</v>
      </c>
    </row>
    <row r="6345" spans="1:11" x14ac:dyDescent="0.3">
      <c r="A6345" t="s">
        <v>6362</v>
      </c>
      <c r="B6345" t="s">
        <v>14</v>
      </c>
      <c r="C6345" t="s">
        <v>10</v>
      </c>
      <c r="D6345" t="s">
        <v>11</v>
      </c>
      <c r="E6345">
        <v>94.4</v>
      </c>
      <c r="F6345">
        <v>42</v>
      </c>
      <c r="G6345">
        <v>3964.8</v>
      </c>
      <c r="H6345" t="s">
        <v>12</v>
      </c>
      <c r="I6345" t="str">
        <f t="shared" si="298"/>
        <v>Medium Value</v>
      </c>
      <c r="J6345" t="str">
        <f t="shared" si="299"/>
        <v>Low Risk</v>
      </c>
      <c r="K6345" s="3" t="str">
        <f t="shared" si="297"/>
        <v>2-4 Years</v>
      </c>
    </row>
    <row r="6346" spans="1:11" x14ac:dyDescent="0.3">
      <c r="A6346" t="s">
        <v>6363</v>
      </c>
      <c r="B6346" t="s">
        <v>14</v>
      </c>
      <c r="C6346" t="s">
        <v>10</v>
      </c>
      <c r="D6346" t="s">
        <v>24</v>
      </c>
      <c r="E6346">
        <v>54.95</v>
      </c>
      <c r="F6346">
        <v>10</v>
      </c>
      <c r="G6346">
        <v>549.5</v>
      </c>
      <c r="H6346" t="s">
        <v>12</v>
      </c>
      <c r="I6346" t="str">
        <f t="shared" si="298"/>
        <v>Low Value</v>
      </c>
      <c r="J6346" t="str">
        <f t="shared" si="299"/>
        <v>High Risk</v>
      </c>
      <c r="K6346" s="3" t="str">
        <f t="shared" si="297"/>
        <v>0-1 Year</v>
      </c>
    </row>
    <row r="6347" spans="1:11" x14ac:dyDescent="0.3">
      <c r="A6347" t="s">
        <v>6364</v>
      </c>
      <c r="B6347" t="s">
        <v>9</v>
      </c>
      <c r="C6347" t="s">
        <v>15</v>
      </c>
      <c r="D6347" t="s">
        <v>20</v>
      </c>
      <c r="E6347">
        <v>93.7</v>
      </c>
      <c r="F6347">
        <v>61</v>
      </c>
      <c r="G6347">
        <v>5715.7</v>
      </c>
      <c r="H6347" t="s">
        <v>12</v>
      </c>
      <c r="I6347" t="str">
        <f t="shared" si="298"/>
        <v>High Value</v>
      </c>
      <c r="J6347" t="str">
        <f t="shared" si="299"/>
        <v>Low Risk</v>
      </c>
      <c r="K6347" s="3" t="str">
        <f t="shared" si="297"/>
        <v>4+ Years</v>
      </c>
    </row>
    <row r="6348" spans="1:11" x14ac:dyDescent="0.3">
      <c r="A6348" t="s">
        <v>6365</v>
      </c>
      <c r="B6348" t="s">
        <v>9</v>
      </c>
      <c r="C6348" t="s">
        <v>30</v>
      </c>
      <c r="D6348" t="s">
        <v>24</v>
      </c>
      <c r="E6348">
        <v>110.25</v>
      </c>
      <c r="F6348">
        <v>68</v>
      </c>
      <c r="G6348">
        <v>7497</v>
      </c>
      <c r="H6348" t="s">
        <v>12</v>
      </c>
      <c r="I6348" t="str">
        <f t="shared" si="298"/>
        <v>High Value</v>
      </c>
      <c r="J6348" t="str">
        <f t="shared" si="299"/>
        <v>Low Risk</v>
      </c>
      <c r="K6348" s="3" t="str">
        <f t="shared" si="297"/>
        <v>4+ Years</v>
      </c>
    </row>
    <row r="6349" spans="1:11" x14ac:dyDescent="0.3">
      <c r="A6349" t="s">
        <v>6366</v>
      </c>
      <c r="B6349" t="s">
        <v>14</v>
      </c>
      <c r="C6349" t="s">
        <v>15</v>
      </c>
      <c r="D6349" t="s">
        <v>11</v>
      </c>
      <c r="E6349">
        <v>98.9</v>
      </c>
      <c r="F6349">
        <v>10</v>
      </c>
      <c r="G6349">
        <v>989</v>
      </c>
      <c r="H6349" t="s">
        <v>12</v>
      </c>
      <c r="I6349" t="str">
        <f t="shared" si="298"/>
        <v>Low Value</v>
      </c>
      <c r="J6349" t="str">
        <f t="shared" si="299"/>
        <v>High Risk</v>
      </c>
      <c r="K6349" s="3" t="str">
        <f t="shared" si="297"/>
        <v>0-1 Year</v>
      </c>
    </row>
    <row r="6350" spans="1:11" x14ac:dyDescent="0.3">
      <c r="A6350" t="s">
        <v>6367</v>
      </c>
      <c r="B6350" t="s">
        <v>14</v>
      </c>
      <c r="C6350" t="s">
        <v>15</v>
      </c>
      <c r="D6350" t="s">
        <v>11</v>
      </c>
      <c r="E6350">
        <v>89.75</v>
      </c>
      <c r="F6350">
        <v>65</v>
      </c>
      <c r="G6350">
        <v>5833.75</v>
      </c>
      <c r="H6350" t="s">
        <v>18</v>
      </c>
      <c r="I6350" t="str">
        <f t="shared" si="298"/>
        <v>High Value</v>
      </c>
      <c r="J6350" t="str">
        <f t="shared" si="299"/>
        <v>Low Risk</v>
      </c>
      <c r="K6350" s="3" t="str">
        <f t="shared" si="297"/>
        <v>4+ Years</v>
      </c>
    </row>
    <row r="6351" spans="1:11" x14ac:dyDescent="0.3">
      <c r="A6351" t="s">
        <v>6368</v>
      </c>
      <c r="B6351" t="s">
        <v>9</v>
      </c>
      <c r="C6351" t="s">
        <v>30</v>
      </c>
      <c r="D6351" t="s">
        <v>20</v>
      </c>
      <c r="E6351">
        <v>80.45</v>
      </c>
      <c r="F6351">
        <v>72</v>
      </c>
      <c r="G6351">
        <v>5792.4</v>
      </c>
      <c r="H6351" t="s">
        <v>12</v>
      </c>
      <c r="I6351" t="str">
        <f t="shared" si="298"/>
        <v>High Value</v>
      </c>
      <c r="J6351" t="str">
        <f t="shared" si="299"/>
        <v>Low Risk</v>
      </c>
      <c r="K6351" s="3" t="str">
        <f t="shared" si="297"/>
        <v>4+ Years</v>
      </c>
    </row>
    <row r="6352" spans="1:11" x14ac:dyDescent="0.3">
      <c r="A6352" t="s">
        <v>6369</v>
      </c>
      <c r="B6352" t="s">
        <v>14</v>
      </c>
      <c r="C6352" t="s">
        <v>10</v>
      </c>
      <c r="D6352" t="s">
        <v>11</v>
      </c>
      <c r="E6352">
        <v>79.400000000000006</v>
      </c>
      <c r="F6352">
        <v>55</v>
      </c>
      <c r="G6352">
        <v>4367</v>
      </c>
      <c r="H6352" t="s">
        <v>12</v>
      </c>
      <c r="I6352" t="str">
        <f t="shared" si="298"/>
        <v>Medium Value</v>
      </c>
      <c r="J6352" t="str">
        <f t="shared" si="299"/>
        <v>Low Risk</v>
      </c>
      <c r="K6352" s="3" t="str">
        <f t="shared" si="297"/>
        <v>4+ Years</v>
      </c>
    </row>
    <row r="6353" spans="1:11" x14ac:dyDescent="0.3">
      <c r="A6353" t="s">
        <v>6370</v>
      </c>
      <c r="B6353" t="s">
        <v>9</v>
      </c>
      <c r="C6353" t="s">
        <v>10</v>
      </c>
      <c r="D6353" t="s">
        <v>16</v>
      </c>
      <c r="E6353">
        <v>20.3</v>
      </c>
      <c r="F6353">
        <v>1</v>
      </c>
      <c r="G6353">
        <v>20.3</v>
      </c>
      <c r="H6353" t="s">
        <v>18</v>
      </c>
      <c r="I6353" t="str">
        <f t="shared" si="298"/>
        <v>Low Value</v>
      </c>
      <c r="J6353" t="str">
        <f t="shared" si="299"/>
        <v>High Risk</v>
      </c>
      <c r="K6353" s="3" t="str">
        <f t="shared" si="297"/>
        <v>0-1 Year</v>
      </c>
    </row>
    <row r="6354" spans="1:11" x14ac:dyDescent="0.3">
      <c r="A6354" t="s">
        <v>6371</v>
      </c>
      <c r="B6354" t="s">
        <v>9</v>
      </c>
      <c r="C6354" t="s">
        <v>10</v>
      </c>
      <c r="D6354" t="s">
        <v>20</v>
      </c>
      <c r="E6354">
        <v>62.8</v>
      </c>
      <c r="F6354">
        <v>7</v>
      </c>
      <c r="G6354">
        <v>439.599999999999</v>
      </c>
      <c r="H6354" t="s">
        <v>12</v>
      </c>
      <c r="I6354" t="str">
        <f t="shared" si="298"/>
        <v>Low Value</v>
      </c>
      <c r="J6354" t="str">
        <f t="shared" si="299"/>
        <v>High Risk</v>
      </c>
      <c r="K6354" s="3" t="str">
        <f t="shared" si="297"/>
        <v>0-1 Year</v>
      </c>
    </row>
    <row r="6355" spans="1:11" x14ac:dyDescent="0.3">
      <c r="A6355" t="s">
        <v>6372</v>
      </c>
      <c r="B6355" t="s">
        <v>9</v>
      </c>
      <c r="C6355" t="s">
        <v>10</v>
      </c>
      <c r="D6355" t="s">
        <v>16</v>
      </c>
      <c r="E6355">
        <v>74.900000000000006</v>
      </c>
      <c r="F6355">
        <v>2</v>
      </c>
      <c r="G6355">
        <v>149.80000000000001</v>
      </c>
      <c r="H6355" t="s">
        <v>12</v>
      </c>
      <c r="I6355" t="str">
        <f t="shared" si="298"/>
        <v>Low Value</v>
      </c>
      <c r="J6355" t="str">
        <f t="shared" si="299"/>
        <v>High Risk</v>
      </c>
      <c r="K6355" s="3" t="str">
        <f t="shared" si="297"/>
        <v>0-1 Year</v>
      </c>
    </row>
    <row r="6356" spans="1:11" x14ac:dyDescent="0.3">
      <c r="A6356" t="s">
        <v>6373</v>
      </c>
      <c r="B6356" t="s">
        <v>9</v>
      </c>
      <c r="C6356" t="s">
        <v>10</v>
      </c>
      <c r="D6356" t="s">
        <v>11</v>
      </c>
      <c r="E6356">
        <v>74.849999999999994</v>
      </c>
      <c r="F6356">
        <v>9</v>
      </c>
      <c r="G6356">
        <v>673.65</v>
      </c>
      <c r="H6356" t="s">
        <v>12</v>
      </c>
      <c r="I6356" t="str">
        <f t="shared" si="298"/>
        <v>Low Value</v>
      </c>
      <c r="J6356" t="str">
        <f t="shared" si="299"/>
        <v>High Risk</v>
      </c>
      <c r="K6356" s="3" t="str">
        <f t="shared" si="297"/>
        <v>0-1 Year</v>
      </c>
    </row>
    <row r="6357" spans="1:11" x14ac:dyDescent="0.3">
      <c r="A6357" t="s">
        <v>6374</v>
      </c>
      <c r="B6357" t="s">
        <v>14</v>
      </c>
      <c r="C6357" t="s">
        <v>30</v>
      </c>
      <c r="D6357" t="s">
        <v>24</v>
      </c>
      <c r="E6357">
        <v>25.85</v>
      </c>
      <c r="F6357">
        <v>27</v>
      </c>
      <c r="G6357">
        <v>697.95</v>
      </c>
      <c r="H6357" t="s">
        <v>12</v>
      </c>
      <c r="I6357" t="str">
        <f t="shared" si="298"/>
        <v>Low Value</v>
      </c>
      <c r="J6357" t="str">
        <f t="shared" si="299"/>
        <v>Low Risk</v>
      </c>
      <c r="K6357" s="3" t="str">
        <f t="shared" si="297"/>
        <v>2-4 Years</v>
      </c>
    </row>
    <row r="6358" spans="1:11" x14ac:dyDescent="0.3">
      <c r="A6358" t="s">
        <v>6375</v>
      </c>
      <c r="B6358" t="s">
        <v>14</v>
      </c>
      <c r="C6358" t="s">
        <v>10</v>
      </c>
      <c r="D6358" t="s">
        <v>11</v>
      </c>
      <c r="E6358">
        <v>101.95</v>
      </c>
      <c r="F6358">
        <v>7</v>
      </c>
      <c r="G6358">
        <v>713.65</v>
      </c>
      <c r="H6358" t="s">
        <v>18</v>
      </c>
      <c r="I6358" t="str">
        <f t="shared" si="298"/>
        <v>Low Value</v>
      </c>
      <c r="J6358" t="str">
        <f t="shared" si="299"/>
        <v>High Risk</v>
      </c>
      <c r="K6358" s="3" t="str">
        <f t="shared" si="297"/>
        <v>0-1 Year</v>
      </c>
    </row>
    <row r="6359" spans="1:11" x14ac:dyDescent="0.3">
      <c r="A6359" t="s">
        <v>6376</v>
      </c>
      <c r="B6359" t="s">
        <v>9</v>
      </c>
      <c r="C6359" t="s">
        <v>30</v>
      </c>
      <c r="D6359" t="s">
        <v>16</v>
      </c>
      <c r="E6359">
        <v>68.3</v>
      </c>
      <c r="F6359">
        <v>64</v>
      </c>
      <c r="G6359">
        <v>4371.2</v>
      </c>
      <c r="H6359" t="s">
        <v>12</v>
      </c>
      <c r="I6359" t="str">
        <f t="shared" si="298"/>
        <v>Medium Value</v>
      </c>
      <c r="J6359" t="str">
        <f t="shared" si="299"/>
        <v>Low Risk</v>
      </c>
      <c r="K6359" s="3" t="str">
        <f t="shared" si="297"/>
        <v>4+ Years</v>
      </c>
    </row>
    <row r="6360" spans="1:11" x14ac:dyDescent="0.3">
      <c r="A6360" t="s">
        <v>6377</v>
      </c>
      <c r="B6360" t="s">
        <v>14</v>
      </c>
      <c r="C6360" t="s">
        <v>30</v>
      </c>
      <c r="D6360" t="s">
        <v>20</v>
      </c>
      <c r="E6360">
        <v>48.4</v>
      </c>
      <c r="F6360">
        <v>70</v>
      </c>
      <c r="G6360">
        <v>3388</v>
      </c>
      <c r="H6360" t="s">
        <v>12</v>
      </c>
      <c r="I6360" t="str">
        <f t="shared" si="298"/>
        <v>Medium Value</v>
      </c>
      <c r="J6360" t="str">
        <f t="shared" si="299"/>
        <v>Low Risk</v>
      </c>
      <c r="K6360" s="3" t="str">
        <f t="shared" si="297"/>
        <v>4+ Years</v>
      </c>
    </row>
    <row r="6361" spans="1:11" x14ac:dyDescent="0.3">
      <c r="A6361" t="s">
        <v>6378</v>
      </c>
      <c r="B6361" t="s">
        <v>14</v>
      </c>
      <c r="C6361" t="s">
        <v>10</v>
      </c>
      <c r="D6361" t="s">
        <v>11</v>
      </c>
      <c r="E6361">
        <v>94</v>
      </c>
      <c r="F6361">
        <v>2</v>
      </c>
      <c r="G6361">
        <v>188</v>
      </c>
      <c r="H6361" t="s">
        <v>18</v>
      </c>
      <c r="I6361" t="str">
        <f t="shared" si="298"/>
        <v>Low Value</v>
      </c>
      <c r="J6361" t="str">
        <f t="shared" si="299"/>
        <v>High Risk</v>
      </c>
      <c r="K6361" s="3" t="str">
        <f t="shared" si="297"/>
        <v>0-1 Year</v>
      </c>
    </row>
    <row r="6362" spans="1:11" x14ac:dyDescent="0.3">
      <c r="A6362" t="s">
        <v>6379</v>
      </c>
      <c r="B6362" t="s">
        <v>14</v>
      </c>
      <c r="C6362" t="s">
        <v>30</v>
      </c>
      <c r="D6362" t="s">
        <v>11</v>
      </c>
      <c r="E6362">
        <v>105.05</v>
      </c>
      <c r="F6362">
        <v>67</v>
      </c>
      <c r="G6362">
        <v>7038.3499999999904</v>
      </c>
      <c r="H6362" t="s">
        <v>12</v>
      </c>
      <c r="I6362" t="str">
        <f t="shared" si="298"/>
        <v>High Value</v>
      </c>
      <c r="J6362" t="str">
        <f t="shared" si="299"/>
        <v>Low Risk</v>
      </c>
      <c r="K6362" s="3" t="str">
        <f t="shared" si="297"/>
        <v>4+ Years</v>
      </c>
    </row>
    <row r="6363" spans="1:11" x14ac:dyDescent="0.3">
      <c r="A6363" t="s">
        <v>6380</v>
      </c>
      <c r="B6363" t="s">
        <v>9</v>
      </c>
      <c r="C6363" t="s">
        <v>10</v>
      </c>
      <c r="D6363" t="s">
        <v>24</v>
      </c>
      <c r="E6363">
        <v>89.3</v>
      </c>
      <c r="F6363">
        <v>45</v>
      </c>
      <c r="G6363">
        <v>4018.5</v>
      </c>
      <c r="H6363" t="s">
        <v>18</v>
      </c>
      <c r="I6363" t="str">
        <f t="shared" si="298"/>
        <v>Medium Value</v>
      </c>
      <c r="J6363" t="str">
        <f t="shared" si="299"/>
        <v>Low Risk</v>
      </c>
      <c r="K6363" s="3" t="str">
        <f t="shared" si="297"/>
        <v>2-4 Years</v>
      </c>
    </row>
    <row r="6364" spans="1:11" x14ac:dyDescent="0.3">
      <c r="A6364" t="s">
        <v>6381</v>
      </c>
      <c r="B6364" t="s">
        <v>9</v>
      </c>
      <c r="C6364" t="s">
        <v>30</v>
      </c>
      <c r="D6364" t="s">
        <v>24</v>
      </c>
      <c r="E6364">
        <v>25.15</v>
      </c>
      <c r="F6364">
        <v>24</v>
      </c>
      <c r="G6364">
        <v>603.599999999999</v>
      </c>
      <c r="H6364" t="s">
        <v>12</v>
      </c>
      <c r="I6364" t="str">
        <f t="shared" si="298"/>
        <v>Low Value</v>
      </c>
      <c r="J6364" t="str">
        <f t="shared" si="299"/>
        <v>Low Risk</v>
      </c>
      <c r="K6364" s="3" t="str">
        <f t="shared" si="297"/>
        <v>1-2 Years</v>
      </c>
    </row>
    <row r="6365" spans="1:11" x14ac:dyDescent="0.3">
      <c r="A6365" t="s">
        <v>6382</v>
      </c>
      <c r="B6365" t="s">
        <v>14</v>
      </c>
      <c r="C6365" t="s">
        <v>30</v>
      </c>
      <c r="D6365" t="s">
        <v>24</v>
      </c>
      <c r="E6365">
        <v>19.5</v>
      </c>
      <c r="F6365">
        <v>4</v>
      </c>
      <c r="G6365">
        <v>78</v>
      </c>
      <c r="H6365" t="s">
        <v>12</v>
      </c>
      <c r="I6365" t="str">
        <f t="shared" si="298"/>
        <v>Low Value</v>
      </c>
      <c r="J6365" t="str">
        <f t="shared" si="299"/>
        <v>High Risk</v>
      </c>
      <c r="K6365" s="3" t="str">
        <f t="shared" si="297"/>
        <v>0-1 Year</v>
      </c>
    </row>
    <row r="6366" spans="1:11" x14ac:dyDescent="0.3">
      <c r="A6366" t="s">
        <v>6383</v>
      </c>
      <c r="B6366" t="s">
        <v>14</v>
      </c>
      <c r="C6366" t="s">
        <v>10</v>
      </c>
      <c r="D6366" t="s">
        <v>20</v>
      </c>
      <c r="E6366">
        <v>92.95</v>
      </c>
      <c r="F6366">
        <v>44</v>
      </c>
      <c r="G6366">
        <v>4089.8</v>
      </c>
      <c r="H6366" t="s">
        <v>12</v>
      </c>
      <c r="I6366" t="str">
        <f t="shared" si="298"/>
        <v>Medium Value</v>
      </c>
      <c r="J6366" t="str">
        <f t="shared" si="299"/>
        <v>Low Risk</v>
      </c>
      <c r="K6366" s="3" t="str">
        <f t="shared" si="297"/>
        <v>2-4 Years</v>
      </c>
    </row>
    <row r="6367" spans="1:11" x14ac:dyDescent="0.3">
      <c r="A6367" t="s">
        <v>6384</v>
      </c>
      <c r="B6367" t="s">
        <v>9</v>
      </c>
      <c r="C6367" t="s">
        <v>30</v>
      </c>
      <c r="D6367" t="s">
        <v>16</v>
      </c>
      <c r="E6367">
        <v>20.7</v>
      </c>
      <c r="F6367">
        <v>72</v>
      </c>
      <c r="G6367">
        <v>1490.3999999999901</v>
      </c>
      <c r="H6367" t="s">
        <v>12</v>
      </c>
      <c r="I6367" t="str">
        <f t="shared" si="298"/>
        <v>Low Value</v>
      </c>
      <c r="J6367" t="str">
        <f t="shared" si="299"/>
        <v>Low Risk</v>
      </c>
      <c r="K6367" s="3" t="str">
        <f t="shared" si="297"/>
        <v>4+ Years</v>
      </c>
    </row>
    <row r="6368" spans="1:11" x14ac:dyDescent="0.3">
      <c r="A6368" t="s">
        <v>6385</v>
      </c>
      <c r="B6368" t="s">
        <v>9</v>
      </c>
      <c r="C6368" t="s">
        <v>10</v>
      </c>
      <c r="D6368" t="s">
        <v>24</v>
      </c>
      <c r="E6368">
        <v>74.3</v>
      </c>
      <c r="F6368">
        <v>1</v>
      </c>
      <c r="G6368">
        <v>74.3</v>
      </c>
      <c r="H6368" t="s">
        <v>18</v>
      </c>
      <c r="I6368" t="str">
        <f t="shared" si="298"/>
        <v>Low Value</v>
      </c>
      <c r="J6368" t="str">
        <f t="shared" si="299"/>
        <v>High Risk</v>
      </c>
      <c r="K6368" s="3" t="str">
        <f t="shared" si="297"/>
        <v>0-1 Year</v>
      </c>
    </row>
    <row r="6369" spans="1:11" x14ac:dyDescent="0.3">
      <c r="A6369" t="s">
        <v>6386</v>
      </c>
      <c r="B6369" t="s">
        <v>14</v>
      </c>
      <c r="C6369" t="s">
        <v>30</v>
      </c>
      <c r="D6369" t="s">
        <v>20</v>
      </c>
      <c r="E6369">
        <v>19.350000000000001</v>
      </c>
      <c r="F6369">
        <v>66</v>
      </c>
      <c r="G6369">
        <v>1277.0999999999999</v>
      </c>
      <c r="H6369" t="s">
        <v>12</v>
      </c>
      <c r="I6369" t="str">
        <f t="shared" si="298"/>
        <v>Low Value</v>
      </c>
      <c r="J6369" t="str">
        <f t="shared" si="299"/>
        <v>Low Risk</v>
      </c>
      <c r="K6369" s="3" t="str">
        <f t="shared" si="297"/>
        <v>4+ Years</v>
      </c>
    </row>
    <row r="6370" spans="1:11" x14ac:dyDescent="0.3">
      <c r="A6370" t="s">
        <v>6387</v>
      </c>
      <c r="B6370" t="s">
        <v>14</v>
      </c>
      <c r="C6370" t="s">
        <v>10</v>
      </c>
      <c r="D6370" t="s">
        <v>16</v>
      </c>
      <c r="E6370">
        <v>44.65</v>
      </c>
      <c r="F6370">
        <v>1</v>
      </c>
      <c r="G6370">
        <v>44.65</v>
      </c>
      <c r="H6370" t="s">
        <v>18</v>
      </c>
      <c r="I6370" t="str">
        <f t="shared" si="298"/>
        <v>Low Value</v>
      </c>
      <c r="J6370" t="str">
        <f t="shared" si="299"/>
        <v>High Risk</v>
      </c>
      <c r="K6370" s="3" t="str">
        <f t="shared" si="297"/>
        <v>0-1 Year</v>
      </c>
    </row>
    <row r="6371" spans="1:11" x14ac:dyDescent="0.3">
      <c r="A6371" t="s">
        <v>6388</v>
      </c>
      <c r="B6371" t="s">
        <v>14</v>
      </c>
      <c r="C6371" t="s">
        <v>10</v>
      </c>
      <c r="D6371" t="s">
        <v>11</v>
      </c>
      <c r="E6371">
        <v>84.05</v>
      </c>
      <c r="F6371">
        <v>13</v>
      </c>
      <c r="G6371">
        <v>1092.6499999999901</v>
      </c>
      <c r="H6371" t="s">
        <v>18</v>
      </c>
      <c r="I6371" t="str">
        <f t="shared" si="298"/>
        <v>Low Value</v>
      </c>
      <c r="J6371" t="str">
        <f t="shared" si="299"/>
        <v>Medium Risk</v>
      </c>
      <c r="K6371" s="3" t="str">
        <f t="shared" si="297"/>
        <v>1-2 Years</v>
      </c>
    </row>
    <row r="6372" spans="1:11" x14ac:dyDescent="0.3">
      <c r="A6372" t="s">
        <v>6389</v>
      </c>
      <c r="B6372" t="s">
        <v>14</v>
      </c>
      <c r="C6372" t="s">
        <v>10</v>
      </c>
      <c r="D6372" t="s">
        <v>20</v>
      </c>
      <c r="E6372">
        <v>80.7</v>
      </c>
      <c r="F6372">
        <v>10</v>
      </c>
      <c r="G6372">
        <v>807</v>
      </c>
      <c r="H6372" t="s">
        <v>18</v>
      </c>
      <c r="I6372" t="str">
        <f t="shared" si="298"/>
        <v>Low Value</v>
      </c>
      <c r="J6372" t="str">
        <f t="shared" si="299"/>
        <v>High Risk</v>
      </c>
      <c r="K6372" s="3" t="str">
        <f t="shared" si="297"/>
        <v>0-1 Year</v>
      </c>
    </row>
    <row r="6373" spans="1:11" x14ac:dyDescent="0.3">
      <c r="A6373" t="s">
        <v>6390</v>
      </c>
      <c r="B6373" t="s">
        <v>14</v>
      </c>
      <c r="C6373" t="s">
        <v>10</v>
      </c>
      <c r="D6373" t="s">
        <v>11</v>
      </c>
      <c r="E6373">
        <v>104.35</v>
      </c>
      <c r="F6373">
        <v>65</v>
      </c>
      <c r="G6373">
        <v>6782.75</v>
      </c>
      <c r="H6373" t="s">
        <v>12</v>
      </c>
      <c r="I6373" t="str">
        <f t="shared" si="298"/>
        <v>High Value</v>
      </c>
      <c r="J6373" t="str">
        <f t="shared" si="299"/>
        <v>Low Risk</v>
      </c>
      <c r="K6373" s="3" t="str">
        <f t="shared" si="297"/>
        <v>4+ Years</v>
      </c>
    </row>
    <row r="6374" spans="1:11" x14ac:dyDescent="0.3">
      <c r="A6374" t="s">
        <v>6391</v>
      </c>
      <c r="B6374" t="s">
        <v>14</v>
      </c>
      <c r="C6374" t="s">
        <v>10</v>
      </c>
      <c r="D6374" t="s">
        <v>16</v>
      </c>
      <c r="E6374">
        <v>19.55</v>
      </c>
      <c r="F6374">
        <v>1</v>
      </c>
      <c r="G6374">
        <v>19.55</v>
      </c>
      <c r="H6374" t="s">
        <v>12</v>
      </c>
      <c r="I6374" t="str">
        <f t="shared" si="298"/>
        <v>Low Value</v>
      </c>
      <c r="J6374" t="str">
        <f t="shared" si="299"/>
        <v>High Risk</v>
      </c>
      <c r="K6374" s="3" t="str">
        <f t="shared" si="297"/>
        <v>0-1 Year</v>
      </c>
    </row>
    <row r="6375" spans="1:11" x14ac:dyDescent="0.3">
      <c r="A6375" t="s">
        <v>6392</v>
      </c>
      <c r="B6375" t="s">
        <v>14</v>
      </c>
      <c r="C6375" t="s">
        <v>15</v>
      </c>
      <c r="D6375" t="s">
        <v>11</v>
      </c>
      <c r="E6375">
        <v>74.05</v>
      </c>
      <c r="F6375">
        <v>38</v>
      </c>
      <c r="G6375">
        <v>2813.9</v>
      </c>
      <c r="H6375" t="s">
        <v>12</v>
      </c>
      <c r="I6375" t="str">
        <f t="shared" si="298"/>
        <v>Medium Value</v>
      </c>
      <c r="J6375" t="str">
        <f t="shared" si="299"/>
        <v>Low Risk</v>
      </c>
      <c r="K6375" s="3" t="str">
        <f t="shared" si="297"/>
        <v>2-4 Years</v>
      </c>
    </row>
    <row r="6376" spans="1:11" x14ac:dyDescent="0.3">
      <c r="A6376" t="s">
        <v>6393</v>
      </c>
      <c r="B6376" t="s">
        <v>14</v>
      </c>
      <c r="C6376" t="s">
        <v>30</v>
      </c>
      <c r="D6376" t="s">
        <v>16</v>
      </c>
      <c r="E6376">
        <v>40.1</v>
      </c>
      <c r="F6376">
        <v>23</v>
      </c>
      <c r="G6376">
        <v>922.3</v>
      </c>
      <c r="H6376" t="s">
        <v>12</v>
      </c>
      <c r="I6376" t="str">
        <f t="shared" si="298"/>
        <v>Low Value</v>
      </c>
      <c r="J6376" t="str">
        <f t="shared" si="299"/>
        <v>Medium Risk</v>
      </c>
      <c r="K6376" s="3" t="str">
        <f t="shared" si="297"/>
        <v>1-2 Years</v>
      </c>
    </row>
    <row r="6377" spans="1:11" x14ac:dyDescent="0.3">
      <c r="A6377" t="s">
        <v>6394</v>
      </c>
      <c r="B6377" t="s">
        <v>9</v>
      </c>
      <c r="C6377" t="s">
        <v>15</v>
      </c>
      <c r="D6377" t="s">
        <v>16</v>
      </c>
      <c r="E6377">
        <v>20.100000000000001</v>
      </c>
      <c r="F6377">
        <v>10</v>
      </c>
      <c r="G6377">
        <v>201</v>
      </c>
      <c r="H6377" t="s">
        <v>12</v>
      </c>
      <c r="I6377" t="str">
        <f t="shared" si="298"/>
        <v>Low Value</v>
      </c>
      <c r="J6377" t="str">
        <f t="shared" si="299"/>
        <v>High Risk</v>
      </c>
      <c r="K6377" s="3" t="str">
        <f t="shared" si="297"/>
        <v>0-1 Year</v>
      </c>
    </row>
    <row r="6378" spans="1:11" x14ac:dyDescent="0.3">
      <c r="A6378" t="s">
        <v>6395</v>
      </c>
      <c r="B6378" t="s">
        <v>14</v>
      </c>
      <c r="C6378" t="s">
        <v>10</v>
      </c>
      <c r="D6378" t="s">
        <v>11</v>
      </c>
      <c r="E6378">
        <v>101.7</v>
      </c>
      <c r="F6378">
        <v>4</v>
      </c>
      <c r="G6378">
        <v>406.8</v>
      </c>
      <c r="H6378" t="s">
        <v>18</v>
      </c>
      <c r="I6378" t="str">
        <f t="shared" si="298"/>
        <v>Low Value</v>
      </c>
      <c r="J6378" t="str">
        <f t="shared" si="299"/>
        <v>High Risk</v>
      </c>
      <c r="K6378" s="3" t="str">
        <f t="shared" si="297"/>
        <v>0-1 Year</v>
      </c>
    </row>
    <row r="6379" spans="1:11" x14ac:dyDescent="0.3">
      <c r="A6379" t="s">
        <v>6396</v>
      </c>
      <c r="B6379" t="s">
        <v>14</v>
      </c>
      <c r="C6379" t="s">
        <v>30</v>
      </c>
      <c r="D6379" t="s">
        <v>24</v>
      </c>
      <c r="E6379">
        <v>83.55</v>
      </c>
      <c r="F6379">
        <v>72</v>
      </c>
      <c r="G6379">
        <v>6015.5999999999904</v>
      </c>
      <c r="H6379" t="s">
        <v>12</v>
      </c>
      <c r="I6379" t="str">
        <f t="shared" si="298"/>
        <v>High Value</v>
      </c>
      <c r="J6379" t="str">
        <f t="shared" si="299"/>
        <v>Low Risk</v>
      </c>
      <c r="K6379" s="3" t="str">
        <f t="shared" si="297"/>
        <v>4+ Years</v>
      </c>
    </row>
    <row r="6380" spans="1:11" x14ac:dyDescent="0.3">
      <c r="A6380" t="s">
        <v>6397</v>
      </c>
      <c r="B6380" t="s">
        <v>9</v>
      </c>
      <c r="C6380" t="s">
        <v>10</v>
      </c>
      <c r="D6380" t="s">
        <v>11</v>
      </c>
      <c r="E6380">
        <v>56.85</v>
      </c>
      <c r="F6380">
        <v>35</v>
      </c>
      <c r="G6380">
        <v>1989.75</v>
      </c>
      <c r="H6380" t="s">
        <v>12</v>
      </c>
      <c r="I6380" t="str">
        <f t="shared" si="298"/>
        <v>Low Value</v>
      </c>
      <c r="J6380" t="str">
        <f t="shared" si="299"/>
        <v>Low Risk</v>
      </c>
      <c r="K6380" s="3" t="str">
        <f t="shared" si="297"/>
        <v>2-4 Years</v>
      </c>
    </row>
    <row r="6381" spans="1:11" x14ac:dyDescent="0.3">
      <c r="A6381" t="s">
        <v>6398</v>
      </c>
      <c r="B6381" t="s">
        <v>9</v>
      </c>
      <c r="C6381" t="s">
        <v>10</v>
      </c>
      <c r="D6381" t="s">
        <v>16</v>
      </c>
      <c r="E6381">
        <v>20.399999999999999</v>
      </c>
      <c r="F6381">
        <v>1</v>
      </c>
      <c r="G6381">
        <v>20.399999999999999</v>
      </c>
      <c r="H6381" t="s">
        <v>18</v>
      </c>
      <c r="I6381" t="str">
        <f t="shared" si="298"/>
        <v>Low Value</v>
      </c>
      <c r="J6381" t="str">
        <f t="shared" si="299"/>
        <v>High Risk</v>
      </c>
      <c r="K6381" s="3" t="str">
        <f t="shared" si="297"/>
        <v>0-1 Year</v>
      </c>
    </row>
    <row r="6382" spans="1:11" x14ac:dyDescent="0.3">
      <c r="A6382" t="s">
        <v>6399</v>
      </c>
      <c r="B6382" t="s">
        <v>9</v>
      </c>
      <c r="C6382" t="s">
        <v>30</v>
      </c>
      <c r="D6382" t="s">
        <v>24</v>
      </c>
      <c r="E6382">
        <v>19.55</v>
      </c>
      <c r="F6382">
        <v>58</v>
      </c>
      <c r="G6382">
        <v>1133.9000000000001</v>
      </c>
      <c r="H6382" t="s">
        <v>12</v>
      </c>
      <c r="I6382" t="str">
        <f t="shared" si="298"/>
        <v>Low Value</v>
      </c>
      <c r="J6382" t="str">
        <f t="shared" si="299"/>
        <v>Low Risk</v>
      </c>
      <c r="K6382" s="3" t="str">
        <f t="shared" si="297"/>
        <v>4+ Years</v>
      </c>
    </row>
    <row r="6383" spans="1:11" x14ac:dyDescent="0.3">
      <c r="A6383" t="s">
        <v>6400</v>
      </c>
      <c r="B6383" t="s">
        <v>14</v>
      </c>
      <c r="C6383" t="s">
        <v>15</v>
      </c>
      <c r="D6383" t="s">
        <v>11</v>
      </c>
      <c r="E6383">
        <v>106.15</v>
      </c>
      <c r="F6383">
        <v>70</v>
      </c>
      <c r="G6383">
        <v>7430.5</v>
      </c>
      <c r="H6383" t="s">
        <v>12</v>
      </c>
      <c r="I6383" t="str">
        <f t="shared" si="298"/>
        <v>High Value</v>
      </c>
      <c r="J6383" t="str">
        <f t="shared" si="299"/>
        <v>Low Risk</v>
      </c>
      <c r="K6383" s="3" t="str">
        <f t="shared" si="297"/>
        <v>4+ Years</v>
      </c>
    </row>
    <row r="6384" spans="1:11" x14ac:dyDescent="0.3">
      <c r="A6384" t="s">
        <v>6401</v>
      </c>
      <c r="B6384" t="s">
        <v>14</v>
      </c>
      <c r="C6384" t="s">
        <v>15</v>
      </c>
      <c r="D6384" t="s">
        <v>24</v>
      </c>
      <c r="E6384">
        <v>78.95</v>
      </c>
      <c r="F6384">
        <v>38</v>
      </c>
      <c r="G6384">
        <v>3000.1</v>
      </c>
      <c r="H6384" t="s">
        <v>12</v>
      </c>
      <c r="I6384" t="str">
        <f t="shared" si="298"/>
        <v>Medium Value</v>
      </c>
      <c r="J6384" t="str">
        <f t="shared" si="299"/>
        <v>Low Risk</v>
      </c>
      <c r="K6384" s="3" t="str">
        <f t="shared" si="297"/>
        <v>2-4 Years</v>
      </c>
    </row>
    <row r="6385" spans="1:11" x14ac:dyDescent="0.3">
      <c r="A6385" t="s">
        <v>6402</v>
      </c>
      <c r="B6385" t="s">
        <v>9</v>
      </c>
      <c r="C6385" t="s">
        <v>10</v>
      </c>
      <c r="D6385" t="s">
        <v>11</v>
      </c>
      <c r="E6385">
        <v>49.75</v>
      </c>
      <c r="F6385">
        <v>60</v>
      </c>
      <c r="G6385">
        <v>2985</v>
      </c>
      <c r="H6385" t="s">
        <v>12</v>
      </c>
      <c r="I6385" t="str">
        <f t="shared" si="298"/>
        <v>Medium Value</v>
      </c>
      <c r="J6385" t="str">
        <f t="shared" si="299"/>
        <v>Low Risk</v>
      </c>
      <c r="K6385" s="3" t="str">
        <f t="shared" si="297"/>
        <v>4+ Years</v>
      </c>
    </row>
    <row r="6386" spans="1:11" x14ac:dyDescent="0.3">
      <c r="A6386" t="s">
        <v>6403</v>
      </c>
      <c r="B6386" t="s">
        <v>14</v>
      </c>
      <c r="C6386" t="s">
        <v>10</v>
      </c>
      <c r="D6386" t="s">
        <v>24</v>
      </c>
      <c r="E6386">
        <v>92.4</v>
      </c>
      <c r="F6386">
        <v>26</v>
      </c>
      <c r="G6386">
        <v>2402.4</v>
      </c>
      <c r="H6386" t="s">
        <v>12</v>
      </c>
      <c r="I6386" t="str">
        <f t="shared" si="298"/>
        <v>Medium Value</v>
      </c>
      <c r="J6386" t="str">
        <f t="shared" si="299"/>
        <v>Low Risk</v>
      </c>
      <c r="K6386" s="3" t="str">
        <f t="shared" si="297"/>
        <v>2-4 Years</v>
      </c>
    </row>
    <row r="6387" spans="1:11" x14ac:dyDescent="0.3">
      <c r="A6387" t="s">
        <v>6404</v>
      </c>
      <c r="B6387" t="s">
        <v>9</v>
      </c>
      <c r="C6387" t="s">
        <v>15</v>
      </c>
      <c r="D6387" t="s">
        <v>20</v>
      </c>
      <c r="E6387">
        <v>58.2</v>
      </c>
      <c r="F6387">
        <v>8</v>
      </c>
      <c r="G6387">
        <v>465.6</v>
      </c>
      <c r="H6387" t="s">
        <v>12</v>
      </c>
      <c r="I6387" t="str">
        <f t="shared" si="298"/>
        <v>Low Value</v>
      </c>
      <c r="J6387" t="str">
        <f t="shared" si="299"/>
        <v>High Risk</v>
      </c>
      <c r="K6387" s="3" t="str">
        <f t="shared" si="297"/>
        <v>0-1 Year</v>
      </c>
    </row>
    <row r="6388" spans="1:11" x14ac:dyDescent="0.3">
      <c r="A6388" t="s">
        <v>6405</v>
      </c>
      <c r="B6388" t="s">
        <v>14</v>
      </c>
      <c r="C6388" t="s">
        <v>15</v>
      </c>
      <c r="D6388" t="s">
        <v>11</v>
      </c>
      <c r="E6388">
        <v>102.6</v>
      </c>
      <c r="F6388">
        <v>41</v>
      </c>
      <c r="G6388">
        <v>4206.5999999999904</v>
      </c>
      <c r="H6388" t="s">
        <v>18</v>
      </c>
      <c r="I6388" t="str">
        <f t="shared" si="298"/>
        <v>Medium Value</v>
      </c>
      <c r="J6388" t="str">
        <f t="shared" si="299"/>
        <v>Low Risk</v>
      </c>
      <c r="K6388" s="3" t="str">
        <f t="shared" si="297"/>
        <v>2-4 Years</v>
      </c>
    </row>
    <row r="6389" spans="1:11" x14ac:dyDescent="0.3">
      <c r="A6389" t="s">
        <v>6406</v>
      </c>
      <c r="B6389" t="s">
        <v>9</v>
      </c>
      <c r="C6389" t="s">
        <v>10</v>
      </c>
      <c r="D6389" t="s">
        <v>24</v>
      </c>
      <c r="E6389">
        <v>91.95</v>
      </c>
      <c r="F6389">
        <v>36</v>
      </c>
      <c r="G6389">
        <v>3310.2</v>
      </c>
      <c r="H6389" t="s">
        <v>12</v>
      </c>
      <c r="I6389" t="str">
        <f t="shared" si="298"/>
        <v>Medium Value</v>
      </c>
      <c r="J6389" t="str">
        <f t="shared" si="299"/>
        <v>Low Risk</v>
      </c>
      <c r="K6389" s="3" t="str">
        <f t="shared" si="297"/>
        <v>2-4 Years</v>
      </c>
    </row>
    <row r="6390" spans="1:11" x14ac:dyDescent="0.3">
      <c r="A6390" t="s">
        <v>6407</v>
      </c>
      <c r="B6390" t="s">
        <v>14</v>
      </c>
      <c r="C6390" t="s">
        <v>15</v>
      </c>
      <c r="D6390" t="s">
        <v>20</v>
      </c>
      <c r="E6390">
        <v>65.25</v>
      </c>
      <c r="F6390">
        <v>54</v>
      </c>
      <c r="G6390">
        <v>3523.5</v>
      </c>
      <c r="H6390" t="s">
        <v>12</v>
      </c>
      <c r="I6390" t="str">
        <f t="shared" si="298"/>
        <v>Medium Value</v>
      </c>
      <c r="J6390" t="str">
        <f t="shared" si="299"/>
        <v>Low Risk</v>
      </c>
      <c r="K6390" s="3" t="str">
        <f t="shared" si="297"/>
        <v>4+ Years</v>
      </c>
    </row>
    <row r="6391" spans="1:11" x14ac:dyDescent="0.3">
      <c r="A6391" t="s">
        <v>6408</v>
      </c>
      <c r="B6391" t="s">
        <v>14</v>
      </c>
      <c r="C6391" t="s">
        <v>30</v>
      </c>
      <c r="D6391" t="s">
        <v>20</v>
      </c>
      <c r="E6391">
        <v>106</v>
      </c>
      <c r="F6391">
        <v>71</v>
      </c>
      <c r="G6391">
        <v>7526</v>
      </c>
      <c r="H6391" t="s">
        <v>18</v>
      </c>
      <c r="I6391" t="str">
        <f t="shared" si="298"/>
        <v>High Value</v>
      </c>
      <c r="J6391" t="str">
        <f t="shared" si="299"/>
        <v>Low Risk</v>
      </c>
      <c r="K6391" s="3" t="str">
        <f t="shared" si="297"/>
        <v>4+ Years</v>
      </c>
    </row>
    <row r="6392" spans="1:11" x14ac:dyDescent="0.3">
      <c r="A6392" t="s">
        <v>6409</v>
      </c>
      <c r="B6392" t="s">
        <v>9</v>
      </c>
      <c r="C6392" t="s">
        <v>10</v>
      </c>
      <c r="D6392" t="s">
        <v>11</v>
      </c>
      <c r="E6392">
        <v>73.099999999999994</v>
      </c>
      <c r="F6392">
        <v>55</v>
      </c>
      <c r="G6392">
        <v>4020.49999999999</v>
      </c>
      <c r="H6392" t="s">
        <v>12</v>
      </c>
      <c r="I6392" t="str">
        <f t="shared" si="298"/>
        <v>Medium Value</v>
      </c>
      <c r="J6392" t="str">
        <f t="shared" si="299"/>
        <v>Low Risk</v>
      </c>
      <c r="K6392" s="3" t="str">
        <f t="shared" si="297"/>
        <v>4+ Years</v>
      </c>
    </row>
    <row r="6393" spans="1:11" x14ac:dyDescent="0.3">
      <c r="A6393" t="s">
        <v>6410</v>
      </c>
      <c r="B6393" t="s">
        <v>9</v>
      </c>
      <c r="C6393" t="s">
        <v>30</v>
      </c>
      <c r="D6393" t="s">
        <v>20</v>
      </c>
      <c r="E6393">
        <v>59.75</v>
      </c>
      <c r="F6393">
        <v>72</v>
      </c>
      <c r="G6393">
        <v>4302</v>
      </c>
      <c r="H6393" t="s">
        <v>12</v>
      </c>
      <c r="I6393" t="str">
        <f t="shared" si="298"/>
        <v>Medium Value</v>
      </c>
      <c r="J6393" t="str">
        <f t="shared" si="299"/>
        <v>Low Risk</v>
      </c>
      <c r="K6393" s="3" t="str">
        <f t="shared" si="297"/>
        <v>4+ Years</v>
      </c>
    </row>
    <row r="6394" spans="1:11" x14ac:dyDescent="0.3">
      <c r="A6394" t="s">
        <v>6411</v>
      </c>
      <c r="B6394" t="s">
        <v>9</v>
      </c>
      <c r="C6394" t="s">
        <v>10</v>
      </c>
      <c r="D6394" t="s">
        <v>16</v>
      </c>
      <c r="E6394">
        <v>55.1</v>
      </c>
      <c r="F6394">
        <v>3</v>
      </c>
      <c r="G6394">
        <v>165.3</v>
      </c>
      <c r="H6394" t="s">
        <v>18</v>
      </c>
      <c r="I6394" t="str">
        <f t="shared" si="298"/>
        <v>Low Value</v>
      </c>
      <c r="J6394" t="str">
        <f t="shared" si="299"/>
        <v>High Risk</v>
      </c>
      <c r="K6394" s="3" t="str">
        <f t="shared" si="297"/>
        <v>0-1 Year</v>
      </c>
    </row>
    <row r="6395" spans="1:11" x14ac:dyDescent="0.3">
      <c r="A6395" t="s">
        <v>6412</v>
      </c>
      <c r="B6395" t="s">
        <v>9</v>
      </c>
      <c r="C6395" t="s">
        <v>30</v>
      </c>
      <c r="D6395" t="s">
        <v>20</v>
      </c>
      <c r="E6395">
        <v>59.8</v>
      </c>
      <c r="F6395">
        <v>54</v>
      </c>
      <c r="G6395">
        <v>3229.2</v>
      </c>
      <c r="H6395" t="s">
        <v>12</v>
      </c>
      <c r="I6395" t="str">
        <f t="shared" si="298"/>
        <v>Medium Value</v>
      </c>
      <c r="J6395" t="str">
        <f t="shared" si="299"/>
        <v>Low Risk</v>
      </c>
      <c r="K6395" s="3" t="str">
        <f t="shared" si="297"/>
        <v>4+ Years</v>
      </c>
    </row>
    <row r="6396" spans="1:11" x14ac:dyDescent="0.3">
      <c r="A6396" t="s">
        <v>6413</v>
      </c>
      <c r="B6396" t="s">
        <v>14</v>
      </c>
      <c r="C6396" t="s">
        <v>30</v>
      </c>
      <c r="D6396" t="s">
        <v>20</v>
      </c>
      <c r="E6396">
        <v>116.6</v>
      </c>
      <c r="F6396">
        <v>72</v>
      </c>
      <c r="G6396">
        <v>8395.1999999999898</v>
      </c>
      <c r="H6396" t="s">
        <v>12</v>
      </c>
      <c r="I6396" t="str">
        <f t="shared" si="298"/>
        <v>High Value</v>
      </c>
      <c r="J6396" t="str">
        <f t="shared" si="299"/>
        <v>Low Risk</v>
      </c>
      <c r="K6396" s="3" t="str">
        <f t="shared" si="297"/>
        <v>4+ Years</v>
      </c>
    </row>
    <row r="6397" spans="1:11" x14ac:dyDescent="0.3">
      <c r="A6397" t="s">
        <v>6414</v>
      </c>
      <c r="B6397" t="s">
        <v>14</v>
      </c>
      <c r="C6397" t="s">
        <v>30</v>
      </c>
      <c r="D6397" t="s">
        <v>11</v>
      </c>
      <c r="E6397">
        <v>109.3</v>
      </c>
      <c r="F6397">
        <v>52</v>
      </c>
      <c r="G6397">
        <v>5683.5999999999904</v>
      </c>
      <c r="H6397" t="s">
        <v>12</v>
      </c>
      <c r="I6397" t="str">
        <f t="shared" si="298"/>
        <v>High Value</v>
      </c>
      <c r="J6397" t="str">
        <f t="shared" si="299"/>
        <v>Low Risk</v>
      </c>
      <c r="K6397" s="3" t="str">
        <f t="shared" si="297"/>
        <v>4+ Years</v>
      </c>
    </row>
    <row r="6398" spans="1:11" x14ac:dyDescent="0.3">
      <c r="A6398" t="s">
        <v>6415</v>
      </c>
      <c r="B6398" t="s">
        <v>9</v>
      </c>
      <c r="C6398" t="s">
        <v>15</v>
      </c>
      <c r="D6398" t="s">
        <v>20</v>
      </c>
      <c r="E6398">
        <v>101.4</v>
      </c>
      <c r="F6398">
        <v>60</v>
      </c>
      <c r="G6398">
        <v>6084</v>
      </c>
      <c r="H6398" t="s">
        <v>12</v>
      </c>
      <c r="I6398" t="str">
        <f t="shared" si="298"/>
        <v>High Value</v>
      </c>
      <c r="J6398" t="str">
        <f t="shared" si="299"/>
        <v>Low Risk</v>
      </c>
      <c r="K6398" s="3" t="str">
        <f t="shared" si="297"/>
        <v>4+ Years</v>
      </c>
    </row>
    <row r="6399" spans="1:11" x14ac:dyDescent="0.3">
      <c r="A6399" t="s">
        <v>6416</v>
      </c>
      <c r="B6399" t="s">
        <v>9</v>
      </c>
      <c r="C6399" t="s">
        <v>10</v>
      </c>
      <c r="D6399" t="s">
        <v>24</v>
      </c>
      <c r="E6399">
        <v>50.65</v>
      </c>
      <c r="F6399">
        <v>39</v>
      </c>
      <c r="G6399">
        <v>1975.35</v>
      </c>
      <c r="H6399" t="s">
        <v>12</v>
      </c>
      <c r="I6399" t="str">
        <f t="shared" si="298"/>
        <v>Low Value</v>
      </c>
      <c r="J6399" t="str">
        <f t="shared" si="299"/>
        <v>Low Risk</v>
      </c>
      <c r="K6399" s="3" t="str">
        <f t="shared" si="297"/>
        <v>2-4 Years</v>
      </c>
    </row>
    <row r="6400" spans="1:11" x14ac:dyDescent="0.3">
      <c r="A6400" t="s">
        <v>6417</v>
      </c>
      <c r="B6400" t="s">
        <v>9</v>
      </c>
      <c r="C6400" t="s">
        <v>15</v>
      </c>
      <c r="D6400" t="s">
        <v>16</v>
      </c>
      <c r="E6400">
        <v>56.15</v>
      </c>
      <c r="F6400">
        <v>15</v>
      </c>
      <c r="G6400">
        <v>842.25</v>
      </c>
      <c r="H6400" t="s">
        <v>12</v>
      </c>
      <c r="I6400" t="str">
        <f t="shared" si="298"/>
        <v>Low Value</v>
      </c>
      <c r="J6400" t="str">
        <f t="shared" si="299"/>
        <v>Medium Risk</v>
      </c>
      <c r="K6400" s="3" t="str">
        <f t="shared" si="297"/>
        <v>1-2 Years</v>
      </c>
    </row>
    <row r="6401" spans="1:11" x14ac:dyDescent="0.3">
      <c r="A6401" t="s">
        <v>6418</v>
      </c>
      <c r="B6401" t="s">
        <v>14</v>
      </c>
      <c r="C6401" t="s">
        <v>30</v>
      </c>
      <c r="D6401" t="s">
        <v>20</v>
      </c>
      <c r="E6401">
        <v>106.5</v>
      </c>
      <c r="F6401">
        <v>69</v>
      </c>
      <c r="G6401">
        <v>7348.5</v>
      </c>
      <c r="H6401" t="s">
        <v>18</v>
      </c>
      <c r="I6401" t="str">
        <f t="shared" si="298"/>
        <v>High Value</v>
      </c>
      <c r="J6401" t="str">
        <f t="shared" si="299"/>
        <v>Low Risk</v>
      </c>
      <c r="K6401" s="3" t="str">
        <f t="shared" si="297"/>
        <v>4+ Years</v>
      </c>
    </row>
    <row r="6402" spans="1:11" x14ac:dyDescent="0.3">
      <c r="A6402" t="s">
        <v>6419</v>
      </c>
      <c r="B6402" t="s">
        <v>14</v>
      </c>
      <c r="C6402" t="s">
        <v>15</v>
      </c>
      <c r="D6402" t="s">
        <v>16</v>
      </c>
      <c r="E6402">
        <v>19.2</v>
      </c>
      <c r="F6402">
        <v>43</v>
      </c>
      <c r="G6402">
        <v>825.6</v>
      </c>
      <c r="H6402" t="s">
        <v>12</v>
      </c>
      <c r="I6402" t="str">
        <f t="shared" si="298"/>
        <v>Low Value</v>
      </c>
      <c r="J6402" t="str">
        <f t="shared" si="299"/>
        <v>Low Risk</v>
      </c>
      <c r="K6402" s="3" t="str">
        <f t="shared" si="297"/>
        <v>2-4 Years</v>
      </c>
    </row>
    <row r="6403" spans="1:11" x14ac:dyDescent="0.3">
      <c r="A6403" t="s">
        <v>6420</v>
      </c>
      <c r="B6403" t="s">
        <v>9</v>
      </c>
      <c r="C6403" t="s">
        <v>15</v>
      </c>
      <c r="D6403" t="s">
        <v>20</v>
      </c>
      <c r="E6403">
        <v>83</v>
      </c>
      <c r="F6403">
        <v>63</v>
      </c>
      <c r="G6403">
        <v>5229</v>
      </c>
      <c r="H6403" t="s">
        <v>12</v>
      </c>
      <c r="I6403" t="str">
        <f t="shared" si="298"/>
        <v>High Value</v>
      </c>
      <c r="J6403" t="str">
        <f t="shared" si="299"/>
        <v>Low Risk</v>
      </c>
      <c r="K6403" s="3" t="str">
        <f t="shared" ref="K6403:K6466" si="300">IF(F6403&lt;=12,"0-1 Year",
IF(F6403&lt;=24,"1-2 Years",
IF(F6403&lt;=48,"2-4 Years","4+ Years")))</f>
        <v>4+ Years</v>
      </c>
    </row>
    <row r="6404" spans="1:11" x14ac:dyDescent="0.3">
      <c r="A6404" t="s">
        <v>6421</v>
      </c>
      <c r="B6404" t="s">
        <v>14</v>
      </c>
      <c r="C6404" t="s">
        <v>10</v>
      </c>
      <c r="D6404" t="s">
        <v>11</v>
      </c>
      <c r="E6404">
        <v>70.099999999999994</v>
      </c>
      <c r="F6404">
        <v>2</v>
      </c>
      <c r="G6404">
        <v>140.19999999999999</v>
      </c>
      <c r="H6404" t="s">
        <v>12</v>
      </c>
      <c r="I6404" t="str">
        <f t="shared" ref="I6404:I6467" si="301">IF(G6404&gt;5000,"High Value",
IF(G6404&gt;2000,"Medium Value","Low Value"))</f>
        <v>Low Value</v>
      </c>
      <c r="J6404" t="str">
        <f t="shared" ref="J6404:J6467" si="302">IF(F6404&lt;12,"High Risk",
IF(F6404&lt;24,"Medium Risk","Low Risk"))</f>
        <v>High Risk</v>
      </c>
      <c r="K6404" s="3" t="str">
        <f t="shared" si="300"/>
        <v>0-1 Year</v>
      </c>
    </row>
    <row r="6405" spans="1:11" x14ac:dyDescent="0.3">
      <c r="A6405" t="s">
        <v>6422</v>
      </c>
      <c r="B6405" t="s">
        <v>9</v>
      </c>
      <c r="C6405" t="s">
        <v>30</v>
      </c>
      <c r="D6405" t="s">
        <v>20</v>
      </c>
      <c r="E6405">
        <v>108.3</v>
      </c>
      <c r="F6405">
        <v>72</v>
      </c>
      <c r="G6405">
        <v>7797.5999999999904</v>
      </c>
      <c r="H6405" t="s">
        <v>12</v>
      </c>
      <c r="I6405" t="str">
        <f t="shared" si="301"/>
        <v>High Value</v>
      </c>
      <c r="J6405" t="str">
        <f t="shared" si="302"/>
        <v>Low Risk</v>
      </c>
      <c r="K6405" s="3" t="str">
        <f t="shared" si="300"/>
        <v>4+ Years</v>
      </c>
    </row>
    <row r="6406" spans="1:11" x14ac:dyDescent="0.3">
      <c r="A6406" t="s">
        <v>6423</v>
      </c>
      <c r="B6406" t="s">
        <v>9</v>
      </c>
      <c r="C6406" t="s">
        <v>10</v>
      </c>
      <c r="D6406" t="s">
        <v>20</v>
      </c>
      <c r="E6406">
        <v>91.05</v>
      </c>
      <c r="F6406">
        <v>32</v>
      </c>
      <c r="G6406">
        <v>2913.6</v>
      </c>
      <c r="H6406" t="s">
        <v>18</v>
      </c>
      <c r="I6406" t="str">
        <f t="shared" si="301"/>
        <v>Medium Value</v>
      </c>
      <c r="J6406" t="str">
        <f t="shared" si="302"/>
        <v>Low Risk</v>
      </c>
      <c r="K6406" s="3" t="str">
        <f t="shared" si="300"/>
        <v>2-4 Years</v>
      </c>
    </row>
    <row r="6407" spans="1:11" x14ac:dyDescent="0.3">
      <c r="A6407" t="s">
        <v>6424</v>
      </c>
      <c r="B6407" t="s">
        <v>14</v>
      </c>
      <c r="C6407" t="s">
        <v>30</v>
      </c>
      <c r="D6407" t="s">
        <v>24</v>
      </c>
      <c r="E6407">
        <v>25.25</v>
      </c>
      <c r="F6407">
        <v>40</v>
      </c>
      <c r="G6407">
        <v>1010</v>
      </c>
      <c r="H6407" t="s">
        <v>12</v>
      </c>
      <c r="I6407" t="str">
        <f t="shared" si="301"/>
        <v>Low Value</v>
      </c>
      <c r="J6407" t="str">
        <f t="shared" si="302"/>
        <v>Low Risk</v>
      </c>
      <c r="K6407" s="3" t="str">
        <f t="shared" si="300"/>
        <v>2-4 Years</v>
      </c>
    </row>
    <row r="6408" spans="1:11" x14ac:dyDescent="0.3">
      <c r="A6408" t="s">
        <v>6425</v>
      </c>
      <c r="B6408" t="s">
        <v>9</v>
      </c>
      <c r="C6408" t="s">
        <v>15</v>
      </c>
      <c r="D6408" t="s">
        <v>11</v>
      </c>
      <c r="E6408">
        <v>45.35</v>
      </c>
      <c r="F6408">
        <v>58</v>
      </c>
      <c r="G6408">
        <v>2630.3</v>
      </c>
      <c r="H6408" t="s">
        <v>12</v>
      </c>
      <c r="I6408" t="str">
        <f t="shared" si="301"/>
        <v>Medium Value</v>
      </c>
      <c r="J6408" t="str">
        <f t="shared" si="302"/>
        <v>Low Risk</v>
      </c>
      <c r="K6408" s="3" t="str">
        <f t="shared" si="300"/>
        <v>4+ Years</v>
      </c>
    </row>
    <row r="6409" spans="1:11" x14ac:dyDescent="0.3">
      <c r="A6409" t="s">
        <v>6426</v>
      </c>
      <c r="B6409" t="s">
        <v>14</v>
      </c>
      <c r="C6409" t="s">
        <v>30</v>
      </c>
      <c r="D6409" t="s">
        <v>11</v>
      </c>
      <c r="E6409">
        <v>43.9</v>
      </c>
      <c r="F6409">
        <v>67</v>
      </c>
      <c r="G6409">
        <v>2941.2999999999902</v>
      </c>
      <c r="H6409" t="s">
        <v>12</v>
      </c>
      <c r="I6409" t="str">
        <f t="shared" si="301"/>
        <v>Medium Value</v>
      </c>
      <c r="J6409" t="str">
        <f t="shared" si="302"/>
        <v>Low Risk</v>
      </c>
      <c r="K6409" s="3" t="str">
        <f t="shared" si="300"/>
        <v>4+ Years</v>
      </c>
    </row>
    <row r="6410" spans="1:11" x14ac:dyDescent="0.3">
      <c r="A6410" t="s">
        <v>6427</v>
      </c>
      <c r="B6410" t="s">
        <v>9</v>
      </c>
      <c r="C6410" t="s">
        <v>10</v>
      </c>
      <c r="D6410" t="s">
        <v>11</v>
      </c>
      <c r="E6410">
        <v>77.5</v>
      </c>
      <c r="F6410">
        <v>51</v>
      </c>
      <c r="G6410">
        <v>3952.5</v>
      </c>
      <c r="H6410" t="s">
        <v>18</v>
      </c>
      <c r="I6410" t="str">
        <f t="shared" si="301"/>
        <v>Medium Value</v>
      </c>
      <c r="J6410" t="str">
        <f t="shared" si="302"/>
        <v>Low Risk</v>
      </c>
      <c r="K6410" s="3" t="str">
        <f t="shared" si="300"/>
        <v>4+ Years</v>
      </c>
    </row>
    <row r="6411" spans="1:11" x14ac:dyDescent="0.3">
      <c r="A6411" t="s">
        <v>6428</v>
      </c>
      <c r="B6411" t="s">
        <v>14</v>
      </c>
      <c r="C6411" t="s">
        <v>15</v>
      </c>
      <c r="D6411" t="s">
        <v>16</v>
      </c>
      <c r="E6411">
        <v>79.3</v>
      </c>
      <c r="F6411">
        <v>31</v>
      </c>
      <c r="G6411">
        <v>2458.2999999999902</v>
      </c>
      <c r="H6411" t="s">
        <v>12</v>
      </c>
      <c r="I6411" t="str">
        <f t="shared" si="301"/>
        <v>Medium Value</v>
      </c>
      <c r="J6411" t="str">
        <f t="shared" si="302"/>
        <v>Low Risk</v>
      </c>
      <c r="K6411" s="3" t="str">
        <f t="shared" si="300"/>
        <v>2-4 Years</v>
      </c>
    </row>
    <row r="6412" spans="1:11" x14ac:dyDescent="0.3">
      <c r="A6412" t="s">
        <v>6429</v>
      </c>
      <c r="B6412" t="s">
        <v>14</v>
      </c>
      <c r="C6412" t="s">
        <v>10</v>
      </c>
      <c r="D6412" t="s">
        <v>24</v>
      </c>
      <c r="E6412">
        <v>84.9</v>
      </c>
      <c r="F6412">
        <v>69</v>
      </c>
      <c r="G6412">
        <v>5858.1</v>
      </c>
      <c r="H6412" t="s">
        <v>12</v>
      </c>
      <c r="I6412" t="str">
        <f t="shared" si="301"/>
        <v>High Value</v>
      </c>
      <c r="J6412" t="str">
        <f t="shared" si="302"/>
        <v>Low Risk</v>
      </c>
      <c r="K6412" s="3" t="str">
        <f t="shared" si="300"/>
        <v>4+ Years</v>
      </c>
    </row>
    <row r="6413" spans="1:11" x14ac:dyDescent="0.3">
      <c r="A6413" t="s">
        <v>6430</v>
      </c>
      <c r="B6413" t="s">
        <v>14</v>
      </c>
      <c r="C6413" t="s">
        <v>15</v>
      </c>
      <c r="D6413" t="s">
        <v>11</v>
      </c>
      <c r="E6413">
        <v>79.25</v>
      </c>
      <c r="F6413">
        <v>32</v>
      </c>
      <c r="G6413">
        <v>2536</v>
      </c>
      <c r="H6413" t="s">
        <v>12</v>
      </c>
      <c r="I6413" t="str">
        <f t="shared" si="301"/>
        <v>Medium Value</v>
      </c>
      <c r="J6413" t="str">
        <f t="shared" si="302"/>
        <v>Low Risk</v>
      </c>
      <c r="K6413" s="3" t="str">
        <f t="shared" si="300"/>
        <v>2-4 Years</v>
      </c>
    </row>
    <row r="6414" spans="1:11" x14ac:dyDescent="0.3">
      <c r="A6414" t="s">
        <v>6431</v>
      </c>
      <c r="B6414" t="s">
        <v>9</v>
      </c>
      <c r="C6414" t="s">
        <v>30</v>
      </c>
      <c r="D6414" t="s">
        <v>24</v>
      </c>
      <c r="E6414">
        <v>71.05</v>
      </c>
      <c r="F6414">
        <v>21</v>
      </c>
      <c r="G6414">
        <v>1492.05</v>
      </c>
      <c r="H6414" t="s">
        <v>12</v>
      </c>
      <c r="I6414" t="str">
        <f t="shared" si="301"/>
        <v>Low Value</v>
      </c>
      <c r="J6414" t="str">
        <f t="shared" si="302"/>
        <v>Medium Risk</v>
      </c>
      <c r="K6414" s="3" t="str">
        <f t="shared" si="300"/>
        <v>1-2 Years</v>
      </c>
    </row>
    <row r="6415" spans="1:11" x14ac:dyDescent="0.3">
      <c r="A6415" t="s">
        <v>6432</v>
      </c>
      <c r="B6415" t="s">
        <v>14</v>
      </c>
      <c r="C6415" t="s">
        <v>15</v>
      </c>
      <c r="D6415" t="s">
        <v>11</v>
      </c>
      <c r="E6415">
        <v>53.75</v>
      </c>
      <c r="F6415">
        <v>52</v>
      </c>
      <c r="G6415">
        <v>2795</v>
      </c>
      <c r="H6415" t="s">
        <v>12</v>
      </c>
      <c r="I6415" t="str">
        <f t="shared" si="301"/>
        <v>Medium Value</v>
      </c>
      <c r="J6415" t="str">
        <f t="shared" si="302"/>
        <v>Low Risk</v>
      </c>
      <c r="K6415" s="3" t="str">
        <f t="shared" si="300"/>
        <v>4+ Years</v>
      </c>
    </row>
    <row r="6416" spans="1:11" x14ac:dyDescent="0.3">
      <c r="A6416" t="s">
        <v>6433</v>
      </c>
      <c r="B6416" t="s">
        <v>9</v>
      </c>
      <c r="C6416" t="s">
        <v>30</v>
      </c>
      <c r="D6416" t="s">
        <v>24</v>
      </c>
      <c r="E6416">
        <v>24.25</v>
      </c>
      <c r="F6416">
        <v>72</v>
      </c>
      <c r="G6416">
        <v>1746</v>
      </c>
      <c r="H6416" t="s">
        <v>12</v>
      </c>
      <c r="I6416" t="str">
        <f t="shared" si="301"/>
        <v>Low Value</v>
      </c>
      <c r="J6416" t="str">
        <f t="shared" si="302"/>
        <v>Low Risk</v>
      </c>
      <c r="K6416" s="3" t="str">
        <f t="shared" si="300"/>
        <v>4+ Years</v>
      </c>
    </row>
    <row r="6417" spans="1:11" x14ac:dyDescent="0.3">
      <c r="A6417" t="s">
        <v>6434</v>
      </c>
      <c r="B6417" t="s">
        <v>9</v>
      </c>
      <c r="C6417" t="s">
        <v>30</v>
      </c>
      <c r="D6417" t="s">
        <v>11</v>
      </c>
      <c r="E6417">
        <v>54.2</v>
      </c>
      <c r="F6417">
        <v>72</v>
      </c>
      <c r="G6417">
        <v>3902.4</v>
      </c>
      <c r="H6417" t="s">
        <v>18</v>
      </c>
      <c r="I6417" t="str">
        <f t="shared" si="301"/>
        <v>Medium Value</v>
      </c>
      <c r="J6417" t="str">
        <f t="shared" si="302"/>
        <v>Low Risk</v>
      </c>
      <c r="K6417" s="3" t="str">
        <f t="shared" si="300"/>
        <v>4+ Years</v>
      </c>
    </row>
    <row r="6418" spans="1:11" x14ac:dyDescent="0.3">
      <c r="A6418" t="s">
        <v>6435</v>
      </c>
      <c r="B6418" t="s">
        <v>14</v>
      </c>
      <c r="C6418" t="s">
        <v>15</v>
      </c>
      <c r="D6418" t="s">
        <v>20</v>
      </c>
      <c r="E6418">
        <v>44.25</v>
      </c>
      <c r="F6418">
        <v>52</v>
      </c>
      <c r="G6418">
        <v>2301</v>
      </c>
      <c r="H6418" t="s">
        <v>12</v>
      </c>
      <c r="I6418" t="str">
        <f t="shared" si="301"/>
        <v>Medium Value</v>
      </c>
      <c r="J6418" t="str">
        <f t="shared" si="302"/>
        <v>Low Risk</v>
      </c>
      <c r="K6418" s="3" t="str">
        <f t="shared" si="300"/>
        <v>4+ Years</v>
      </c>
    </row>
    <row r="6419" spans="1:11" x14ac:dyDescent="0.3">
      <c r="A6419" t="s">
        <v>6436</v>
      </c>
      <c r="B6419" t="s">
        <v>9</v>
      </c>
      <c r="C6419" t="s">
        <v>15</v>
      </c>
      <c r="D6419" t="s">
        <v>20</v>
      </c>
      <c r="E6419">
        <v>50.05</v>
      </c>
      <c r="F6419">
        <v>41</v>
      </c>
      <c r="G6419">
        <v>2052.0499999999902</v>
      </c>
      <c r="H6419" t="s">
        <v>12</v>
      </c>
      <c r="I6419" t="str">
        <f t="shared" si="301"/>
        <v>Medium Value</v>
      </c>
      <c r="J6419" t="str">
        <f t="shared" si="302"/>
        <v>Low Risk</v>
      </c>
      <c r="K6419" s="3" t="str">
        <f t="shared" si="300"/>
        <v>2-4 Years</v>
      </c>
    </row>
    <row r="6420" spans="1:11" x14ac:dyDescent="0.3">
      <c r="A6420" t="s">
        <v>6437</v>
      </c>
      <c r="B6420" t="s">
        <v>14</v>
      </c>
      <c r="C6420" t="s">
        <v>30</v>
      </c>
      <c r="D6420" t="s">
        <v>16</v>
      </c>
      <c r="E6420">
        <v>20.149999999999999</v>
      </c>
      <c r="F6420">
        <v>41</v>
      </c>
      <c r="G6420">
        <v>826.15</v>
      </c>
      <c r="H6420" t="s">
        <v>12</v>
      </c>
      <c r="I6420" t="str">
        <f t="shared" si="301"/>
        <v>Low Value</v>
      </c>
      <c r="J6420" t="str">
        <f t="shared" si="302"/>
        <v>Low Risk</v>
      </c>
      <c r="K6420" s="3" t="str">
        <f t="shared" si="300"/>
        <v>2-4 Years</v>
      </c>
    </row>
    <row r="6421" spans="1:11" x14ac:dyDescent="0.3">
      <c r="A6421" t="s">
        <v>6438</v>
      </c>
      <c r="B6421" t="s">
        <v>9</v>
      </c>
      <c r="C6421" t="s">
        <v>10</v>
      </c>
      <c r="D6421" t="s">
        <v>16</v>
      </c>
      <c r="E6421">
        <v>69.25</v>
      </c>
      <c r="F6421">
        <v>6</v>
      </c>
      <c r="G6421">
        <v>415.5</v>
      </c>
      <c r="H6421" t="s">
        <v>18</v>
      </c>
      <c r="I6421" t="str">
        <f t="shared" si="301"/>
        <v>Low Value</v>
      </c>
      <c r="J6421" t="str">
        <f t="shared" si="302"/>
        <v>High Risk</v>
      </c>
      <c r="K6421" s="3" t="str">
        <f t="shared" si="300"/>
        <v>0-1 Year</v>
      </c>
    </row>
    <row r="6422" spans="1:11" x14ac:dyDescent="0.3">
      <c r="A6422" t="s">
        <v>6439</v>
      </c>
      <c r="B6422" t="s">
        <v>14</v>
      </c>
      <c r="C6422" t="s">
        <v>15</v>
      </c>
      <c r="D6422" t="s">
        <v>24</v>
      </c>
      <c r="E6422">
        <v>69.349999999999994</v>
      </c>
      <c r="F6422">
        <v>67</v>
      </c>
      <c r="G6422">
        <v>4646.45</v>
      </c>
      <c r="H6422" t="s">
        <v>12</v>
      </c>
      <c r="I6422" t="str">
        <f t="shared" si="301"/>
        <v>Medium Value</v>
      </c>
      <c r="J6422" t="str">
        <f t="shared" si="302"/>
        <v>Low Risk</v>
      </c>
      <c r="K6422" s="3" t="str">
        <f t="shared" si="300"/>
        <v>4+ Years</v>
      </c>
    </row>
    <row r="6423" spans="1:11" x14ac:dyDescent="0.3">
      <c r="A6423" t="s">
        <v>6440</v>
      </c>
      <c r="B6423" t="s">
        <v>9</v>
      </c>
      <c r="C6423" t="s">
        <v>10</v>
      </c>
      <c r="D6423" t="s">
        <v>16</v>
      </c>
      <c r="E6423">
        <v>19.350000000000001</v>
      </c>
      <c r="F6423">
        <v>16</v>
      </c>
      <c r="G6423">
        <v>309.60000000000002</v>
      </c>
      <c r="H6423" t="s">
        <v>12</v>
      </c>
      <c r="I6423" t="str">
        <f t="shared" si="301"/>
        <v>Low Value</v>
      </c>
      <c r="J6423" t="str">
        <f t="shared" si="302"/>
        <v>Medium Risk</v>
      </c>
      <c r="K6423" s="3" t="str">
        <f t="shared" si="300"/>
        <v>1-2 Years</v>
      </c>
    </row>
    <row r="6424" spans="1:11" x14ac:dyDescent="0.3">
      <c r="A6424" t="s">
        <v>6441</v>
      </c>
      <c r="B6424" t="s">
        <v>14</v>
      </c>
      <c r="C6424" t="s">
        <v>30</v>
      </c>
      <c r="D6424" t="s">
        <v>16</v>
      </c>
      <c r="E6424">
        <v>19.149999999999999</v>
      </c>
      <c r="F6424">
        <v>17</v>
      </c>
      <c r="G6424">
        <v>325.54999999999899</v>
      </c>
      <c r="H6424" t="s">
        <v>12</v>
      </c>
      <c r="I6424" t="str">
        <f t="shared" si="301"/>
        <v>Low Value</v>
      </c>
      <c r="J6424" t="str">
        <f t="shared" si="302"/>
        <v>Medium Risk</v>
      </c>
      <c r="K6424" s="3" t="str">
        <f t="shared" si="300"/>
        <v>1-2 Years</v>
      </c>
    </row>
    <row r="6425" spans="1:11" x14ac:dyDescent="0.3">
      <c r="A6425" t="s">
        <v>6442</v>
      </c>
      <c r="B6425" t="s">
        <v>14</v>
      </c>
      <c r="C6425" t="s">
        <v>10</v>
      </c>
      <c r="D6425" t="s">
        <v>16</v>
      </c>
      <c r="E6425">
        <v>61</v>
      </c>
      <c r="F6425">
        <v>35</v>
      </c>
      <c r="G6425">
        <v>2135</v>
      </c>
      <c r="H6425" t="s">
        <v>12</v>
      </c>
      <c r="I6425" t="str">
        <f t="shared" si="301"/>
        <v>Medium Value</v>
      </c>
      <c r="J6425" t="str">
        <f t="shared" si="302"/>
        <v>Low Risk</v>
      </c>
      <c r="K6425" s="3" t="str">
        <f t="shared" si="300"/>
        <v>2-4 Years</v>
      </c>
    </row>
    <row r="6426" spans="1:11" x14ac:dyDescent="0.3">
      <c r="A6426" t="s">
        <v>6443</v>
      </c>
      <c r="B6426" t="s">
        <v>9</v>
      </c>
      <c r="C6426" t="s">
        <v>30</v>
      </c>
      <c r="D6426" t="s">
        <v>24</v>
      </c>
      <c r="E6426">
        <v>20.5</v>
      </c>
      <c r="F6426">
        <v>58</v>
      </c>
      <c r="G6426">
        <v>1189</v>
      </c>
      <c r="H6426" t="s">
        <v>12</v>
      </c>
      <c r="I6426" t="str">
        <f t="shared" si="301"/>
        <v>Low Value</v>
      </c>
      <c r="J6426" t="str">
        <f t="shared" si="302"/>
        <v>Low Risk</v>
      </c>
      <c r="K6426" s="3" t="str">
        <f t="shared" si="300"/>
        <v>4+ Years</v>
      </c>
    </row>
    <row r="6427" spans="1:11" x14ac:dyDescent="0.3">
      <c r="A6427" t="s">
        <v>6444</v>
      </c>
      <c r="B6427" t="s">
        <v>14</v>
      </c>
      <c r="C6427" t="s">
        <v>10</v>
      </c>
      <c r="D6427" t="s">
        <v>11</v>
      </c>
      <c r="E6427">
        <v>50.5</v>
      </c>
      <c r="F6427">
        <v>1</v>
      </c>
      <c r="G6427">
        <v>50.5</v>
      </c>
      <c r="H6427" t="s">
        <v>18</v>
      </c>
      <c r="I6427" t="str">
        <f t="shared" si="301"/>
        <v>Low Value</v>
      </c>
      <c r="J6427" t="str">
        <f t="shared" si="302"/>
        <v>High Risk</v>
      </c>
      <c r="K6427" s="3" t="str">
        <f t="shared" si="300"/>
        <v>0-1 Year</v>
      </c>
    </row>
    <row r="6428" spans="1:11" x14ac:dyDescent="0.3">
      <c r="A6428" t="s">
        <v>6445</v>
      </c>
      <c r="B6428" t="s">
        <v>14</v>
      </c>
      <c r="C6428" t="s">
        <v>30</v>
      </c>
      <c r="D6428" t="s">
        <v>16</v>
      </c>
      <c r="E6428">
        <v>50.2</v>
      </c>
      <c r="F6428">
        <v>52</v>
      </c>
      <c r="G6428">
        <v>2610.4</v>
      </c>
      <c r="H6428" t="s">
        <v>12</v>
      </c>
      <c r="I6428" t="str">
        <f t="shared" si="301"/>
        <v>Medium Value</v>
      </c>
      <c r="J6428" t="str">
        <f t="shared" si="302"/>
        <v>Low Risk</v>
      </c>
      <c r="K6428" s="3" t="str">
        <f t="shared" si="300"/>
        <v>4+ Years</v>
      </c>
    </row>
    <row r="6429" spans="1:11" x14ac:dyDescent="0.3">
      <c r="A6429" t="s">
        <v>6446</v>
      </c>
      <c r="B6429" t="s">
        <v>9</v>
      </c>
      <c r="C6429" t="s">
        <v>30</v>
      </c>
      <c r="D6429" t="s">
        <v>20</v>
      </c>
      <c r="E6429">
        <v>79.599999999999994</v>
      </c>
      <c r="F6429">
        <v>70</v>
      </c>
      <c r="G6429">
        <v>5572</v>
      </c>
      <c r="H6429" t="s">
        <v>12</v>
      </c>
      <c r="I6429" t="str">
        <f t="shared" si="301"/>
        <v>High Value</v>
      </c>
      <c r="J6429" t="str">
        <f t="shared" si="302"/>
        <v>Low Risk</v>
      </c>
      <c r="K6429" s="3" t="str">
        <f t="shared" si="300"/>
        <v>4+ Years</v>
      </c>
    </row>
    <row r="6430" spans="1:11" x14ac:dyDescent="0.3">
      <c r="A6430" t="s">
        <v>6447</v>
      </c>
      <c r="B6430" t="s">
        <v>9</v>
      </c>
      <c r="C6430" t="s">
        <v>30</v>
      </c>
      <c r="D6430" t="s">
        <v>20</v>
      </c>
      <c r="E6430">
        <v>24.9</v>
      </c>
      <c r="F6430">
        <v>19</v>
      </c>
      <c r="G6430">
        <v>473.099999999999</v>
      </c>
      <c r="H6430" t="s">
        <v>12</v>
      </c>
      <c r="I6430" t="str">
        <f t="shared" si="301"/>
        <v>Low Value</v>
      </c>
      <c r="J6430" t="str">
        <f t="shared" si="302"/>
        <v>Medium Risk</v>
      </c>
      <c r="K6430" s="3" t="str">
        <f t="shared" si="300"/>
        <v>1-2 Years</v>
      </c>
    </row>
    <row r="6431" spans="1:11" x14ac:dyDescent="0.3">
      <c r="A6431" t="s">
        <v>6448</v>
      </c>
      <c r="B6431" t="s">
        <v>14</v>
      </c>
      <c r="C6431" t="s">
        <v>10</v>
      </c>
      <c r="D6431" t="s">
        <v>11</v>
      </c>
      <c r="E6431">
        <v>74.400000000000006</v>
      </c>
      <c r="F6431">
        <v>1</v>
      </c>
      <c r="G6431">
        <v>74.400000000000006</v>
      </c>
      <c r="H6431" t="s">
        <v>18</v>
      </c>
      <c r="I6431" t="str">
        <f t="shared" si="301"/>
        <v>Low Value</v>
      </c>
      <c r="J6431" t="str">
        <f t="shared" si="302"/>
        <v>High Risk</v>
      </c>
      <c r="K6431" s="3" t="str">
        <f t="shared" si="300"/>
        <v>0-1 Year</v>
      </c>
    </row>
    <row r="6432" spans="1:11" x14ac:dyDescent="0.3">
      <c r="A6432" t="s">
        <v>6449</v>
      </c>
      <c r="B6432" t="s">
        <v>9</v>
      </c>
      <c r="C6432" t="s">
        <v>10</v>
      </c>
      <c r="D6432" t="s">
        <v>11</v>
      </c>
      <c r="E6432">
        <v>106.9</v>
      </c>
      <c r="F6432">
        <v>35</v>
      </c>
      <c r="G6432">
        <v>3741.5</v>
      </c>
      <c r="H6432" t="s">
        <v>12</v>
      </c>
      <c r="I6432" t="str">
        <f t="shared" si="301"/>
        <v>Medium Value</v>
      </c>
      <c r="J6432" t="str">
        <f t="shared" si="302"/>
        <v>Low Risk</v>
      </c>
      <c r="K6432" s="3" t="str">
        <f t="shared" si="300"/>
        <v>2-4 Years</v>
      </c>
    </row>
    <row r="6433" spans="1:11" x14ac:dyDescent="0.3">
      <c r="A6433" t="s">
        <v>6450</v>
      </c>
      <c r="B6433" t="s">
        <v>9</v>
      </c>
      <c r="C6433" t="s">
        <v>10</v>
      </c>
      <c r="D6433" t="s">
        <v>11</v>
      </c>
      <c r="E6433">
        <v>101.35</v>
      </c>
      <c r="F6433">
        <v>32</v>
      </c>
      <c r="G6433">
        <v>3243.2</v>
      </c>
      <c r="H6433" t="s">
        <v>12</v>
      </c>
      <c r="I6433" t="str">
        <f t="shared" si="301"/>
        <v>Medium Value</v>
      </c>
      <c r="J6433" t="str">
        <f t="shared" si="302"/>
        <v>Low Risk</v>
      </c>
      <c r="K6433" s="3" t="str">
        <f t="shared" si="300"/>
        <v>2-4 Years</v>
      </c>
    </row>
    <row r="6434" spans="1:11" x14ac:dyDescent="0.3">
      <c r="A6434" t="s">
        <v>6451</v>
      </c>
      <c r="B6434" t="s">
        <v>9</v>
      </c>
      <c r="C6434" t="s">
        <v>10</v>
      </c>
      <c r="D6434" t="s">
        <v>24</v>
      </c>
      <c r="E6434">
        <v>55.35</v>
      </c>
      <c r="F6434">
        <v>17</v>
      </c>
      <c r="G6434">
        <v>940.95</v>
      </c>
      <c r="H6434" t="s">
        <v>12</v>
      </c>
      <c r="I6434" t="str">
        <f t="shared" si="301"/>
        <v>Low Value</v>
      </c>
      <c r="J6434" t="str">
        <f t="shared" si="302"/>
        <v>Medium Risk</v>
      </c>
      <c r="K6434" s="3" t="str">
        <f t="shared" si="300"/>
        <v>1-2 Years</v>
      </c>
    </row>
    <row r="6435" spans="1:11" x14ac:dyDescent="0.3">
      <c r="A6435" t="s">
        <v>6452</v>
      </c>
      <c r="B6435" t="s">
        <v>9</v>
      </c>
      <c r="C6435" t="s">
        <v>15</v>
      </c>
      <c r="D6435" t="s">
        <v>24</v>
      </c>
      <c r="E6435">
        <v>50.55</v>
      </c>
      <c r="F6435">
        <v>67</v>
      </c>
      <c r="G6435">
        <v>3386.85</v>
      </c>
      <c r="H6435" t="s">
        <v>12</v>
      </c>
      <c r="I6435" t="str">
        <f t="shared" si="301"/>
        <v>Medium Value</v>
      </c>
      <c r="J6435" t="str">
        <f t="shared" si="302"/>
        <v>Low Risk</v>
      </c>
      <c r="K6435" s="3" t="str">
        <f t="shared" si="300"/>
        <v>4+ Years</v>
      </c>
    </row>
    <row r="6436" spans="1:11" x14ac:dyDescent="0.3">
      <c r="A6436" t="s">
        <v>6453</v>
      </c>
      <c r="B6436" t="s">
        <v>9</v>
      </c>
      <c r="C6436" t="s">
        <v>10</v>
      </c>
      <c r="D6436" t="s">
        <v>20</v>
      </c>
      <c r="E6436">
        <v>19.5</v>
      </c>
      <c r="F6436">
        <v>9</v>
      </c>
      <c r="G6436">
        <v>175.5</v>
      </c>
      <c r="H6436" t="s">
        <v>12</v>
      </c>
      <c r="I6436" t="str">
        <f t="shared" si="301"/>
        <v>Low Value</v>
      </c>
      <c r="J6436" t="str">
        <f t="shared" si="302"/>
        <v>High Risk</v>
      </c>
      <c r="K6436" s="3" t="str">
        <f t="shared" si="300"/>
        <v>0-1 Year</v>
      </c>
    </row>
    <row r="6437" spans="1:11" x14ac:dyDescent="0.3">
      <c r="A6437" t="s">
        <v>6454</v>
      </c>
      <c r="B6437" t="s">
        <v>14</v>
      </c>
      <c r="C6437" t="s">
        <v>15</v>
      </c>
      <c r="D6437" t="s">
        <v>16</v>
      </c>
      <c r="E6437">
        <v>79.45</v>
      </c>
      <c r="F6437">
        <v>31</v>
      </c>
      <c r="G6437">
        <v>2462.9499999999998</v>
      </c>
      <c r="H6437" t="s">
        <v>18</v>
      </c>
      <c r="I6437" t="str">
        <f t="shared" si="301"/>
        <v>Medium Value</v>
      </c>
      <c r="J6437" t="str">
        <f t="shared" si="302"/>
        <v>Low Risk</v>
      </c>
      <c r="K6437" s="3" t="str">
        <f t="shared" si="300"/>
        <v>2-4 Years</v>
      </c>
    </row>
    <row r="6438" spans="1:11" x14ac:dyDescent="0.3">
      <c r="A6438" t="s">
        <v>6455</v>
      </c>
      <c r="B6438" t="s">
        <v>14</v>
      </c>
      <c r="C6438" t="s">
        <v>10</v>
      </c>
      <c r="D6438" t="s">
        <v>11</v>
      </c>
      <c r="E6438">
        <v>90.65</v>
      </c>
      <c r="F6438">
        <v>4</v>
      </c>
      <c r="G6438">
        <v>362.6</v>
      </c>
      <c r="H6438" t="s">
        <v>12</v>
      </c>
      <c r="I6438" t="str">
        <f t="shared" si="301"/>
        <v>Low Value</v>
      </c>
      <c r="J6438" t="str">
        <f t="shared" si="302"/>
        <v>High Risk</v>
      </c>
      <c r="K6438" s="3" t="str">
        <f t="shared" si="300"/>
        <v>0-1 Year</v>
      </c>
    </row>
    <row r="6439" spans="1:11" x14ac:dyDescent="0.3">
      <c r="A6439" t="s">
        <v>6456</v>
      </c>
      <c r="B6439" t="s">
        <v>14</v>
      </c>
      <c r="C6439" t="s">
        <v>15</v>
      </c>
      <c r="D6439" t="s">
        <v>20</v>
      </c>
      <c r="E6439">
        <v>89.85</v>
      </c>
      <c r="F6439">
        <v>58</v>
      </c>
      <c r="G6439">
        <v>5211.2999999999902</v>
      </c>
      <c r="H6439" t="s">
        <v>12</v>
      </c>
      <c r="I6439" t="str">
        <f t="shared" si="301"/>
        <v>High Value</v>
      </c>
      <c r="J6439" t="str">
        <f t="shared" si="302"/>
        <v>Low Risk</v>
      </c>
      <c r="K6439" s="3" t="str">
        <f t="shared" si="300"/>
        <v>4+ Years</v>
      </c>
    </row>
    <row r="6440" spans="1:11" x14ac:dyDescent="0.3">
      <c r="A6440" t="s">
        <v>6457</v>
      </c>
      <c r="B6440" t="s">
        <v>14</v>
      </c>
      <c r="C6440" t="s">
        <v>15</v>
      </c>
      <c r="D6440" t="s">
        <v>16</v>
      </c>
      <c r="E6440">
        <v>79</v>
      </c>
      <c r="F6440">
        <v>60</v>
      </c>
      <c r="G6440">
        <v>4740</v>
      </c>
      <c r="H6440" t="s">
        <v>12</v>
      </c>
      <c r="I6440" t="str">
        <f t="shared" si="301"/>
        <v>Medium Value</v>
      </c>
      <c r="J6440" t="str">
        <f t="shared" si="302"/>
        <v>Low Risk</v>
      </c>
      <c r="K6440" s="3" t="str">
        <f t="shared" si="300"/>
        <v>4+ Years</v>
      </c>
    </row>
    <row r="6441" spans="1:11" x14ac:dyDescent="0.3">
      <c r="A6441" t="s">
        <v>6458</v>
      </c>
      <c r="B6441" t="s">
        <v>14</v>
      </c>
      <c r="C6441" t="s">
        <v>15</v>
      </c>
      <c r="D6441" t="s">
        <v>11</v>
      </c>
      <c r="E6441">
        <v>104.65</v>
      </c>
      <c r="F6441">
        <v>58</v>
      </c>
      <c r="G6441">
        <v>6069.7</v>
      </c>
      <c r="H6441" t="s">
        <v>18</v>
      </c>
      <c r="I6441" t="str">
        <f t="shared" si="301"/>
        <v>High Value</v>
      </c>
      <c r="J6441" t="str">
        <f t="shared" si="302"/>
        <v>Low Risk</v>
      </c>
      <c r="K6441" s="3" t="str">
        <f t="shared" si="300"/>
        <v>4+ Years</v>
      </c>
    </row>
    <row r="6442" spans="1:11" x14ac:dyDescent="0.3">
      <c r="A6442" t="s">
        <v>6459</v>
      </c>
      <c r="B6442" t="s">
        <v>14</v>
      </c>
      <c r="C6442" t="s">
        <v>10</v>
      </c>
      <c r="D6442" t="s">
        <v>16</v>
      </c>
      <c r="E6442">
        <v>19.55</v>
      </c>
      <c r="F6442">
        <v>1</v>
      </c>
      <c r="G6442">
        <v>19.55</v>
      </c>
      <c r="H6442" t="s">
        <v>12</v>
      </c>
      <c r="I6442" t="str">
        <f t="shared" si="301"/>
        <v>Low Value</v>
      </c>
      <c r="J6442" t="str">
        <f t="shared" si="302"/>
        <v>High Risk</v>
      </c>
      <c r="K6442" s="3" t="str">
        <f t="shared" si="300"/>
        <v>0-1 Year</v>
      </c>
    </row>
    <row r="6443" spans="1:11" x14ac:dyDescent="0.3">
      <c r="A6443" t="s">
        <v>6460</v>
      </c>
      <c r="B6443" t="s">
        <v>9</v>
      </c>
      <c r="C6443" t="s">
        <v>30</v>
      </c>
      <c r="D6443" t="s">
        <v>16</v>
      </c>
      <c r="E6443">
        <v>19.899999999999999</v>
      </c>
      <c r="F6443">
        <v>27</v>
      </c>
      <c r="G6443">
        <v>537.29999999999995</v>
      </c>
      <c r="H6443" t="s">
        <v>12</v>
      </c>
      <c r="I6443" t="str">
        <f t="shared" si="301"/>
        <v>Low Value</v>
      </c>
      <c r="J6443" t="str">
        <f t="shared" si="302"/>
        <v>Low Risk</v>
      </c>
      <c r="K6443" s="3" t="str">
        <f t="shared" si="300"/>
        <v>2-4 Years</v>
      </c>
    </row>
    <row r="6444" spans="1:11" x14ac:dyDescent="0.3">
      <c r="A6444" t="s">
        <v>6461</v>
      </c>
      <c r="B6444" t="s">
        <v>14</v>
      </c>
      <c r="C6444" t="s">
        <v>15</v>
      </c>
      <c r="D6444" t="s">
        <v>11</v>
      </c>
      <c r="E6444">
        <v>116.25</v>
      </c>
      <c r="F6444">
        <v>66</v>
      </c>
      <c r="G6444">
        <v>7672.5</v>
      </c>
      <c r="H6444" t="s">
        <v>12</v>
      </c>
      <c r="I6444" t="str">
        <f t="shared" si="301"/>
        <v>High Value</v>
      </c>
      <c r="J6444" t="str">
        <f t="shared" si="302"/>
        <v>Low Risk</v>
      </c>
      <c r="K6444" s="3" t="str">
        <f t="shared" si="300"/>
        <v>4+ Years</v>
      </c>
    </row>
    <row r="6445" spans="1:11" x14ac:dyDescent="0.3">
      <c r="A6445" t="s">
        <v>6462</v>
      </c>
      <c r="B6445" t="s">
        <v>14</v>
      </c>
      <c r="C6445" t="s">
        <v>10</v>
      </c>
      <c r="D6445" t="s">
        <v>20</v>
      </c>
      <c r="E6445">
        <v>87.75</v>
      </c>
      <c r="F6445">
        <v>15</v>
      </c>
      <c r="G6445">
        <v>1316.25</v>
      </c>
      <c r="H6445" t="s">
        <v>12</v>
      </c>
      <c r="I6445" t="str">
        <f t="shared" si="301"/>
        <v>Low Value</v>
      </c>
      <c r="J6445" t="str">
        <f t="shared" si="302"/>
        <v>Medium Risk</v>
      </c>
      <c r="K6445" s="3" t="str">
        <f t="shared" si="300"/>
        <v>1-2 Years</v>
      </c>
    </row>
    <row r="6446" spans="1:11" x14ac:dyDescent="0.3">
      <c r="A6446" t="s">
        <v>6463</v>
      </c>
      <c r="B6446" t="s">
        <v>14</v>
      </c>
      <c r="C6446" t="s">
        <v>10</v>
      </c>
      <c r="D6446" t="s">
        <v>11</v>
      </c>
      <c r="E6446">
        <v>100.05</v>
      </c>
      <c r="F6446">
        <v>47</v>
      </c>
      <c r="G6446">
        <v>4702.3499999999904</v>
      </c>
      <c r="H6446" t="s">
        <v>18</v>
      </c>
      <c r="I6446" t="str">
        <f t="shared" si="301"/>
        <v>Medium Value</v>
      </c>
      <c r="J6446" t="str">
        <f t="shared" si="302"/>
        <v>Low Risk</v>
      </c>
      <c r="K6446" s="3" t="str">
        <f t="shared" si="300"/>
        <v>2-4 Years</v>
      </c>
    </row>
    <row r="6447" spans="1:11" x14ac:dyDescent="0.3">
      <c r="A6447" t="s">
        <v>6464</v>
      </c>
      <c r="B6447" t="s">
        <v>9</v>
      </c>
      <c r="C6447" t="s">
        <v>10</v>
      </c>
      <c r="D6447" t="s">
        <v>24</v>
      </c>
      <c r="E6447">
        <v>81.3</v>
      </c>
      <c r="F6447">
        <v>41</v>
      </c>
      <c r="G6447">
        <v>3333.2999999999902</v>
      </c>
      <c r="H6447" t="s">
        <v>12</v>
      </c>
      <c r="I6447" t="str">
        <f t="shared" si="301"/>
        <v>Medium Value</v>
      </c>
      <c r="J6447" t="str">
        <f t="shared" si="302"/>
        <v>Low Risk</v>
      </c>
      <c r="K6447" s="3" t="str">
        <f t="shared" si="300"/>
        <v>2-4 Years</v>
      </c>
    </row>
    <row r="6448" spans="1:11" x14ac:dyDescent="0.3">
      <c r="A6448" t="s">
        <v>6465</v>
      </c>
      <c r="B6448" t="s">
        <v>14</v>
      </c>
      <c r="C6448" t="s">
        <v>10</v>
      </c>
      <c r="D6448" t="s">
        <v>11</v>
      </c>
      <c r="E6448">
        <v>44.3</v>
      </c>
      <c r="F6448">
        <v>59</v>
      </c>
      <c r="G6448">
        <v>2613.6999999999998</v>
      </c>
      <c r="H6448" t="s">
        <v>12</v>
      </c>
      <c r="I6448" t="str">
        <f t="shared" si="301"/>
        <v>Medium Value</v>
      </c>
      <c r="J6448" t="str">
        <f t="shared" si="302"/>
        <v>Low Risk</v>
      </c>
      <c r="K6448" s="3" t="str">
        <f t="shared" si="300"/>
        <v>4+ Years</v>
      </c>
    </row>
    <row r="6449" spans="1:11" x14ac:dyDescent="0.3">
      <c r="A6449" t="s">
        <v>6466</v>
      </c>
      <c r="B6449" t="s">
        <v>9</v>
      </c>
      <c r="C6449" t="s">
        <v>30</v>
      </c>
      <c r="D6449" t="s">
        <v>24</v>
      </c>
      <c r="E6449">
        <v>70.349999999999994</v>
      </c>
      <c r="F6449">
        <v>50</v>
      </c>
      <c r="G6449">
        <v>3517.49999999999</v>
      </c>
      <c r="H6449" t="s">
        <v>12</v>
      </c>
      <c r="I6449" t="str">
        <f t="shared" si="301"/>
        <v>Medium Value</v>
      </c>
      <c r="J6449" t="str">
        <f t="shared" si="302"/>
        <v>Low Risk</v>
      </c>
      <c r="K6449" s="3" t="str">
        <f t="shared" si="300"/>
        <v>4+ Years</v>
      </c>
    </row>
    <row r="6450" spans="1:11" x14ac:dyDescent="0.3">
      <c r="A6450" t="s">
        <v>6467</v>
      </c>
      <c r="B6450" t="s">
        <v>14</v>
      </c>
      <c r="C6450" t="s">
        <v>15</v>
      </c>
      <c r="D6450" t="s">
        <v>24</v>
      </c>
      <c r="E6450">
        <v>44.45</v>
      </c>
      <c r="F6450">
        <v>17</v>
      </c>
      <c r="G6450">
        <v>755.65</v>
      </c>
      <c r="H6450" t="s">
        <v>12</v>
      </c>
      <c r="I6450" t="str">
        <f t="shared" si="301"/>
        <v>Low Value</v>
      </c>
      <c r="J6450" t="str">
        <f t="shared" si="302"/>
        <v>Medium Risk</v>
      </c>
      <c r="K6450" s="3" t="str">
        <f t="shared" si="300"/>
        <v>1-2 Years</v>
      </c>
    </row>
    <row r="6451" spans="1:11" x14ac:dyDescent="0.3">
      <c r="A6451" t="s">
        <v>6468</v>
      </c>
      <c r="B6451" t="s">
        <v>14</v>
      </c>
      <c r="C6451" t="s">
        <v>10</v>
      </c>
      <c r="D6451" t="s">
        <v>11</v>
      </c>
      <c r="E6451">
        <v>49.15</v>
      </c>
      <c r="F6451">
        <v>6</v>
      </c>
      <c r="G6451">
        <v>294.89999999999998</v>
      </c>
      <c r="H6451" t="s">
        <v>12</v>
      </c>
      <c r="I6451" t="str">
        <f t="shared" si="301"/>
        <v>Low Value</v>
      </c>
      <c r="J6451" t="str">
        <f t="shared" si="302"/>
        <v>High Risk</v>
      </c>
      <c r="K6451" s="3" t="str">
        <f t="shared" si="300"/>
        <v>0-1 Year</v>
      </c>
    </row>
    <row r="6452" spans="1:11" x14ac:dyDescent="0.3">
      <c r="A6452" t="s">
        <v>6469</v>
      </c>
      <c r="B6452" t="s">
        <v>14</v>
      </c>
      <c r="C6452" t="s">
        <v>10</v>
      </c>
      <c r="D6452" t="s">
        <v>24</v>
      </c>
      <c r="E6452">
        <v>29.45</v>
      </c>
      <c r="F6452">
        <v>51</v>
      </c>
      <c r="G6452">
        <v>1501.95</v>
      </c>
      <c r="H6452" t="s">
        <v>12</v>
      </c>
      <c r="I6452" t="str">
        <f t="shared" si="301"/>
        <v>Low Value</v>
      </c>
      <c r="J6452" t="str">
        <f t="shared" si="302"/>
        <v>Low Risk</v>
      </c>
      <c r="K6452" s="3" t="str">
        <f t="shared" si="300"/>
        <v>4+ Years</v>
      </c>
    </row>
    <row r="6453" spans="1:11" x14ac:dyDescent="0.3">
      <c r="A6453" t="s">
        <v>6470</v>
      </c>
      <c r="B6453" t="s">
        <v>14</v>
      </c>
      <c r="C6453" t="s">
        <v>10</v>
      </c>
      <c r="D6453" t="s">
        <v>11</v>
      </c>
      <c r="E6453">
        <v>100.55</v>
      </c>
      <c r="F6453">
        <v>44</v>
      </c>
      <c r="G6453">
        <v>4424.2</v>
      </c>
      <c r="H6453" t="s">
        <v>18</v>
      </c>
      <c r="I6453" t="str">
        <f t="shared" si="301"/>
        <v>Medium Value</v>
      </c>
      <c r="J6453" t="str">
        <f t="shared" si="302"/>
        <v>Low Risk</v>
      </c>
      <c r="K6453" s="3" t="str">
        <f t="shared" si="300"/>
        <v>2-4 Years</v>
      </c>
    </row>
    <row r="6454" spans="1:11" x14ac:dyDescent="0.3">
      <c r="A6454" t="s">
        <v>6471</v>
      </c>
      <c r="B6454" t="s">
        <v>14</v>
      </c>
      <c r="C6454" t="s">
        <v>10</v>
      </c>
      <c r="D6454" t="s">
        <v>24</v>
      </c>
      <c r="E6454">
        <v>85.3</v>
      </c>
      <c r="F6454">
        <v>49</v>
      </c>
      <c r="G6454">
        <v>4179.7</v>
      </c>
      <c r="H6454" t="s">
        <v>12</v>
      </c>
      <c r="I6454" t="str">
        <f t="shared" si="301"/>
        <v>Medium Value</v>
      </c>
      <c r="J6454" t="str">
        <f t="shared" si="302"/>
        <v>Low Risk</v>
      </c>
      <c r="K6454" s="3" t="str">
        <f t="shared" si="300"/>
        <v>4+ Years</v>
      </c>
    </row>
    <row r="6455" spans="1:11" x14ac:dyDescent="0.3">
      <c r="A6455" t="s">
        <v>6472</v>
      </c>
      <c r="B6455" t="s">
        <v>14</v>
      </c>
      <c r="C6455" t="s">
        <v>10</v>
      </c>
      <c r="D6455" t="s">
        <v>11</v>
      </c>
      <c r="E6455">
        <v>95.65</v>
      </c>
      <c r="F6455">
        <v>2</v>
      </c>
      <c r="G6455">
        <v>191.3</v>
      </c>
      <c r="H6455" t="s">
        <v>18</v>
      </c>
      <c r="I6455" t="str">
        <f t="shared" si="301"/>
        <v>Low Value</v>
      </c>
      <c r="J6455" t="str">
        <f t="shared" si="302"/>
        <v>High Risk</v>
      </c>
      <c r="K6455" s="3" t="str">
        <f t="shared" si="300"/>
        <v>0-1 Year</v>
      </c>
    </row>
    <row r="6456" spans="1:11" x14ac:dyDescent="0.3">
      <c r="A6456" t="s">
        <v>6473</v>
      </c>
      <c r="B6456" t="s">
        <v>14</v>
      </c>
      <c r="C6456" t="s">
        <v>15</v>
      </c>
      <c r="D6456" t="s">
        <v>16</v>
      </c>
      <c r="E6456">
        <v>69.099999999999994</v>
      </c>
      <c r="F6456">
        <v>59</v>
      </c>
      <c r="G6456">
        <v>4076.8999999999901</v>
      </c>
      <c r="H6456" t="s">
        <v>12</v>
      </c>
      <c r="I6456" t="str">
        <f t="shared" si="301"/>
        <v>Medium Value</v>
      </c>
      <c r="J6456" t="str">
        <f t="shared" si="302"/>
        <v>Low Risk</v>
      </c>
      <c r="K6456" s="3" t="str">
        <f t="shared" si="300"/>
        <v>4+ Years</v>
      </c>
    </row>
    <row r="6457" spans="1:11" x14ac:dyDescent="0.3">
      <c r="A6457" t="s">
        <v>6474</v>
      </c>
      <c r="B6457" t="s">
        <v>14</v>
      </c>
      <c r="C6457" t="s">
        <v>10</v>
      </c>
      <c r="D6457" t="s">
        <v>20</v>
      </c>
      <c r="E6457">
        <v>70.349999999999994</v>
      </c>
      <c r="F6457">
        <v>50</v>
      </c>
      <c r="G6457">
        <v>3517.49999999999</v>
      </c>
      <c r="H6457" t="s">
        <v>12</v>
      </c>
      <c r="I6457" t="str">
        <f t="shared" si="301"/>
        <v>Medium Value</v>
      </c>
      <c r="J6457" t="str">
        <f t="shared" si="302"/>
        <v>Low Risk</v>
      </c>
      <c r="K6457" s="3" t="str">
        <f t="shared" si="300"/>
        <v>4+ Years</v>
      </c>
    </row>
    <row r="6458" spans="1:11" x14ac:dyDescent="0.3">
      <c r="A6458" t="s">
        <v>6475</v>
      </c>
      <c r="B6458" t="s">
        <v>9</v>
      </c>
      <c r="C6458" t="s">
        <v>30</v>
      </c>
      <c r="D6458" t="s">
        <v>16</v>
      </c>
      <c r="E6458">
        <v>20.6</v>
      </c>
      <c r="F6458">
        <v>59</v>
      </c>
      <c r="G6458">
        <v>1215.4000000000001</v>
      </c>
      <c r="H6458" t="s">
        <v>12</v>
      </c>
      <c r="I6458" t="str">
        <f t="shared" si="301"/>
        <v>Low Value</v>
      </c>
      <c r="J6458" t="str">
        <f t="shared" si="302"/>
        <v>Low Risk</v>
      </c>
      <c r="K6458" s="3" t="str">
        <f t="shared" si="300"/>
        <v>4+ Years</v>
      </c>
    </row>
    <row r="6459" spans="1:11" x14ac:dyDescent="0.3">
      <c r="A6459" t="s">
        <v>6476</v>
      </c>
      <c r="B6459" t="s">
        <v>14</v>
      </c>
      <c r="C6459" t="s">
        <v>10</v>
      </c>
      <c r="D6459" t="s">
        <v>16</v>
      </c>
      <c r="E6459">
        <v>74.150000000000006</v>
      </c>
      <c r="F6459">
        <v>18</v>
      </c>
      <c r="G6459">
        <v>1334.7</v>
      </c>
      <c r="H6459" t="s">
        <v>12</v>
      </c>
      <c r="I6459" t="str">
        <f t="shared" si="301"/>
        <v>Low Value</v>
      </c>
      <c r="J6459" t="str">
        <f t="shared" si="302"/>
        <v>Medium Risk</v>
      </c>
      <c r="K6459" s="3" t="str">
        <f t="shared" si="300"/>
        <v>1-2 Years</v>
      </c>
    </row>
    <row r="6460" spans="1:11" x14ac:dyDescent="0.3">
      <c r="A6460" t="s">
        <v>6477</v>
      </c>
      <c r="B6460" t="s">
        <v>14</v>
      </c>
      <c r="C6460" t="s">
        <v>10</v>
      </c>
      <c r="D6460" t="s">
        <v>11</v>
      </c>
      <c r="E6460">
        <v>75.05</v>
      </c>
      <c r="F6460">
        <v>10</v>
      </c>
      <c r="G6460">
        <v>750.5</v>
      </c>
      <c r="H6460" t="s">
        <v>12</v>
      </c>
      <c r="I6460" t="str">
        <f t="shared" si="301"/>
        <v>Low Value</v>
      </c>
      <c r="J6460" t="str">
        <f t="shared" si="302"/>
        <v>High Risk</v>
      </c>
      <c r="K6460" s="3" t="str">
        <f t="shared" si="300"/>
        <v>0-1 Year</v>
      </c>
    </row>
    <row r="6461" spans="1:11" x14ac:dyDescent="0.3">
      <c r="A6461" t="s">
        <v>6478</v>
      </c>
      <c r="B6461" t="s">
        <v>14</v>
      </c>
      <c r="C6461" t="s">
        <v>15</v>
      </c>
      <c r="D6461" t="s">
        <v>11</v>
      </c>
      <c r="E6461">
        <v>44.6</v>
      </c>
      <c r="F6461">
        <v>14</v>
      </c>
      <c r="G6461">
        <v>624.4</v>
      </c>
      <c r="H6461" t="s">
        <v>12</v>
      </c>
      <c r="I6461" t="str">
        <f t="shared" si="301"/>
        <v>Low Value</v>
      </c>
      <c r="J6461" t="str">
        <f t="shared" si="302"/>
        <v>Medium Risk</v>
      </c>
      <c r="K6461" s="3" t="str">
        <f t="shared" si="300"/>
        <v>1-2 Years</v>
      </c>
    </row>
    <row r="6462" spans="1:11" x14ac:dyDescent="0.3">
      <c r="A6462" t="s">
        <v>6479</v>
      </c>
      <c r="B6462" t="s">
        <v>14</v>
      </c>
      <c r="C6462" t="s">
        <v>30</v>
      </c>
      <c r="D6462" t="s">
        <v>20</v>
      </c>
      <c r="E6462">
        <v>21.45</v>
      </c>
      <c r="F6462">
        <v>35</v>
      </c>
      <c r="G6462">
        <v>750.75</v>
      </c>
      <c r="H6462" t="s">
        <v>12</v>
      </c>
      <c r="I6462" t="str">
        <f t="shared" si="301"/>
        <v>Low Value</v>
      </c>
      <c r="J6462" t="str">
        <f t="shared" si="302"/>
        <v>Low Risk</v>
      </c>
      <c r="K6462" s="3" t="str">
        <f t="shared" si="300"/>
        <v>2-4 Years</v>
      </c>
    </row>
    <row r="6463" spans="1:11" x14ac:dyDescent="0.3">
      <c r="A6463" t="s">
        <v>6480</v>
      </c>
      <c r="B6463" t="s">
        <v>14</v>
      </c>
      <c r="C6463" t="s">
        <v>15</v>
      </c>
      <c r="D6463" t="s">
        <v>16</v>
      </c>
      <c r="E6463">
        <v>43.45</v>
      </c>
      <c r="F6463">
        <v>8</v>
      </c>
      <c r="G6463">
        <v>347.6</v>
      </c>
      <c r="H6463" t="s">
        <v>12</v>
      </c>
      <c r="I6463" t="str">
        <f t="shared" si="301"/>
        <v>Low Value</v>
      </c>
      <c r="J6463" t="str">
        <f t="shared" si="302"/>
        <v>High Risk</v>
      </c>
      <c r="K6463" s="3" t="str">
        <f t="shared" si="300"/>
        <v>0-1 Year</v>
      </c>
    </row>
    <row r="6464" spans="1:11" x14ac:dyDescent="0.3">
      <c r="A6464" t="s">
        <v>6481</v>
      </c>
      <c r="B6464" t="s">
        <v>14</v>
      </c>
      <c r="C6464" t="s">
        <v>15</v>
      </c>
      <c r="D6464" t="s">
        <v>20</v>
      </c>
      <c r="E6464">
        <v>20.05</v>
      </c>
      <c r="F6464">
        <v>18</v>
      </c>
      <c r="G6464">
        <v>360.9</v>
      </c>
      <c r="H6464" t="s">
        <v>12</v>
      </c>
      <c r="I6464" t="str">
        <f t="shared" si="301"/>
        <v>Low Value</v>
      </c>
      <c r="J6464" t="str">
        <f t="shared" si="302"/>
        <v>Medium Risk</v>
      </c>
      <c r="K6464" s="3" t="str">
        <f t="shared" si="300"/>
        <v>1-2 Years</v>
      </c>
    </row>
    <row r="6465" spans="1:11" x14ac:dyDescent="0.3">
      <c r="A6465" t="s">
        <v>6482</v>
      </c>
      <c r="B6465" t="s">
        <v>9</v>
      </c>
      <c r="C6465" t="s">
        <v>15</v>
      </c>
      <c r="D6465" t="s">
        <v>20</v>
      </c>
      <c r="E6465">
        <v>94.15</v>
      </c>
      <c r="F6465">
        <v>60</v>
      </c>
      <c r="G6465">
        <v>5649</v>
      </c>
      <c r="H6465" t="s">
        <v>12</v>
      </c>
      <c r="I6465" t="str">
        <f t="shared" si="301"/>
        <v>High Value</v>
      </c>
      <c r="J6465" t="str">
        <f t="shared" si="302"/>
        <v>Low Risk</v>
      </c>
      <c r="K6465" s="3" t="str">
        <f t="shared" si="300"/>
        <v>4+ Years</v>
      </c>
    </row>
    <row r="6466" spans="1:11" x14ac:dyDescent="0.3">
      <c r="A6466" t="s">
        <v>6483</v>
      </c>
      <c r="B6466" t="s">
        <v>9</v>
      </c>
      <c r="C6466" t="s">
        <v>10</v>
      </c>
      <c r="D6466" t="s">
        <v>11</v>
      </c>
      <c r="E6466">
        <v>94.4</v>
      </c>
      <c r="F6466">
        <v>1</v>
      </c>
      <c r="G6466">
        <v>94.4</v>
      </c>
      <c r="H6466" t="s">
        <v>18</v>
      </c>
      <c r="I6466" t="str">
        <f t="shared" si="301"/>
        <v>Low Value</v>
      </c>
      <c r="J6466" t="str">
        <f t="shared" si="302"/>
        <v>High Risk</v>
      </c>
      <c r="K6466" s="3" t="str">
        <f t="shared" si="300"/>
        <v>0-1 Year</v>
      </c>
    </row>
    <row r="6467" spans="1:11" x14ac:dyDescent="0.3">
      <c r="A6467" t="s">
        <v>6484</v>
      </c>
      <c r="B6467" t="s">
        <v>9</v>
      </c>
      <c r="C6467" t="s">
        <v>30</v>
      </c>
      <c r="D6467" t="s">
        <v>16</v>
      </c>
      <c r="E6467">
        <v>19.55</v>
      </c>
      <c r="F6467">
        <v>6</v>
      </c>
      <c r="G6467">
        <v>117.3</v>
      </c>
      <c r="H6467" t="s">
        <v>12</v>
      </c>
      <c r="I6467" t="str">
        <f t="shared" si="301"/>
        <v>Low Value</v>
      </c>
      <c r="J6467" t="str">
        <f t="shared" si="302"/>
        <v>High Risk</v>
      </c>
      <c r="K6467" s="3" t="str">
        <f t="shared" ref="K6467:K6530" si="303">IF(F6467&lt;=12,"0-1 Year",
IF(F6467&lt;=24,"1-2 Years",
IF(F6467&lt;=48,"2-4 Years","4+ Years")))</f>
        <v>0-1 Year</v>
      </c>
    </row>
    <row r="6468" spans="1:11" x14ac:dyDescent="0.3">
      <c r="A6468" t="s">
        <v>6485</v>
      </c>
      <c r="B6468" t="s">
        <v>9</v>
      </c>
      <c r="C6468" t="s">
        <v>10</v>
      </c>
      <c r="D6468" t="s">
        <v>16</v>
      </c>
      <c r="E6468">
        <v>75.900000000000006</v>
      </c>
      <c r="F6468">
        <v>19</v>
      </c>
      <c r="G6468">
        <v>1442.1</v>
      </c>
      <c r="H6468" t="s">
        <v>12</v>
      </c>
      <c r="I6468" t="str">
        <f t="shared" ref="I6468:I6531" si="304">IF(G6468&gt;5000,"High Value",
IF(G6468&gt;2000,"Medium Value","Low Value"))</f>
        <v>Low Value</v>
      </c>
      <c r="J6468" t="str">
        <f t="shared" ref="J6468:J6531" si="305">IF(F6468&lt;12,"High Risk",
IF(F6468&lt;24,"Medium Risk","Low Risk"))</f>
        <v>Medium Risk</v>
      </c>
      <c r="K6468" s="3" t="str">
        <f t="shared" si="303"/>
        <v>1-2 Years</v>
      </c>
    </row>
    <row r="6469" spans="1:11" x14ac:dyDescent="0.3">
      <c r="A6469" t="s">
        <v>6486</v>
      </c>
      <c r="B6469" t="s">
        <v>14</v>
      </c>
      <c r="C6469" t="s">
        <v>15</v>
      </c>
      <c r="D6469" t="s">
        <v>20</v>
      </c>
      <c r="E6469">
        <v>64.150000000000006</v>
      </c>
      <c r="F6469">
        <v>53</v>
      </c>
      <c r="G6469">
        <v>3399.95</v>
      </c>
      <c r="H6469" t="s">
        <v>12</v>
      </c>
      <c r="I6469" t="str">
        <f t="shared" si="304"/>
        <v>Medium Value</v>
      </c>
      <c r="J6469" t="str">
        <f t="shared" si="305"/>
        <v>Low Risk</v>
      </c>
      <c r="K6469" s="3" t="str">
        <f t="shared" si="303"/>
        <v>4+ Years</v>
      </c>
    </row>
    <row r="6470" spans="1:11" x14ac:dyDescent="0.3">
      <c r="A6470" t="s">
        <v>6487</v>
      </c>
      <c r="B6470" t="s">
        <v>14</v>
      </c>
      <c r="C6470" t="s">
        <v>30</v>
      </c>
      <c r="D6470" t="s">
        <v>20</v>
      </c>
      <c r="E6470">
        <v>109.55</v>
      </c>
      <c r="F6470">
        <v>72</v>
      </c>
      <c r="G6470">
        <v>7887.5999999999904</v>
      </c>
      <c r="H6470" t="s">
        <v>12</v>
      </c>
      <c r="I6470" t="str">
        <f t="shared" si="304"/>
        <v>High Value</v>
      </c>
      <c r="J6470" t="str">
        <f t="shared" si="305"/>
        <v>Low Risk</v>
      </c>
      <c r="K6470" s="3" t="str">
        <f t="shared" si="303"/>
        <v>4+ Years</v>
      </c>
    </row>
    <row r="6471" spans="1:11" x14ac:dyDescent="0.3">
      <c r="A6471" t="s">
        <v>6488</v>
      </c>
      <c r="B6471" t="s">
        <v>9</v>
      </c>
      <c r="C6471" t="s">
        <v>30</v>
      </c>
      <c r="D6471" t="s">
        <v>24</v>
      </c>
      <c r="E6471">
        <v>110.8</v>
      </c>
      <c r="F6471">
        <v>60</v>
      </c>
      <c r="G6471">
        <v>6648</v>
      </c>
      <c r="H6471" t="s">
        <v>12</v>
      </c>
      <c r="I6471" t="str">
        <f t="shared" si="304"/>
        <v>High Value</v>
      </c>
      <c r="J6471" t="str">
        <f t="shared" si="305"/>
        <v>Low Risk</v>
      </c>
      <c r="K6471" s="3" t="str">
        <f t="shared" si="303"/>
        <v>4+ Years</v>
      </c>
    </row>
    <row r="6472" spans="1:11" x14ac:dyDescent="0.3">
      <c r="A6472" t="s">
        <v>6489</v>
      </c>
      <c r="B6472" t="s">
        <v>9</v>
      </c>
      <c r="C6472" t="s">
        <v>10</v>
      </c>
      <c r="D6472" t="s">
        <v>24</v>
      </c>
      <c r="E6472">
        <v>55</v>
      </c>
      <c r="F6472">
        <v>1</v>
      </c>
      <c r="G6472">
        <v>55</v>
      </c>
      <c r="H6472" t="s">
        <v>18</v>
      </c>
      <c r="I6472" t="str">
        <f t="shared" si="304"/>
        <v>Low Value</v>
      </c>
      <c r="J6472" t="str">
        <f t="shared" si="305"/>
        <v>High Risk</v>
      </c>
      <c r="K6472" s="3" t="str">
        <f t="shared" si="303"/>
        <v>0-1 Year</v>
      </c>
    </row>
    <row r="6473" spans="1:11" x14ac:dyDescent="0.3">
      <c r="A6473" t="s">
        <v>6490</v>
      </c>
      <c r="B6473" t="s">
        <v>9</v>
      </c>
      <c r="C6473" t="s">
        <v>10</v>
      </c>
      <c r="D6473" t="s">
        <v>16</v>
      </c>
      <c r="E6473">
        <v>53.45</v>
      </c>
      <c r="F6473">
        <v>13</v>
      </c>
      <c r="G6473">
        <v>694.85</v>
      </c>
      <c r="H6473" t="s">
        <v>12</v>
      </c>
      <c r="I6473" t="str">
        <f t="shared" si="304"/>
        <v>Low Value</v>
      </c>
      <c r="J6473" t="str">
        <f t="shared" si="305"/>
        <v>Medium Risk</v>
      </c>
      <c r="K6473" s="3" t="str">
        <f t="shared" si="303"/>
        <v>1-2 Years</v>
      </c>
    </row>
    <row r="6474" spans="1:11" x14ac:dyDescent="0.3">
      <c r="A6474" t="s">
        <v>6491</v>
      </c>
      <c r="B6474" t="s">
        <v>9</v>
      </c>
      <c r="C6474" t="s">
        <v>10</v>
      </c>
      <c r="D6474" t="s">
        <v>24</v>
      </c>
      <c r="E6474">
        <v>69.95</v>
      </c>
      <c r="F6474">
        <v>5</v>
      </c>
      <c r="G6474">
        <v>349.75</v>
      </c>
      <c r="H6474" t="s">
        <v>12</v>
      </c>
      <c r="I6474" t="str">
        <f t="shared" si="304"/>
        <v>Low Value</v>
      </c>
      <c r="J6474" t="str">
        <f t="shared" si="305"/>
        <v>High Risk</v>
      </c>
      <c r="K6474" s="3" t="str">
        <f t="shared" si="303"/>
        <v>0-1 Year</v>
      </c>
    </row>
    <row r="6475" spans="1:11" x14ac:dyDescent="0.3">
      <c r="A6475" t="s">
        <v>6492</v>
      </c>
      <c r="B6475" t="s">
        <v>14</v>
      </c>
      <c r="C6475" t="s">
        <v>10</v>
      </c>
      <c r="D6475" t="s">
        <v>11</v>
      </c>
      <c r="E6475">
        <v>101.45</v>
      </c>
      <c r="F6475">
        <v>1</v>
      </c>
      <c r="G6475">
        <v>101.45</v>
      </c>
      <c r="H6475" t="s">
        <v>18</v>
      </c>
      <c r="I6475" t="str">
        <f t="shared" si="304"/>
        <v>Low Value</v>
      </c>
      <c r="J6475" t="str">
        <f t="shared" si="305"/>
        <v>High Risk</v>
      </c>
      <c r="K6475" s="3" t="str">
        <f t="shared" si="303"/>
        <v>0-1 Year</v>
      </c>
    </row>
    <row r="6476" spans="1:11" x14ac:dyDescent="0.3">
      <c r="A6476" t="s">
        <v>6493</v>
      </c>
      <c r="B6476" t="s">
        <v>14</v>
      </c>
      <c r="C6476" t="s">
        <v>10</v>
      </c>
      <c r="D6476" t="s">
        <v>11</v>
      </c>
      <c r="E6476">
        <v>97</v>
      </c>
      <c r="F6476">
        <v>13</v>
      </c>
      <c r="G6476">
        <v>1261</v>
      </c>
      <c r="H6476" t="s">
        <v>12</v>
      </c>
      <c r="I6476" t="str">
        <f t="shared" si="304"/>
        <v>Low Value</v>
      </c>
      <c r="J6476" t="str">
        <f t="shared" si="305"/>
        <v>Medium Risk</v>
      </c>
      <c r="K6476" s="3" t="str">
        <f t="shared" si="303"/>
        <v>1-2 Years</v>
      </c>
    </row>
    <row r="6477" spans="1:11" x14ac:dyDescent="0.3">
      <c r="A6477" t="s">
        <v>6494</v>
      </c>
      <c r="B6477" t="s">
        <v>14</v>
      </c>
      <c r="C6477" t="s">
        <v>15</v>
      </c>
      <c r="D6477" t="s">
        <v>20</v>
      </c>
      <c r="E6477">
        <v>90.6</v>
      </c>
      <c r="F6477">
        <v>37</v>
      </c>
      <c r="G6477">
        <v>3352.2</v>
      </c>
      <c r="H6477" t="s">
        <v>12</v>
      </c>
      <c r="I6477" t="str">
        <f t="shared" si="304"/>
        <v>Medium Value</v>
      </c>
      <c r="J6477" t="str">
        <f t="shared" si="305"/>
        <v>Low Risk</v>
      </c>
      <c r="K6477" s="3" t="str">
        <f t="shared" si="303"/>
        <v>2-4 Years</v>
      </c>
    </row>
    <row r="6478" spans="1:11" x14ac:dyDescent="0.3">
      <c r="A6478" t="s">
        <v>6495</v>
      </c>
      <c r="B6478" t="s">
        <v>14</v>
      </c>
      <c r="C6478" t="s">
        <v>10</v>
      </c>
      <c r="D6478" t="s">
        <v>16</v>
      </c>
      <c r="E6478">
        <v>73.55</v>
      </c>
      <c r="F6478">
        <v>64</v>
      </c>
      <c r="G6478">
        <v>4707.2</v>
      </c>
      <c r="H6478" t="s">
        <v>12</v>
      </c>
      <c r="I6478" t="str">
        <f t="shared" si="304"/>
        <v>Medium Value</v>
      </c>
      <c r="J6478" t="str">
        <f t="shared" si="305"/>
        <v>Low Risk</v>
      </c>
      <c r="K6478" s="3" t="str">
        <f t="shared" si="303"/>
        <v>4+ Years</v>
      </c>
    </row>
    <row r="6479" spans="1:11" x14ac:dyDescent="0.3">
      <c r="A6479" t="s">
        <v>6496</v>
      </c>
      <c r="B6479" t="s">
        <v>9</v>
      </c>
      <c r="C6479" t="s">
        <v>10</v>
      </c>
      <c r="D6479" t="s">
        <v>20</v>
      </c>
      <c r="E6479">
        <v>67.95</v>
      </c>
      <c r="F6479">
        <v>5</v>
      </c>
      <c r="G6479">
        <v>339.75</v>
      </c>
      <c r="H6479" t="s">
        <v>18</v>
      </c>
      <c r="I6479" t="str">
        <f t="shared" si="304"/>
        <v>Low Value</v>
      </c>
      <c r="J6479" t="str">
        <f t="shared" si="305"/>
        <v>High Risk</v>
      </c>
      <c r="K6479" s="3" t="str">
        <f t="shared" si="303"/>
        <v>0-1 Year</v>
      </c>
    </row>
    <row r="6480" spans="1:11" x14ac:dyDescent="0.3">
      <c r="A6480" t="s">
        <v>6497</v>
      </c>
      <c r="B6480" t="s">
        <v>9</v>
      </c>
      <c r="C6480" t="s">
        <v>30</v>
      </c>
      <c r="D6480" t="s">
        <v>20</v>
      </c>
      <c r="E6480">
        <v>94.35</v>
      </c>
      <c r="F6480">
        <v>61</v>
      </c>
      <c r="G6480">
        <v>5755.3499999999904</v>
      </c>
      <c r="H6480" t="s">
        <v>12</v>
      </c>
      <c r="I6480" t="str">
        <f t="shared" si="304"/>
        <v>High Value</v>
      </c>
      <c r="J6480" t="str">
        <f t="shared" si="305"/>
        <v>Low Risk</v>
      </c>
      <c r="K6480" s="3" t="str">
        <f t="shared" si="303"/>
        <v>4+ Years</v>
      </c>
    </row>
    <row r="6481" spans="1:11" x14ac:dyDescent="0.3">
      <c r="A6481" t="s">
        <v>6498</v>
      </c>
      <c r="B6481" t="s">
        <v>9</v>
      </c>
      <c r="C6481" t="s">
        <v>10</v>
      </c>
      <c r="D6481" t="s">
        <v>11</v>
      </c>
      <c r="E6481">
        <v>69.5</v>
      </c>
      <c r="F6481">
        <v>1</v>
      </c>
      <c r="G6481">
        <v>69.5</v>
      </c>
      <c r="H6481" t="s">
        <v>18</v>
      </c>
      <c r="I6481" t="str">
        <f t="shared" si="304"/>
        <v>Low Value</v>
      </c>
      <c r="J6481" t="str">
        <f t="shared" si="305"/>
        <v>High Risk</v>
      </c>
      <c r="K6481" s="3" t="str">
        <f t="shared" si="303"/>
        <v>0-1 Year</v>
      </c>
    </row>
    <row r="6482" spans="1:11" x14ac:dyDescent="0.3">
      <c r="A6482" t="s">
        <v>6499</v>
      </c>
      <c r="B6482" t="s">
        <v>14</v>
      </c>
      <c r="C6482" t="s">
        <v>10</v>
      </c>
      <c r="D6482" t="s">
        <v>16</v>
      </c>
      <c r="E6482">
        <v>18.850000000000001</v>
      </c>
      <c r="F6482">
        <v>1</v>
      </c>
      <c r="G6482">
        <v>18.850000000000001</v>
      </c>
      <c r="H6482" t="s">
        <v>18</v>
      </c>
      <c r="I6482" t="str">
        <f t="shared" si="304"/>
        <v>Low Value</v>
      </c>
      <c r="J6482" t="str">
        <f t="shared" si="305"/>
        <v>High Risk</v>
      </c>
      <c r="K6482" s="3" t="str">
        <f t="shared" si="303"/>
        <v>0-1 Year</v>
      </c>
    </row>
    <row r="6483" spans="1:11" x14ac:dyDescent="0.3">
      <c r="A6483" t="s">
        <v>6500</v>
      </c>
      <c r="B6483" t="s">
        <v>14</v>
      </c>
      <c r="C6483" t="s">
        <v>15</v>
      </c>
      <c r="D6483" t="s">
        <v>16</v>
      </c>
      <c r="E6483">
        <v>19.399999999999999</v>
      </c>
      <c r="F6483">
        <v>26</v>
      </c>
      <c r="G6483">
        <v>504.4</v>
      </c>
      <c r="H6483" t="s">
        <v>12</v>
      </c>
      <c r="I6483" t="str">
        <f t="shared" si="304"/>
        <v>Low Value</v>
      </c>
      <c r="J6483" t="str">
        <f t="shared" si="305"/>
        <v>Low Risk</v>
      </c>
      <c r="K6483" s="3" t="str">
        <f t="shared" si="303"/>
        <v>2-4 Years</v>
      </c>
    </row>
    <row r="6484" spans="1:11" x14ac:dyDescent="0.3">
      <c r="A6484" t="s">
        <v>6501</v>
      </c>
      <c r="B6484" t="s">
        <v>9</v>
      </c>
      <c r="C6484" t="s">
        <v>10</v>
      </c>
      <c r="D6484" t="s">
        <v>11</v>
      </c>
      <c r="E6484">
        <v>69.2</v>
      </c>
      <c r="F6484">
        <v>1</v>
      </c>
      <c r="G6484">
        <v>69.2</v>
      </c>
      <c r="H6484" t="s">
        <v>18</v>
      </c>
      <c r="I6484" t="str">
        <f t="shared" si="304"/>
        <v>Low Value</v>
      </c>
      <c r="J6484" t="str">
        <f t="shared" si="305"/>
        <v>High Risk</v>
      </c>
      <c r="K6484" s="3" t="str">
        <f t="shared" si="303"/>
        <v>0-1 Year</v>
      </c>
    </row>
    <row r="6485" spans="1:11" x14ac:dyDescent="0.3">
      <c r="A6485" t="s">
        <v>6502</v>
      </c>
      <c r="B6485" t="s">
        <v>14</v>
      </c>
      <c r="C6485" t="s">
        <v>30</v>
      </c>
      <c r="D6485" t="s">
        <v>16</v>
      </c>
      <c r="E6485">
        <v>19.75</v>
      </c>
      <c r="F6485">
        <v>24</v>
      </c>
      <c r="G6485">
        <v>474</v>
      </c>
      <c r="H6485" t="s">
        <v>12</v>
      </c>
      <c r="I6485" t="str">
        <f t="shared" si="304"/>
        <v>Low Value</v>
      </c>
      <c r="J6485" t="str">
        <f t="shared" si="305"/>
        <v>Low Risk</v>
      </c>
      <c r="K6485" s="3" t="str">
        <f t="shared" si="303"/>
        <v>1-2 Years</v>
      </c>
    </row>
    <row r="6486" spans="1:11" x14ac:dyDescent="0.3">
      <c r="A6486" t="s">
        <v>6503</v>
      </c>
      <c r="B6486" t="s">
        <v>14</v>
      </c>
      <c r="C6486" t="s">
        <v>15</v>
      </c>
      <c r="D6486" t="s">
        <v>11</v>
      </c>
      <c r="E6486">
        <v>54.6</v>
      </c>
      <c r="F6486">
        <v>17</v>
      </c>
      <c r="G6486">
        <v>928.2</v>
      </c>
      <c r="H6486" t="s">
        <v>12</v>
      </c>
      <c r="I6486" t="str">
        <f t="shared" si="304"/>
        <v>Low Value</v>
      </c>
      <c r="J6486" t="str">
        <f t="shared" si="305"/>
        <v>Medium Risk</v>
      </c>
      <c r="K6486" s="3" t="str">
        <f t="shared" si="303"/>
        <v>1-2 Years</v>
      </c>
    </row>
    <row r="6487" spans="1:11" x14ac:dyDescent="0.3">
      <c r="A6487" t="s">
        <v>6504</v>
      </c>
      <c r="B6487" t="s">
        <v>9</v>
      </c>
      <c r="C6487" t="s">
        <v>10</v>
      </c>
      <c r="D6487" t="s">
        <v>16</v>
      </c>
      <c r="E6487">
        <v>29.8</v>
      </c>
      <c r="F6487">
        <v>26</v>
      </c>
      <c r="G6487">
        <v>774.8</v>
      </c>
      <c r="H6487" t="s">
        <v>12</v>
      </c>
      <c r="I6487" t="str">
        <f t="shared" si="304"/>
        <v>Low Value</v>
      </c>
      <c r="J6487" t="str">
        <f t="shared" si="305"/>
        <v>Low Risk</v>
      </c>
      <c r="K6487" s="3" t="str">
        <f t="shared" si="303"/>
        <v>2-4 Years</v>
      </c>
    </row>
    <row r="6488" spans="1:11" x14ac:dyDescent="0.3">
      <c r="A6488" t="s">
        <v>6505</v>
      </c>
      <c r="B6488" t="s">
        <v>14</v>
      </c>
      <c r="C6488" t="s">
        <v>10</v>
      </c>
      <c r="D6488" t="s">
        <v>11</v>
      </c>
      <c r="E6488">
        <v>69.650000000000006</v>
      </c>
      <c r="F6488">
        <v>1</v>
      </c>
      <c r="G6488">
        <v>69.650000000000006</v>
      </c>
      <c r="H6488" t="s">
        <v>18</v>
      </c>
      <c r="I6488" t="str">
        <f t="shared" si="304"/>
        <v>Low Value</v>
      </c>
      <c r="J6488" t="str">
        <f t="shared" si="305"/>
        <v>High Risk</v>
      </c>
      <c r="K6488" s="3" t="str">
        <f t="shared" si="303"/>
        <v>0-1 Year</v>
      </c>
    </row>
    <row r="6489" spans="1:11" x14ac:dyDescent="0.3">
      <c r="A6489" t="s">
        <v>6506</v>
      </c>
      <c r="B6489" t="s">
        <v>14</v>
      </c>
      <c r="C6489" t="s">
        <v>10</v>
      </c>
      <c r="D6489" t="s">
        <v>11</v>
      </c>
      <c r="E6489">
        <v>101.85</v>
      </c>
      <c r="F6489">
        <v>40</v>
      </c>
      <c r="G6489">
        <v>4074</v>
      </c>
      <c r="H6489" t="s">
        <v>18</v>
      </c>
      <c r="I6489" t="str">
        <f t="shared" si="304"/>
        <v>Medium Value</v>
      </c>
      <c r="J6489" t="str">
        <f t="shared" si="305"/>
        <v>Low Risk</v>
      </c>
      <c r="K6489" s="3" t="str">
        <f t="shared" si="303"/>
        <v>2-4 Years</v>
      </c>
    </row>
    <row r="6490" spans="1:11" x14ac:dyDescent="0.3">
      <c r="A6490" t="s">
        <v>6507</v>
      </c>
      <c r="B6490" t="s">
        <v>14</v>
      </c>
      <c r="C6490" t="s">
        <v>10</v>
      </c>
      <c r="D6490" t="s">
        <v>11</v>
      </c>
      <c r="E6490">
        <v>103.05</v>
      </c>
      <c r="F6490">
        <v>52</v>
      </c>
      <c r="G6490">
        <v>5358.5999999999904</v>
      </c>
      <c r="H6490" t="s">
        <v>12</v>
      </c>
      <c r="I6490" t="str">
        <f t="shared" si="304"/>
        <v>High Value</v>
      </c>
      <c r="J6490" t="str">
        <f t="shared" si="305"/>
        <v>Low Risk</v>
      </c>
      <c r="K6490" s="3" t="str">
        <f t="shared" si="303"/>
        <v>4+ Years</v>
      </c>
    </row>
    <row r="6491" spans="1:11" x14ac:dyDescent="0.3">
      <c r="A6491" t="s">
        <v>6508</v>
      </c>
      <c r="B6491" t="s">
        <v>9</v>
      </c>
      <c r="C6491" t="s">
        <v>10</v>
      </c>
      <c r="D6491" t="s">
        <v>11</v>
      </c>
      <c r="E6491">
        <v>82.3</v>
      </c>
      <c r="F6491">
        <v>1</v>
      </c>
      <c r="G6491">
        <v>82.3</v>
      </c>
      <c r="H6491" t="s">
        <v>18</v>
      </c>
      <c r="I6491" t="str">
        <f t="shared" si="304"/>
        <v>Low Value</v>
      </c>
      <c r="J6491" t="str">
        <f t="shared" si="305"/>
        <v>High Risk</v>
      </c>
      <c r="K6491" s="3" t="str">
        <f t="shared" si="303"/>
        <v>0-1 Year</v>
      </c>
    </row>
    <row r="6492" spans="1:11" x14ac:dyDescent="0.3">
      <c r="A6492" t="s">
        <v>6509</v>
      </c>
      <c r="B6492" t="s">
        <v>14</v>
      </c>
      <c r="C6492" t="s">
        <v>10</v>
      </c>
      <c r="D6492" t="s">
        <v>16</v>
      </c>
      <c r="E6492">
        <v>20.3</v>
      </c>
      <c r="F6492">
        <v>1</v>
      </c>
      <c r="G6492">
        <v>20.3</v>
      </c>
      <c r="H6492" t="s">
        <v>12</v>
      </c>
      <c r="I6492" t="str">
        <f t="shared" si="304"/>
        <v>Low Value</v>
      </c>
      <c r="J6492" t="str">
        <f t="shared" si="305"/>
        <v>High Risk</v>
      </c>
      <c r="K6492" s="3" t="str">
        <f t="shared" si="303"/>
        <v>0-1 Year</v>
      </c>
    </row>
    <row r="6493" spans="1:11" x14ac:dyDescent="0.3">
      <c r="A6493" t="s">
        <v>6510</v>
      </c>
      <c r="B6493" t="s">
        <v>9</v>
      </c>
      <c r="C6493" t="s">
        <v>30</v>
      </c>
      <c r="D6493" t="s">
        <v>16</v>
      </c>
      <c r="E6493">
        <v>35.1</v>
      </c>
      <c r="F6493">
        <v>21</v>
      </c>
      <c r="G6493">
        <v>737.1</v>
      </c>
      <c r="H6493" t="s">
        <v>12</v>
      </c>
      <c r="I6493" t="str">
        <f t="shared" si="304"/>
        <v>Low Value</v>
      </c>
      <c r="J6493" t="str">
        <f t="shared" si="305"/>
        <v>Medium Risk</v>
      </c>
      <c r="K6493" s="3" t="str">
        <f t="shared" si="303"/>
        <v>1-2 Years</v>
      </c>
    </row>
    <row r="6494" spans="1:11" x14ac:dyDescent="0.3">
      <c r="A6494" t="s">
        <v>6511</v>
      </c>
      <c r="B6494" t="s">
        <v>9</v>
      </c>
      <c r="C6494" t="s">
        <v>15</v>
      </c>
      <c r="D6494" t="s">
        <v>20</v>
      </c>
      <c r="E6494">
        <v>105.7</v>
      </c>
      <c r="F6494">
        <v>67</v>
      </c>
      <c r="G6494">
        <v>7081.9</v>
      </c>
      <c r="H6494" t="s">
        <v>12</v>
      </c>
      <c r="I6494" t="str">
        <f t="shared" si="304"/>
        <v>High Value</v>
      </c>
      <c r="J6494" t="str">
        <f t="shared" si="305"/>
        <v>Low Risk</v>
      </c>
      <c r="K6494" s="3" t="str">
        <f t="shared" si="303"/>
        <v>4+ Years</v>
      </c>
    </row>
    <row r="6495" spans="1:11" x14ac:dyDescent="0.3">
      <c r="A6495" t="s">
        <v>6512</v>
      </c>
      <c r="B6495" t="s">
        <v>9</v>
      </c>
      <c r="C6495" t="s">
        <v>10</v>
      </c>
      <c r="D6495" t="s">
        <v>20</v>
      </c>
      <c r="E6495">
        <v>56.25</v>
      </c>
      <c r="F6495">
        <v>44</v>
      </c>
      <c r="G6495">
        <v>2475</v>
      </c>
      <c r="H6495" t="s">
        <v>12</v>
      </c>
      <c r="I6495" t="str">
        <f t="shared" si="304"/>
        <v>Medium Value</v>
      </c>
      <c r="J6495" t="str">
        <f t="shared" si="305"/>
        <v>Low Risk</v>
      </c>
      <c r="K6495" s="3" t="str">
        <f t="shared" si="303"/>
        <v>2-4 Years</v>
      </c>
    </row>
    <row r="6496" spans="1:11" x14ac:dyDescent="0.3">
      <c r="A6496" t="s">
        <v>6513</v>
      </c>
      <c r="B6496" t="s">
        <v>14</v>
      </c>
      <c r="C6496" t="s">
        <v>15</v>
      </c>
      <c r="D6496" t="s">
        <v>11</v>
      </c>
      <c r="E6496">
        <v>60.35</v>
      </c>
      <c r="F6496">
        <v>70</v>
      </c>
      <c r="G6496">
        <v>4224.5</v>
      </c>
      <c r="H6496" t="s">
        <v>12</v>
      </c>
      <c r="I6496" t="str">
        <f t="shared" si="304"/>
        <v>Medium Value</v>
      </c>
      <c r="J6496" t="str">
        <f t="shared" si="305"/>
        <v>Low Risk</v>
      </c>
      <c r="K6496" s="3" t="str">
        <f t="shared" si="303"/>
        <v>4+ Years</v>
      </c>
    </row>
    <row r="6497" spans="1:11" x14ac:dyDescent="0.3">
      <c r="A6497" t="s">
        <v>6514</v>
      </c>
      <c r="B6497" t="s">
        <v>14</v>
      </c>
      <c r="C6497" t="s">
        <v>10</v>
      </c>
      <c r="D6497" t="s">
        <v>11</v>
      </c>
      <c r="E6497">
        <v>79.25</v>
      </c>
      <c r="F6497">
        <v>3</v>
      </c>
      <c r="G6497">
        <v>237.75</v>
      </c>
      <c r="H6497" t="s">
        <v>18</v>
      </c>
      <c r="I6497" t="str">
        <f t="shared" si="304"/>
        <v>Low Value</v>
      </c>
      <c r="J6497" t="str">
        <f t="shared" si="305"/>
        <v>High Risk</v>
      </c>
      <c r="K6497" s="3" t="str">
        <f t="shared" si="303"/>
        <v>0-1 Year</v>
      </c>
    </row>
    <row r="6498" spans="1:11" x14ac:dyDescent="0.3">
      <c r="A6498" t="s">
        <v>6515</v>
      </c>
      <c r="B6498" t="s">
        <v>14</v>
      </c>
      <c r="C6498" t="s">
        <v>30</v>
      </c>
      <c r="D6498" t="s">
        <v>20</v>
      </c>
      <c r="E6498">
        <v>59.8</v>
      </c>
      <c r="F6498">
        <v>56</v>
      </c>
      <c r="G6498">
        <v>3348.7999999999902</v>
      </c>
      <c r="H6498" t="s">
        <v>12</v>
      </c>
      <c r="I6498" t="str">
        <f t="shared" si="304"/>
        <v>Medium Value</v>
      </c>
      <c r="J6498" t="str">
        <f t="shared" si="305"/>
        <v>Low Risk</v>
      </c>
      <c r="K6498" s="3" t="str">
        <f t="shared" si="303"/>
        <v>4+ Years</v>
      </c>
    </row>
    <row r="6499" spans="1:11" x14ac:dyDescent="0.3">
      <c r="A6499" t="s">
        <v>6516</v>
      </c>
      <c r="B6499" t="s">
        <v>9</v>
      </c>
      <c r="C6499" t="s">
        <v>10</v>
      </c>
      <c r="D6499" t="s">
        <v>11</v>
      </c>
      <c r="E6499">
        <v>84.6</v>
      </c>
      <c r="F6499">
        <v>13</v>
      </c>
      <c r="G6499">
        <v>1099.8</v>
      </c>
      <c r="H6499" t="s">
        <v>18</v>
      </c>
      <c r="I6499" t="str">
        <f t="shared" si="304"/>
        <v>Low Value</v>
      </c>
      <c r="J6499" t="str">
        <f t="shared" si="305"/>
        <v>Medium Risk</v>
      </c>
      <c r="K6499" s="3" t="str">
        <f t="shared" si="303"/>
        <v>1-2 Years</v>
      </c>
    </row>
    <row r="6500" spans="1:11" x14ac:dyDescent="0.3">
      <c r="A6500" t="s">
        <v>6517</v>
      </c>
      <c r="B6500" t="s">
        <v>9</v>
      </c>
      <c r="C6500" t="s">
        <v>10</v>
      </c>
      <c r="D6500" t="s">
        <v>20</v>
      </c>
      <c r="E6500">
        <v>93.4</v>
      </c>
      <c r="F6500">
        <v>58</v>
      </c>
      <c r="G6500">
        <v>5417.2</v>
      </c>
      <c r="H6500" t="s">
        <v>18</v>
      </c>
      <c r="I6500" t="str">
        <f t="shared" si="304"/>
        <v>High Value</v>
      </c>
      <c r="J6500" t="str">
        <f t="shared" si="305"/>
        <v>Low Risk</v>
      </c>
      <c r="K6500" s="3" t="str">
        <f t="shared" si="303"/>
        <v>4+ Years</v>
      </c>
    </row>
    <row r="6501" spans="1:11" x14ac:dyDescent="0.3">
      <c r="A6501" t="s">
        <v>6518</v>
      </c>
      <c r="B6501" t="s">
        <v>9</v>
      </c>
      <c r="C6501" t="s">
        <v>10</v>
      </c>
      <c r="D6501" t="s">
        <v>11</v>
      </c>
      <c r="E6501">
        <v>94.2</v>
      </c>
      <c r="F6501">
        <v>42</v>
      </c>
      <c r="G6501">
        <v>3956.4</v>
      </c>
      <c r="H6501" t="s">
        <v>18</v>
      </c>
      <c r="I6501" t="str">
        <f t="shared" si="304"/>
        <v>Medium Value</v>
      </c>
      <c r="J6501" t="str">
        <f t="shared" si="305"/>
        <v>Low Risk</v>
      </c>
      <c r="K6501" s="3" t="str">
        <f t="shared" si="303"/>
        <v>2-4 Years</v>
      </c>
    </row>
    <row r="6502" spans="1:11" x14ac:dyDescent="0.3">
      <c r="A6502" t="s">
        <v>6519</v>
      </c>
      <c r="B6502" t="s">
        <v>14</v>
      </c>
      <c r="C6502" t="s">
        <v>10</v>
      </c>
      <c r="D6502" t="s">
        <v>11</v>
      </c>
      <c r="E6502">
        <v>25.05</v>
      </c>
      <c r="F6502">
        <v>1</v>
      </c>
      <c r="G6502">
        <v>25.05</v>
      </c>
      <c r="H6502" t="s">
        <v>18</v>
      </c>
      <c r="I6502" t="str">
        <f t="shared" si="304"/>
        <v>Low Value</v>
      </c>
      <c r="J6502" t="str">
        <f t="shared" si="305"/>
        <v>High Risk</v>
      </c>
      <c r="K6502" s="3" t="str">
        <f t="shared" si="303"/>
        <v>0-1 Year</v>
      </c>
    </row>
    <row r="6503" spans="1:11" x14ac:dyDescent="0.3">
      <c r="A6503" t="s">
        <v>6520</v>
      </c>
      <c r="B6503" t="s">
        <v>9</v>
      </c>
      <c r="C6503" t="s">
        <v>30</v>
      </c>
      <c r="D6503" t="s">
        <v>16</v>
      </c>
      <c r="E6503">
        <v>99.65</v>
      </c>
      <c r="F6503">
        <v>46</v>
      </c>
      <c r="G6503">
        <v>4583.8999999999996</v>
      </c>
      <c r="H6503" t="s">
        <v>12</v>
      </c>
      <c r="I6503" t="str">
        <f t="shared" si="304"/>
        <v>Medium Value</v>
      </c>
      <c r="J6503" t="str">
        <f t="shared" si="305"/>
        <v>Low Risk</v>
      </c>
      <c r="K6503" s="3" t="str">
        <f t="shared" si="303"/>
        <v>2-4 Years</v>
      </c>
    </row>
    <row r="6504" spans="1:11" x14ac:dyDescent="0.3">
      <c r="A6504" t="s">
        <v>6521</v>
      </c>
      <c r="B6504" t="s">
        <v>9</v>
      </c>
      <c r="C6504" t="s">
        <v>30</v>
      </c>
      <c r="D6504" t="s">
        <v>20</v>
      </c>
      <c r="E6504">
        <v>50.65</v>
      </c>
      <c r="F6504">
        <v>63</v>
      </c>
      <c r="G6504">
        <v>3190.95</v>
      </c>
      <c r="H6504" t="s">
        <v>12</v>
      </c>
      <c r="I6504" t="str">
        <f t="shared" si="304"/>
        <v>Medium Value</v>
      </c>
      <c r="J6504" t="str">
        <f t="shared" si="305"/>
        <v>Low Risk</v>
      </c>
      <c r="K6504" s="3" t="str">
        <f t="shared" si="303"/>
        <v>4+ Years</v>
      </c>
    </row>
    <row r="6505" spans="1:11" x14ac:dyDescent="0.3">
      <c r="A6505" t="s">
        <v>6522</v>
      </c>
      <c r="B6505" t="s">
        <v>14</v>
      </c>
      <c r="C6505" t="s">
        <v>10</v>
      </c>
      <c r="D6505" t="s">
        <v>11</v>
      </c>
      <c r="E6505">
        <v>60.9</v>
      </c>
      <c r="F6505">
        <v>11</v>
      </c>
      <c r="G6505">
        <v>669.9</v>
      </c>
      <c r="H6505" t="s">
        <v>12</v>
      </c>
      <c r="I6505" t="str">
        <f t="shared" si="304"/>
        <v>Low Value</v>
      </c>
      <c r="J6505" t="str">
        <f t="shared" si="305"/>
        <v>High Risk</v>
      </c>
      <c r="K6505" s="3" t="str">
        <f t="shared" si="303"/>
        <v>0-1 Year</v>
      </c>
    </row>
    <row r="6506" spans="1:11" x14ac:dyDescent="0.3">
      <c r="A6506" t="s">
        <v>6523</v>
      </c>
      <c r="B6506" t="s">
        <v>14</v>
      </c>
      <c r="C6506" t="s">
        <v>10</v>
      </c>
      <c r="D6506" t="s">
        <v>20</v>
      </c>
      <c r="E6506">
        <v>59.65</v>
      </c>
      <c r="F6506">
        <v>15</v>
      </c>
      <c r="G6506">
        <v>894.75</v>
      </c>
      <c r="H6506" t="s">
        <v>12</v>
      </c>
      <c r="I6506" t="str">
        <f t="shared" si="304"/>
        <v>Low Value</v>
      </c>
      <c r="J6506" t="str">
        <f t="shared" si="305"/>
        <v>Medium Risk</v>
      </c>
      <c r="K6506" s="3" t="str">
        <f t="shared" si="303"/>
        <v>1-2 Years</v>
      </c>
    </row>
    <row r="6507" spans="1:11" x14ac:dyDescent="0.3">
      <c r="A6507" t="s">
        <v>6524</v>
      </c>
      <c r="B6507" t="s">
        <v>14</v>
      </c>
      <c r="C6507" t="s">
        <v>30</v>
      </c>
      <c r="D6507" t="s">
        <v>11</v>
      </c>
      <c r="E6507">
        <v>64.7</v>
      </c>
      <c r="F6507">
        <v>72</v>
      </c>
      <c r="G6507">
        <v>4658.3999999999996</v>
      </c>
      <c r="H6507" t="s">
        <v>12</v>
      </c>
      <c r="I6507" t="str">
        <f t="shared" si="304"/>
        <v>Medium Value</v>
      </c>
      <c r="J6507" t="str">
        <f t="shared" si="305"/>
        <v>Low Risk</v>
      </c>
      <c r="K6507" s="3" t="str">
        <f t="shared" si="303"/>
        <v>4+ Years</v>
      </c>
    </row>
    <row r="6508" spans="1:11" x14ac:dyDescent="0.3">
      <c r="A6508" t="s">
        <v>6525</v>
      </c>
      <c r="B6508" t="s">
        <v>9</v>
      </c>
      <c r="C6508" t="s">
        <v>10</v>
      </c>
      <c r="D6508" t="s">
        <v>24</v>
      </c>
      <c r="E6508">
        <v>25.1</v>
      </c>
      <c r="F6508">
        <v>29</v>
      </c>
      <c r="G6508">
        <v>727.9</v>
      </c>
      <c r="H6508" t="s">
        <v>18</v>
      </c>
      <c r="I6508" t="str">
        <f t="shared" si="304"/>
        <v>Low Value</v>
      </c>
      <c r="J6508" t="str">
        <f t="shared" si="305"/>
        <v>Low Risk</v>
      </c>
      <c r="K6508" s="3" t="str">
        <f t="shared" si="303"/>
        <v>2-4 Years</v>
      </c>
    </row>
    <row r="6509" spans="1:11" x14ac:dyDescent="0.3">
      <c r="A6509" t="s">
        <v>6526</v>
      </c>
      <c r="B6509" t="s">
        <v>14</v>
      </c>
      <c r="C6509" t="s">
        <v>10</v>
      </c>
      <c r="D6509" t="s">
        <v>11</v>
      </c>
      <c r="E6509">
        <v>48.95</v>
      </c>
      <c r="F6509">
        <v>1</v>
      </c>
      <c r="G6509">
        <v>48.95</v>
      </c>
      <c r="H6509" t="s">
        <v>18</v>
      </c>
      <c r="I6509" t="str">
        <f t="shared" si="304"/>
        <v>Low Value</v>
      </c>
      <c r="J6509" t="str">
        <f t="shared" si="305"/>
        <v>High Risk</v>
      </c>
      <c r="K6509" s="3" t="str">
        <f t="shared" si="303"/>
        <v>0-1 Year</v>
      </c>
    </row>
    <row r="6510" spans="1:11" x14ac:dyDescent="0.3">
      <c r="A6510" t="s">
        <v>6527</v>
      </c>
      <c r="B6510" t="s">
        <v>9</v>
      </c>
      <c r="C6510" t="s">
        <v>10</v>
      </c>
      <c r="D6510" t="s">
        <v>11</v>
      </c>
      <c r="E6510">
        <v>54.85</v>
      </c>
      <c r="F6510">
        <v>6</v>
      </c>
      <c r="G6510">
        <v>329.1</v>
      </c>
      <c r="H6510" t="s">
        <v>12</v>
      </c>
      <c r="I6510" t="str">
        <f t="shared" si="304"/>
        <v>Low Value</v>
      </c>
      <c r="J6510" t="str">
        <f t="shared" si="305"/>
        <v>High Risk</v>
      </c>
      <c r="K6510" s="3" t="str">
        <f t="shared" si="303"/>
        <v>0-1 Year</v>
      </c>
    </row>
    <row r="6511" spans="1:11" x14ac:dyDescent="0.3">
      <c r="A6511" t="s">
        <v>6528</v>
      </c>
      <c r="B6511" t="s">
        <v>14</v>
      </c>
      <c r="C6511" t="s">
        <v>10</v>
      </c>
      <c r="D6511" t="s">
        <v>11</v>
      </c>
      <c r="E6511">
        <v>45.3</v>
      </c>
      <c r="F6511">
        <v>1</v>
      </c>
      <c r="G6511">
        <v>45.3</v>
      </c>
      <c r="H6511" t="s">
        <v>18</v>
      </c>
      <c r="I6511" t="str">
        <f t="shared" si="304"/>
        <v>Low Value</v>
      </c>
      <c r="J6511" t="str">
        <f t="shared" si="305"/>
        <v>High Risk</v>
      </c>
      <c r="K6511" s="3" t="str">
        <f t="shared" si="303"/>
        <v>0-1 Year</v>
      </c>
    </row>
    <row r="6512" spans="1:11" x14ac:dyDescent="0.3">
      <c r="A6512" t="s">
        <v>6529</v>
      </c>
      <c r="B6512" t="s">
        <v>14</v>
      </c>
      <c r="C6512" t="s">
        <v>15</v>
      </c>
      <c r="D6512" t="s">
        <v>11</v>
      </c>
      <c r="E6512">
        <v>91.35</v>
      </c>
      <c r="F6512">
        <v>63</v>
      </c>
      <c r="G6512">
        <v>5755.0499999999902</v>
      </c>
      <c r="H6512" t="s">
        <v>12</v>
      </c>
      <c r="I6512" t="str">
        <f t="shared" si="304"/>
        <v>High Value</v>
      </c>
      <c r="J6512" t="str">
        <f t="shared" si="305"/>
        <v>Low Risk</v>
      </c>
      <c r="K6512" s="3" t="str">
        <f t="shared" si="303"/>
        <v>4+ Years</v>
      </c>
    </row>
    <row r="6513" spans="1:11" x14ac:dyDescent="0.3">
      <c r="A6513" t="s">
        <v>6530</v>
      </c>
      <c r="B6513" t="s">
        <v>14</v>
      </c>
      <c r="C6513" t="s">
        <v>10</v>
      </c>
      <c r="D6513" t="s">
        <v>11</v>
      </c>
      <c r="E6513">
        <v>85.85</v>
      </c>
      <c r="F6513">
        <v>2</v>
      </c>
      <c r="G6513">
        <v>171.7</v>
      </c>
      <c r="H6513" t="s">
        <v>18</v>
      </c>
      <c r="I6513" t="str">
        <f t="shared" si="304"/>
        <v>Low Value</v>
      </c>
      <c r="J6513" t="str">
        <f t="shared" si="305"/>
        <v>High Risk</v>
      </c>
      <c r="K6513" s="3" t="str">
        <f t="shared" si="303"/>
        <v>0-1 Year</v>
      </c>
    </row>
    <row r="6514" spans="1:11" x14ac:dyDescent="0.3">
      <c r="A6514" t="s">
        <v>6531</v>
      </c>
      <c r="B6514" t="s">
        <v>9</v>
      </c>
      <c r="C6514" t="s">
        <v>30</v>
      </c>
      <c r="D6514" t="s">
        <v>16</v>
      </c>
      <c r="E6514">
        <v>25.1</v>
      </c>
      <c r="F6514">
        <v>18</v>
      </c>
      <c r="G6514">
        <v>451.8</v>
      </c>
      <c r="H6514" t="s">
        <v>12</v>
      </c>
      <c r="I6514" t="str">
        <f t="shared" si="304"/>
        <v>Low Value</v>
      </c>
      <c r="J6514" t="str">
        <f t="shared" si="305"/>
        <v>Medium Risk</v>
      </c>
      <c r="K6514" s="3" t="str">
        <f t="shared" si="303"/>
        <v>1-2 Years</v>
      </c>
    </row>
    <row r="6515" spans="1:11" x14ac:dyDescent="0.3">
      <c r="A6515" t="s">
        <v>6532</v>
      </c>
      <c r="B6515" t="s">
        <v>9</v>
      </c>
      <c r="C6515" t="s">
        <v>10</v>
      </c>
      <c r="D6515" t="s">
        <v>20</v>
      </c>
      <c r="E6515">
        <v>34</v>
      </c>
      <c r="F6515">
        <v>43</v>
      </c>
      <c r="G6515">
        <v>1462</v>
      </c>
      <c r="H6515" t="s">
        <v>12</v>
      </c>
      <c r="I6515" t="str">
        <f t="shared" si="304"/>
        <v>Low Value</v>
      </c>
      <c r="J6515" t="str">
        <f t="shared" si="305"/>
        <v>Low Risk</v>
      </c>
      <c r="K6515" s="3" t="str">
        <f t="shared" si="303"/>
        <v>2-4 Years</v>
      </c>
    </row>
    <row r="6516" spans="1:11" x14ac:dyDescent="0.3">
      <c r="A6516" t="s">
        <v>6533</v>
      </c>
      <c r="B6516" t="s">
        <v>9</v>
      </c>
      <c r="C6516" t="s">
        <v>15</v>
      </c>
      <c r="D6516" t="s">
        <v>16</v>
      </c>
      <c r="E6516">
        <v>45.9</v>
      </c>
      <c r="F6516">
        <v>15</v>
      </c>
      <c r="G6516">
        <v>688.5</v>
      </c>
      <c r="H6516" t="s">
        <v>12</v>
      </c>
      <c r="I6516" t="str">
        <f t="shared" si="304"/>
        <v>Low Value</v>
      </c>
      <c r="J6516" t="str">
        <f t="shared" si="305"/>
        <v>Medium Risk</v>
      </c>
      <c r="K6516" s="3" t="str">
        <f t="shared" si="303"/>
        <v>1-2 Years</v>
      </c>
    </row>
    <row r="6517" spans="1:11" x14ac:dyDescent="0.3">
      <c r="A6517" t="s">
        <v>6534</v>
      </c>
      <c r="B6517" t="s">
        <v>14</v>
      </c>
      <c r="C6517" t="s">
        <v>10</v>
      </c>
      <c r="D6517" t="s">
        <v>11</v>
      </c>
      <c r="E6517">
        <v>95.2</v>
      </c>
      <c r="F6517">
        <v>10</v>
      </c>
      <c r="G6517">
        <v>952</v>
      </c>
      <c r="H6517" t="s">
        <v>18</v>
      </c>
      <c r="I6517" t="str">
        <f t="shared" si="304"/>
        <v>Low Value</v>
      </c>
      <c r="J6517" t="str">
        <f t="shared" si="305"/>
        <v>High Risk</v>
      </c>
      <c r="K6517" s="3" t="str">
        <f t="shared" si="303"/>
        <v>0-1 Year</v>
      </c>
    </row>
    <row r="6518" spans="1:11" x14ac:dyDescent="0.3">
      <c r="A6518" t="s">
        <v>6535</v>
      </c>
      <c r="B6518" t="s">
        <v>14</v>
      </c>
      <c r="C6518" t="s">
        <v>30</v>
      </c>
      <c r="D6518" t="s">
        <v>16</v>
      </c>
      <c r="E6518">
        <v>20.5</v>
      </c>
      <c r="F6518">
        <v>55</v>
      </c>
      <c r="G6518">
        <v>1127.5</v>
      </c>
      <c r="H6518" t="s">
        <v>12</v>
      </c>
      <c r="I6518" t="str">
        <f t="shared" si="304"/>
        <v>Low Value</v>
      </c>
      <c r="J6518" t="str">
        <f t="shared" si="305"/>
        <v>Low Risk</v>
      </c>
      <c r="K6518" s="3" t="str">
        <f t="shared" si="303"/>
        <v>4+ Years</v>
      </c>
    </row>
    <row r="6519" spans="1:11" x14ac:dyDescent="0.3">
      <c r="A6519" t="s">
        <v>6536</v>
      </c>
      <c r="B6519" t="s">
        <v>14</v>
      </c>
      <c r="C6519" t="s">
        <v>15</v>
      </c>
      <c r="D6519" t="s">
        <v>20</v>
      </c>
      <c r="E6519">
        <v>100.6</v>
      </c>
      <c r="F6519">
        <v>49</v>
      </c>
      <c r="G6519">
        <v>4929.3999999999996</v>
      </c>
      <c r="H6519" t="s">
        <v>18</v>
      </c>
      <c r="I6519" t="str">
        <f t="shared" si="304"/>
        <v>Medium Value</v>
      </c>
      <c r="J6519" t="str">
        <f t="shared" si="305"/>
        <v>Low Risk</v>
      </c>
      <c r="K6519" s="3" t="str">
        <f t="shared" si="303"/>
        <v>4+ Years</v>
      </c>
    </row>
    <row r="6520" spans="1:11" x14ac:dyDescent="0.3">
      <c r="A6520" t="s">
        <v>6537</v>
      </c>
      <c r="B6520" t="s">
        <v>14</v>
      </c>
      <c r="C6520" t="s">
        <v>10</v>
      </c>
      <c r="D6520" t="s">
        <v>16</v>
      </c>
      <c r="E6520">
        <v>55.3</v>
      </c>
      <c r="F6520">
        <v>6</v>
      </c>
      <c r="G6520">
        <v>331.79999999999899</v>
      </c>
      <c r="H6520" t="s">
        <v>18</v>
      </c>
      <c r="I6520" t="str">
        <f t="shared" si="304"/>
        <v>Low Value</v>
      </c>
      <c r="J6520" t="str">
        <f t="shared" si="305"/>
        <v>High Risk</v>
      </c>
      <c r="K6520" s="3" t="str">
        <f t="shared" si="303"/>
        <v>0-1 Year</v>
      </c>
    </row>
    <row r="6521" spans="1:11" x14ac:dyDescent="0.3">
      <c r="A6521" t="s">
        <v>6538</v>
      </c>
      <c r="B6521" t="s">
        <v>14</v>
      </c>
      <c r="C6521" t="s">
        <v>30</v>
      </c>
      <c r="D6521" t="s">
        <v>24</v>
      </c>
      <c r="E6521">
        <v>20.350000000000001</v>
      </c>
      <c r="F6521">
        <v>70</v>
      </c>
      <c r="G6521">
        <v>1424.5</v>
      </c>
      <c r="H6521" t="s">
        <v>12</v>
      </c>
      <c r="I6521" t="str">
        <f t="shared" si="304"/>
        <v>Low Value</v>
      </c>
      <c r="J6521" t="str">
        <f t="shared" si="305"/>
        <v>Low Risk</v>
      </c>
      <c r="K6521" s="3" t="str">
        <f t="shared" si="303"/>
        <v>4+ Years</v>
      </c>
    </row>
    <row r="6522" spans="1:11" x14ac:dyDescent="0.3">
      <c r="A6522" t="s">
        <v>6539</v>
      </c>
      <c r="B6522" t="s">
        <v>14</v>
      </c>
      <c r="C6522" t="s">
        <v>10</v>
      </c>
      <c r="D6522" t="s">
        <v>16</v>
      </c>
      <c r="E6522">
        <v>74.849999999999994</v>
      </c>
      <c r="F6522">
        <v>2</v>
      </c>
      <c r="G6522">
        <v>149.69999999999999</v>
      </c>
      <c r="H6522" t="s">
        <v>18</v>
      </c>
      <c r="I6522" t="str">
        <f t="shared" si="304"/>
        <v>Low Value</v>
      </c>
      <c r="J6522" t="str">
        <f t="shared" si="305"/>
        <v>High Risk</v>
      </c>
      <c r="K6522" s="3" t="str">
        <f t="shared" si="303"/>
        <v>0-1 Year</v>
      </c>
    </row>
    <row r="6523" spans="1:11" x14ac:dyDescent="0.3">
      <c r="A6523" t="s">
        <v>6540</v>
      </c>
      <c r="B6523" t="s">
        <v>14</v>
      </c>
      <c r="C6523" t="s">
        <v>15</v>
      </c>
      <c r="D6523" t="s">
        <v>20</v>
      </c>
      <c r="E6523">
        <v>36.1</v>
      </c>
      <c r="F6523">
        <v>63</v>
      </c>
      <c r="G6523">
        <v>2274.3000000000002</v>
      </c>
      <c r="H6523" t="s">
        <v>12</v>
      </c>
      <c r="I6523" t="str">
        <f t="shared" si="304"/>
        <v>Medium Value</v>
      </c>
      <c r="J6523" t="str">
        <f t="shared" si="305"/>
        <v>Low Risk</v>
      </c>
      <c r="K6523" s="3" t="str">
        <f t="shared" si="303"/>
        <v>4+ Years</v>
      </c>
    </row>
    <row r="6524" spans="1:11" x14ac:dyDescent="0.3">
      <c r="A6524" t="s">
        <v>6541</v>
      </c>
      <c r="B6524" t="s">
        <v>9</v>
      </c>
      <c r="C6524" t="s">
        <v>10</v>
      </c>
      <c r="D6524" t="s">
        <v>20</v>
      </c>
      <c r="E6524">
        <v>65.8</v>
      </c>
      <c r="F6524">
        <v>25</v>
      </c>
      <c r="G6524">
        <v>1645</v>
      </c>
      <c r="H6524" t="s">
        <v>12</v>
      </c>
      <c r="I6524" t="str">
        <f t="shared" si="304"/>
        <v>Low Value</v>
      </c>
      <c r="J6524" t="str">
        <f t="shared" si="305"/>
        <v>Low Risk</v>
      </c>
      <c r="K6524" s="3" t="str">
        <f t="shared" si="303"/>
        <v>2-4 Years</v>
      </c>
    </row>
    <row r="6525" spans="1:11" x14ac:dyDescent="0.3">
      <c r="A6525" t="s">
        <v>6542</v>
      </c>
      <c r="B6525" t="s">
        <v>9</v>
      </c>
      <c r="C6525" t="s">
        <v>15</v>
      </c>
      <c r="D6525" t="s">
        <v>20</v>
      </c>
      <c r="E6525">
        <v>20.350000000000001</v>
      </c>
      <c r="F6525">
        <v>18</v>
      </c>
      <c r="G6525">
        <v>366.3</v>
      </c>
      <c r="H6525" t="s">
        <v>12</v>
      </c>
      <c r="I6525" t="str">
        <f t="shared" si="304"/>
        <v>Low Value</v>
      </c>
      <c r="J6525" t="str">
        <f t="shared" si="305"/>
        <v>Medium Risk</v>
      </c>
      <c r="K6525" s="3" t="str">
        <f t="shared" si="303"/>
        <v>1-2 Years</v>
      </c>
    </row>
    <row r="6526" spans="1:11" x14ac:dyDescent="0.3">
      <c r="A6526" t="s">
        <v>6543</v>
      </c>
      <c r="B6526" t="s">
        <v>14</v>
      </c>
      <c r="C6526" t="s">
        <v>10</v>
      </c>
      <c r="D6526" t="s">
        <v>11</v>
      </c>
      <c r="E6526">
        <v>105.8</v>
      </c>
      <c r="F6526">
        <v>28</v>
      </c>
      <c r="G6526">
        <v>2962.4</v>
      </c>
      <c r="H6526" t="s">
        <v>12</v>
      </c>
      <c r="I6526" t="str">
        <f t="shared" si="304"/>
        <v>Medium Value</v>
      </c>
      <c r="J6526" t="str">
        <f t="shared" si="305"/>
        <v>Low Risk</v>
      </c>
      <c r="K6526" s="3" t="str">
        <f t="shared" si="303"/>
        <v>2-4 Years</v>
      </c>
    </row>
    <row r="6527" spans="1:11" x14ac:dyDescent="0.3">
      <c r="A6527" t="s">
        <v>6544</v>
      </c>
      <c r="B6527" t="s">
        <v>9</v>
      </c>
      <c r="C6527" t="s">
        <v>15</v>
      </c>
      <c r="D6527" t="s">
        <v>16</v>
      </c>
      <c r="E6527">
        <v>96.75</v>
      </c>
      <c r="F6527">
        <v>53</v>
      </c>
      <c r="G6527">
        <v>5127.75</v>
      </c>
      <c r="H6527" t="s">
        <v>12</v>
      </c>
      <c r="I6527" t="str">
        <f t="shared" si="304"/>
        <v>High Value</v>
      </c>
      <c r="J6527" t="str">
        <f t="shared" si="305"/>
        <v>Low Risk</v>
      </c>
      <c r="K6527" s="3" t="str">
        <f t="shared" si="303"/>
        <v>4+ Years</v>
      </c>
    </row>
    <row r="6528" spans="1:11" x14ac:dyDescent="0.3">
      <c r="A6528" t="s">
        <v>6545</v>
      </c>
      <c r="B6528" t="s">
        <v>14</v>
      </c>
      <c r="C6528" t="s">
        <v>15</v>
      </c>
      <c r="D6528" t="s">
        <v>20</v>
      </c>
      <c r="E6528">
        <v>102.35</v>
      </c>
      <c r="F6528">
        <v>35</v>
      </c>
      <c r="G6528">
        <v>3582.25</v>
      </c>
      <c r="H6528" t="s">
        <v>18</v>
      </c>
      <c r="I6528" t="str">
        <f t="shared" si="304"/>
        <v>Medium Value</v>
      </c>
      <c r="J6528" t="str">
        <f t="shared" si="305"/>
        <v>Low Risk</v>
      </c>
      <c r="K6528" s="3" t="str">
        <f t="shared" si="303"/>
        <v>2-4 Years</v>
      </c>
    </row>
    <row r="6529" spans="1:11" x14ac:dyDescent="0.3">
      <c r="A6529" t="s">
        <v>6546</v>
      </c>
      <c r="B6529" t="s">
        <v>14</v>
      </c>
      <c r="C6529" t="s">
        <v>10</v>
      </c>
      <c r="D6529" t="s">
        <v>16</v>
      </c>
      <c r="E6529">
        <v>24.4</v>
      </c>
      <c r="F6529">
        <v>1</v>
      </c>
      <c r="G6529">
        <v>24.4</v>
      </c>
      <c r="H6529" t="s">
        <v>12</v>
      </c>
      <c r="I6529" t="str">
        <f t="shared" si="304"/>
        <v>Low Value</v>
      </c>
      <c r="J6529" t="str">
        <f t="shared" si="305"/>
        <v>High Risk</v>
      </c>
      <c r="K6529" s="3" t="str">
        <f t="shared" si="303"/>
        <v>0-1 Year</v>
      </c>
    </row>
    <row r="6530" spans="1:11" x14ac:dyDescent="0.3">
      <c r="A6530" t="s">
        <v>6547</v>
      </c>
      <c r="B6530" t="s">
        <v>14</v>
      </c>
      <c r="C6530" t="s">
        <v>15</v>
      </c>
      <c r="D6530" t="s">
        <v>24</v>
      </c>
      <c r="E6530">
        <v>115.65</v>
      </c>
      <c r="F6530">
        <v>70</v>
      </c>
      <c r="G6530">
        <v>8095.5</v>
      </c>
      <c r="H6530" t="s">
        <v>18</v>
      </c>
      <c r="I6530" t="str">
        <f t="shared" si="304"/>
        <v>High Value</v>
      </c>
      <c r="J6530" t="str">
        <f t="shared" si="305"/>
        <v>Low Risk</v>
      </c>
      <c r="K6530" s="3" t="str">
        <f t="shared" si="303"/>
        <v>4+ Years</v>
      </c>
    </row>
    <row r="6531" spans="1:11" x14ac:dyDescent="0.3">
      <c r="A6531" t="s">
        <v>6548</v>
      </c>
      <c r="B6531" t="s">
        <v>14</v>
      </c>
      <c r="C6531" t="s">
        <v>10</v>
      </c>
      <c r="D6531" t="s">
        <v>11</v>
      </c>
      <c r="E6531">
        <v>79.849999999999994</v>
      </c>
      <c r="F6531">
        <v>2</v>
      </c>
      <c r="G6531">
        <v>159.69999999999999</v>
      </c>
      <c r="H6531" t="s">
        <v>18</v>
      </c>
      <c r="I6531" t="str">
        <f t="shared" si="304"/>
        <v>Low Value</v>
      </c>
      <c r="J6531" t="str">
        <f t="shared" si="305"/>
        <v>High Risk</v>
      </c>
      <c r="K6531" s="3" t="str">
        <f t="shared" ref="K6531:K6594" si="306">IF(F6531&lt;=12,"0-1 Year",
IF(F6531&lt;=24,"1-2 Years",
IF(F6531&lt;=48,"2-4 Years","4+ Years")))</f>
        <v>0-1 Year</v>
      </c>
    </row>
    <row r="6532" spans="1:11" x14ac:dyDescent="0.3">
      <c r="A6532" t="s">
        <v>6549</v>
      </c>
      <c r="B6532" t="s">
        <v>9</v>
      </c>
      <c r="C6532" t="s">
        <v>10</v>
      </c>
      <c r="D6532" t="s">
        <v>11</v>
      </c>
      <c r="E6532">
        <v>73.05</v>
      </c>
      <c r="F6532">
        <v>26</v>
      </c>
      <c r="G6532">
        <v>1899.3</v>
      </c>
      <c r="H6532" t="s">
        <v>12</v>
      </c>
      <c r="I6532" t="str">
        <f t="shared" ref="I6532:I6595" si="307">IF(G6532&gt;5000,"High Value",
IF(G6532&gt;2000,"Medium Value","Low Value"))</f>
        <v>Low Value</v>
      </c>
      <c r="J6532" t="str">
        <f t="shared" ref="J6532:J6595" si="308">IF(F6532&lt;12,"High Risk",
IF(F6532&lt;24,"Medium Risk","Low Risk"))</f>
        <v>Low Risk</v>
      </c>
      <c r="K6532" s="3" t="str">
        <f t="shared" si="306"/>
        <v>2-4 Years</v>
      </c>
    </row>
    <row r="6533" spans="1:11" x14ac:dyDescent="0.3">
      <c r="A6533" t="s">
        <v>6550</v>
      </c>
      <c r="B6533" t="s">
        <v>9</v>
      </c>
      <c r="C6533" t="s">
        <v>15</v>
      </c>
      <c r="D6533" t="s">
        <v>11</v>
      </c>
      <c r="E6533">
        <v>64.349999999999994</v>
      </c>
      <c r="F6533">
        <v>34</v>
      </c>
      <c r="G6533">
        <v>2187.8999999999901</v>
      </c>
      <c r="H6533" t="s">
        <v>12</v>
      </c>
      <c r="I6533" t="str">
        <f t="shared" si="307"/>
        <v>Medium Value</v>
      </c>
      <c r="J6533" t="str">
        <f t="shared" si="308"/>
        <v>Low Risk</v>
      </c>
      <c r="K6533" s="3" t="str">
        <f t="shared" si="306"/>
        <v>2-4 Years</v>
      </c>
    </row>
    <row r="6534" spans="1:11" x14ac:dyDescent="0.3">
      <c r="A6534" t="s">
        <v>6551</v>
      </c>
      <c r="B6534" t="s">
        <v>9</v>
      </c>
      <c r="C6534" t="s">
        <v>30</v>
      </c>
      <c r="D6534" t="s">
        <v>16</v>
      </c>
      <c r="E6534">
        <v>20.5</v>
      </c>
      <c r="F6534">
        <v>19</v>
      </c>
      <c r="G6534">
        <v>389.5</v>
      </c>
      <c r="H6534" t="s">
        <v>12</v>
      </c>
      <c r="I6534" t="str">
        <f t="shared" si="307"/>
        <v>Low Value</v>
      </c>
      <c r="J6534" t="str">
        <f t="shared" si="308"/>
        <v>Medium Risk</v>
      </c>
      <c r="K6534" s="3" t="str">
        <f t="shared" si="306"/>
        <v>1-2 Years</v>
      </c>
    </row>
    <row r="6535" spans="1:11" x14ac:dyDescent="0.3">
      <c r="A6535" t="s">
        <v>6552</v>
      </c>
      <c r="B6535" t="s">
        <v>14</v>
      </c>
      <c r="C6535" t="s">
        <v>10</v>
      </c>
      <c r="D6535" t="s">
        <v>16</v>
      </c>
      <c r="E6535">
        <v>76</v>
      </c>
      <c r="F6535">
        <v>15</v>
      </c>
      <c r="G6535">
        <v>1140</v>
      </c>
      <c r="H6535" t="s">
        <v>18</v>
      </c>
      <c r="I6535" t="str">
        <f t="shared" si="307"/>
        <v>Low Value</v>
      </c>
      <c r="J6535" t="str">
        <f t="shared" si="308"/>
        <v>Medium Risk</v>
      </c>
      <c r="K6535" s="3" t="str">
        <f t="shared" si="306"/>
        <v>1-2 Years</v>
      </c>
    </row>
    <row r="6536" spans="1:11" x14ac:dyDescent="0.3">
      <c r="A6536" t="s">
        <v>6553</v>
      </c>
      <c r="B6536" t="s">
        <v>9</v>
      </c>
      <c r="C6536" t="s">
        <v>15</v>
      </c>
      <c r="D6536" t="s">
        <v>24</v>
      </c>
      <c r="E6536">
        <v>54.75</v>
      </c>
      <c r="F6536">
        <v>62</v>
      </c>
      <c r="G6536">
        <v>3394.5</v>
      </c>
      <c r="H6536" t="s">
        <v>12</v>
      </c>
      <c r="I6536" t="str">
        <f t="shared" si="307"/>
        <v>Medium Value</v>
      </c>
      <c r="J6536" t="str">
        <f t="shared" si="308"/>
        <v>Low Risk</v>
      </c>
      <c r="K6536" s="3" t="str">
        <f t="shared" si="306"/>
        <v>4+ Years</v>
      </c>
    </row>
    <row r="6537" spans="1:11" x14ac:dyDescent="0.3">
      <c r="A6537" t="s">
        <v>6554</v>
      </c>
      <c r="B6537" t="s">
        <v>9</v>
      </c>
      <c r="C6537" t="s">
        <v>10</v>
      </c>
      <c r="D6537" t="s">
        <v>20</v>
      </c>
      <c r="E6537">
        <v>104.75</v>
      </c>
      <c r="F6537">
        <v>42</v>
      </c>
      <c r="G6537">
        <v>4399.5</v>
      </c>
      <c r="H6537" t="s">
        <v>18</v>
      </c>
      <c r="I6537" t="str">
        <f t="shared" si="307"/>
        <v>Medium Value</v>
      </c>
      <c r="J6537" t="str">
        <f t="shared" si="308"/>
        <v>Low Risk</v>
      </c>
      <c r="K6537" s="3" t="str">
        <f t="shared" si="306"/>
        <v>2-4 Years</v>
      </c>
    </row>
    <row r="6538" spans="1:11" x14ac:dyDescent="0.3">
      <c r="A6538" t="s">
        <v>6555</v>
      </c>
      <c r="B6538" t="s">
        <v>9</v>
      </c>
      <c r="C6538" t="s">
        <v>10</v>
      </c>
      <c r="D6538" t="s">
        <v>11</v>
      </c>
      <c r="E6538">
        <v>74.650000000000006</v>
      </c>
      <c r="F6538">
        <v>9</v>
      </c>
      <c r="G6538">
        <v>671.85</v>
      </c>
      <c r="H6538" t="s">
        <v>18</v>
      </c>
      <c r="I6538" t="str">
        <f t="shared" si="307"/>
        <v>Low Value</v>
      </c>
      <c r="J6538" t="str">
        <f t="shared" si="308"/>
        <v>High Risk</v>
      </c>
      <c r="K6538" s="3" t="str">
        <f t="shared" si="306"/>
        <v>0-1 Year</v>
      </c>
    </row>
    <row r="6539" spans="1:11" x14ac:dyDescent="0.3">
      <c r="A6539" t="s">
        <v>6556</v>
      </c>
      <c r="B6539" t="s">
        <v>14</v>
      </c>
      <c r="C6539" t="s">
        <v>10</v>
      </c>
      <c r="D6539" t="s">
        <v>11</v>
      </c>
      <c r="E6539">
        <v>51.15</v>
      </c>
      <c r="F6539">
        <v>24</v>
      </c>
      <c r="G6539">
        <v>1227.5999999999999</v>
      </c>
      <c r="H6539" t="s">
        <v>12</v>
      </c>
      <c r="I6539" t="str">
        <f t="shared" si="307"/>
        <v>Low Value</v>
      </c>
      <c r="J6539" t="str">
        <f t="shared" si="308"/>
        <v>Low Risk</v>
      </c>
      <c r="K6539" s="3" t="str">
        <f t="shared" si="306"/>
        <v>1-2 Years</v>
      </c>
    </row>
    <row r="6540" spans="1:11" x14ac:dyDescent="0.3">
      <c r="A6540" t="s">
        <v>6557</v>
      </c>
      <c r="B6540" t="s">
        <v>14</v>
      </c>
      <c r="C6540" t="s">
        <v>30</v>
      </c>
      <c r="D6540" t="s">
        <v>11</v>
      </c>
      <c r="E6540">
        <v>41.95</v>
      </c>
      <c r="F6540">
        <v>68</v>
      </c>
      <c r="G6540">
        <v>2852.6</v>
      </c>
      <c r="H6540" t="s">
        <v>12</v>
      </c>
      <c r="I6540" t="str">
        <f t="shared" si="307"/>
        <v>Medium Value</v>
      </c>
      <c r="J6540" t="str">
        <f t="shared" si="308"/>
        <v>Low Risk</v>
      </c>
      <c r="K6540" s="3" t="str">
        <f t="shared" si="306"/>
        <v>4+ Years</v>
      </c>
    </row>
    <row r="6541" spans="1:11" x14ac:dyDescent="0.3">
      <c r="A6541" t="s">
        <v>6558</v>
      </c>
      <c r="B6541" t="s">
        <v>14</v>
      </c>
      <c r="C6541" t="s">
        <v>10</v>
      </c>
      <c r="D6541" t="s">
        <v>16</v>
      </c>
      <c r="E6541">
        <v>54.35</v>
      </c>
      <c r="F6541">
        <v>31</v>
      </c>
      <c r="G6541">
        <v>1684.85</v>
      </c>
      <c r="H6541" t="s">
        <v>12</v>
      </c>
      <c r="I6541" t="str">
        <f t="shared" si="307"/>
        <v>Low Value</v>
      </c>
      <c r="J6541" t="str">
        <f t="shared" si="308"/>
        <v>Low Risk</v>
      </c>
      <c r="K6541" s="3" t="str">
        <f t="shared" si="306"/>
        <v>2-4 Years</v>
      </c>
    </row>
    <row r="6542" spans="1:11" x14ac:dyDescent="0.3">
      <c r="A6542" t="s">
        <v>6559</v>
      </c>
      <c r="B6542" t="s">
        <v>9</v>
      </c>
      <c r="C6542" t="s">
        <v>10</v>
      </c>
      <c r="D6542" t="s">
        <v>11</v>
      </c>
      <c r="E6542">
        <v>56.25</v>
      </c>
      <c r="F6542">
        <v>1</v>
      </c>
      <c r="G6542">
        <v>56.25</v>
      </c>
      <c r="H6542" t="s">
        <v>18</v>
      </c>
      <c r="I6542" t="str">
        <f t="shared" si="307"/>
        <v>Low Value</v>
      </c>
      <c r="J6542" t="str">
        <f t="shared" si="308"/>
        <v>High Risk</v>
      </c>
      <c r="K6542" s="3" t="str">
        <f t="shared" si="306"/>
        <v>0-1 Year</v>
      </c>
    </row>
    <row r="6543" spans="1:11" x14ac:dyDescent="0.3">
      <c r="A6543" t="s">
        <v>6560</v>
      </c>
      <c r="B6543" t="s">
        <v>14</v>
      </c>
      <c r="C6543" t="s">
        <v>10</v>
      </c>
      <c r="D6543" t="s">
        <v>11</v>
      </c>
      <c r="E6543">
        <v>106.1</v>
      </c>
      <c r="F6543">
        <v>21</v>
      </c>
      <c r="G6543">
        <v>2228.1</v>
      </c>
      <c r="H6543" t="s">
        <v>18</v>
      </c>
      <c r="I6543" t="str">
        <f t="shared" si="307"/>
        <v>Medium Value</v>
      </c>
      <c r="J6543" t="str">
        <f t="shared" si="308"/>
        <v>Medium Risk</v>
      </c>
      <c r="K6543" s="3" t="str">
        <f t="shared" si="306"/>
        <v>1-2 Years</v>
      </c>
    </row>
    <row r="6544" spans="1:11" x14ac:dyDescent="0.3">
      <c r="A6544" t="s">
        <v>6561</v>
      </c>
      <c r="B6544" t="s">
        <v>9</v>
      </c>
      <c r="C6544" t="s">
        <v>15</v>
      </c>
      <c r="D6544" t="s">
        <v>11</v>
      </c>
      <c r="E6544">
        <v>96</v>
      </c>
      <c r="F6544">
        <v>63</v>
      </c>
      <c r="G6544">
        <v>6048</v>
      </c>
      <c r="H6544" t="s">
        <v>12</v>
      </c>
      <c r="I6544" t="str">
        <f t="shared" si="307"/>
        <v>High Value</v>
      </c>
      <c r="J6544" t="str">
        <f t="shared" si="308"/>
        <v>Low Risk</v>
      </c>
      <c r="K6544" s="3" t="str">
        <f t="shared" si="306"/>
        <v>4+ Years</v>
      </c>
    </row>
    <row r="6545" spans="1:11" x14ac:dyDescent="0.3">
      <c r="A6545" t="s">
        <v>6562</v>
      </c>
      <c r="B6545" t="s">
        <v>9</v>
      </c>
      <c r="C6545" t="s">
        <v>10</v>
      </c>
      <c r="D6545" t="s">
        <v>20</v>
      </c>
      <c r="E6545">
        <v>79.75</v>
      </c>
      <c r="F6545">
        <v>2</v>
      </c>
      <c r="G6545">
        <v>159.5</v>
      </c>
      <c r="H6545" t="s">
        <v>18</v>
      </c>
      <c r="I6545" t="str">
        <f t="shared" si="307"/>
        <v>Low Value</v>
      </c>
      <c r="J6545" t="str">
        <f t="shared" si="308"/>
        <v>High Risk</v>
      </c>
      <c r="K6545" s="3" t="str">
        <f t="shared" si="306"/>
        <v>0-1 Year</v>
      </c>
    </row>
    <row r="6546" spans="1:11" x14ac:dyDescent="0.3">
      <c r="A6546" t="s">
        <v>6563</v>
      </c>
      <c r="B6546" t="s">
        <v>9</v>
      </c>
      <c r="C6546" t="s">
        <v>30</v>
      </c>
      <c r="D6546" t="s">
        <v>20</v>
      </c>
      <c r="E6546">
        <v>61.45</v>
      </c>
      <c r="F6546">
        <v>61</v>
      </c>
      <c r="G6546">
        <v>3748.45</v>
      </c>
      <c r="H6546" t="s">
        <v>12</v>
      </c>
      <c r="I6546" t="str">
        <f t="shared" si="307"/>
        <v>Medium Value</v>
      </c>
      <c r="J6546" t="str">
        <f t="shared" si="308"/>
        <v>Low Risk</v>
      </c>
      <c r="K6546" s="3" t="str">
        <f t="shared" si="306"/>
        <v>4+ Years</v>
      </c>
    </row>
    <row r="6547" spans="1:11" x14ac:dyDescent="0.3">
      <c r="A6547" t="s">
        <v>6564</v>
      </c>
      <c r="B6547" t="s">
        <v>9</v>
      </c>
      <c r="C6547" t="s">
        <v>10</v>
      </c>
      <c r="D6547" t="s">
        <v>11</v>
      </c>
      <c r="E6547">
        <v>68.650000000000006</v>
      </c>
      <c r="F6547">
        <v>1</v>
      </c>
      <c r="G6547">
        <v>68.650000000000006</v>
      </c>
      <c r="H6547" t="s">
        <v>18</v>
      </c>
      <c r="I6547" t="str">
        <f t="shared" si="307"/>
        <v>Low Value</v>
      </c>
      <c r="J6547" t="str">
        <f t="shared" si="308"/>
        <v>High Risk</v>
      </c>
      <c r="K6547" s="3" t="str">
        <f t="shared" si="306"/>
        <v>0-1 Year</v>
      </c>
    </row>
    <row r="6548" spans="1:11" x14ac:dyDescent="0.3">
      <c r="A6548" t="s">
        <v>6565</v>
      </c>
      <c r="B6548" t="s">
        <v>14</v>
      </c>
      <c r="C6548" t="s">
        <v>15</v>
      </c>
      <c r="D6548" t="s">
        <v>16</v>
      </c>
      <c r="E6548">
        <v>19.649999999999999</v>
      </c>
      <c r="F6548">
        <v>18</v>
      </c>
      <c r="G6548">
        <v>353.7</v>
      </c>
      <c r="H6548" t="s">
        <v>12</v>
      </c>
      <c r="I6548" t="str">
        <f t="shared" si="307"/>
        <v>Low Value</v>
      </c>
      <c r="J6548" t="str">
        <f t="shared" si="308"/>
        <v>Medium Risk</v>
      </c>
      <c r="K6548" s="3" t="str">
        <f t="shared" si="306"/>
        <v>1-2 Years</v>
      </c>
    </row>
    <row r="6549" spans="1:11" x14ac:dyDescent="0.3">
      <c r="A6549" t="s">
        <v>6566</v>
      </c>
      <c r="B6549" t="s">
        <v>9</v>
      </c>
      <c r="C6549" t="s">
        <v>15</v>
      </c>
      <c r="D6549" t="s">
        <v>24</v>
      </c>
      <c r="E6549">
        <v>19</v>
      </c>
      <c r="F6549">
        <v>6</v>
      </c>
      <c r="G6549">
        <v>114</v>
      </c>
      <c r="H6549" t="s">
        <v>12</v>
      </c>
      <c r="I6549" t="str">
        <f t="shared" si="307"/>
        <v>Low Value</v>
      </c>
      <c r="J6549" t="str">
        <f t="shared" si="308"/>
        <v>High Risk</v>
      </c>
      <c r="K6549" s="3" t="str">
        <f t="shared" si="306"/>
        <v>0-1 Year</v>
      </c>
    </row>
    <row r="6550" spans="1:11" x14ac:dyDescent="0.3">
      <c r="A6550" t="s">
        <v>6567</v>
      </c>
      <c r="B6550" t="s">
        <v>9</v>
      </c>
      <c r="C6550" t="s">
        <v>10</v>
      </c>
      <c r="D6550" t="s">
        <v>11</v>
      </c>
      <c r="E6550">
        <v>100</v>
      </c>
      <c r="F6550">
        <v>33</v>
      </c>
      <c r="G6550">
        <v>3300</v>
      </c>
      <c r="H6550" t="s">
        <v>12</v>
      </c>
      <c r="I6550" t="str">
        <f t="shared" si="307"/>
        <v>Medium Value</v>
      </c>
      <c r="J6550" t="str">
        <f t="shared" si="308"/>
        <v>Low Risk</v>
      </c>
      <c r="K6550" s="3" t="str">
        <f t="shared" si="306"/>
        <v>2-4 Years</v>
      </c>
    </row>
    <row r="6551" spans="1:11" x14ac:dyDescent="0.3">
      <c r="A6551" t="s">
        <v>6568</v>
      </c>
      <c r="B6551" t="s">
        <v>14</v>
      </c>
      <c r="C6551" t="s">
        <v>10</v>
      </c>
      <c r="D6551" t="s">
        <v>20</v>
      </c>
      <c r="E6551">
        <v>20.25</v>
      </c>
      <c r="F6551">
        <v>16</v>
      </c>
      <c r="G6551">
        <v>324</v>
      </c>
      <c r="H6551" t="s">
        <v>18</v>
      </c>
      <c r="I6551" t="str">
        <f t="shared" si="307"/>
        <v>Low Value</v>
      </c>
      <c r="J6551" t="str">
        <f t="shared" si="308"/>
        <v>Medium Risk</v>
      </c>
      <c r="K6551" s="3" t="str">
        <f t="shared" si="306"/>
        <v>1-2 Years</v>
      </c>
    </row>
    <row r="6552" spans="1:11" x14ac:dyDescent="0.3">
      <c r="A6552" t="s">
        <v>6569</v>
      </c>
      <c r="B6552" t="s">
        <v>9</v>
      </c>
      <c r="C6552" t="s">
        <v>10</v>
      </c>
      <c r="D6552" t="s">
        <v>11</v>
      </c>
      <c r="E6552">
        <v>98.7</v>
      </c>
      <c r="F6552">
        <v>56</v>
      </c>
      <c r="G6552">
        <v>5527.2</v>
      </c>
      <c r="H6552" t="s">
        <v>12</v>
      </c>
      <c r="I6552" t="str">
        <f t="shared" si="307"/>
        <v>High Value</v>
      </c>
      <c r="J6552" t="str">
        <f t="shared" si="308"/>
        <v>Low Risk</v>
      </c>
      <c r="K6552" s="3" t="str">
        <f t="shared" si="306"/>
        <v>4+ Years</v>
      </c>
    </row>
    <row r="6553" spans="1:11" x14ac:dyDescent="0.3">
      <c r="A6553" t="s">
        <v>6570</v>
      </c>
      <c r="B6553" t="s">
        <v>14</v>
      </c>
      <c r="C6553" t="s">
        <v>15</v>
      </c>
      <c r="D6553" t="s">
        <v>16</v>
      </c>
      <c r="E6553">
        <v>19.8</v>
      </c>
      <c r="F6553">
        <v>23</v>
      </c>
      <c r="G6553">
        <v>455.4</v>
      </c>
      <c r="H6553" t="s">
        <v>12</v>
      </c>
      <c r="I6553" t="str">
        <f t="shared" si="307"/>
        <v>Low Value</v>
      </c>
      <c r="J6553" t="str">
        <f t="shared" si="308"/>
        <v>Medium Risk</v>
      </c>
      <c r="K6553" s="3" t="str">
        <f t="shared" si="306"/>
        <v>1-2 Years</v>
      </c>
    </row>
    <row r="6554" spans="1:11" x14ac:dyDescent="0.3">
      <c r="A6554" t="s">
        <v>6571</v>
      </c>
      <c r="B6554" t="s">
        <v>14</v>
      </c>
      <c r="C6554" t="s">
        <v>10</v>
      </c>
      <c r="D6554" t="s">
        <v>11</v>
      </c>
      <c r="E6554">
        <v>73.8</v>
      </c>
      <c r="F6554">
        <v>9</v>
      </c>
      <c r="G6554">
        <v>664.19999999999902</v>
      </c>
      <c r="H6554" t="s">
        <v>12</v>
      </c>
      <c r="I6554" t="str">
        <f t="shared" si="307"/>
        <v>Low Value</v>
      </c>
      <c r="J6554" t="str">
        <f t="shared" si="308"/>
        <v>High Risk</v>
      </c>
      <c r="K6554" s="3" t="str">
        <f t="shared" si="306"/>
        <v>0-1 Year</v>
      </c>
    </row>
    <row r="6555" spans="1:11" x14ac:dyDescent="0.3">
      <c r="A6555" t="s">
        <v>6572</v>
      </c>
      <c r="B6555" t="s">
        <v>9</v>
      </c>
      <c r="C6555" t="s">
        <v>10</v>
      </c>
      <c r="D6555" t="s">
        <v>11</v>
      </c>
      <c r="E6555">
        <v>100.2</v>
      </c>
      <c r="F6555">
        <v>14</v>
      </c>
      <c r="G6555">
        <v>1402.8</v>
      </c>
      <c r="H6555" t="s">
        <v>18</v>
      </c>
      <c r="I6555" t="str">
        <f t="shared" si="307"/>
        <v>Low Value</v>
      </c>
      <c r="J6555" t="str">
        <f t="shared" si="308"/>
        <v>Medium Risk</v>
      </c>
      <c r="K6555" s="3" t="str">
        <f t="shared" si="306"/>
        <v>1-2 Years</v>
      </c>
    </row>
    <row r="6556" spans="1:11" x14ac:dyDescent="0.3">
      <c r="A6556" t="s">
        <v>6573</v>
      </c>
      <c r="B6556" t="s">
        <v>14</v>
      </c>
      <c r="C6556" t="s">
        <v>10</v>
      </c>
      <c r="D6556" t="s">
        <v>20</v>
      </c>
      <c r="E6556">
        <v>74.900000000000006</v>
      </c>
      <c r="F6556">
        <v>15</v>
      </c>
      <c r="G6556">
        <v>1123.5</v>
      </c>
      <c r="H6556" t="s">
        <v>18</v>
      </c>
      <c r="I6556" t="str">
        <f t="shared" si="307"/>
        <v>Low Value</v>
      </c>
      <c r="J6556" t="str">
        <f t="shared" si="308"/>
        <v>Medium Risk</v>
      </c>
      <c r="K6556" s="3" t="str">
        <f t="shared" si="306"/>
        <v>1-2 Years</v>
      </c>
    </row>
    <row r="6557" spans="1:11" x14ac:dyDescent="0.3">
      <c r="A6557" t="s">
        <v>6574</v>
      </c>
      <c r="B6557" t="s">
        <v>14</v>
      </c>
      <c r="C6557" t="s">
        <v>10</v>
      </c>
      <c r="D6557" t="s">
        <v>24</v>
      </c>
      <c r="E6557">
        <v>20.05</v>
      </c>
      <c r="F6557">
        <v>5</v>
      </c>
      <c r="G6557">
        <v>100.25</v>
      </c>
      <c r="H6557" t="s">
        <v>12</v>
      </c>
      <c r="I6557" t="str">
        <f t="shared" si="307"/>
        <v>Low Value</v>
      </c>
      <c r="J6557" t="str">
        <f t="shared" si="308"/>
        <v>High Risk</v>
      </c>
      <c r="K6557" s="3" t="str">
        <f t="shared" si="306"/>
        <v>0-1 Year</v>
      </c>
    </row>
    <row r="6558" spans="1:11" x14ac:dyDescent="0.3">
      <c r="A6558" t="s">
        <v>6575</v>
      </c>
      <c r="B6558" t="s">
        <v>14</v>
      </c>
      <c r="C6558" t="s">
        <v>10</v>
      </c>
      <c r="D6558" t="s">
        <v>11</v>
      </c>
      <c r="E6558">
        <v>106.2</v>
      </c>
      <c r="F6558">
        <v>61</v>
      </c>
      <c r="G6558">
        <v>6478.2</v>
      </c>
      <c r="H6558" t="s">
        <v>12</v>
      </c>
      <c r="I6558" t="str">
        <f t="shared" si="307"/>
        <v>High Value</v>
      </c>
      <c r="J6558" t="str">
        <f t="shared" si="308"/>
        <v>Low Risk</v>
      </c>
      <c r="K6558" s="3" t="str">
        <f t="shared" si="306"/>
        <v>4+ Years</v>
      </c>
    </row>
    <row r="6559" spans="1:11" x14ac:dyDescent="0.3">
      <c r="A6559" t="s">
        <v>6576</v>
      </c>
      <c r="B6559" t="s">
        <v>14</v>
      </c>
      <c r="C6559" t="s">
        <v>30</v>
      </c>
      <c r="D6559" t="s">
        <v>24</v>
      </c>
      <c r="E6559">
        <v>116.55</v>
      </c>
      <c r="F6559">
        <v>70</v>
      </c>
      <c r="G6559">
        <v>8158.5</v>
      </c>
      <c r="H6559" t="s">
        <v>12</v>
      </c>
      <c r="I6559" t="str">
        <f t="shared" si="307"/>
        <v>High Value</v>
      </c>
      <c r="J6559" t="str">
        <f t="shared" si="308"/>
        <v>Low Risk</v>
      </c>
      <c r="K6559" s="3" t="str">
        <f t="shared" si="306"/>
        <v>4+ Years</v>
      </c>
    </row>
    <row r="6560" spans="1:11" x14ac:dyDescent="0.3">
      <c r="A6560" t="s">
        <v>6577</v>
      </c>
      <c r="B6560" t="s">
        <v>14</v>
      </c>
      <c r="C6560" t="s">
        <v>10</v>
      </c>
      <c r="D6560" t="s">
        <v>11</v>
      </c>
      <c r="E6560">
        <v>99.7</v>
      </c>
      <c r="F6560">
        <v>15</v>
      </c>
      <c r="G6560">
        <v>1495.5</v>
      </c>
      <c r="H6560" t="s">
        <v>12</v>
      </c>
      <c r="I6560" t="str">
        <f t="shared" si="307"/>
        <v>Low Value</v>
      </c>
      <c r="J6560" t="str">
        <f t="shared" si="308"/>
        <v>Medium Risk</v>
      </c>
      <c r="K6560" s="3" t="str">
        <f t="shared" si="306"/>
        <v>1-2 Years</v>
      </c>
    </row>
    <row r="6561" spans="1:11" x14ac:dyDescent="0.3">
      <c r="A6561" t="s">
        <v>6578</v>
      </c>
      <c r="B6561" t="s">
        <v>14</v>
      </c>
      <c r="C6561" t="s">
        <v>30</v>
      </c>
      <c r="D6561" t="s">
        <v>16</v>
      </c>
      <c r="E6561">
        <v>19.7</v>
      </c>
      <c r="F6561">
        <v>8</v>
      </c>
      <c r="G6561">
        <v>157.6</v>
      </c>
      <c r="H6561" t="s">
        <v>12</v>
      </c>
      <c r="I6561" t="str">
        <f t="shared" si="307"/>
        <v>Low Value</v>
      </c>
      <c r="J6561" t="str">
        <f t="shared" si="308"/>
        <v>High Risk</v>
      </c>
      <c r="K6561" s="3" t="str">
        <f t="shared" si="306"/>
        <v>0-1 Year</v>
      </c>
    </row>
    <row r="6562" spans="1:11" x14ac:dyDescent="0.3">
      <c r="A6562" t="s">
        <v>6579</v>
      </c>
      <c r="B6562" t="s">
        <v>9</v>
      </c>
      <c r="C6562" t="s">
        <v>30</v>
      </c>
      <c r="D6562" t="s">
        <v>16</v>
      </c>
      <c r="E6562">
        <v>19.5</v>
      </c>
      <c r="F6562">
        <v>8</v>
      </c>
      <c r="G6562">
        <v>156</v>
      </c>
      <c r="H6562" t="s">
        <v>12</v>
      </c>
      <c r="I6562" t="str">
        <f t="shared" si="307"/>
        <v>Low Value</v>
      </c>
      <c r="J6562" t="str">
        <f t="shared" si="308"/>
        <v>High Risk</v>
      </c>
      <c r="K6562" s="3" t="str">
        <f t="shared" si="306"/>
        <v>0-1 Year</v>
      </c>
    </row>
    <row r="6563" spans="1:11" x14ac:dyDescent="0.3">
      <c r="A6563" t="s">
        <v>6580</v>
      </c>
      <c r="B6563" t="s">
        <v>9</v>
      </c>
      <c r="C6563" t="s">
        <v>10</v>
      </c>
      <c r="D6563" t="s">
        <v>16</v>
      </c>
      <c r="E6563">
        <v>29.15</v>
      </c>
      <c r="F6563">
        <v>4</v>
      </c>
      <c r="G6563">
        <v>116.6</v>
      </c>
      <c r="H6563" t="s">
        <v>12</v>
      </c>
      <c r="I6563" t="str">
        <f t="shared" si="307"/>
        <v>Low Value</v>
      </c>
      <c r="J6563" t="str">
        <f t="shared" si="308"/>
        <v>High Risk</v>
      </c>
      <c r="K6563" s="3" t="str">
        <f t="shared" si="306"/>
        <v>0-1 Year</v>
      </c>
    </row>
    <row r="6564" spans="1:11" x14ac:dyDescent="0.3">
      <c r="A6564" t="s">
        <v>6581</v>
      </c>
      <c r="B6564" t="s">
        <v>9</v>
      </c>
      <c r="C6564" t="s">
        <v>15</v>
      </c>
      <c r="D6564" t="s">
        <v>16</v>
      </c>
      <c r="E6564">
        <v>55</v>
      </c>
      <c r="F6564">
        <v>34</v>
      </c>
      <c r="G6564">
        <v>1870</v>
      </c>
      <c r="H6564" t="s">
        <v>12</v>
      </c>
      <c r="I6564" t="str">
        <f t="shared" si="307"/>
        <v>Low Value</v>
      </c>
      <c r="J6564" t="str">
        <f t="shared" si="308"/>
        <v>Low Risk</v>
      </c>
      <c r="K6564" s="3" t="str">
        <f t="shared" si="306"/>
        <v>2-4 Years</v>
      </c>
    </row>
    <row r="6565" spans="1:11" x14ac:dyDescent="0.3">
      <c r="A6565" t="s">
        <v>6582</v>
      </c>
      <c r="B6565" t="s">
        <v>14</v>
      </c>
      <c r="C6565" t="s">
        <v>30</v>
      </c>
      <c r="D6565" t="s">
        <v>24</v>
      </c>
      <c r="E6565">
        <v>90.8</v>
      </c>
      <c r="F6565">
        <v>68</v>
      </c>
      <c r="G6565">
        <v>6174.4</v>
      </c>
      <c r="H6565" t="s">
        <v>12</v>
      </c>
      <c r="I6565" t="str">
        <f t="shared" si="307"/>
        <v>High Value</v>
      </c>
      <c r="J6565" t="str">
        <f t="shared" si="308"/>
        <v>Low Risk</v>
      </c>
      <c r="K6565" s="3" t="str">
        <f t="shared" si="306"/>
        <v>4+ Years</v>
      </c>
    </row>
    <row r="6566" spans="1:11" x14ac:dyDescent="0.3">
      <c r="A6566" t="s">
        <v>6583</v>
      </c>
      <c r="B6566" t="s">
        <v>9</v>
      </c>
      <c r="C6566" t="s">
        <v>15</v>
      </c>
      <c r="D6566" t="s">
        <v>20</v>
      </c>
      <c r="E6566">
        <v>51</v>
      </c>
      <c r="F6566">
        <v>45</v>
      </c>
      <c r="G6566">
        <v>2295</v>
      </c>
      <c r="H6566" t="s">
        <v>12</v>
      </c>
      <c r="I6566" t="str">
        <f t="shared" si="307"/>
        <v>Medium Value</v>
      </c>
      <c r="J6566" t="str">
        <f t="shared" si="308"/>
        <v>Low Risk</v>
      </c>
      <c r="K6566" s="3" t="str">
        <f t="shared" si="306"/>
        <v>2-4 Years</v>
      </c>
    </row>
    <row r="6567" spans="1:11" x14ac:dyDescent="0.3">
      <c r="A6567" t="s">
        <v>6584</v>
      </c>
      <c r="B6567" t="s">
        <v>9</v>
      </c>
      <c r="C6567" t="s">
        <v>10</v>
      </c>
      <c r="D6567" t="s">
        <v>11</v>
      </c>
      <c r="E6567">
        <v>90.1</v>
      </c>
      <c r="F6567">
        <v>9</v>
      </c>
      <c r="G6567">
        <v>810.9</v>
      </c>
      <c r="H6567" t="s">
        <v>12</v>
      </c>
      <c r="I6567" t="str">
        <f t="shared" si="307"/>
        <v>Low Value</v>
      </c>
      <c r="J6567" t="str">
        <f t="shared" si="308"/>
        <v>High Risk</v>
      </c>
      <c r="K6567" s="3" t="str">
        <f t="shared" si="306"/>
        <v>0-1 Year</v>
      </c>
    </row>
    <row r="6568" spans="1:11" x14ac:dyDescent="0.3">
      <c r="A6568" t="s">
        <v>6585</v>
      </c>
      <c r="B6568" t="s">
        <v>9</v>
      </c>
      <c r="C6568" t="s">
        <v>10</v>
      </c>
      <c r="D6568" t="s">
        <v>16</v>
      </c>
      <c r="E6568">
        <v>59.05</v>
      </c>
      <c r="F6568">
        <v>22</v>
      </c>
      <c r="G6568">
        <v>1299.0999999999999</v>
      </c>
      <c r="H6568" t="s">
        <v>12</v>
      </c>
      <c r="I6568" t="str">
        <f t="shared" si="307"/>
        <v>Low Value</v>
      </c>
      <c r="J6568" t="str">
        <f t="shared" si="308"/>
        <v>Medium Risk</v>
      </c>
      <c r="K6568" s="3" t="str">
        <f t="shared" si="306"/>
        <v>1-2 Years</v>
      </c>
    </row>
    <row r="6569" spans="1:11" x14ac:dyDescent="0.3">
      <c r="A6569" t="s">
        <v>6586</v>
      </c>
      <c r="B6569" t="s">
        <v>9</v>
      </c>
      <c r="C6569" t="s">
        <v>10</v>
      </c>
      <c r="D6569" t="s">
        <v>16</v>
      </c>
      <c r="E6569">
        <v>20.3</v>
      </c>
      <c r="F6569">
        <v>2</v>
      </c>
      <c r="G6569">
        <v>40.6</v>
      </c>
      <c r="H6569" t="s">
        <v>12</v>
      </c>
      <c r="I6569" t="str">
        <f t="shared" si="307"/>
        <v>Low Value</v>
      </c>
      <c r="J6569" t="str">
        <f t="shared" si="308"/>
        <v>High Risk</v>
      </c>
      <c r="K6569" s="3" t="str">
        <f t="shared" si="306"/>
        <v>0-1 Year</v>
      </c>
    </row>
    <row r="6570" spans="1:11" x14ac:dyDescent="0.3">
      <c r="A6570" t="s">
        <v>6587</v>
      </c>
      <c r="B6570" t="s">
        <v>14</v>
      </c>
      <c r="C6570" t="s">
        <v>30</v>
      </c>
      <c r="D6570" t="s">
        <v>20</v>
      </c>
      <c r="E6570">
        <v>72.95</v>
      </c>
      <c r="F6570">
        <v>70</v>
      </c>
      <c r="G6570">
        <v>5106.5</v>
      </c>
      <c r="H6570" t="s">
        <v>12</v>
      </c>
      <c r="I6570" t="str">
        <f t="shared" si="307"/>
        <v>High Value</v>
      </c>
      <c r="J6570" t="str">
        <f t="shared" si="308"/>
        <v>Low Risk</v>
      </c>
      <c r="K6570" s="3" t="str">
        <f t="shared" si="306"/>
        <v>4+ Years</v>
      </c>
    </row>
    <row r="6571" spans="1:11" x14ac:dyDescent="0.3">
      <c r="A6571" t="s">
        <v>6588</v>
      </c>
      <c r="B6571" t="s">
        <v>9</v>
      </c>
      <c r="C6571" t="s">
        <v>15</v>
      </c>
      <c r="D6571" t="s">
        <v>24</v>
      </c>
      <c r="E6571">
        <v>73.55</v>
      </c>
      <c r="F6571">
        <v>10</v>
      </c>
      <c r="G6571">
        <v>735.5</v>
      </c>
      <c r="H6571" t="s">
        <v>12</v>
      </c>
      <c r="I6571" t="str">
        <f t="shared" si="307"/>
        <v>Low Value</v>
      </c>
      <c r="J6571" t="str">
        <f t="shared" si="308"/>
        <v>High Risk</v>
      </c>
      <c r="K6571" s="3" t="str">
        <f t="shared" si="306"/>
        <v>0-1 Year</v>
      </c>
    </row>
    <row r="6572" spans="1:11" x14ac:dyDescent="0.3">
      <c r="A6572" t="s">
        <v>6589</v>
      </c>
      <c r="B6572" t="s">
        <v>14</v>
      </c>
      <c r="C6572" t="s">
        <v>30</v>
      </c>
      <c r="D6572" t="s">
        <v>24</v>
      </c>
      <c r="E6572">
        <v>84.3</v>
      </c>
      <c r="F6572">
        <v>72</v>
      </c>
      <c r="G6572">
        <v>6069.5999999999904</v>
      </c>
      <c r="H6572" t="s">
        <v>12</v>
      </c>
      <c r="I6572" t="str">
        <f t="shared" si="307"/>
        <v>High Value</v>
      </c>
      <c r="J6572" t="str">
        <f t="shared" si="308"/>
        <v>Low Risk</v>
      </c>
      <c r="K6572" s="3" t="str">
        <f t="shared" si="306"/>
        <v>4+ Years</v>
      </c>
    </row>
    <row r="6573" spans="1:11" x14ac:dyDescent="0.3">
      <c r="A6573" t="s">
        <v>6590</v>
      </c>
      <c r="B6573" t="s">
        <v>9</v>
      </c>
      <c r="C6573" t="s">
        <v>15</v>
      </c>
      <c r="D6573" t="s">
        <v>24</v>
      </c>
      <c r="E6573">
        <v>78</v>
      </c>
      <c r="F6573">
        <v>49</v>
      </c>
      <c r="G6573">
        <v>3822</v>
      </c>
      <c r="H6573" t="s">
        <v>12</v>
      </c>
      <c r="I6573" t="str">
        <f t="shared" si="307"/>
        <v>Medium Value</v>
      </c>
      <c r="J6573" t="str">
        <f t="shared" si="308"/>
        <v>Low Risk</v>
      </c>
      <c r="K6573" s="3" t="str">
        <f t="shared" si="306"/>
        <v>4+ Years</v>
      </c>
    </row>
    <row r="6574" spans="1:11" x14ac:dyDescent="0.3">
      <c r="A6574" t="s">
        <v>6591</v>
      </c>
      <c r="B6574" t="s">
        <v>9</v>
      </c>
      <c r="C6574" t="s">
        <v>15</v>
      </c>
      <c r="D6574" t="s">
        <v>16</v>
      </c>
      <c r="E6574">
        <v>72.099999999999994</v>
      </c>
      <c r="F6574">
        <v>54</v>
      </c>
      <c r="G6574">
        <v>3893.3999999999901</v>
      </c>
      <c r="H6574" t="s">
        <v>12</v>
      </c>
      <c r="I6574" t="str">
        <f t="shared" si="307"/>
        <v>Medium Value</v>
      </c>
      <c r="J6574" t="str">
        <f t="shared" si="308"/>
        <v>Low Risk</v>
      </c>
      <c r="K6574" s="3" t="str">
        <f t="shared" si="306"/>
        <v>4+ Years</v>
      </c>
    </row>
    <row r="6575" spans="1:11" x14ac:dyDescent="0.3">
      <c r="A6575" t="s">
        <v>6592</v>
      </c>
      <c r="B6575" t="s">
        <v>9</v>
      </c>
      <c r="C6575" t="s">
        <v>30</v>
      </c>
      <c r="D6575" t="s">
        <v>24</v>
      </c>
      <c r="E6575">
        <v>106.75</v>
      </c>
      <c r="F6575">
        <v>71</v>
      </c>
      <c r="G6575">
        <v>7579.25</v>
      </c>
      <c r="H6575" t="s">
        <v>12</v>
      </c>
      <c r="I6575" t="str">
        <f t="shared" si="307"/>
        <v>High Value</v>
      </c>
      <c r="J6575" t="str">
        <f t="shared" si="308"/>
        <v>Low Risk</v>
      </c>
      <c r="K6575" s="3" t="str">
        <f t="shared" si="306"/>
        <v>4+ Years</v>
      </c>
    </row>
    <row r="6576" spans="1:11" x14ac:dyDescent="0.3">
      <c r="A6576" t="s">
        <v>6593</v>
      </c>
      <c r="B6576" t="s">
        <v>9</v>
      </c>
      <c r="C6576" t="s">
        <v>15</v>
      </c>
      <c r="D6576" t="s">
        <v>16</v>
      </c>
      <c r="E6576">
        <v>19.25</v>
      </c>
      <c r="F6576">
        <v>22</v>
      </c>
      <c r="G6576">
        <v>423.5</v>
      </c>
      <c r="H6576" t="s">
        <v>12</v>
      </c>
      <c r="I6576" t="str">
        <f t="shared" si="307"/>
        <v>Low Value</v>
      </c>
      <c r="J6576" t="str">
        <f t="shared" si="308"/>
        <v>Medium Risk</v>
      </c>
      <c r="K6576" s="3" t="str">
        <f t="shared" si="306"/>
        <v>1-2 Years</v>
      </c>
    </row>
    <row r="6577" spans="1:11" x14ac:dyDescent="0.3">
      <c r="A6577" t="s">
        <v>6594</v>
      </c>
      <c r="B6577" t="s">
        <v>9</v>
      </c>
      <c r="C6577" t="s">
        <v>30</v>
      </c>
      <c r="D6577" t="s">
        <v>24</v>
      </c>
      <c r="E6577">
        <v>20.55</v>
      </c>
      <c r="F6577">
        <v>50</v>
      </c>
      <c r="G6577">
        <v>1027.5</v>
      </c>
      <c r="H6577" t="s">
        <v>12</v>
      </c>
      <c r="I6577" t="str">
        <f t="shared" si="307"/>
        <v>Low Value</v>
      </c>
      <c r="J6577" t="str">
        <f t="shared" si="308"/>
        <v>Low Risk</v>
      </c>
      <c r="K6577" s="3" t="str">
        <f t="shared" si="306"/>
        <v>4+ Years</v>
      </c>
    </row>
    <row r="6578" spans="1:11" x14ac:dyDescent="0.3">
      <c r="A6578" t="s">
        <v>6595</v>
      </c>
      <c r="B6578" t="s">
        <v>9</v>
      </c>
      <c r="C6578" t="s">
        <v>15</v>
      </c>
      <c r="D6578" t="s">
        <v>16</v>
      </c>
      <c r="E6578">
        <v>20</v>
      </c>
      <c r="F6578">
        <v>43</v>
      </c>
      <c r="G6578">
        <v>860</v>
      </c>
      <c r="H6578" t="s">
        <v>12</v>
      </c>
      <c r="I6578" t="str">
        <f t="shared" si="307"/>
        <v>Low Value</v>
      </c>
      <c r="J6578" t="str">
        <f t="shared" si="308"/>
        <v>Low Risk</v>
      </c>
      <c r="K6578" s="3" t="str">
        <f t="shared" si="306"/>
        <v>2-4 Years</v>
      </c>
    </row>
    <row r="6579" spans="1:11" x14ac:dyDescent="0.3">
      <c r="A6579" t="s">
        <v>6596</v>
      </c>
      <c r="B6579" t="s">
        <v>9</v>
      </c>
      <c r="C6579" t="s">
        <v>30</v>
      </c>
      <c r="D6579" t="s">
        <v>24</v>
      </c>
      <c r="E6579">
        <v>24.65</v>
      </c>
      <c r="F6579">
        <v>45</v>
      </c>
      <c r="G6579">
        <v>1109.25</v>
      </c>
      <c r="H6579" t="s">
        <v>12</v>
      </c>
      <c r="I6579" t="str">
        <f t="shared" si="307"/>
        <v>Low Value</v>
      </c>
      <c r="J6579" t="str">
        <f t="shared" si="308"/>
        <v>Low Risk</v>
      </c>
      <c r="K6579" s="3" t="str">
        <f t="shared" si="306"/>
        <v>2-4 Years</v>
      </c>
    </row>
    <row r="6580" spans="1:11" x14ac:dyDescent="0.3">
      <c r="A6580" t="s">
        <v>6597</v>
      </c>
      <c r="B6580" t="s">
        <v>14</v>
      </c>
      <c r="C6580" t="s">
        <v>10</v>
      </c>
      <c r="D6580" t="s">
        <v>20</v>
      </c>
      <c r="E6580">
        <v>103.5</v>
      </c>
      <c r="F6580">
        <v>64</v>
      </c>
      <c r="G6580">
        <v>6624</v>
      </c>
      <c r="H6580" t="s">
        <v>12</v>
      </c>
      <c r="I6580" t="str">
        <f t="shared" si="307"/>
        <v>High Value</v>
      </c>
      <c r="J6580" t="str">
        <f t="shared" si="308"/>
        <v>Low Risk</v>
      </c>
      <c r="K6580" s="3" t="str">
        <f t="shared" si="306"/>
        <v>4+ Years</v>
      </c>
    </row>
    <row r="6581" spans="1:11" x14ac:dyDescent="0.3">
      <c r="A6581" t="s">
        <v>6598</v>
      </c>
      <c r="B6581" t="s">
        <v>9</v>
      </c>
      <c r="C6581" t="s">
        <v>30</v>
      </c>
      <c r="D6581" t="s">
        <v>16</v>
      </c>
      <c r="E6581">
        <v>23.85</v>
      </c>
      <c r="F6581">
        <v>23</v>
      </c>
      <c r="G6581">
        <v>548.54999999999995</v>
      </c>
      <c r="H6581" t="s">
        <v>12</v>
      </c>
      <c r="I6581" t="str">
        <f t="shared" si="307"/>
        <v>Low Value</v>
      </c>
      <c r="J6581" t="str">
        <f t="shared" si="308"/>
        <v>Medium Risk</v>
      </c>
      <c r="K6581" s="3" t="str">
        <f t="shared" si="306"/>
        <v>1-2 Years</v>
      </c>
    </row>
    <row r="6582" spans="1:11" x14ac:dyDescent="0.3">
      <c r="A6582" t="s">
        <v>6599</v>
      </c>
      <c r="B6582" t="s">
        <v>9</v>
      </c>
      <c r="C6582" t="s">
        <v>30</v>
      </c>
      <c r="D6582" t="s">
        <v>24</v>
      </c>
      <c r="E6582">
        <v>25.8</v>
      </c>
      <c r="F6582">
        <v>68</v>
      </c>
      <c r="G6582">
        <v>1754.4</v>
      </c>
      <c r="H6582" t="s">
        <v>12</v>
      </c>
      <c r="I6582" t="str">
        <f t="shared" si="307"/>
        <v>Low Value</v>
      </c>
      <c r="J6582" t="str">
        <f t="shared" si="308"/>
        <v>Low Risk</v>
      </c>
      <c r="K6582" s="3" t="str">
        <f t="shared" si="306"/>
        <v>4+ Years</v>
      </c>
    </row>
    <row r="6583" spans="1:11" x14ac:dyDescent="0.3">
      <c r="A6583" t="s">
        <v>6600</v>
      </c>
      <c r="B6583" t="s">
        <v>9</v>
      </c>
      <c r="C6583" t="s">
        <v>10</v>
      </c>
      <c r="D6583" t="s">
        <v>11</v>
      </c>
      <c r="E6583">
        <v>70.849999999999994</v>
      </c>
      <c r="F6583">
        <v>1</v>
      </c>
      <c r="G6583">
        <v>70.849999999999994</v>
      </c>
      <c r="H6583" t="s">
        <v>18</v>
      </c>
      <c r="I6583" t="str">
        <f t="shared" si="307"/>
        <v>Low Value</v>
      </c>
      <c r="J6583" t="str">
        <f t="shared" si="308"/>
        <v>High Risk</v>
      </c>
      <c r="K6583" s="3" t="str">
        <f t="shared" si="306"/>
        <v>0-1 Year</v>
      </c>
    </row>
    <row r="6584" spans="1:11" x14ac:dyDescent="0.3">
      <c r="A6584" t="s">
        <v>6601</v>
      </c>
      <c r="B6584" t="s">
        <v>14</v>
      </c>
      <c r="C6584" t="s">
        <v>10</v>
      </c>
      <c r="D6584" t="s">
        <v>24</v>
      </c>
      <c r="E6584">
        <v>69.8</v>
      </c>
      <c r="F6584">
        <v>2</v>
      </c>
      <c r="G6584">
        <v>139.6</v>
      </c>
      <c r="H6584" t="s">
        <v>18</v>
      </c>
      <c r="I6584" t="str">
        <f t="shared" si="307"/>
        <v>Low Value</v>
      </c>
      <c r="J6584" t="str">
        <f t="shared" si="308"/>
        <v>High Risk</v>
      </c>
      <c r="K6584" s="3" t="str">
        <f t="shared" si="306"/>
        <v>0-1 Year</v>
      </c>
    </row>
    <row r="6585" spans="1:11" x14ac:dyDescent="0.3">
      <c r="A6585" t="s">
        <v>6602</v>
      </c>
      <c r="B6585" t="s">
        <v>14</v>
      </c>
      <c r="C6585" t="s">
        <v>15</v>
      </c>
      <c r="D6585" t="s">
        <v>24</v>
      </c>
      <c r="E6585">
        <v>59.45</v>
      </c>
      <c r="F6585">
        <v>26</v>
      </c>
      <c r="G6585">
        <v>1545.7</v>
      </c>
      <c r="H6585" t="s">
        <v>12</v>
      </c>
      <c r="I6585" t="str">
        <f t="shared" si="307"/>
        <v>Low Value</v>
      </c>
      <c r="J6585" t="str">
        <f t="shared" si="308"/>
        <v>Low Risk</v>
      </c>
      <c r="K6585" s="3" t="str">
        <f t="shared" si="306"/>
        <v>2-4 Years</v>
      </c>
    </row>
    <row r="6586" spans="1:11" x14ac:dyDescent="0.3">
      <c r="A6586" t="s">
        <v>6603</v>
      </c>
      <c r="B6586" t="s">
        <v>14</v>
      </c>
      <c r="C6586" t="s">
        <v>10</v>
      </c>
      <c r="D6586" t="s">
        <v>20</v>
      </c>
      <c r="E6586">
        <v>54.55</v>
      </c>
      <c r="F6586">
        <v>55</v>
      </c>
      <c r="G6586">
        <v>3000.25</v>
      </c>
      <c r="H6586" t="s">
        <v>18</v>
      </c>
      <c r="I6586" t="str">
        <f t="shared" si="307"/>
        <v>Medium Value</v>
      </c>
      <c r="J6586" t="str">
        <f t="shared" si="308"/>
        <v>Low Risk</v>
      </c>
      <c r="K6586" s="3" t="str">
        <f t="shared" si="306"/>
        <v>4+ Years</v>
      </c>
    </row>
    <row r="6587" spans="1:11" x14ac:dyDescent="0.3">
      <c r="A6587" t="s">
        <v>6604</v>
      </c>
      <c r="B6587" t="s">
        <v>14</v>
      </c>
      <c r="C6587" t="s">
        <v>10</v>
      </c>
      <c r="D6587" t="s">
        <v>11</v>
      </c>
      <c r="E6587">
        <v>20.05</v>
      </c>
      <c r="F6587">
        <v>14</v>
      </c>
      <c r="G6587">
        <v>280.7</v>
      </c>
      <c r="H6587" t="s">
        <v>12</v>
      </c>
      <c r="I6587" t="str">
        <f t="shared" si="307"/>
        <v>Low Value</v>
      </c>
      <c r="J6587" t="str">
        <f t="shared" si="308"/>
        <v>Medium Risk</v>
      </c>
      <c r="K6587" s="3" t="str">
        <f t="shared" si="306"/>
        <v>1-2 Years</v>
      </c>
    </row>
    <row r="6588" spans="1:11" x14ac:dyDescent="0.3">
      <c r="A6588" t="s">
        <v>6605</v>
      </c>
      <c r="B6588" t="s">
        <v>14</v>
      </c>
      <c r="C6588" t="s">
        <v>30</v>
      </c>
      <c r="D6588" t="s">
        <v>11</v>
      </c>
      <c r="E6588">
        <v>82.55</v>
      </c>
      <c r="F6588">
        <v>71</v>
      </c>
      <c r="G6588">
        <v>5861.05</v>
      </c>
      <c r="H6588" t="s">
        <v>12</v>
      </c>
      <c r="I6588" t="str">
        <f t="shared" si="307"/>
        <v>High Value</v>
      </c>
      <c r="J6588" t="str">
        <f t="shared" si="308"/>
        <v>Low Risk</v>
      </c>
      <c r="K6588" s="3" t="str">
        <f t="shared" si="306"/>
        <v>4+ Years</v>
      </c>
    </row>
    <row r="6589" spans="1:11" x14ac:dyDescent="0.3">
      <c r="A6589" t="s">
        <v>6606</v>
      </c>
      <c r="B6589" t="s">
        <v>14</v>
      </c>
      <c r="C6589" t="s">
        <v>15</v>
      </c>
      <c r="D6589" t="s">
        <v>11</v>
      </c>
      <c r="E6589">
        <v>81.25</v>
      </c>
      <c r="F6589">
        <v>64</v>
      </c>
      <c r="G6589">
        <v>5200</v>
      </c>
      <c r="H6589" t="s">
        <v>12</v>
      </c>
      <c r="I6589" t="str">
        <f t="shared" si="307"/>
        <v>High Value</v>
      </c>
      <c r="J6589" t="str">
        <f t="shared" si="308"/>
        <v>Low Risk</v>
      </c>
      <c r="K6589" s="3" t="str">
        <f t="shared" si="306"/>
        <v>4+ Years</v>
      </c>
    </row>
    <row r="6590" spans="1:11" x14ac:dyDescent="0.3">
      <c r="A6590" t="s">
        <v>6607</v>
      </c>
      <c r="B6590" t="s">
        <v>9</v>
      </c>
      <c r="C6590" t="s">
        <v>10</v>
      </c>
      <c r="D6590" t="s">
        <v>24</v>
      </c>
      <c r="E6590">
        <v>70.75</v>
      </c>
      <c r="F6590">
        <v>7</v>
      </c>
      <c r="G6590">
        <v>495.25</v>
      </c>
      <c r="H6590" t="s">
        <v>18</v>
      </c>
      <c r="I6590" t="str">
        <f t="shared" si="307"/>
        <v>Low Value</v>
      </c>
      <c r="J6590" t="str">
        <f t="shared" si="308"/>
        <v>High Risk</v>
      </c>
      <c r="K6590" s="3" t="str">
        <f t="shared" si="306"/>
        <v>0-1 Year</v>
      </c>
    </row>
    <row r="6591" spans="1:11" x14ac:dyDescent="0.3">
      <c r="A6591" t="s">
        <v>6608</v>
      </c>
      <c r="B6591" t="s">
        <v>9</v>
      </c>
      <c r="C6591" t="s">
        <v>30</v>
      </c>
      <c r="D6591" t="s">
        <v>24</v>
      </c>
      <c r="E6591">
        <v>74.3</v>
      </c>
      <c r="F6591">
        <v>57</v>
      </c>
      <c r="G6591">
        <v>4235.0999999999904</v>
      </c>
      <c r="H6591" t="s">
        <v>12</v>
      </c>
      <c r="I6591" t="str">
        <f t="shared" si="307"/>
        <v>Medium Value</v>
      </c>
      <c r="J6591" t="str">
        <f t="shared" si="308"/>
        <v>Low Risk</v>
      </c>
      <c r="K6591" s="3" t="str">
        <f t="shared" si="306"/>
        <v>4+ Years</v>
      </c>
    </row>
    <row r="6592" spans="1:11" x14ac:dyDescent="0.3">
      <c r="A6592" t="s">
        <v>6609</v>
      </c>
      <c r="B6592" t="s">
        <v>9</v>
      </c>
      <c r="C6592" t="s">
        <v>10</v>
      </c>
      <c r="D6592" t="s">
        <v>11</v>
      </c>
      <c r="E6592">
        <v>94.1</v>
      </c>
      <c r="F6592">
        <v>13</v>
      </c>
      <c r="G6592">
        <v>1223.3</v>
      </c>
      <c r="H6592" t="s">
        <v>18</v>
      </c>
      <c r="I6592" t="str">
        <f t="shared" si="307"/>
        <v>Low Value</v>
      </c>
      <c r="J6592" t="str">
        <f t="shared" si="308"/>
        <v>Medium Risk</v>
      </c>
      <c r="K6592" s="3" t="str">
        <f t="shared" si="306"/>
        <v>1-2 Years</v>
      </c>
    </row>
    <row r="6593" spans="1:11" x14ac:dyDescent="0.3">
      <c r="A6593" t="s">
        <v>6610</v>
      </c>
      <c r="B6593" t="s">
        <v>9</v>
      </c>
      <c r="C6593" t="s">
        <v>10</v>
      </c>
      <c r="D6593" t="s">
        <v>24</v>
      </c>
      <c r="E6593">
        <v>29.7</v>
      </c>
      <c r="F6593">
        <v>3</v>
      </c>
      <c r="G6593">
        <v>89.1</v>
      </c>
      <c r="H6593" t="s">
        <v>18</v>
      </c>
      <c r="I6593" t="str">
        <f t="shared" si="307"/>
        <v>Low Value</v>
      </c>
      <c r="J6593" t="str">
        <f t="shared" si="308"/>
        <v>High Risk</v>
      </c>
      <c r="K6593" s="3" t="str">
        <f t="shared" si="306"/>
        <v>0-1 Year</v>
      </c>
    </row>
    <row r="6594" spans="1:11" x14ac:dyDescent="0.3">
      <c r="A6594" t="s">
        <v>6611</v>
      </c>
      <c r="B6594" t="s">
        <v>14</v>
      </c>
      <c r="C6594" t="s">
        <v>30</v>
      </c>
      <c r="D6594" t="s">
        <v>24</v>
      </c>
      <c r="E6594">
        <v>109.7</v>
      </c>
      <c r="F6594">
        <v>72</v>
      </c>
      <c r="G6594">
        <v>7898.4</v>
      </c>
      <c r="H6594" t="s">
        <v>12</v>
      </c>
      <c r="I6594" t="str">
        <f t="shared" si="307"/>
        <v>High Value</v>
      </c>
      <c r="J6594" t="str">
        <f t="shared" si="308"/>
        <v>Low Risk</v>
      </c>
      <c r="K6594" s="3" t="str">
        <f t="shared" si="306"/>
        <v>4+ Years</v>
      </c>
    </row>
    <row r="6595" spans="1:11" x14ac:dyDescent="0.3">
      <c r="A6595" t="s">
        <v>6612</v>
      </c>
      <c r="B6595" t="s">
        <v>9</v>
      </c>
      <c r="C6595" t="s">
        <v>10</v>
      </c>
      <c r="D6595" t="s">
        <v>24</v>
      </c>
      <c r="E6595">
        <v>96.35</v>
      </c>
      <c r="F6595">
        <v>40</v>
      </c>
      <c r="G6595">
        <v>3854</v>
      </c>
      <c r="H6595" t="s">
        <v>12</v>
      </c>
      <c r="I6595" t="str">
        <f t="shared" si="307"/>
        <v>Medium Value</v>
      </c>
      <c r="J6595" t="str">
        <f t="shared" si="308"/>
        <v>Low Risk</v>
      </c>
      <c r="K6595" s="3" t="str">
        <f t="shared" ref="K6595:K6658" si="309">IF(F6595&lt;=12,"0-1 Year",
IF(F6595&lt;=24,"1-2 Years",
IF(F6595&lt;=48,"2-4 Years","4+ Years")))</f>
        <v>2-4 Years</v>
      </c>
    </row>
    <row r="6596" spans="1:11" x14ac:dyDescent="0.3">
      <c r="A6596" t="s">
        <v>6613</v>
      </c>
      <c r="B6596" t="s">
        <v>14</v>
      </c>
      <c r="C6596" t="s">
        <v>10</v>
      </c>
      <c r="D6596" t="s">
        <v>24</v>
      </c>
      <c r="E6596">
        <v>66.599999999999994</v>
      </c>
      <c r="F6596">
        <v>14</v>
      </c>
      <c r="G6596">
        <v>932.39999999999895</v>
      </c>
      <c r="H6596" t="s">
        <v>12</v>
      </c>
      <c r="I6596" t="str">
        <f t="shared" ref="I6596:I6659" si="310">IF(G6596&gt;5000,"High Value",
IF(G6596&gt;2000,"Medium Value","Low Value"))</f>
        <v>Low Value</v>
      </c>
      <c r="J6596" t="str">
        <f t="shared" ref="J6596:J6659" si="311">IF(F6596&lt;12,"High Risk",
IF(F6596&lt;24,"Medium Risk","Low Risk"))</f>
        <v>Medium Risk</v>
      </c>
      <c r="K6596" s="3" t="str">
        <f t="shared" si="309"/>
        <v>1-2 Years</v>
      </c>
    </row>
    <row r="6597" spans="1:11" x14ac:dyDescent="0.3">
      <c r="A6597" t="s">
        <v>6614</v>
      </c>
      <c r="B6597" t="s">
        <v>14</v>
      </c>
      <c r="C6597" t="s">
        <v>10</v>
      </c>
      <c r="D6597" t="s">
        <v>11</v>
      </c>
      <c r="E6597">
        <v>44.5</v>
      </c>
      <c r="F6597">
        <v>2</v>
      </c>
      <c r="G6597">
        <v>89</v>
      </c>
      <c r="H6597" t="s">
        <v>12</v>
      </c>
      <c r="I6597" t="str">
        <f t="shared" si="310"/>
        <v>Low Value</v>
      </c>
      <c r="J6597" t="str">
        <f t="shared" si="311"/>
        <v>High Risk</v>
      </c>
      <c r="K6597" s="3" t="str">
        <f t="shared" si="309"/>
        <v>0-1 Year</v>
      </c>
    </row>
    <row r="6598" spans="1:11" x14ac:dyDescent="0.3">
      <c r="A6598" t="s">
        <v>6615</v>
      </c>
      <c r="B6598" t="s">
        <v>14</v>
      </c>
      <c r="C6598" t="s">
        <v>15</v>
      </c>
      <c r="D6598" t="s">
        <v>24</v>
      </c>
      <c r="E6598">
        <v>110.9</v>
      </c>
      <c r="F6598">
        <v>66</v>
      </c>
      <c r="G6598">
        <v>7319.4</v>
      </c>
      <c r="H6598" t="s">
        <v>18</v>
      </c>
      <c r="I6598" t="str">
        <f t="shared" si="310"/>
        <v>High Value</v>
      </c>
      <c r="J6598" t="str">
        <f t="shared" si="311"/>
        <v>Low Risk</v>
      </c>
      <c r="K6598" s="3" t="str">
        <f t="shared" si="309"/>
        <v>4+ Years</v>
      </c>
    </row>
    <row r="6599" spans="1:11" x14ac:dyDescent="0.3">
      <c r="A6599" t="s">
        <v>6616</v>
      </c>
      <c r="B6599" t="s">
        <v>9</v>
      </c>
      <c r="C6599" t="s">
        <v>10</v>
      </c>
      <c r="D6599" t="s">
        <v>11</v>
      </c>
      <c r="E6599">
        <v>105</v>
      </c>
      <c r="F6599">
        <v>38</v>
      </c>
      <c r="G6599">
        <v>3990</v>
      </c>
      <c r="H6599" t="s">
        <v>18</v>
      </c>
      <c r="I6599" t="str">
        <f t="shared" si="310"/>
        <v>Medium Value</v>
      </c>
      <c r="J6599" t="str">
        <f t="shared" si="311"/>
        <v>Low Risk</v>
      </c>
      <c r="K6599" s="3" t="str">
        <f t="shared" si="309"/>
        <v>2-4 Years</v>
      </c>
    </row>
    <row r="6600" spans="1:11" x14ac:dyDescent="0.3">
      <c r="A6600" t="s">
        <v>6617</v>
      </c>
      <c r="B6600" t="s">
        <v>14</v>
      </c>
      <c r="C6600" t="s">
        <v>10</v>
      </c>
      <c r="D6600" t="s">
        <v>11</v>
      </c>
      <c r="E6600">
        <v>25.3</v>
      </c>
      <c r="F6600">
        <v>1</v>
      </c>
      <c r="G6600">
        <v>25.3</v>
      </c>
      <c r="H6600" t="s">
        <v>18</v>
      </c>
      <c r="I6600" t="str">
        <f t="shared" si="310"/>
        <v>Low Value</v>
      </c>
      <c r="J6600" t="str">
        <f t="shared" si="311"/>
        <v>High Risk</v>
      </c>
      <c r="K6600" s="3" t="str">
        <f t="shared" si="309"/>
        <v>0-1 Year</v>
      </c>
    </row>
    <row r="6601" spans="1:11" x14ac:dyDescent="0.3">
      <c r="A6601" t="s">
        <v>6618</v>
      </c>
      <c r="B6601" t="s">
        <v>14</v>
      </c>
      <c r="C6601" t="s">
        <v>15</v>
      </c>
      <c r="D6601" t="s">
        <v>24</v>
      </c>
      <c r="E6601">
        <v>55.15</v>
      </c>
      <c r="F6601">
        <v>22</v>
      </c>
      <c r="G6601">
        <v>1213.3</v>
      </c>
      <c r="H6601" t="s">
        <v>18</v>
      </c>
      <c r="I6601" t="str">
        <f t="shared" si="310"/>
        <v>Low Value</v>
      </c>
      <c r="J6601" t="str">
        <f t="shared" si="311"/>
        <v>Medium Risk</v>
      </c>
      <c r="K6601" s="3" t="str">
        <f t="shared" si="309"/>
        <v>1-2 Years</v>
      </c>
    </row>
    <row r="6602" spans="1:11" x14ac:dyDescent="0.3">
      <c r="A6602" t="s">
        <v>6619</v>
      </c>
      <c r="B6602" t="s">
        <v>14</v>
      </c>
      <c r="C6602" t="s">
        <v>10</v>
      </c>
      <c r="D6602" t="s">
        <v>16</v>
      </c>
      <c r="E6602">
        <v>20.100000000000001</v>
      </c>
      <c r="F6602">
        <v>1</v>
      </c>
      <c r="G6602">
        <v>20.100000000000001</v>
      </c>
      <c r="H6602" t="s">
        <v>18</v>
      </c>
      <c r="I6602" t="str">
        <f t="shared" si="310"/>
        <v>Low Value</v>
      </c>
      <c r="J6602" t="str">
        <f t="shared" si="311"/>
        <v>High Risk</v>
      </c>
      <c r="K6602" s="3" t="str">
        <f t="shared" si="309"/>
        <v>0-1 Year</v>
      </c>
    </row>
    <row r="6603" spans="1:11" x14ac:dyDescent="0.3">
      <c r="A6603" t="s">
        <v>6620</v>
      </c>
      <c r="B6603" t="s">
        <v>14</v>
      </c>
      <c r="C6603" t="s">
        <v>10</v>
      </c>
      <c r="D6603" t="s">
        <v>16</v>
      </c>
      <c r="E6603">
        <v>80.099999999999994</v>
      </c>
      <c r="F6603">
        <v>5</v>
      </c>
      <c r="G6603">
        <v>400.5</v>
      </c>
      <c r="H6603" t="s">
        <v>12</v>
      </c>
      <c r="I6603" t="str">
        <f t="shared" si="310"/>
        <v>Low Value</v>
      </c>
      <c r="J6603" t="str">
        <f t="shared" si="311"/>
        <v>High Risk</v>
      </c>
      <c r="K6603" s="3" t="str">
        <f t="shared" si="309"/>
        <v>0-1 Year</v>
      </c>
    </row>
    <row r="6604" spans="1:11" x14ac:dyDescent="0.3">
      <c r="A6604" t="s">
        <v>6621</v>
      </c>
      <c r="B6604" t="s">
        <v>14</v>
      </c>
      <c r="C6604" t="s">
        <v>15</v>
      </c>
      <c r="D6604" t="s">
        <v>20</v>
      </c>
      <c r="E6604">
        <v>69.05</v>
      </c>
      <c r="F6604">
        <v>29</v>
      </c>
      <c r="G6604">
        <v>2002.44999999999</v>
      </c>
      <c r="H6604" t="s">
        <v>12</v>
      </c>
      <c r="I6604" t="str">
        <f t="shared" si="310"/>
        <v>Medium Value</v>
      </c>
      <c r="J6604" t="str">
        <f t="shared" si="311"/>
        <v>Low Risk</v>
      </c>
      <c r="K6604" s="3" t="str">
        <f t="shared" si="309"/>
        <v>2-4 Years</v>
      </c>
    </row>
    <row r="6605" spans="1:11" x14ac:dyDescent="0.3">
      <c r="A6605" t="s">
        <v>6622</v>
      </c>
      <c r="B6605" t="s">
        <v>14</v>
      </c>
      <c r="C6605" t="s">
        <v>10</v>
      </c>
      <c r="D6605" t="s">
        <v>16</v>
      </c>
      <c r="E6605">
        <v>69.900000000000006</v>
      </c>
      <c r="F6605">
        <v>1</v>
      </c>
      <c r="G6605">
        <v>69.900000000000006</v>
      </c>
      <c r="H6605" t="s">
        <v>18</v>
      </c>
      <c r="I6605" t="str">
        <f t="shared" si="310"/>
        <v>Low Value</v>
      </c>
      <c r="J6605" t="str">
        <f t="shared" si="311"/>
        <v>High Risk</v>
      </c>
      <c r="K6605" s="3" t="str">
        <f t="shared" si="309"/>
        <v>0-1 Year</v>
      </c>
    </row>
    <row r="6606" spans="1:11" x14ac:dyDescent="0.3">
      <c r="A6606" t="s">
        <v>6623</v>
      </c>
      <c r="B6606" t="s">
        <v>9</v>
      </c>
      <c r="C6606" t="s">
        <v>10</v>
      </c>
      <c r="D6606" t="s">
        <v>16</v>
      </c>
      <c r="E6606">
        <v>20.399999999999999</v>
      </c>
      <c r="F6606">
        <v>3</v>
      </c>
      <c r="G6606">
        <v>61.199999999999903</v>
      </c>
      <c r="H6606" t="s">
        <v>12</v>
      </c>
      <c r="I6606" t="str">
        <f t="shared" si="310"/>
        <v>Low Value</v>
      </c>
      <c r="J6606" t="str">
        <f t="shared" si="311"/>
        <v>High Risk</v>
      </c>
      <c r="K6606" s="3" t="str">
        <f t="shared" si="309"/>
        <v>0-1 Year</v>
      </c>
    </row>
    <row r="6607" spans="1:11" x14ac:dyDescent="0.3">
      <c r="A6607" t="s">
        <v>6624</v>
      </c>
      <c r="B6607" t="s">
        <v>14</v>
      </c>
      <c r="C6607" t="s">
        <v>30</v>
      </c>
      <c r="D6607" t="s">
        <v>24</v>
      </c>
      <c r="E6607">
        <v>19.7</v>
      </c>
      <c r="F6607">
        <v>71</v>
      </c>
      <c r="G6607">
        <v>1398.7</v>
      </c>
      <c r="H6607" t="s">
        <v>12</v>
      </c>
      <c r="I6607" t="str">
        <f t="shared" si="310"/>
        <v>Low Value</v>
      </c>
      <c r="J6607" t="str">
        <f t="shared" si="311"/>
        <v>Low Risk</v>
      </c>
      <c r="K6607" s="3" t="str">
        <f t="shared" si="309"/>
        <v>4+ Years</v>
      </c>
    </row>
    <row r="6608" spans="1:11" x14ac:dyDescent="0.3">
      <c r="A6608" t="s">
        <v>6625</v>
      </c>
      <c r="B6608" t="s">
        <v>14</v>
      </c>
      <c r="C6608" t="s">
        <v>10</v>
      </c>
      <c r="D6608" t="s">
        <v>11</v>
      </c>
      <c r="E6608">
        <v>50.1</v>
      </c>
      <c r="F6608">
        <v>9</v>
      </c>
      <c r="G6608">
        <v>450.9</v>
      </c>
      <c r="H6608" t="s">
        <v>12</v>
      </c>
      <c r="I6608" t="str">
        <f t="shared" si="310"/>
        <v>Low Value</v>
      </c>
      <c r="J6608" t="str">
        <f t="shared" si="311"/>
        <v>High Risk</v>
      </c>
      <c r="K6608" s="3" t="str">
        <f t="shared" si="309"/>
        <v>0-1 Year</v>
      </c>
    </row>
    <row r="6609" spans="1:11" x14ac:dyDescent="0.3">
      <c r="A6609" t="s">
        <v>6626</v>
      </c>
      <c r="B6609" t="s">
        <v>14</v>
      </c>
      <c r="C6609" t="s">
        <v>10</v>
      </c>
      <c r="D6609" t="s">
        <v>11</v>
      </c>
      <c r="E6609">
        <v>101.4</v>
      </c>
      <c r="F6609">
        <v>43</v>
      </c>
      <c r="G6609">
        <v>4360.2</v>
      </c>
      <c r="H6609" t="s">
        <v>18</v>
      </c>
      <c r="I6609" t="str">
        <f t="shared" si="310"/>
        <v>Medium Value</v>
      </c>
      <c r="J6609" t="str">
        <f t="shared" si="311"/>
        <v>Low Risk</v>
      </c>
      <c r="K6609" s="3" t="str">
        <f t="shared" si="309"/>
        <v>2-4 Years</v>
      </c>
    </row>
    <row r="6610" spans="1:11" x14ac:dyDescent="0.3">
      <c r="A6610" t="s">
        <v>6627</v>
      </c>
      <c r="B6610" t="s">
        <v>9</v>
      </c>
      <c r="C6610" t="s">
        <v>15</v>
      </c>
      <c r="D6610" t="s">
        <v>24</v>
      </c>
      <c r="E6610">
        <v>83.45</v>
      </c>
      <c r="F6610">
        <v>48</v>
      </c>
      <c r="G6610">
        <v>4005.6</v>
      </c>
      <c r="H6610" t="s">
        <v>12</v>
      </c>
      <c r="I6610" t="str">
        <f t="shared" si="310"/>
        <v>Medium Value</v>
      </c>
      <c r="J6610" t="str">
        <f t="shared" si="311"/>
        <v>Low Risk</v>
      </c>
      <c r="K6610" s="3" t="str">
        <f t="shared" si="309"/>
        <v>2-4 Years</v>
      </c>
    </row>
    <row r="6611" spans="1:11" x14ac:dyDescent="0.3">
      <c r="A6611" t="s">
        <v>6628</v>
      </c>
      <c r="B6611" t="s">
        <v>14</v>
      </c>
      <c r="C6611" t="s">
        <v>10</v>
      </c>
      <c r="D6611" t="s">
        <v>24</v>
      </c>
      <c r="E6611">
        <v>86.65</v>
      </c>
      <c r="F6611">
        <v>26</v>
      </c>
      <c r="G6611">
        <v>2252.9</v>
      </c>
      <c r="H6611" t="s">
        <v>12</v>
      </c>
      <c r="I6611" t="str">
        <f t="shared" si="310"/>
        <v>Medium Value</v>
      </c>
      <c r="J6611" t="str">
        <f t="shared" si="311"/>
        <v>Low Risk</v>
      </c>
      <c r="K6611" s="3" t="str">
        <f t="shared" si="309"/>
        <v>2-4 Years</v>
      </c>
    </row>
    <row r="6612" spans="1:11" x14ac:dyDescent="0.3">
      <c r="A6612" t="s">
        <v>6629</v>
      </c>
      <c r="B6612" t="s">
        <v>9</v>
      </c>
      <c r="C6612" t="s">
        <v>10</v>
      </c>
      <c r="D6612" t="s">
        <v>20</v>
      </c>
      <c r="E6612">
        <v>20.149999999999999</v>
      </c>
      <c r="F6612">
        <v>9</v>
      </c>
      <c r="G6612">
        <v>181.35</v>
      </c>
      <c r="H6612" t="s">
        <v>12</v>
      </c>
      <c r="I6612" t="str">
        <f t="shared" si="310"/>
        <v>Low Value</v>
      </c>
      <c r="J6612" t="str">
        <f t="shared" si="311"/>
        <v>High Risk</v>
      </c>
      <c r="K6612" s="3" t="str">
        <f t="shared" si="309"/>
        <v>0-1 Year</v>
      </c>
    </row>
    <row r="6613" spans="1:11" x14ac:dyDescent="0.3">
      <c r="A6613" t="s">
        <v>6630</v>
      </c>
      <c r="B6613" t="s">
        <v>14</v>
      </c>
      <c r="C6613" t="s">
        <v>10</v>
      </c>
      <c r="D6613" t="s">
        <v>11</v>
      </c>
      <c r="E6613">
        <v>80.8</v>
      </c>
      <c r="F6613">
        <v>1</v>
      </c>
      <c r="G6613">
        <v>80.8</v>
      </c>
      <c r="H6613" t="s">
        <v>18</v>
      </c>
      <c r="I6613" t="str">
        <f t="shared" si="310"/>
        <v>Low Value</v>
      </c>
      <c r="J6613" t="str">
        <f t="shared" si="311"/>
        <v>High Risk</v>
      </c>
      <c r="K6613" s="3" t="str">
        <f t="shared" si="309"/>
        <v>0-1 Year</v>
      </c>
    </row>
    <row r="6614" spans="1:11" x14ac:dyDescent="0.3">
      <c r="A6614" t="s">
        <v>6631</v>
      </c>
      <c r="B6614" t="s">
        <v>9</v>
      </c>
      <c r="C6614" t="s">
        <v>30</v>
      </c>
      <c r="D6614" t="s">
        <v>24</v>
      </c>
      <c r="E6614">
        <v>19.399999999999999</v>
      </c>
      <c r="F6614">
        <v>46</v>
      </c>
      <c r="G6614">
        <v>892.4</v>
      </c>
      <c r="H6614" t="s">
        <v>12</v>
      </c>
      <c r="I6614" t="str">
        <f t="shared" si="310"/>
        <v>Low Value</v>
      </c>
      <c r="J6614" t="str">
        <f t="shared" si="311"/>
        <v>Low Risk</v>
      </c>
      <c r="K6614" s="3" t="str">
        <f t="shared" si="309"/>
        <v>2-4 Years</v>
      </c>
    </row>
    <row r="6615" spans="1:11" x14ac:dyDescent="0.3">
      <c r="A6615" t="s">
        <v>6632</v>
      </c>
      <c r="B6615" t="s">
        <v>14</v>
      </c>
      <c r="C6615" t="s">
        <v>10</v>
      </c>
      <c r="D6615" t="s">
        <v>20</v>
      </c>
      <c r="E6615">
        <v>62.05</v>
      </c>
      <c r="F6615">
        <v>2</v>
      </c>
      <c r="G6615">
        <v>124.1</v>
      </c>
      <c r="H6615" t="s">
        <v>18</v>
      </c>
      <c r="I6615" t="str">
        <f t="shared" si="310"/>
        <v>Low Value</v>
      </c>
      <c r="J6615" t="str">
        <f t="shared" si="311"/>
        <v>High Risk</v>
      </c>
      <c r="K6615" s="3" t="str">
        <f t="shared" si="309"/>
        <v>0-1 Year</v>
      </c>
    </row>
    <row r="6616" spans="1:11" x14ac:dyDescent="0.3">
      <c r="A6616" t="s">
        <v>6633</v>
      </c>
      <c r="B6616" t="s">
        <v>14</v>
      </c>
      <c r="C6616" t="s">
        <v>10</v>
      </c>
      <c r="D6616" t="s">
        <v>11</v>
      </c>
      <c r="E6616">
        <v>76.45</v>
      </c>
      <c r="F6616">
        <v>1</v>
      </c>
      <c r="G6616">
        <v>76.45</v>
      </c>
      <c r="H6616" t="s">
        <v>18</v>
      </c>
      <c r="I6616" t="str">
        <f t="shared" si="310"/>
        <v>Low Value</v>
      </c>
      <c r="J6616" t="str">
        <f t="shared" si="311"/>
        <v>High Risk</v>
      </c>
      <c r="K6616" s="3" t="str">
        <f t="shared" si="309"/>
        <v>0-1 Year</v>
      </c>
    </row>
    <row r="6617" spans="1:11" x14ac:dyDescent="0.3">
      <c r="A6617" t="s">
        <v>6634</v>
      </c>
      <c r="B6617" t="s">
        <v>14</v>
      </c>
      <c r="C6617" t="s">
        <v>30</v>
      </c>
      <c r="D6617" t="s">
        <v>20</v>
      </c>
      <c r="E6617">
        <v>60.05</v>
      </c>
      <c r="F6617">
        <v>64</v>
      </c>
      <c r="G6617">
        <v>3843.2</v>
      </c>
      <c r="H6617" t="s">
        <v>12</v>
      </c>
      <c r="I6617" t="str">
        <f t="shared" si="310"/>
        <v>Medium Value</v>
      </c>
      <c r="J6617" t="str">
        <f t="shared" si="311"/>
        <v>Low Risk</v>
      </c>
      <c r="K6617" s="3" t="str">
        <f t="shared" si="309"/>
        <v>4+ Years</v>
      </c>
    </row>
    <row r="6618" spans="1:11" x14ac:dyDescent="0.3">
      <c r="A6618" t="s">
        <v>6635</v>
      </c>
      <c r="B6618" t="s">
        <v>9</v>
      </c>
      <c r="C6618" t="s">
        <v>10</v>
      </c>
      <c r="D6618" t="s">
        <v>11</v>
      </c>
      <c r="E6618">
        <v>91.3</v>
      </c>
      <c r="F6618">
        <v>12</v>
      </c>
      <c r="G6618">
        <v>1095.5999999999999</v>
      </c>
      <c r="H6618" t="s">
        <v>18</v>
      </c>
      <c r="I6618" t="str">
        <f t="shared" si="310"/>
        <v>Low Value</v>
      </c>
      <c r="J6618" t="str">
        <f t="shared" si="311"/>
        <v>Medium Risk</v>
      </c>
      <c r="K6618" s="3" t="str">
        <f t="shared" si="309"/>
        <v>0-1 Year</v>
      </c>
    </row>
    <row r="6619" spans="1:11" x14ac:dyDescent="0.3">
      <c r="A6619" t="s">
        <v>6636</v>
      </c>
      <c r="B6619" t="s">
        <v>14</v>
      </c>
      <c r="C6619" t="s">
        <v>10</v>
      </c>
      <c r="D6619" t="s">
        <v>11</v>
      </c>
      <c r="E6619">
        <v>95.75</v>
      </c>
      <c r="F6619">
        <v>6</v>
      </c>
      <c r="G6619">
        <v>574.5</v>
      </c>
      <c r="H6619" t="s">
        <v>18</v>
      </c>
      <c r="I6619" t="str">
        <f t="shared" si="310"/>
        <v>Low Value</v>
      </c>
      <c r="J6619" t="str">
        <f t="shared" si="311"/>
        <v>High Risk</v>
      </c>
      <c r="K6619" s="3" t="str">
        <f t="shared" si="309"/>
        <v>0-1 Year</v>
      </c>
    </row>
    <row r="6620" spans="1:11" x14ac:dyDescent="0.3">
      <c r="A6620" t="s">
        <v>6637</v>
      </c>
      <c r="B6620" t="s">
        <v>9</v>
      </c>
      <c r="C6620" t="s">
        <v>15</v>
      </c>
      <c r="D6620" t="s">
        <v>16</v>
      </c>
      <c r="E6620">
        <v>20.350000000000001</v>
      </c>
      <c r="F6620">
        <v>59</v>
      </c>
      <c r="G6620">
        <v>1200.6500000000001</v>
      </c>
      <c r="H6620" t="s">
        <v>12</v>
      </c>
      <c r="I6620" t="str">
        <f t="shared" si="310"/>
        <v>Low Value</v>
      </c>
      <c r="J6620" t="str">
        <f t="shared" si="311"/>
        <v>Low Risk</v>
      </c>
      <c r="K6620" s="3" t="str">
        <f t="shared" si="309"/>
        <v>4+ Years</v>
      </c>
    </row>
    <row r="6621" spans="1:11" x14ac:dyDescent="0.3">
      <c r="A6621" t="s">
        <v>6638</v>
      </c>
      <c r="B6621" t="s">
        <v>9</v>
      </c>
      <c r="C6621" t="s">
        <v>15</v>
      </c>
      <c r="D6621" t="s">
        <v>16</v>
      </c>
      <c r="E6621">
        <v>94.05</v>
      </c>
      <c r="F6621">
        <v>7</v>
      </c>
      <c r="G6621">
        <v>658.35</v>
      </c>
      <c r="H6621" t="s">
        <v>12</v>
      </c>
      <c r="I6621" t="str">
        <f t="shared" si="310"/>
        <v>Low Value</v>
      </c>
      <c r="J6621" t="str">
        <f t="shared" si="311"/>
        <v>High Risk</v>
      </c>
      <c r="K6621" s="3" t="str">
        <f t="shared" si="309"/>
        <v>0-1 Year</v>
      </c>
    </row>
    <row r="6622" spans="1:11" x14ac:dyDescent="0.3">
      <c r="A6622" t="s">
        <v>6639</v>
      </c>
      <c r="B6622" t="s">
        <v>9</v>
      </c>
      <c r="C6622" t="s">
        <v>30</v>
      </c>
      <c r="D6622" t="s">
        <v>24</v>
      </c>
      <c r="E6622">
        <v>84.1</v>
      </c>
      <c r="F6622">
        <v>72</v>
      </c>
      <c r="G6622">
        <v>6055.2</v>
      </c>
      <c r="H6622" t="s">
        <v>12</v>
      </c>
      <c r="I6622" t="str">
        <f t="shared" si="310"/>
        <v>High Value</v>
      </c>
      <c r="J6622" t="str">
        <f t="shared" si="311"/>
        <v>Low Risk</v>
      </c>
      <c r="K6622" s="3" t="str">
        <f t="shared" si="309"/>
        <v>4+ Years</v>
      </c>
    </row>
    <row r="6623" spans="1:11" x14ac:dyDescent="0.3">
      <c r="A6623" t="s">
        <v>6640</v>
      </c>
      <c r="B6623" t="s">
        <v>14</v>
      </c>
      <c r="C6623" t="s">
        <v>10</v>
      </c>
      <c r="D6623" t="s">
        <v>11</v>
      </c>
      <c r="E6623">
        <v>78.75</v>
      </c>
      <c r="F6623">
        <v>16</v>
      </c>
      <c r="G6623">
        <v>1260</v>
      </c>
      <c r="H6623" t="s">
        <v>12</v>
      </c>
      <c r="I6623" t="str">
        <f t="shared" si="310"/>
        <v>Low Value</v>
      </c>
      <c r="J6623" t="str">
        <f t="shared" si="311"/>
        <v>Medium Risk</v>
      </c>
      <c r="K6623" s="3" t="str">
        <f t="shared" si="309"/>
        <v>1-2 Years</v>
      </c>
    </row>
    <row r="6624" spans="1:11" x14ac:dyDescent="0.3">
      <c r="A6624" t="s">
        <v>6641</v>
      </c>
      <c r="B6624" t="s">
        <v>14</v>
      </c>
      <c r="C6624" t="s">
        <v>10</v>
      </c>
      <c r="D6624" t="s">
        <v>24</v>
      </c>
      <c r="E6624">
        <v>55.55</v>
      </c>
      <c r="F6624">
        <v>25</v>
      </c>
      <c r="G6624">
        <v>1388.75</v>
      </c>
      <c r="H6624" t="s">
        <v>12</v>
      </c>
      <c r="I6624" t="str">
        <f t="shared" si="310"/>
        <v>Low Value</v>
      </c>
      <c r="J6624" t="str">
        <f t="shared" si="311"/>
        <v>Low Risk</v>
      </c>
      <c r="K6624" s="3" t="str">
        <f t="shared" si="309"/>
        <v>2-4 Years</v>
      </c>
    </row>
    <row r="6625" spans="1:11" x14ac:dyDescent="0.3">
      <c r="A6625" t="s">
        <v>6642</v>
      </c>
      <c r="B6625" t="s">
        <v>9</v>
      </c>
      <c r="C6625" t="s">
        <v>10</v>
      </c>
      <c r="D6625" t="s">
        <v>11</v>
      </c>
      <c r="E6625">
        <v>62.65</v>
      </c>
      <c r="F6625">
        <v>34</v>
      </c>
      <c r="G6625">
        <v>2130.1</v>
      </c>
      <c r="H6625" t="s">
        <v>18</v>
      </c>
      <c r="I6625" t="str">
        <f t="shared" si="310"/>
        <v>Medium Value</v>
      </c>
      <c r="J6625" t="str">
        <f t="shared" si="311"/>
        <v>Low Risk</v>
      </c>
      <c r="K6625" s="3" t="str">
        <f t="shared" si="309"/>
        <v>2-4 Years</v>
      </c>
    </row>
    <row r="6626" spans="1:11" x14ac:dyDescent="0.3">
      <c r="A6626" t="s">
        <v>6643</v>
      </c>
      <c r="B6626" t="s">
        <v>9</v>
      </c>
      <c r="C6626" t="s">
        <v>10</v>
      </c>
      <c r="D6626" t="s">
        <v>11</v>
      </c>
      <c r="E6626">
        <v>74.5</v>
      </c>
      <c r="F6626">
        <v>1</v>
      </c>
      <c r="G6626">
        <v>74.5</v>
      </c>
      <c r="H6626" t="s">
        <v>18</v>
      </c>
      <c r="I6626" t="str">
        <f t="shared" si="310"/>
        <v>Low Value</v>
      </c>
      <c r="J6626" t="str">
        <f t="shared" si="311"/>
        <v>High Risk</v>
      </c>
      <c r="K6626" s="3" t="str">
        <f t="shared" si="309"/>
        <v>0-1 Year</v>
      </c>
    </row>
    <row r="6627" spans="1:11" x14ac:dyDescent="0.3">
      <c r="A6627" t="s">
        <v>6644</v>
      </c>
      <c r="B6627" t="s">
        <v>9</v>
      </c>
      <c r="C6627" t="s">
        <v>10</v>
      </c>
      <c r="D6627" t="s">
        <v>24</v>
      </c>
      <c r="E6627">
        <v>102.1</v>
      </c>
      <c r="F6627">
        <v>10</v>
      </c>
      <c r="G6627">
        <v>1021</v>
      </c>
      <c r="H6627" t="s">
        <v>18</v>
      </c>
      <c r="I6627" t="str">
        <f t="shared" si="310"/>
        <v>Low Value</v>
      </c>
      <c r="J6627" t="str">
        <f t="shared" si="311"/>
        <v>High Risk</v>
      </c>
      <c r="K6627" s="3" t="str">
        <f t="shared" si="309"/>
        <v>0-1 Year</v>
      </c>
    </row>
    <row r="6628" spans="1:11" x14ac:dyDescent="0.3">
      <c r="A6628" t="s">
        <v>6645</v>
      </c>
      <c r="B6628" t="s">
        <v>14</v>
      </c>
      <c r="C6628" t="s">
        <v>15</v>
      </c>
      <c r="D6628" t="s">
        <v>16</v>
      </c>
      <c r="E6628">
        <v>20.100000000000001</v>
      </c>
      <c r="F6628">
        <v>24</v>
      </c>
      <c r="G6628">
        <v>482.4</v>
      </c>
      <c r="H6628" t="s">
        <v>12</v>
      </c>
      <c r="I6628" t="str">
        <f t="shared" si="310"/>
        <v>Low Value</v>
      </c>
      <c r="J6628" t="str">
        <f t="shared" si="311"/>
        <v>Low Risk</v>
      </c>
      <c r="K6628" s="3" t="str">
        <f t="shared" si="309"/>
        <v>1-2 Years</v>
      </c>
    </row>
    <row r="6629" spans="1:11" x14ac:dyDescent="0.3">
      <c r="A6629" t="s">
        <v>6646</v>
      </c>
      <c r="B6629" t="s">
        <v>9</v>
      </c>
      <c r="C6629" t="s">
        <v>15</v>
      </c>
      <c r="D6629" t="s">
        <v>11</v>
      </c>
      <c r="E6629">
        <v>70.3</v>
      </c>
      <c r="F6629">
        <v>10</v>
      </c>
      <c r="G6629">
        <v>703</v>
      </c>
      <c r="H6629" t="s">
        <v>12</v>
      </c>
      <c r="I6629" t="str">
        <f t="shared" si="310"/>
        <v>Low Value</v>
      </c>
      <c r="J6629" t="str">
        <f t="shared" si="311"/>
        <v>High Risk</v>
      </c>
      <c r="K6629" s="3" t="str">
        <f t="shared" si="309"/>
        <v>0-1 Year</v>
      </c>
    </row>
    <row r="6630" spans="1:11" x14ac:dyDescent="0.3">
      <c r="A6630" t="s">
        <v>6647</v>
      </c>
      <c r="B6630" t="s">
        <v>14</v>
      </c>
      <c r="C6630" t="s">
        <v>15</v>
      </c>
      <c r="D6630" t="s">
        <v>24</v>
      </c>
      <c r="E6630">
        <v>53.65</v>
      </c>
      <c r="F6630">
        <v>69</v>
      </c>
      <c r="G6630">
        <v>3701.85</v>
      </c>
      <c r="H6630" t="s">
        <v>12</v>
      </c>
      <c r="I6630" t="str">
        <f t="shared" si="310"/>
        <v>Medium Value</v>
      </c>
      <c r="J6630" t="str">
        <f t="shared" si="311"/>
        <v>Low Risk</v>
      </c>
      <c r="K6630" s="3" t="str">
        <f t="shared" si="309"/>
        <v>4+ Years</v>
      </c>
    </row>
    <row r="6631" spans="1:11" x14ac:dyDescent="0.3">
      <c r="A6631" t="s">
        <v>6648</v>
      </c>
      <c r="B6631" t="s">
        <v>14</v>
      </c>
      <c r="C6631" t="s">
        <v>30</v>
      </c>
      <c r="D6631" t="s">
        <v>16</v>
      </c>
      <c r="E6631">
        <v>20.75</v>
      </c>
      <c r="F6631">
        <v>57</v>
      </c>
      <c r="G6631">
        <v>1182.75</v>
      </c>
      <c r="H6631" t="s">
        <v>12</v>
      </c>
      <c r="I6631" t="str">
        <f t="shared" si="310"/>
        <v>Low Value</v>
      </c>
      <c r="J6631" t="str">
        <f t="shared" si="311"/>
        <v>Low Risk</v>
      </c>
      <c r="K6631" s="3" t="str">
        <f t="shared" si="309"/>
        <v>4+ Years</v>
      </c>
    </row>
    <row r="6632" spans="1:11" x14ac:dyDescent="0.3">
      <c r="A6632" t="s">
        <v>6649</v>
      </c>
      <c r="B6632" t="s">
        <v>14</v>
      </c>
      <c r="C6632" t="s">
        <v>15</v>
      </c>
      <c r="D6632" t="s">
        <v>20</v>
      </c>
      <c r="E6632">
        <v>103.4</v>
      </c>
      <c r="F6632">
        <v>50</v>
      </c>
      <c r="G6632">
        <v>5170</v>
      </c>
      <c r="H6632" t="s">
        <v>12</v>
      </c>
      <c r="I6632" t="str">
        <f t="shared" si="310"/>
        <v>High Value</v>
      </c>
      <c r="J6632" t="str">
        <f t="shared" si="311"/>
        <v>Low Risk</v>
      </c>
      <c r="K6632" s="3" t="str">
        <f t="shared" si="309"/>
        <v>4+ Years</v>
      </c>
    </row>
    <row r="6633" spans="1:11" x14ac:dyDescent="0.3">
      <c r="A6633" t="s">
        <v>6650</v>
      </c>
      <c r="B6633" t="s">
        <v>14</v>
      </c>
      <c r="C6633" t="s">
        <v>15</v>
      </c>
      <c r="D6633" t="s">
        <v>16</v>
      </c>
      <c r="E6633">
        <v>50.8</v>
      </c>
      <c r="F6633">
        <v>28</v>
      </c>
      <c r="G6633">
        <v>1422.3999999999901</v>
      </c>
      <c r="H6633" t="s">
        <v>12</v>
      </c>
      <c r="I6633" t="str">
        <f t="shared" si="310"/>
        <v>Low Value</v>
      </c>
      <c r="J6633" t="str">
        <f t="shared" si="311"/>
        <v>Low Risk</v>
      </c>
      <c r="K6633" s="3" t="str">
        <f t="shared" si="309"/>
        <v>2-4 Years</v>
      </c>
    </row>
    <row r="6634" spans="1:11" x14ac:dyDescent="0.3">
      <c r="A6634" t="s">
        <v>6651</v>
      </c>
      <c r="B6634" t="s">
        <v>9</v>
      </c>
      <c r="C6634" t="s">
        <v>10</v>
      </c>
      <c r="D6634" t="s">
        <v>11</v>
      </c>
      <c r="E6634">
        <v>50.15</v>
      </c>
      <c r="F6634">
        <v>16</v>
      </c>
      <c r="G6634">
        <v>802.4</v>
      </c>
      <c r="H6634" t="s">
        <v>18</v>
      </c>
      <c r="I6634" t="str">
        <f t="shared" si="310"/>
        <v>Low Value</v>
      </c>
      <c r="J6634" t="str">
        <f t="shared" si="311"/>
        <v>Medium Risk</v>
      </c>
      <c r="K6634" s="3" t="str">
        <f t="shared" si="309"/>
        <v>1-2 Years</v>
      </c>
    </row>
    <row r="6635" spans="1:11" x14ac:dyDescent="0.3">
      <c r="A6635" t="s">
        <v>6652</v>
      </c>
      <c r="B6635" t="s">
        <v>14</v>
      </c>
      <c r="C6635" t="s">
        <v>10</v>
      </c>
      <c r="D6635" t="s">
        <v>16</v>
      </c>
      <c r="E6635">
        <v>79</v>
      </c>
      <c r="F6635">
        <v>25</v>
      </c>
      <c r="G6635">
        <v>1975</v>
      </c>
      <c r="H6635" t="s">
        <v>12</v>
      </c>
      <c r="I6635" t="str">
        <f t="shared" si="310"/>
        <v>Low Value</v>
      </c>
      <c r="J6635" t="str">
        <f t="shared" si="311"/>
        <v>Low Risk</v>
      </c>
      <c r="K6635" s="3" t="str">
        <f t="shared" si="309"/>
        <v>2-4 Years</v>
      </c>
    </row>
    <row r="6636" spans="1:11" x14ac:dyDescent="0.3">
      <c r="A6636" t="s">
        <v>6653</v>
      </c>
      <c r="B6636" t="s">
        <v>9</v>
      </c>
      <c r="C6636" t="s">
        <v>10</v>
      </c>
      <c r="D6636" t="s">
        <v>20</v>
      </c>
      <c r="E6636">
        <v>74.599999999999994</v>
      </c>
      <c r="F6636">
        <v>3</v>
      </c>
      <c r="G6636">
        <v>223.79999999999899</v>
      </c>
      <c r="H6636" t="s">
        <v>12</v>
      </c>
      <c r="I6636" t="str">
        <f t="shared" si="310"/>
        <v>Low Value</v>
      </c>
      <c r="J6636" t="str">
        <f t="shared" si="311"/>
        <v>High Risk</v>
      </c>
      <c r="K6636" s="3" t="str">
        <f t="shared" si="309"/>
        <v>0-1 Year</v>
      </c>
    </row>
    <row r="6637" spans="1:11" x14ac:dyDescent="0.3">
      <c r="A6637" t="s">
        <v>6654</v>
      </c>
      <c r="B6637" t="s">
        <v>14</v>
      </c>
      <c r="C6637" t="s">
        <v>15</v>
      </c>
      <c r="D6637" t="s">
        <v>20</v>
      </c>
      <c r="E6637">
        <v>96.5</v>
      </c>
      <c r="F6637">
        <v>61</v>
      </c>
      <c r="G6637">
        <v>5886.5</v>
      </c>
      <c r="H6637" t="s">
        <v>12</v>
      </c>
      <c r="I6637" t="str">
        <f t="shared" si="310"/>
        <v>High Value</v>
      </c>
      <c r="J6637" t="str">
        <f t="shared" si="311"/>
        <v>Low Risk</v>
      </c>
      <c r="K6637" s="3" t="str">
        <f t="shared" si="309"/>
        <v>4+ Years</v>
      </c>
    </row>
    <row r="6638" spans="1:11" x14ac:dyDescent="0.3">
      <c r="A6638" t="s">
        <v>6655</v>
      </c>
      <c r="B6638" t="s">
        <v>9</v>
      </c>
      <c r="C6638" t="s">
        <v>10</v>
      </c>
      <c r="D6638" t="s">
        <v>16</v>
      </c>
      <c r="E6638">
        <v>20.100000000000001</v>
      </c>
      <c r="F6638">
        <v>2</v>
      </c>
      <c r="G6638">
        <v>40.200000000000003</v>
      </c>
      <c r="H6638" t="s">
        <v>12</v>
      </c>
      <c r="I6638" t="str">
        <f t="shared" si="310"/>
        <v>Low Value</v>
      </c>
      <c r="J6638" t="str">
        <f t="shared" si="311"/>
        <v>High Risk</v>
      </c>
      <c r="K6638" s="3" t="str">
        <f t="shared" si="309"/>
        <v>0-1 Year</v>
      </c>
    </row>
    <row r="6639" spans="1:11" x14ac:dyDescent="0.3">
      <c r="A6639" t="s">
        <v>6656</v>
      </c>
      <c r="B6639" t="s">
        <v>14</v>
      </c>
      <c r="C6639" t="s">
        <v>15</v>
      </c>
      <c r="D6639" t="s">
        <v>16</v>
      </c>
      <c r="E6639">
        <v>19.399999999999999</v>
      </c>
      <c r="F6639">
        <v>51</v>
      </c>
      <c r="G6639">
        <v>989.4</v>
      </c>
      <c r="H6639" t="s">
        <v>12</v>
      </c>
      <c r="I6639" t="str">
        <f t="shared" si="310"/>
        <v>Low Value</v>
      </c>
      <c r="J6639" t="str">
        <f t="shared" si="311"/>
        <v>Low Risk</v>
      </c>
      <c r="K6639" s="3" t="str">
        <f t="shared" si="309"/>
        <v>4+ Years</v>
      </c>
    </row>
    <row r="6640" spans="1:11" x14ac:dyDescent="0.3">
      <c r="A6640" t="s">
        <v>6657</v>
      </c>
      <c r="B6640" t="s">
        <v>9</v>
      </c>
      <c r="C6640" t="s">
        <v>30</v>
      </c>
      <c r="D6640" t="s">
        <v>24</v>
      </c>
      <c r="E6640">
        <v>77.55</v>
      </c>
      <c r="F6640">
        <v>71</v>
      </c>
      <c r="G6640">
        <v>5506.05</v>
      </c>
      <c r="H6640" t="s">
        <v>12</v>
      </c>
      <c r="I6640" t="str">
        <f t="shared" si="310"/>
        <v>High Value</v>
      </c>
      <c r="J6640" t="str">
        <f t="shared" si="311"/>
        <v>Low Risk</v>
      </c>
      <c r="K6640" s="3" t="str">
        <f t="shared" si="309"/>
        <v>4+ Years</v>
      </c>
    </row>
    <row r="6641" spans="1:11" x14ac:dyDescent="0.3">
      <c r="A6641" t="s">
        <v>6658</v>
      </c>
      <c r="B6641" t="s">
        <v>9</v>
      </c>
      <c r="C6641" t="s">
        <v>10</v>
      </c>
      <c r="D6641" t="s">
        <v>16</v>
      </c>
      <c r="E6641">
        <v>20.05</v>
      </c>
      <c r="F6641">
        <v>20</v>
      </c>
      <c r="G6641">
        <v>401</v>
      </c>
      <c r="H6641" t="s">
        <v>12</v>
      </c>
      <c r="I6641" t="str">
        <f t="shared" si="310"/>
        <v>Low Value</v>
      </c>
      <c r="J6641" t="str">
        <f t="shared" si="311"/>
        <v>Medium Risk</v>
      </c>
      <c r="K6641" s="3" t="str">
        <f t="shared" si="309"/>
        <v>1-2 Years</v>
      </c>
    </row>
    <row r="6642" spans="1:11" x14ac:dyDescent="0.3">
      <c r="A6642" t="s">
        <v>6659</v>
      </c>
      <c r="B6642" t="s">
        <v>14</v>
      </c>
      <c r="C6642" t="s">
        <v>10</v>
      </c>
      <c r="D6642" t="s">
        <v>24</v>
      </c>
      <c r="E6642">
        <v>19.850000000000001</v>
      </c>
      <c r="F6642">
        <v>6</v>
      </c>
      <c r="G6642">
        <v>119.1</v>
      </c>
      <c r="H6642" t="s">
        <v>12</v>
      </c>
      <c r="I6642" t="str">
        <f t="shared" si="310"/>
        <v>Low Value</v>
      </c>
      <c r="J6642" t="str">
        <f t="shared" si="311"/>
        <v>High Risk</v>
      </c>
      <c r="K6642" s="3" t="str">
        <f t="shared" si="309"/>
        <v>0-1 Year</v>
      </c>
    </row>
    <row r="6643" spans="1:11" x14ac:dyDescent="0.3">
      <c r="A6643" t="s">
        <v>6660</v>
      </c>
      <c r="B6643" t="s">
        <v>9</v>
      </c>
      <c r="C6643" t="s">
        <v>10</v>
      </c>
      <c r="D6643" t="s">
        <v>16</v>
      </c>
      <c r="E6643">
        <v>20.2</v>
      </c>
      <c r="F6643">
        <v>6</v>
      </c>
      <c r="G6643">
        <v>121.19999999999899</v>
      </c>
      <c r="H6643" t="s">
        <v>12</v>
      </c>
      <c r="I6643" t="str">
        <f t="shared" si="310"/>
        <v>Low Value</v>
      </c>
      <c r="J6643" t="str">
        <f t="shared" si="311"/>
        <v>High Risk</v>
      </c>
      <c r="K6643" s="3" t="str">
        <f t="shared" si="309"/>
        <v>0-1 Year</v>
      </c>
    </row>
    <row r="6644" spans="1:11" x14ac:dyDescent="0.3">
      <c r="A6644" t="s">
        <v>6661</v>
      </c>
      <c r="B6644" t="s">
        <v>9</v>
      </c>
      <c r="C6644" t="s">
        <v>10</v>
      </c>
      <c r="D6644" t="s">
        <v>16</v>
      </c>
      <c r="E6644">
        <v>67.45</v>
      </c>
      <c r="F6644">
        <v>29</v>
      </c>
      <c r="G6644">
        <v>1956.05</v>
      </c>
      <c r="H6644" t="s">
        <v>12</v>
      </c>
      <c r="I6644" t="str">
        <f t="shared" si="310"/>
        <v>Low Value</v>
      </c>
      <c r="J6644" t="str">
        <f t="shared" si="311"/>
        <v>Low Risk</v>
      </c>
      <c r="K6644" s="3" t="str">
        <f t="shared" si="309"/>
        <v>2-4 Years</v>
      </c>
    </row>
    <row r="6645" spans="1:11" x14ac:dyDescent="0.3">
      <c r="A6645" t="s">
        <v>6662</v>
      </c>
      <c r="B6645" t="s">
        <v>14</v>
      </c>
      <c r="C6645" t="s">
        <v>30</v>
      </c>
      <c r="D6645" t="s">
        <v>24</v>
      </c>
      <c r="E6645">
        <v>18.55</v>
      </c>
      <c r="F6645">
        <v>36</v>
      </c>
      <c r="G6645">
        <v>667.8</v>
      </c>
      <c r="H6645" t="s">
        <v>12</v>
      </c>
      <c r="I6645" t="str">
        <f t="shared" si="310"/>
        <v>Low Value</v>
      </c>
      <c r="J6645" t="str">
        <f t="shared" si="311"/>
        <v>Low Risk</v>
      </c>
      <c r="K6645" s="3" t="str">
        <f t="shared" si="309"/>
        <v>2-4 Years</v>
      </c>
    </row>
    <row r="6646" spans="1:11" x14ac:dyDescent="0.3">
      <c r="A6646" t="s">
        <v>6663</v>
      </c>
      <c r="B6646" t="s">
        <v>9</v>
      </c>
      <c r="C6646" t="s">
        <v>10</v>
      </c>
      <c r="D6646" t="s">
        <v>16</v>
      </c>
      <c r="E6646">
        <v>29.75</v>
      </c>
      <c r="F6646">
        <v>28</v>
      </c>
      <c r="G6646">
        <v>833</v>
      </c>
      <c r="H6646" t="s">
        <v>12</v>
      </c>
      <c r="I6646" t="str">
        <f t="shared" si="310"/>
        <v>Low Value</v>
      </c>
      <c r="J6646" t="str">
        <f t="shared" si="311"/>
        <v>Low Risk</v>
      </c>
      <c r="K6646" s="3" t="str">
        <f t="shared" si="309"/>
        <v>2-4 Years</v>
      </c>
    </row>
    <row r="6647" spans="1:11" x14ac:dyDescent="0.3">
      <c r="A6647" t="s">
        <v>6664</v>
      </c>
      <c r="B6647" t="s">
        <v>9</v>
      </c>
      <c r="C6647" t="s">
        <v>10</v>
      </c>
      <c r="D6647" t="s">
        <v>11</v>
      </c>
      <c r="E6647">
        <v>86.5</v>
      </c>
      <c r="F6647">
        <v>7</v>
      </c>
      <c r="G6647">
        <v>605.5</v>
      </c>
      <c r="H6647" t="s">
        <v>18</v>
      </c>
      <c r="I6647" t="str">
        <f t="shared" si="310"/>
        <v>Low Value</v>
      </c>
      <c r="J6647" t="str">
        <f t="shared" si="311"/>
        <v>High Risk</v>
      </c>
      <c r="K6647" s="3" t="str">
        <f t="shared" si="309"/>
        <v>0-1 Year</v>
      </c>
    </row>
    <row r="6648" spans="1:11" x14ac:dyDescent="0.3">
      <c r="A6648" t="s">
        <v>6665</v>
      </c>
      <c r="B6648" t="s">
        <v>9</v>
      </c>
      <c r="C6648" t="s">
        <v>30</v>
      </c>
      <c r="D6648" t="s">
        <v>16</v>
      </c>
      <c r="E6648">
        <v>24.2</v>
      </c>
      <c r="F6648">
        <v>63</v>
      </c>
      <c r="G6648">
        <v>1524.6</v>
      </c>
      <c r="H6648" t="s">
        <v>12</v>
      </c>
      <c r="I6648" t="str">
        <f t="shared" si="310"/>
        <v>Low Value</v>
      </c>
      <c r="J6648" t="str">
        <f t="shared" si="311"/>
        <v>Low Risk</v>
      </c>
      <c r="K6648" s="3" t="str">
        <f t="shared" si="309"/>
        <v>4+ Years</v>
      </c>
    </row>
    <row r="6649" spans="1:11" x14ac:dyDescent="0.3">
      <c r="A6649" t="s">
        <v>6666</v>
      </c>
      <c r="B6649" t="s">
        <v>14</v>
      </c>
      <c r="C6649" t="s">
        <v>30</v>
      </c>
      <c r="D6649" t="s">
        <v>16</v>
      </c>
      <c r="E6649">
        <v>23.55</v>
      </c>
      <c r="F6649">
        <v>48</v>
      </c>
      <c r="G6649">
        <v>1130.4000000000001</v>
      </c>
      <c r="H6649" t="s">
        <v>12</v>
      </c>
      <c r="I6649" t="str">
        <f t="shared" si="310"/>
        <v>Low Value</v>
      </c>
      <c r="J6649" t="str">
        <f t="shared" si="311"/>
        <v>Low Risk</v>
      </c>
      <c r="K6649" s="3" t="str">
        <f t="shared" si="309"/>
        <v>2-4 Years</v>
      </c>
    </row>
    <row r="6650" spans="1:11" x14ac:dyDescent="0.3">
      <c r="A6650" t="s">
        <v>6667</v>
      </c>
      <c r="B6650" t="s">
        <v>9</v>
      </c>
      <c r="C6650" t="s">
        <v>15</v>
      </c>
      <c r="D6650" t="s">
        <v>20</v>
      </c>
      <c r="E6650">
        <v>20.45</v>
      </c>
      <c r="F6650">
        <v>49</v>
      </c>
      <c r="G6650">
        <v>1002.05</v>
      </c>
      <c r="H6650" t="s">
        <v>12</v>
      </c>
      <c r="I6650" t="str">
        <f t="shared" si="310"/>
        <v>Low Value</v>
      </c>
      <c r="J6650" t="str">
        <f t="shared" si="311"/>
        <v>Low Risk</v>
      </c>
      <c r="K6650" s="3" t="str">
        <f t="shared" si="309"/>
        <v>4+ Years</v>
      </c>
    </row>
    <row r="6651" spans="1:11" x14ac:dyDescent="0.3">
      <c r="A6651" t="s">
        <v>6668</v>
      </c>
      <c r="B6651" t="s">
        <v>14</v>
      </c>
      <c r="C6651" t="s">
        <v>10</v>
      </c>
      <c r="D6651" t="s">
        <v>11</v>
      </c>
      <c r="E6651">
        <v>81.45</v>
      </c>
      <c r="F6651">
        <v>27</v>
      </c>
      <c r="G6651">
        <v>2199.15</v>
      </c>
      <c r="H6651" t="s">
        <v>18</v>
      </c>
      <c r="I6651" t="str">
        <f t="shared" si="310"/>
        <v>Medium Value</v>
      </c>
      <c r="J6651" t="str">
        <f t="shared" si="311"/>
        <v>Low Risk</v>
      </c>
      <c r="K6651" s="3" t="str">
        <f t="shared" si="309"/>
        <v>2-4 Years</v>
      </c>
    </row>
    <row r="6652" spans="1:11" x14ac:dyDescent="0.3">
      <c r="A6652" t="s">
        <v>6669</v>
      </c>
      <c r="B6652" t="s">
        <v>14</v>
      </c>
      <c r="C6652" t="s">
        <v>30</v>
      </c>
      <c r="D6652" t="s">
        <v>24</v>
      </c>
      <c r="E6652">
        <v>92.3</v>
      </c>
      <c r="F6652">
        <v>72</v>
      </c>
      <c r="G6652">
        <v>6645.5999999999904</v>
      </c>
      <c r="H6652" t="s">
        <v>12</v>
      </c>
      <c r="I6652" t="str">
        <f t="shared" si="310"/>
        <v>High Value</v>
      </c>
      <c r="J6652" t="str">
        <f t="shared" si="311"/>
        <v>Low Risk</v>
      </c>
      <c r="K6652" s="3" t="str">
        <f t="shared" si="309"/>
        <v>4+ Years</v>
      </c>
    </row>
    <row r="6653" spans="1:11" x14ac:dyDescent="0.3">
      <c r="A6653" t="s">
        <v>6670</v>
      </c>
      <c r="B6653" t="s">
        <v>14</v>
      </c>
      <c r="C6653" t="s">
        <v>10</v>
      </c>
      <c r="D6653" t="s">
        <v>11</v>
      </c>
      <c r="E6653">
        <v>69.150000000000006</v>
      </c>
      <c r="F6653">
        <v>1</v>
      </c>
      <c r="G6653">
        <v>69.150000000000006</v>
      </c>
      <c r="H6653" t="s">
        <v>18</v>
      </c>
      <c r="I6653" t="str">
        <f t="shared" si="310"/>
        <v>Low Value</v>
      </c>
      <c r="J6653" t="str">
        <f t="shared" si="311"/>
        <v>High Risk</v>
      </c>
      <c r="K6653" s="3" t="str">
        <f t="shared" si="309"/>
        <v>0-1 Year</v>
      </c>
    </row>
    <row r="6654" spans="1:11" x14ac:dyDescent="0.3">
      <c r="A6654" t="s">
        <v>6671</v>
      </c>
      <c r="B6654" t="s">
        <v>9</v>
      </c>
      <c r="C6654" t="s">
        <v>30</v>
      </c>
      <c r="D6654" t="s">
        <v>24</v>
      </c>
      <c r="E6654">
        <v>53.65</v>
      </c>
      <c r="F6654">
        <v>72</v>
      </c>
      <c r="G6654">
        <v>3862.7999999999902</v>
      </c>
      <c r="H6654" t="s">
        <v>12</v>
      </c>
      <c r="I6654" t="str">
        <f t="shared" si="310"/>
        <v>Medium Value</v>
      </c>
      <c r="J6654" t="str">
        <f t="shared" si="311"/>
        <v>Low Risk</v>
      </c>
      <c r="K6654" s="3" t="str">
        <f t="shared" si="309"/>
        <v>4+ Years</v>
      </c>
    </row>
    <row r="6655" spans="1:11" x14ac:dyDescent="0.3">
      <c r="A6655" t="s">
        <v>6672</v>
      </c>
      <c r="B6655" t="s">
        <v>9</v>
      </c>
      <c r="C6655" t="s">
        <v>15</v>
      </c>
      <c r="D6655" t="s">
        <v>24</v>
      </c>
      <c r="E6655">
        <v>39.65</v>
      </c>
      <c r="F6655">
        <v>47</v>
      </c>
      <c r="G6655">
        <v>1863.55</v>
      </c>
      <c r="H6655" t="s">
        <v>12</v>
      </c>
      <c r="I6655" t="str">
        <f t="shared" si="310"/>
        <v>Low Value</v>
      </c>
      <c r="J6655" t="str">
        <f t="shared" si="311"/>
        <v>Low Risk</v>
      </c>
      <c r="K6655" s="3" t="str">
        <f t="shared" si="309"/>
        <v>2-4 Years</v>
      </c>
    </row>
    <row r="6656" spans="1:11" x14ac:dyDescent="0.3">
      <c r="A6656" t="s">
        <v>6673</v>
      </c>
      <c r="B6656" t="s">
        <v>9</v>
      </c>
      <c r="C6656" t="s">
        <v>10</v>
      </c>
      <c r="D6656" t="s">
        <v>11</v>
      </c>
      <c r="E6656">
        <v>54.65</v>
      </c>
      <c r="F6656">
        <v>1</v>
      </c>
      <c r="G6656">
        <v>54.65</v>
      </c>
      <c r="H6656" t="s">
        <v>12</v>
      </c>
      <c r="I6656" t="str">
        <f t="shared" si="310"/>
        <v>Low Value</v>
      </c>
      <c r="J6656" t="str">
        <f t="shared" si="311"/>
        <v>High Risk</v>
      </c>
      <c r="K6656" s="3" t="str">
        <f t="shared" si="309"/>
        <v>0-1 Year</v>
      </c>
    </row>
    <row r="6657" spans="1:11" x14ac:dyDescent="0.3">
      <c r="A6657" t="s">
        <v>6674</v>
      </c>
      <c r="B6657" t="s">
        <v>9</v>
      </c>
      <c r="C6657" t="s">
        <v>15</v>
      </c>
      <c r="D6657" t="s">
        <v>20</v>
      </c>
      <c r="E6657">
        <v>104.8</v>
      </c>
      <c r="F6657">
        <v>36</v>
      </c>
      <c r="G6657">
        <v>3772.7999999999902</v>
      </c>
      <c r="H6657" t="s">
        <v>12</v>
      </c>
      <c r="I6657" t="str">
        <f t="shared" si="310"/>
        <v>Medium Value</v>
      </c>
      <c r="J6657" t="str">
        <f t="shared" si="311"/>
        <v>Low Risk</v>
      </c>
      <c r="K6657" s="3" t="str">
        <f t="shared" si="309"/>
        <v>2-4 Years</v>
      </c>
    </row>
    <row r="6658" spans="1:11" x14ac:dyDescent="0.3">
      <c r="A6658" t="s">
        <v>6675</v>
      </c>
      <c r="B6658" t="s">
        <v>14</v>
      </c>
      <c r="C6658" t="s">
        <v>10</v>
      </c>
      <c r="D6658" t="s">
        <v>24</v>
      </c>
      <c r="E6658">
        <v>29.3</v>
      </c>
      <c r="F6658">
        <v>43</v>
      </c>
      <c r="G6658">
        <v>1259.9000000000001</v>
      </c>
      <c r="H6658" t="s">
        <v>12</v>
      </c>
      <c r="I6658" t="str">
        <f t="shared" si="310"/>
        <v>Low Value</v>
      </c>
      <c r="J6658" t="str">
        <f t="shared" si="311"/>
        <v>Low Risk</v>
      </c>
      <c r="K6658" s="3" t="str">
        <f t="shared" si="309"/>
        <v>2-4 Years</v>
      </c>
    </row>
    <row r="6659" spans="1:11" x14ac:dyDescent="0.3">
      <c r="A6659" t="s">
        <v>6676</v>
      </c>
      <c r="B6659" t="s">
        <v>9</v>
      </c>
      <c r="C6659" t="s">
        <v>10</v>
      </c>
      <c r="D6659" t="s">
        <v>11</v>
      </c>
      <c r="E6659">
        <v>83.85</v>
      </c>
      <c r="F6659">
        <v>27</v>
      </c>
      <c r="G6659">
        <v>2263.9499999999998</v>
      </c>
      <c r="H6659" t="s">
        <v>12</v>
      </c>
      <c r="I6659" t="str">
        <f t="shared" si="310"/>
        <v>Medium Value</v>
      </c>
      <c r="J6659" t="str">
        <f t="shared" si="311"/>
        <v>Low Risk</v>
      </c>
      <c r="K6659" s="3" t="str">
        <f t="shared" ref="K6659:K6722" si="312">IF(F6659&lt;=12,"0-1 Year",
IF(F6659&lt;=24,"1-2 Years",
IF(F6659&lt;=48,"2-4 Years","4+ Years")))</f>
        <v>2-4 Years</v>
      </c>
    </row>
    <row r="6660" spans="1:11" x14ac:dyDescent="0.3">
      <c r="A6660" t="s">
        <v>6677</v>
      </c>
      <c r="B6660" t="s">
        <v>9</v>
      </c>
      <c r="C6660" t="s">
        <v>10</v>
      </c>
      <c r="D6660" t="s">
        <v>11</v>
      </c>
      <c r="E6660">
        <v>79.55</v>
      </c>
      <c r="F6660">
        <v>9</v>
      </c>
      <c r="G6660">
        <v>715.94999999999902</v>
      </c>
      <c r="H6660" t="s">
        <v>18</v>
      </c>
      <c r="I6660" t="str">
        <f t="shared" ref="I6660:I6723" si="313">IF(G6660&gt;5000,"High Value",
IF(G6660&gt;2000,"Medium Value","Low Value"))</f>
        <v>Low Value</v>
      </c>
      <c r="J6660" t="str">
        <f t="shared" ref="J6660:J6723" si="314">IF(F6660&lt;12,"High Risk",
IF(F6660&lt;24,"Medium Risk","Low Risk"))</f>
        <v>High Risk</v>
      </c>
      <c r="K6660" s="3" t="str">
        <f t="shared" si="312"/>
        <v>0-1 Year</v>
      </c>
    </row>
    <row r="6661" spans="1:11" x14ac:dyDescent="0.3">
      <c r="A6661" t="s">
        <v>6678</v>
      </c>
      <c r="B6661" t="s">
        <v>9</v>
      </c>
      <c r="C6661" t="s">
        <v>10</v>
      </c>
      <c r="D6661" t="s">
        <v>11</v>
      </c>
      <c r="E6661">
        <v>103.65</v>
      </c>
      <c r="F6661">
        <v>38</v>
      </c>
      <c r="G6661">
        <v>3938.7</v>
      </c>
      <c r="H6661" t="s">
        <v>12</v>
      </c>
      <c r="I6661" t="str">
        <f t="shared" si="313"/>
        <v>Medium Value</v>
      </c>
      <c r="J6661" t="str">
        <f t="shared" si="314"/>
        <v>Low Risk</v>
      </c>
      <c r="K6661" s="3" t="str">
        <f t="shared" si="312"/>
        <v>2-4 Years</v>
      </c>
    </row>
    <row r="6662" spans="1:11" x14ac:dyDescent="0.3">
      <c r="A6662" t="s">
        <v>6679</v>
      </c>
      <c r="B6662" t="s">
        <v>9</v>
      </c>
      <c r="C6662" t="s">
        <v>10</v>
      </c>
      <c r="D6662" t="s">
        <v>11</v>
      </c>
      <c r="E6662">
        <v>99.05</v>
      </c>
      <c r="F6662">
        <v>35</v>
      </c>
      <c r="G6662">
        <v>3466.75</v>
      </c>
      <c r="H6662" t="s">
        <v>12</v>
      </c>
      <c r="I6662" t="str">
        <f t="shared" si="313"/>
        <v>Medium Value</v>
      </c>
      <c r="J6662" t="str">
        <f t="shared" si="314"/>
        <v>Low Risk</v>
      </c>
      <c r="K6662" s="3" t="str">
        <f t="shared" si="312"/>
        <v>2-4 Years</v>
      </c>
    </row>
    <row r="6663" spans="1:11" x14ac:dyDescent="0.3">
      <c r="A6663" t="s">
        <v>6680</v>
      </c>
      <c r="B6663" t="s">
        <v>9</v>
      </c>
      <c r="C6663" t="s">
        <v>30</v>
      </c>
      <c r="D6663" t="s">
        <v>16</v>
      </c>
      <c r="E6663">
        <v>100.05</v>
      </c>
      <c r="F6663">
        <v>59</v>
      </c>
      <c r="G6663">
        <v>5902.95</v>
      </c>
      <c r="H6663" t="s">
        <v>12</v>
      </c>
      <c r="I6663" t="str">
        <f t="shared" si="313"/>
        <v>High Value</v>
      </c>
      <c r="J6663" t="str">
        <f t="shared" si="314"/>
        <v>Low Risk</v>
      </c>
      <c r="K6663" s="3" t="str">
        <f t="shared" si="312"/>
        <v>4+ Years</v>
      </c>
    </row>
    <row r="6664" spans="1:11" x14ac:dyDescent="0.3">
      <c r="A6664" t="s">
        <v>6681</v>
      </c>
      <c r="B6664" t="s">
        <v>14</v>
      </c>
      <c r="C6664" t="s">
        <v>30</v>
      </c>
      <c r="D6664" t="s">
        <v>24</v>
      </c>
      <c r="E6664">
        <v>20.350000000000001</v>
      </c>
      <c r="F6664">
        <v>27</v>
      </c>
      <c r="G6664">
        <v>549.45000000000005</v>
      </c>
      <c r="H6664" t="s">
        <v>12</v>
      </c>
      <c r="I6664" t="str">
        <f t="shared" si="313"/>
        <v>Low Value</v>
      </c>
      <c r="J6664" t="str">
        <f t="shared" si="314"/>
        <v>Low Risk</v>
      </c>
      <c r="K6664" s="3" t="str">
        <f t="shared" si="312"/>
        <v>2-4 Years</v>
      </c>
    </row>
    <row r="6665" spans="1:11" x14ac:dyDescent="0.3">
      <c r="A6665" t="s">
        <v>6682</v>
      </c>
      <c r="B6665" t="s">
        <v>9</v>
      </c>
      <c r="C6665" t="s">
        <v>10</v>
      </c>
      <c r="D6665" t="s">
        <v>11</v>
      </c>
      <c r="E6665">
        <v>43.95</v>
      </c>
      <c r="F6665">
        <v>2</v>
      </c>
      <c r="G6665">
        <v>87.9</v>
      </c>
      <c r="H6665" t="s">
        <v>12</v>
      </c>
      <c r="I6665" t="str">
        <f t="shared" si="313"/>
        <v>Low Value</v>
      </c>
      <c r="J6665" t="str">
        <f t="shared" si="314"/>
        <v>High Risk</v>
      </c>
      <c r="K6665" s="3" t="str">
        <f t="shared" si="312"/>
        <v>0-1 Year</v>
      </c>
    </row>
    <row r="6666" spans="1:11" x14ac:dyDescent="0.3">
      <c r="A6666" t="s">
        <v>6683</v>
      </c>
      <c r="B6666" t="s">
        <v>14</v>
      </c>
      <c r="C6666" t="s">
        <v>10</v>
      </c>
      <c r="D6666" t="s">
        <v>16</v>
      </c>
      <c r="E6666">
        <v>23.5</v>
      </c>
      <c r="F6666">
        <v>7</v>
      </c>
      <c r="G6666">
        <v>164.5</v>
      </c>
      <c r="H6666" t="s">
        <v>12</v>
      </c>
      <c r="I6666" t="str">
        <f t="shared" si="313"/>
        <v>Low Value</v>
      </c>
      <c r="J6666" t="str">
        <f t="shared" si="314"/>
        <v>High Risk</v>
      </c>
      <c r="K6666" s="3" t="str">
        <f t="shared" si="312"/>
        <v>0-1 Year</v>
      </c>
    </row>
    <row r="6667" spans="1:11" x14ac:dyDescent="0.3">
      <c r="A6667" t="s">
        <v>6684</v>
      </c>
      <c r="B6667" t="s">
        <v>9</v>
      </c>
      <c r="C6667" t="s">
        <v>15</v>
      </c>
      <c r="D6667" t="s">
        <v>16</v>
      </c>
      <c r="E6667">
        <v>70.7</v>
      </c>
      <c r="F6667">
        <v>36</v>
      </c>
      <c r="G6667">
        <v>2545.1999999999998</v>
      </c>
      <c r="H6667" t="s">
        <v>12</v>
      </c>
      <c r="I6667" t="str">
        <f t="shared" si="313"/>
        <v>Medium Value</v>
      </c>
      <c r="J6667" t="str">
        <f t="shared" si="314"/>
        <v>Low Risk</v>
      </c>
      <c r="K6667" s="3" t="str">
        <f t="shared" si="312"/>
        <v>2-4 Years</v>
      </c>
    </row>
    <row r="6668" spans="1:11" x14ac:dyDescent="0.3">
      <c r="A6668" t="s">
        <v>6685</v>
      </c>
      <c r="B6668" t="s">
        <v>9</v>
      </c>
      <c r="C6668" t="s">
        <v>10</v>
      </c>
      <c r="D6668" t="s">
        <v>20</v>
      </c>
      <c r="E6668">
        <v>94.3</v>
      </c>
      <c r="F6668">
        <v>41</v>
      </c>
      <c r="G6668">
        <v>3866.2999999999902</v>
      </c>
      <c r="H6668" t="s">
        <v>12</v>
      </c>
      <c r="I6668" t="str">
        <f t="shared" si="313"/>
        <v>Medium Value</v>
      </c>
      <c r="J6668" t="str">
        <f t="shared" si="314"/>
        <v>Low Risk</v>
      </c>
      <c r="K6668" s="3" t="str">
        <f t="shared" si="312"/>
        <v>2-4 Years</v>
      </c>
    </row>
    <row r="6669" spans="1:11" x14ac:dyDescent="0.3">
      <c r="A6669" t="s">
        <v>6686</v>
      </c>
      <c r="B6669" t="s">
        <v>9</v>
      </c>
      <c r="C6669" t="s">
        <v>10</v>
      </c>
      <c r="D6669" t="s">
        <v>11</v>
      </c>
      <c r="E6669">
        <v>29.15</v>
      </c>
      <c r="F6669">
        <v>13</v>
      </c>
      <c r="G6669">
        <v>378.95</v>
      </c>
      <c r="H6669" t="s">
        <v>12</v>
      </c>
      <c r="I6669" t="str">
        <f t="shared" si="313"/>
        <v>Low Value</v>
      </c>
      <c r="J6669" t="str">
        <f t="shared" si="314"/>
        <v>Medium Risk</v>
      </c>
      <c r="K6669" s="3" t="str">
        <f t="shared" si="312"/>
        <v>1-2 Years</v>
      </c>
    </row>
    <row r="6670" spans="1:11" x14ac:dyDescent="0.3">
      <c r="A6670" t="s">
        <v>6687</v>
      </c>
      <c r="B6670" t="s">
        <v>14</v>
      </c>
      <c r="C6670" t="s">
        <v>30</v>
      </c>
      <c r="D6670" t="s">
        <v>24</v>
      </c>
      <c r="E6670">
        <v>20.85</v>
      </c>
      <c r="F6670">
        <v>19</v>
      </c>
      <c r="G6670">
        <v>396.15</v>
      </c>
      <c r="H6670" t="s">
        <v>12</v>
      </c>
      <c r="I6670" t="str">
        <f t="shared" si="313"/>
        <v>Low Value</v>
      </c>
      <c r="J6670" t="str">
        <f t="shared" si="314"/>
        <v>Medium Risk</v>
      </c>
      <c r="K6670" s="3" t="str">
        <f t="shared" si="312"/>
        <v>1-2 Years</v>
      </c>
    </row>
    <row r="6671" spans="1:11" x14ac:dyDescent="0.3">
      <c r="A6671" t="s">
        <v>6688</v>
      </c>
      <c r="B6671" t="s">
        <v>9</v>
      </c>
      <c r="C6671" t="s">
        <v>30</v>
      </c>
      <c r="D6671" t="s">
        <v>20</v>
      </c>
      <c r="E6671">
        <v>37.700000000000003</v>
      </c>
      <c r="F6671">
        <v>60</v>
      </c>
      <c r="G6671">
        <v>2262</v>
      </c>
      <c r="H6671" t="s">
        <v>12</v>
      </c>
      <c r="I6671" t="str">
        <f t="shared" si="313"/>
        <v>Medium Value</v>
      </c>
      <c r="J6671" t="str">
        <f t="shared" si="314"/>
        <v>Low Risk</v>
      </c>
      <c r="K6671" s="3" t="str">
        <f t="shared" si="312"/>
        <v>4+ Years</v>
      </c>
    </row>
    <row r="6672" spans="1:11" x14ac:dyDescent="0.3">
      <c r="A6672" t="s">
        <v>6689</v>
      </c>
      <c r="B6672" t="s">
        <v>9</v>
      </c>
      <c r="C6672" t="s">
        <v>30</v>
      </c>
      <c r="D6672" t="s">
        <v>16</v>
      </c>
      <c r="E6672">
        <v>95.5</v>
      </c>
      <c r="F6672">
        <v>48</v>
      </c>
      <c r="G6672">
        <v>4584</v>
      </c>
      <c r="H6672" t="s">
        <v>18</v>
      </c>
      <c r="I6672" t="str">
        <f t="shared" si="313"/>
        <v>Medium Value</v>
      </c>
      <c r="J6672" t="str">
        <f t="shared" si="314"/>
        <v>Low Risk</v>
      </c>
      <c r="K6672" s="3" t="str">
        <f t="shared" si="312"/>
        <v>2-4 Years</v>
      </c>
    </row>
    <row r="6673" spans="1:11" x14ac:dyDescent="0.3">
      <c r="A6673" t="s">
        <v>6690</v>
      </c>
      <c r="B6673" t="s">
        <v>14</v>
      </c>
      <c r="C6673" t="s">
        <v>10</v>
      </c>
      <c r="D6673" t="s">
        <v>11</v>
      </c>
      <c r="E6673">
        <v>91.05</v>
      </c>
      <c r="F6673">
        <v>3</v>
      </c>
      <c r="G6673">
        <v>273.14999999999998</v>
      </c>
      <c r="H6673" t="s">
        <v>18</v>
      </c>
      <c r="I6673" t="str">
        <f t="shared" si="313"/>
        <v>Low Value</v>
      </c>
      <c r="J6673" t="str">
        <f t="shared" si="314"/>
        <v>High Risk</v>
      </c>
      <c r="K6673" s="3" t="str">
        <f t="shared" si="312"/>
        <v>0-1 Year</v>
      </c>
    </row>
    <row r="6674" spans="1:11" x14ac:dyDescent="0.3">
      <c r="A6674" t="s">
        <v>6691</v>
      </c>
      <c r="B6674" t="s">
        <v>14</v>
      </c>
      <c r="C6674" t="s">
        <v>30</v>
      </c>
      <c r="D6674" t="s">
        <v>16</v>
      </c>
      <c r="E6674">
        <v>92.45</v>
      </c>
      <c r="F6674">
        <v>69</v>
      </c>
      <c r="G6674">
        <v>6379.05</v>
      </c>
      <c r="H6674" t="s">
        <v>12</v>
      </c>
      <c r="I6674" t="str">
        <f t="shared" si="313"/>
        <v>High Value</v>
      </c>
      <c r="J6674" t="str">
        <f t="shared" si="314"/>
        <v>Low Risk</v>
      </c>
      <c r="K6674" s="3" t="str">
        <f t="shared" si="312"/>
        <v>4+ Years</v>
      </c>
    </row>
    <row r="6675" spans="1:11" x14ac:dyDescent="0.3">
      <c r="A6675" t="s">
        <v>6692</v>
      </c>
      <c r="B6675" t="s">
        <v>14</v>
      </c>
      <c r="C6675" t="s">
        <v>15</v>
      </c>
      <c r="D6675" t="s">
        <v>11</v>
      </c>
      <c r="E6675">
        <v>44.15</v>
      </c>
      <c r="F6675">
        <v>43</v>
      </c>
      <c r="G6675">
        <v>1898.45</v>
      </c>
      <c r="H6675" t="s">
        <v>12</v>
      </c>
      <c r="I6675" t="str">
        <f t="shared" si="313"/>
        <v>Low Value</v>
      </c>
      <c r="J6675" t="str">
        <f t="shared" si="314"/>
        <v>Low Risk</v>
      </c>
      <c r="K6675" s="3" t="str">
        <f t="shared" si="312"/>
        <v>2-4 Years</v>
      </c>
    </row>
    <row r="6676" spans="1:11" x14ac:dyDescent="0.3">
      <c r="A6676" t="s">
        <v>6693</v>
      </c>
      <c r="B6676" t="s">
        <v>9</v>
      </c>
      <c r="C6676" t="s">
        <v>15</v>
      </c>
      <c r="D6676" t="s">
        <v>16</v>
      </c>
      <c r="E6676">
        <v>36.049999999999997</v>
      </c>
      <c r="F6676">
        <v>11</v>
      </c>
      <c r="G6676">
        <v>396.54999999999899</v>
      </c>
      <c r="H6676" t="s">
        <v>12</v>
      </c>
      <c r="I6676" t="str">
        <f t="shared" si="313"/>
        <v>Low Value</v>
      </c>
      <c r="J6676" t="str">
        <f t="shared" si="314"/>
        <v>High Risk</v>
      </c>
      <c r="K6676" s="3" t="str">
        <f t="shared" si="312"/>
        <v>0-1 Year</v>
      </c>
    </row>
    <row r="6677" spans="1:11" x14ac:dyDescent="0.3">
      <c r="A6677" t="s">
        <v>6694</v>
      </c>
      <c r="B6677" t="s">
        <v>9</v>
      </c>
      <c r="C6677" t="s">
        <v>10</v>
      </c>
      <c r="D6677" t="s">
        <v>24</v>
      </c>
      <c r="E6677">
        <v>50.25</v>
      </c>
      <c r="F6677">
        <v>45</v>
      </c>
      <c r="G6677">
        <v>2261.25</v>
      </c>
      <c r="H6677" t="s">
        <v>12</v>
      </c>
      <c r="I6677" t="str">
        <f t="shared" si="313"/>
        <v>Medium Value</v>
      </c>
      <c r="J6677" t="str">
        <f t="shared" si="314"/>
        <v>Low Risk</v>
      </c>
      <c r="K6677" s="3" t="str">
        <f t="shared" si="312"/>
        <v>2-4 Years</v>
      </c>
    </row>
    <row r="6678" spans="1:11" x14ac:dyDescent="0.3">
      <c r="A6678" t="s">
        <v>6695</v>
      </c>
      <c r="B6678" t="s">
        <v>14</v>
      </c>
      <c r="C6678" t="s">
        <v>30</v>
      </c>
      <c r="D6678" t="s">
        <v>24</v>
      </c>
      <c r="E6678">
        <v>109.75</v>
      </c>
      <c r="F6678">
        <v>72</v>
      </c>
      <c r="G6678">
        <v>7902</v>
      </c>
      <c r="H6678" t="s">
        <v>12</v>
      </c>
      <c r="I6678" t="str">
        <f t="shared" si="313"/>
        <v>High Value</v>
      </c>
      <c r="J6678" t="str">
        <f t="shared" si="314"/>
        <v>Low Risk</v>
      </c>
      <c r="K6678" s="3" t="str">
        <f t="shared" si="312"/>
        <v>4+ Years</v>
      </c>
    </row>
    <row r="6679" spans="1:11" x14ac:dyDescent="0.3">
      <c r="A6679" t="s">
        <v>6696</v>
      </c>
      <c r="B6679" t="s">
        <v>9</v>
      </c>
      <c r="C6679" t="s">
        <v>10</v>
      </c>
      <c r="D6679" t="s">
        <v>11</v>
      </c>
      <c r="E6679">
        <v>79.2</v>
      </c>
      <c r="F6679">
        <v>2</v>
      </c>
      <c r="G6679">
        <v>158.4</v>
      </c>
      <c r="H6679" t="s">
        <v>18</v>
      </c>
      <c r="I6679" t="str">
        <f t="shared" si="313"/>
        <v>Low Value</v>
      </c>
      <c r="J6679" t="str">
        <f t="shared" si="314"/>
        <v>High Risk</v>
      </c>
      <c r="K6679" s="3" t="str">
        <f t="shared" si="312"/>
        <v>0-1 Year</v>
      </c>
    </row>
    <row r="6680" spans="1:11" x14ac:dyDescent="0.3">
      <c r="A6680" t="s">
        <v>6697</v>
      </c>
      <c r="B6680" t="s">
        <v>9</v>
      </c>
      <c r="C6680" t="s">
        <v>30</v>
      </c>
      <c r="D6680" t="s">
        <v>20</v>
      </c>
      <c r="E6680">
        <v>20.3</v>
      </c>
      <c r="F6680">
        <v>12</v>
      </c>
      <c r="G6680">
        <v>243.6</v>
      </c>
      <c r="H6680" t="s">
        <v>12</v>
      </c>
      <c r="I6680" t="str">
        <f t="shared" si="313"/>
        <v>Low Value</v>
      </c>
      <c r="J6680" t="str">
        <f t="shared" si="314"/>
        <v>Medium Risk</v>
      </c>
      <c r="K6680" s="3" t="str">
        <f t="shared" si="312"/>
        <v>0-1 Year</v>
      </c>
    </row>
    <row r="6681" spans="1:11" x14ac:dyDescent="0.3">
      <c r="A6681" t="s">
        <v>6698</v>
      </c>
      <c r="B6681" t="s">
        <v>9</v>
      </c>
      <c r="C6681" t="s">
        <v>15</v>
      </c>
      <c r="D6681" t="s">
        <v>24</v>
      </c>
      <c r="E6681">
        <v>112.35</v>
      </c>
      <c r="F6681">
        <v>67</v>
      </c>
      <c r="G6681">
        <v>7527.45</v>
      </c>
      <c r="H6681" t="s">
        <v>12</v>
      </c>
      <c r="I6681" t="str">
        <f t="shared" si="313"/>
        <v>High Value</v>
      </c>
      <c r="J6681" t="str">
        <f t="shared" si="314"/>
        <v>Low Risk</v>
      </c>
      <c r="K6681" s="3" t="str">
        <f t="shared" si="312"/>
        <v>4+ Years</v>
      </c>
    </row>
    <row r="6682" spans="1:11" x14ac:dyDescent="0.3">
      <c r="A6682" t="s">
        <v>6699</v>
      </c>
      <c r="B6682" t="s">
        <v>14</v>
      </c>
      <c r="C6682" t="s">
        <v>30</v>
      </c>
      <c r="D6682" t="s">
        <v>16</v>
      </c>
      <c r="E6682">
        <v>94.3</v>
      </c>
      <c r="F6682">
        <v>37</v>
      </c>
      <c r="G6682">
        <v>3489.1</v>
      </c>
      <c r="H6682" t="s">
        <v>12</v>
      </c>
      <c r="I6682" t="str">
        <f t="shared" si="313"/>
        <v>Medium Value</v>
      </c>
      <c r="J6682" t="str">
        <f t="shared" si="314"/>
        <v>Low Risk</v>
      </c>
      <c r="K6682" s="3" t="str">
        <f t="shared" si="312"/>
        <v>2-4 Years</v>
      </c>
    </row>
    <row r="6683" spans="1:11" x14ac:dyDescent="0.3">
      <c r="A6683" t="s">
        <v>6700</v>
      </c>
      <c r="B6683" t="s">
        <v>9</v>
      </c>
      <c r="C6683" t="s">
        <v>15</v>
      </c>
      <c r="D6683" t="s">
        <v>20</v>
      </c>
      <c r="E6683">
        <v>41.15</v>
      </c>
      <c r="F6683">
        <v>39</v>
      </c>
      <c r="G6683">
        <v>1604.85</v>
      </c>
      <c r="H6683" t="s">
        <v>12</v>
      </c>
      <c r="I6683" t="str">
        <f t="shared" si="313"/>
        <v>Low Value</v>
      </c>
      <c r="J6683" t="str">
        <f t="shared" si="314"/>
        <v>Low Risk</v>
      </c>
      <c r="K6683" s="3" t="str">
        <f t="shared" si="312"/>
        <v>2-4 Years</v>
      </c>
    </row>
    <row r="6684" spans="1:11" x14ac:dyDescent="0.3">
      <c r="A6684" t="s">
        <v>6701</v>
      </c>
      <c r="B6684" t="s">
        <v>9</v>
      </c>
      <c r="C6684" t="s">
        <v>10</v>
      </c>
      <c r="D6684" t="s">
        <v>20</v>
      </c>
      <c r="E6684">
        <v>74.650000000000006</v>
      </c>
      <c r="F6684">
        <v>41</v>
      </c>
      <c r="G6684">
        <v>3060.65</v>
      </c>
      <c r="H6684" t="s">
        <v>12</v>
      </c>
      <c r="I6684" t="str">
        <f t="shared" si="313"/>
        <v>Medium Value</v>
      </c>
      <c r="J6684" t="str">
        <f t="shared" si="314"/>
        <v>Low Risk</v>
      </c>
      <c r="K6684" s="3" t="str">
        <f t="shared" si="312"/>
        <v>2-4 Years</v>
      </c>
    </row>
    <row r="6685" spans="1:11" x14ac:dyDescent="0.3">
      <c r="A6685" t="s">
        <v>6702</v>
      </c>
      <c r="B6685" t="s">
        <v>9</v>
      </c>
      <c r="C6685" t="s">
        <v>10</v>
      </c>
      <c r="D6685" t="s">
        <v>11</v>
      </c>
      <c r="E6685">
        <v>48.25</v>
      </c>
      <c r="F6685">
        <v>25</v>
      </c>
      <c r="G6685">
        <v>1206.25</v>
      </c>
      <c r="H6685" t="s">
        <v>12</v>
      </c>
      <c r="I6685" t="str">
        <f t="shared" si="313"/>
        <v>Low Value</v>
      </c>
      <c r="J6685" t="str">
        <f t="shared" si="314"/>
        <v>Low Risk</v>
      </c>
      <c r="K6685" s="3" t="str">
        <f t="shared" si="312"/>
        <v>2-4 Years</v>
      </c>
    </row>
    <row r="6686" spans="1:11" x14ac:dyDescent="0.3">
      <c r="A6686" t="s">
        <v>6703</v>
      </c>
      <c r="B6686" t="s">
        <v>14</v>
      </c>
      <c r="C6686" t="s">
        <v>30</v>
      </c>
      <c r="D6686" t="s">
        <v>24</v>
      </c>
      <c r="E6686">
        <v>76.150000000000006</v>
      </c>
      <c r="F6686">
        <v>8</v>
      </c>
      <c r="G6686">
        <v>609.20000000000005</v>
      </c>
      <c r="H6686" t="s">
        <v>12</v>
      </c>
      <c r="I6686" t="str">
        <f t="shared" si="313"/>
        <v>Low Value</v>
      </c>
      <c r="J6686" t="str">
        <f t="shared" si="314"/>
        <v>High Risk</v>
      </c>
      <c r="K6686" s="3" t="str">
        <f t="shared" si="312"/>
        <v>0-1 Year</v>
      </c>
    </row>
    <row r="6687" spans="1:11" x14ac:dyDescent="0.3">
      <c r="A6687" t="s">
        <v>6704</v>
      </c>
      <c r="B6687" t="s">
        <v>9</v>
      </c>
      <c r="C6687" t="s">
        <v>30</v>
      </c>
      <c r="D6687" t="s">
        <v>16</v>
      </c>
      <c r="E6687">
        <v>71.099999999999994</v>
      </c>
      <c r="F6687">
        <v>71</v>
      </c>
      <c r="G6687">
        <v>5048.0999999999904</v>
      </c>
      <c r="H6687" t="s">
        <v>12</v>
      </c>
      <c r="I6687" t="str">
        <f t="shared" si="313"/>
        <v>High Value</v>
      </c>
      <c r="J6687" t="str">
        <f t="shared" si="314"/>
        <v>Low Risk</v>
      </c>
      <c r="K6687" s="3" t="str">
        <f t="shared" si="312"/>
        <v>4+ Years</v>
      </c>
    </row>
    <row r="6688" spans="1:11" x14ac:dyDescent="0.3">
      <c r="A6688" t="s">
        <v>6705</v>
      </c>
      <c r="B6688" t="s">
        <v>14</v>
      </c>
      <c r="C6688" t="s">
        <v>10</v>
      </c>
      <c r="D6688" t="s">
        <v>11</v>
      </c>
      <c r="E6688">
        <v>96.55</v>
      </c>
      <c r="F6688">
        <v>5</v>
      </c>
      <c r="G6688">
        <v>482.75</v>
      </c>
      <c r="H6688" t="s">
        <v>12</v>
      </c>
      <c r="I6688" t="str">
        <f t="shared" si="313"/>
        <v>Low Value</v>
      </c>
      <c r="J6688" t="str">
        <f t="shared" si="314"/>
        <v>High Risk</v>
      </c>
      <c r="K6688" s="3" t="str">
        <f t="shared" si="312"/>
        <v>0-1 Year</v>
      </c>
    </row>
    <row r="6689" spans="1:11" x14ac:dyDescent="0.3">
      <c r="A6689" t="s">
        <v>6706</v>
      </c>
      <c r="B6689" t="s">
        <v>9</v>
      </c>
      <c r="C6689" t="s">
        <v>15</v>
      </c>
      <c r="D6689" t="s">
        <v>24</v>
      </c>
      <c r="E6689">
        <v>79.3</v>
      </c>
      <c r="F6689">
        <v>30</v>
      </c>
      <c r="G6689">
        <v>2379</v>
      </c>
      <c r="H6689" t="s">
        <v>12</v>
      </c>
      <c r="I6689" t="str">
        <f t="shared" si="313"/>
        <v>Medium Value</v>
      </c>
      <c r="J6689" t="str">
        <f t="shared" si="314"/>
        <v>Low Risk</v>
      </c>
      <c r="K6689" s="3" t="str">
        <f t="shared" si="312"/>
        <v>2-4 Years</v>
      </c>
    </row>
    <row r="6690" spans="1:11" x14ac:dyDescent="0.3">
      <c r="A6690" t="s">
        <v>6707</v>
      </c>
      <c r="B6690" t="s">
        <v>14</v>
      </c>
      <c r="C6690" t="s">
        <v>15</v>
      </c>
      <c r="D6690" t="s">
        <v>24</v>
      </c>
      <c r="E6690">
        <v>89.6</v>
      </c>
      <c r="F6690">
        <v>40</v>
      </c>
      <c r="G6690">
        <v>3584</v>
      </c>
      <c r="H6690" t="s">
        <v>12</v>
      </c>
      <c r="I6690" t="str">
        <f t="shared" si="313"/>
        <v>Medium Value</v>
      </c>
      <c r="J6690" t="str">
        <f t="shared" si="314"/>
        <v>Low Risk</v>
      </c>
      <c r="K6690" s="3" t="str">
        <f t="shared" si="312"/>
        <v>2-4 Years</v>
      </c>
    </row>
    <row r="6691" spans="1:11" x14ac:dyDescent="0.3">
      <c r="A6691" t="s">
        <v>6708</v>
      </c>
      <c r="B6691" t="s">
        <v>9</v>
      </c>
      <c r="C6691" t="s">
        <v>30</v>
      </c>
      <c r="D6691" t="s">
        <v>16</v>
      </c>
      <c r="E6691">
        <v>20.5</v>
      </c>
      <c r="F6691">
        <v>54</v>
      </c>
      <c r="G6691">
        <v>1107</v>
      </c>
      <c r="H6691" t="s">
        <v>12</v>
      </c>
      <c r="I6691" t="str">
        <f t="shared" si="313"/>
        <v>Low Value</v>
      </c>
      <c r="J6691" t="str">
        <f t="shared" si="314"/>
        <v>Low Risk</v>
      </c>
      <c r="K6691" s="3" t="str">
        <f t="shared" si="312"/>
        <v>4+ Years</v>
      </c>
    </row>
    <row r="6692" spans="1:11" x14ac:dyDescent="0.3">
      <c r="A6692" t="s">
        <v>6709</v>
      </c>
      <c r="B6692" t="s">
        <v>14</v>
      </c>
      <c r="C6692" t="s">
        <v>30</v>
      </c>
      <c r="D6692" t="s">
        <v>20</v>
      </c>
      <c r="E6692">
        <v>106.3</v>
      </c>
      <c r="F6692">
        <v>72</v>
      </c>
      <c r="G6692">
        <v>7653.5999999999904</v>
      </c>
      <c r="H6692" t="s">
        <v>12</v>
      </c>
      <c r="I6692" t="str">
        <f t="shared" si="313"/>
        <v>High Value</v>
      </c>
      <c r="J6692" t="str">
        <f t="shared" si="314"/>
        <v>Low Risk</v>
      </c>
      <c r="K6692" s="3" t="str">
        <f t="shared" si="312"/>
        <v>4+ Years</v>
      </c>
    </row>
    <row r="6693" spans="1:11" x14ac:dyDescent="0.3">
      <c r="A6693" t="s">
        <v>6710</v>
      </c>
      <c r="B6693" t="s">
        <v>14</v>
      </c>
      <c r="C6693" t="s">
        <v>15</v>
      </c>
      <c r="D6693" t="s">
        <v>20</v>
      </c>
      <c r="E6693">
        <v>100.35</v>
      </c>
      <c r="F6693">
        <v>28</v>
      </c>
      <c r="G6693">
        <v>2809.7999999999902</v>
      </c>
      <c r="H6693" t="s">
        <v>12</v>
      </c>
      <c r="I6693" t="str">
        <f t="shared" si="313"/>
        <v>Medium Value</v>
      </c>
      <c r="J6693" t="str">
        <f t="shared" si="314"/>
        <v>Low Risk</v>
      </c>
      <c r="K6693" s="3" t="str">
        <f t="shared" si="312"/>
        <v>2-4 Years</v>
      </c>
    </row>
    <row r="6694" spans="1:11" x14ac:dyDescent="0.3">
      <c r="A6694" t="s">
        <v>6711</v>
      </c>
      <c r="B6694" t="s">
        <v>14</v>
      </c>
      <c r="C6694" t="s">
        <v>10</v>
      </c>
      <c r="D6694" t="s">
        <v>11</v>
      </c>
      <c r="E6694">
        <v>85.6</v>
      </c>
      <c r="F6694">
        <v>18</v>
      </c>
      <c r="G6694">
        <v>1540.8</v>
      </c>
      <c r="H6694" t="s">
        <v>12</v>
      </c>
      <c r="I6694" t="str">
        <f t="shared" si="313"/>
        <v>Low Value</v>
      </c>
      <c r="J6694" t="str">
        <f t="shared" si="314"/>
        <v>Medium Risk</v>
      </c>
      <c r="K6694" s="3" t="str">
        <f t="shared" si="312"/>
        <v>1-2 Years</v>
      </c>
    </row>
    <row r="6695" spans="1:11" x14ac:dyDescent="0.3">
      <c r="A6695" t="s">
        <v>6712</v>
      </c>
      <c r="B6695" t="s">
        <v>9</v>
      </c>
      <c r="C6695" t="s">
        <v>10</v>
      </c>
      <c r="D6695" t="s">
        <v>11</v>
      </c>
      <c r="E6695">
        <v>45.25</v>
      </c>
      <c r="F6695">
        <v>2</v>
      </c>
      <c r="G6695">
        <v>90.5</v>
      </c>
      <c r="H6695" t="s">
        <v>18</v>
      </c>
      <c r="I6695" t="str">
        <f t="shared" si="313"/>
        <v>Low Value</v>
      </c>
      <c r="J6695" t="str">
        <f t="shared" si="314"/>
        <v>High Risk</v>
      </c>
      <c r="K6695" s="3" t="str">
        <f t="shared" si="312"/>
        <v>0-1 Year</v>
      </c>
    </row>
    <row r="6696" spans="1:11" x14ac:dyDescent="0.3">
      <c r="A6696" t="s">
        <v>6713</v>
      </c>
      <c r="B6696" t="s">
        <v>9</v>
      </c>
      <c r="C6696" t="s">
        <v>15</v>
      </c>
      <c r="D6696" t="s">
        <v>11</v>
      </c>
      <c r="E6696">
        <v>106.15</v>
      </c>
      <c r="F6696">
        <v>59</v>
      </c>
      <c r="G6696">
        <v>6262.85</v>
      </c>
      <c r="H6696" t="s">
        <v>12</v>
      </c>
      <c r="I6696" t="str">
        <f t="shared" si="313"/>
        <v>High Value</v>
      </c>
      <c r="J6696" t="str">
        <f t="shared" si="314"/>
        <v>Low Risk</v>
      </c>
      <c r="K6696" s="3" t="str">
        <f t="shared" si="312"/>
        <v>4+ Years</v>
      </c>
    </row>
    <row r="6697" spans="1:11" x14ac:dyDescent="0.3">
      <c r="A6697" t="s">
        <v>6714</v>
      </c>
      <c r="B6697" t="s">
        <v>14</v>
      </c>
      <c r="C6697" t="s">
        <v>10</v>
      </c>
      <c r="D6697" t="s">
        <v>11</v>
      </c>
      <c r="E6697">
        <v>51.1</v>
      </c>
      <c r="F6697">
        <v>22</v>
      </c>
      <c r="G6697">
        <v>1124.2</v>
      </c>
      <c r="H6697" t="s">
        <v>12</v>
      </c>
      <c r="I6697" t="str">
        <f t="shared" si="313"/>
        <v>Low Value</v>
      </c>
      <c r="J6697" t="str">
        <f t="shared" si="314"/>
        <v>Medium Risk</v>
      </c>
      <c r="K6697" s="3" t="str">
        <f t="shared" si="312"/>
        <v>1-2 Years</v>
      </c>
    </row>
    <row r="6698" spans="1:11" x14ac:dyDescent="0.3">
      <c r="A6698" t="s">
        <v>6715</v>
      </c>
      <c r="B6698" t="s">
        <v>9</v>
      </c>
      <c r="C6698" t="s">
        <v>10</v>
      </c>
      <c r="D6698" t="s">
        <v>16</v>
      </c>
      <c r="E6698">
        <v>19.899999999999999</v>
      </c>
      <c r="F6698">
        <v>1</v>
      </c>
      <c r="G6698">
        <v>19.899999999999999</v>
      </c>
      <c r="H6698" t="s">
        <v>12</v>
      </c>
      <c r="I6698" t="str">
        <f t="shared" si="313"/>
        <v>Low Value</v>
      </c>
      <c r="J6698" t="str">
        <f t="shared" si="314"/>
        <v>High Risk</v>
      </c>
      <c r="K6698" s="3" t="str">
        <f t="shared" si="312"/>
        <v>0-1 Year</v>
      </c>
    </row>
    <row r="6699" spans="1:11" x14ac:dyDescent="0.3">
      <c r="A6699" t="s">
        <v>6716</v>
      </c>
      <c r="B6699" t="s">
        <v>9</v>
      </c>
      <c r="C6699" t="s">
        <v>30</v>
      </c>
      <c r="D6699" t="s">
        <v>24</v>
      </c>
      <c r="E6699">
        <v>25.7</v>
      </c>
      <c r="F6699">
        <v>72</v>
      </c>
      <c r="G6699">
        <v>1850.3999999999901</v>
      </c>
      <c r="H6699" t="s">
        <v>12</v>
      </c>
      <c r="I6699" t="str">
        <f t="shared" si="313"/>
        <v>Low Value</v>
      </c>
      <c r="J6699" t="str">
        <f t="shared" si="314"/>
        <v>Low Risk</v>
      </c>
      <c r="K6699" s="3" t="str">
        <f t="shared" si="312"/>
        <v>4+ Years</v>
      </c>
    </row>
    <row r="6700" spans="1:11" x14ac:dyDescent="0.3">
      <c r="A6700" t="s">
        <v>6717</v>
      </c>
      <c r="B6700" t="s">
        <v>9</v>
      </c>
      <c r="C6700" t="s">
        <v>10</v>
      </c>
      <c r="D6700" t="s">
        <v>11</v>
      </c>
      <c r="E6700">
        <v>74.3</v>
      </c>
      <c r="F6700">
        <v>14</v>
      </c>
      <c r="G6700">
        <v>1040.2</v>
      </c>
      <c r="H6700" t="s">
        <v>18</v>
      </c>
      <c r="I6700" t="str">
        <f t="shared" si="313"/>
        <v>Low Value</v>
      </c>
      <c r="J6700" t="str">
        <f t="shared" si="314"/>
        <v>Medium Risk</v>
      </c>
      <c r="K6700" s="3" t="str">
        <f t="shared" si="312"/>
        <v>1-2 Years</v>
      </c>
    </row>
    <row r="6701" spans="1:11" x14ac:dyDescent="0.3">
      <c r="A6701" t="s">
        <v>6718</v>
      </c>
      <c r="B6701" t="s">
        <v>14</v>
      </c>
      <c r="C6701" t="s">
        <v>15</v>
      </c>
      <c r="D6701" t="s">
        <v>11</v>
      </c>
      <c r="E6701">
        <v>99.4</v>
      </c>
      <c r="F6701">
        <v>50</v>
      </c>
      <c r="G6701">
        <v>4970</v>
      </c>
      <c r="H6701" t="s">
        <v>12</v>
      </c>
      <c r="I6701" t="str">
        <f t="shared" si="313"/>
        <v>Medium Value</v>
      </c>
      <c r="J6701" t="str">
        <f t="shared" si="314"/>
        <v>Low Risk</v>
      </c>
      <c r="K6701" s="3" t="str">
        <f t="shared" si="312"/>
        <v>4+ Years</v>
      </c>
    </row>
    <row r="6702" spans="1:11" x14ac:dyDescent="0.3">
      <c r="A6702" t="s">
        <v>6719</v>
      </c>
      <c r="B6702" t="s">
        <v>9</v>
      </c>
      <c r="C6702" t="s">
        <v>15</v>
      </c>
      <c r="D6702" t="s">
        <v>20</v>
      </c>
      <c r="E6702">
        <v>69.7</v>
      </c>
      <c r="F6702">
        <v>48</v>
      </c>
      <c r="G6702">
        <v>3345.6</v>
      </c>
      <c r="H6702" t="s">
        <v>12</v>
      </c>
      <c r="I6702" t="str">
        <f t="shared" si="313"/>
        <v>Medium Value</v>
      </c>
      <c r="J6702" t="str">
        <f t="shared" si="314"/>
        <v>Low Risk</v>
      </c>
      <c r="K6702" s="3" t="str">
        <f t="shared" si="312"/>
        <v>2-4 Years</v>
      </c>
    </row>
    <row r="6703" spans="1:11" x14ac:dyDescent="0.3">
      <c r="A6703" t="s">
        <v>6720</v>
      </c>
      <c r="B6703" t="s">
        <v>9</v>
      </c>
      <c r="C6703" t="s">
        <v>10</v>
      </c>
      <c r="D6703" t="s">
        <v>11</v>
      </c>
      <c r="E6703">
        <v>98.35</v>
      </c>
      <c r="F6703">
        <v>49</v>
      </c>
      <c r="G6703">
        <v>4819.1499999999996</v>
      </c>
      <c r="H6703" t="s">
        <v>12</v>
      </c>
      <c r="I6703" t="str">
        <f t="shared" si="313"/>
        <v>Medium Value</v>
      </c>
      <c r="J6703" t="str">
        <f t="shared" si="314"/>
        <v>Low Risk</v>
      </c>
      <c r="K6703" s="3" t="str">
        <f t="shared" si="312"/>
        <v>4+ Years</v>
      </c>
    </row>
    <row r="6704" spans="1:11" x14ac:dyDescent="0.3">
      <c r="A6704" t="s">
        <v>6721</v>
      </c>
      <c r="B6704" t="s">
        <v>14</v>
      </c>
      <c r="C6704" t="s">
        <v>10</v>
      </c>
      <c r="D6704" t="s">
        <v>11</v>
      </c>
      <c r="E6704">
        <v>85.45</v>
      </c>
      <c r="F6704">
        <v>28</v>
      </c>
      <c r="G6704">
        <v>2392.6</v>
      </c>
      <c r="H6704" t="s">
        <v>12</v>
      </c>
      <c r="I6704" t="str">
        <f t="shared" si="313"/>
        <v>Medium Value</v>
      </c>
      <c r="J6704" t="str">
        <f t="shared" si="314"/>
        <v>Low Risk</v>
      </c>
      <c r="K6704" s="3" t="str">
        <f t="shared" si="312"/>
        <v>2-4 Years</v>
      </c>
    </row>
    <row r="6705" spans="1:11" x14ac:dyDescent="0.3">
      <c r="A6705" t="s">
        <v>6722</v>
      </c>
      <c r="B6705" t="s">
        <v>14</v>
      </c>
      <c r="C6705" t="s">
        <v>10</v>
      </c>
      <c r="D6705" t="s">
        <v>11</v>
      </c>
      <c r="E6705">
        <v>95.9</v>
      </c>
      <c r="F6705">
        <v>68</v>
      </c>
      <c r="G6705">
        <v>6521.2</v>
      </c>
      <c r="H6705" t="s">
        <v>12</v>
      </c>
      <c r="I6705" t="str">
        <f t="shared" si="313"/>
        <v>High Value</v>
      </c>
      <c r="J6705" t="str">
        <f t="shared" si="314"/>
        <v>Low Risk</v>
      </c>
      <c r="K6705" s="3" t="str">
        <f t="shared" si="312"/>
        <v>4+ Years</v>
      </c>
    </row>
    <row r="6706" spans="1:11" x14ac:dyDescent="0.3">
      <c r="A6706" t="s">
        <v>6723</v>
      </c>
      <c r="B6706" t="s">
        <v>14</v>
      </c>
      <c r="C6706" t="s">
        <v>10</v>
      </c>
      <c r="D6706" t="s">
        <v>11</v>
      </c>
      <c r="E6706">
        <v>100.75</v>
      </c>
      <c r="F6706">
        <v>13</v>
      </c>
      <c r="G6706">
        <v>1309.75</v>
      </c>
      <c r="H6706" t="s">
        <v>12</v>
      </c>
      <c r="I6706" t="str">
        <f t="shared" si="313"/>
        <v>Low Value</v>
      </c>
      <c r="J6706" t="str">
        <f t="shared" si="314"/>
        <v>Medium Risk</v>
      </c>
      <c r="K6706" s="3" t="str">
        <f t="shared" si="312"/>
        <v>1-2 Years</v>
      </c>
    </row>
    <row r="6707" spans="1:11" x14ac:dyDescent="0.3">
      <c r="A6707" t="s">
        <v>6724</v>
      </c>
      <c r="B6707" t="s">
        <v>9</v>
      </c>
      <c r="C6707" t="s">
        <v>10</v>
      </c>
      <c r="D6707" t="s">
        <v>11</v>
      </c>
      <c r="E6707">
        <v>89.2</v>
      </c>
      <c r="F6707">
        <v>11</v>
      </c>
      <c r="G6707">
        <v>981.2</v>
      </c>
      <c r="H6707" t="s">
        <v>12</v>
      </c>
      <c r="I6707" t="str">
        <f t="shared" si="313"/>
        <v>Low Value</v>
      </c>
      <c r="J6707" t="str">
        <f t="shared" si="314"/>
        <v>High Risk</v>
      </c>
      <c r="K6707" s="3" t="str">
        <f t="shared" si="312"/>
        <v>0-1 Year</v>
      </c>
    </row>
    <row r="6708" spans="1:11" x14ac:dyDescent="0.3">
      <c r="A6708" t="s">
        <v>6725</v>
      </c>
      <c r="B6708" t="s">
        <v>9</v>
      </c>
      <c r="C6708" t="s">
        <v>10</v>
      </c>
      <c r="D6708" t="s">
        <v>24</v>
      </c>
      <c r="E6708">
        <v>74.099999999999994</v>
      </c>
      <c r="F6708">
        <v>3</v>
      </c>
      <c r="G6708">
        <v>222.29999999999899</v>
      </c>
      <c r="H6708" t="s">
        <v>18</v>
      </c>
      <c r="I6708" t="str">
        <f t="shared" si="313"/>
        <v>Low Value</v>
      </c>
      <c r="J6708" t="str">
        <f t="shared" si="314"/>
        <v>High Risk</v>
      </c>
      <c r="K6708" s="3" t="str">
        <f t="shared" si="312"/>
        <v>0-1 Year</v>
      </c>
    </row>
    <row r="6709" spans="1:11" x14ac:dyDescent="0.3">
      <c r="A6709" t="s">
        <v>6726</v>
      </c>
      <c r="B6709" t="s">
        <v>14</v>
      </c>
      <c r="C6709" t="s">
        <v>10</v>
      </c>
      <c r="D6709" t="s">
        <v>11</v>
      </c>
      <c r="E6709">
        <v>100.6</v>
      </c>
      <c r="F6709">
        <v>57</v>
      </c>
      <c r="G6709">
        <v>5734.2</v>
      </c>
      <c r="H6709" t="s">
        <v>18</v>
      </c>
      <c r="I6709" t="str">
        <f t="shared" si="313"/>
        <v>High Value</v>
      </c>
      <c r="J6709" t="str">
        <f t="shared" si="314"/>
        <v>Low Risk</v>
      </c>
      <c r="K6709" s="3" t="str">
        <f t="shared" si="312"/>
        <v>4+ Years</v>
      </c>
    </row>
    <row r="6710" spans="1:11" x14ac:dyDescent="0.3">
      <c r="A6710" t="s">
        <v>6727</v>
      </c>
      <c r="B6710" t="s">
        <v>14</v>
      </c>
      <c r="C6710" t="s">
        <v>10</v>
      </c>
      <c r="D6710" t="s">
        <v>16</v>
      </c>
      <c r="E6710">
        <v>75</v>
      </c>
      <c r="F6710">
        <v>3</v>
      </c>
      <c r="G6710">
        <v>225</v>
      </c>
      <c r="H6710" t="s">
        <v>18</v>
      </c>
      <c r="I6710" t="str">
        <f t="shared" si="313"/>
        <v>Low Value</v>
      </c>
      <c r="J6710" t="str">
        <f t="shared" si="314"/>
        <v>High Risk</v>
      </c>
      <c r="K6710" s="3" t="str">
        <f t="shared" si="312"/>
        <v>0-1 Year</v>
      </c>
    </row>
    <row r="6711" spans="1:11" x14ac:dyDescent="0.3">
      <c r="A6711" t="s">
        <v>6728</v>
      </c>
      <c r="B6711" t="s">
        <v>14</v>
      </c>
      <c r="C6711" t="s">
        <v>30</v>
      </c>
      <c r="D6711" t="s">
        <v>24</v>
      </c>
      <c r="E6711">
        <v>25.75</v>
      </c>
      <c r="F6711">
        <v>72</v>
      </c>
      <c r="G6711">
        <v>1854</v>
      </c>
      <c r="H6711" t="s">
        <v>12</v>
      </c>
      <c r="I6711" t="str">
        <f t="shared" si="313"/>
        <v>Low Value</v>
      </c>
      <c r="J6711" t="str">
        <f t="shared" si="314"/>
        <v>Low Risk</v>
      </c>
      <c r="K6711" s="3" t="str">
        <f t="shared" si="312"/>
        <v>4+ Years</v>
      </c>
    </row>
    <row r="6712" spans="1:11" x14ac:dyDescent="0.3">
      <c r="A6712" t="s">
        <v>6729</v>
      </c>
      <c r="B6712" t="s">
        <v>14</v>
      </c>
      <c r="C6712" t="s">
        <v>30</v>
      </c>
      <c r="D6712" t="s">
        <v>11</v>
      </c>
      <c r="E6712">
        <v>84.1</v>
      </c>
      <c r="F6712">
        <v>70</v>
      </c>
      <c r="G6712">
        <v>5887</v>
      </c>
      <c r="H6712" t="s">
        <v>12</v>
      </c>
      <c r="I6712" t="str">
        <f t="shared" si="313"/>
        <v>High Value</v>
      </c>
      <c r="J6712" t="str">
        <f t="shared" si="314"/>
        <v>Low Risk</v>
      </c>
      <c r="K6712" s="3" t="str">
        <f t="shared" si="312"/>
        <v>4+ Years</v>
      </c>
    </row>
    <row r="6713" spans="1:11" x14ac:dyDescent="0.3">
      <c r="A6713" t="s">
        <v>6730</v>
      </c>
      <c r="B6713" t="s">
        <v>9</v>
      </c>
      <c r="C6713" t="s">
        <v>30</v>
      </c>
      <c r="D6713" t="s">
        <v>20</v>
      </c>
      <c r="E6713">
        <v>79.3</v>
      </c>
      <c r="F6713">
        <v>49</v>
      </c>
      <c r="G6713">
        <v>3885.7</v>
      </c>
      <c r="H6713" t="s">
        <v>12</v>
      </c>
      <c r="I6713" t="str">
        <f t="shared" si="313"/>
        <v>Medium Value</v>
      </c>
      <c r="J6713" t="str">
        <f t="shared" si="314"/>
        <v>Low Risk</v>
      </c>
      <c r="K6713" s="3" t="str">
        <f t="shared" si="312"/>
        <v>4+ Years</v>
      </c>
    </row>
    <row r="6714" spans="1:11" x14ac:dyDescent="0.3">
      <c r="A6714" t="s">
        <v>6731</v>
      </c>
      <c r="B6714" t="s">
        <v>9</v>
      </c>
      <c r="C6714" t="s">
        <v>15</v>
      </c>
      <c r="D6714" t="s">
        <v>24</v>
      </c>
      <c r="E6714">
        <v>107.05</v>
      </c>
      <c r="F6714">
        <v>67</v>
      </c>
      <c r="G6714">
        <v>7172.3499999999904</v>
      </c>
      <c r="H6714" t="s">
        <v>12</v>
      </c>
      <c r="I6714" t="str">
        <f t="shared" si="313"/>
        <v>High Value</v>
      </c>
      <c r="J6714" t="str">
        <f t="shared" si="314"/>
        <v>Low Risk</v>
      </c>
      <c r="K6714" s="3" t="str">
        <f t="shared" si="312"/>
        <v>4+ Years</v>
      </c>
    </row>
    <row r="6715" spans="1:11" x14ac:dyDescent="0.3">
      <c r="A6715" t="s">
        <v>6732</v>
      </c>
      <c r="B6715" t="s">
        <v>14</v>
      </c>
      <c r="C6715" t="s">
        <v>30</v>
      </c>
      <c r="D6715" t="s">
        <v>20</v>
      </c>
      <c r="E6715">
        <v>20.05</v>
      </c>
      <c r="F6715">
        <v>46</v>
      </c>
      <c r="G6715">
        <v>922.3</v>
      </c>
      <c r="H6715" t="s">
        <v>12</v>
      </c>
      <c r="I6715" t="str">
        <f t="shared" si="313"/>
        <v>Low Value</v>
      </c>
      <c r="J6715" t="str">
        <f t="shared" si="314"/>
        <v>Low Risk</v>
      </c>
      <c r="K6715" s="3" t="str">
        <f t="shared" si="312"/>
        <v>2-4 Years</v>
      </c>
    </row>
    <row r="6716" spans="1:11" x14ac:dyDescent="0.3">
      <c r="A6716" t="s">
        <v>6733</v>
      </c>
      <c r="B6716" t="s">
        <v>9</v>
      </c>
      <c r="C6716" t="s">
        <v>30</v>
      </c>
      <c r="D6716" t="s">
        <v>24</v>
      </c>
      <c r="E6716">
        <v>70.2</v>
      </c>
      <c r="F6716">
        <v>64</v>
      </c>
      <c r="G6716">
        <v>4492.8</v>
      </c>
      <c r="H6716" t="s">
        <v>18</v>
      </c>
      <c r="I6716" t="str">
        <f t="shared" si="313"/>
        <v>Medium Value</v>
      </c>
      <c r="J6716" t="str">
        <f t="shared" si="314"/>
        <v>Low Risk</v>
      </c>
      <c r="K6716" s="3" t="str">
        <f t="shared" si="312"/>
        <v>4+ Years</v>
      </c>
    </row>
    <row r="6717" spans="1:11" x14ac:dyDescent="0.3">
      <c r="A6717" t="s">
        <v>6734</v>
      </c>
      <c r="B6717" t="s">
        <v>9</v>
      </c>
      <c r="C6717" t="s">
        <v>10</v>
      </c>
      <c r="D6717" t="s">
        <v>20</v>
      </c>
      <c r="E6717">
        <v>19.5</v>
      </c>
      <c r="F6717">
        <v>37</v>
      </c>
      <c r="G6717">
        <v>721.5</v>
      </c>
      <c r="H6717" t="s">
        <v>12</v>
      </c>
      <c r="I6717" t="str">
        <f t="shared" si="313"/>
        <v>Low Value</v>
      </c>
      <c r="J6717" t="str">
        <f t="shared" si="314"/>
        <v>Low Risk</v>
      </c>
      <c r="K6717" s="3" t="str">
        <f t="shared" si="312"/>
        <v>2-4 Years</v>
      </c>
    </row>
    <row r="6718" spans="1:11" x14ac:dyDescent="0.3">
      <c r="A6718" t="s">
        <v>6735</v>
      </c>
      <c r="B6718" t="s">
        <v>9</v>
      </c>
      <c r="C6718" t="s">
        <v>10</v>
      </c>
      <c r="D6718" t="s">
        <v>11</v>
      </c>
      <c r="E6718">
        <v>70.75</v>
      </c>
      <c r="F6718">
        <v>2</v>
      </c>
      <c r="G6718">
        <v>141.5</v>
      </c>
      <c r="H6718" t="s">
        <v>18</v>
      </c>
      <c r="I6718" t="str">
        <f t="shared" si="313"/>
        <v>Low Value</v>
      </c>
      <c r="J6718" t="str">
        <f t="shared" si="314"/>
        <v>High Risk</v>
      </c>
      <c r="K6718" s="3" t="str">
        <f t="shared" si="312"/>
        <v>0-1 Year</v>
      </c>
    </row>
    <row r="6719" spans="1:11" x14ac:dyDescent="0.3">
      <c r="A6719" t="s">
        <v>6736</v>
      </c>
      <c r="B6719" t="s">
        <v>9</v>
      </c>
      <c r="C6719" t="s">
        <v>10</v>
      </c>
      <c r="D6719" t="s">
        <v>11</v>
      </c>
      <c r="E6719">
        <v>45.3</v>
      </c>
      <c r="F6719">
        <v>13</v>
      </c>
      <c r="G6719">
        <v>588.9</v>
      </c>
      <c r="H6719" t="s">
        <v>12</v>
      </c>
      <c r="I6719" t="str">
        <f t="shared" si="313"/>
        <v>Low Value</v>
      </c>
      <c r="J6719" t="str">
        <f t="shared" si="314"/>
        <v>Medium Risk</v>
      </c>
      <c r="K6719" s="3" t="str">
        <f t="shared" si="312"/>
        <v>1-2 Years</v>
      </c>
    </row>
    <row r="6720" spans="1:11" x14ac:dyDescent="0.3">
      <c r="A6720" t="s">
        <v>6737</v>
      </c>
      <c r="B6720" t="s">
        <v>9</v>
      </c>
      <c r="C6720" t="s">
        <v>30</v>
      </c>
      <c r="D6720" t="s">
        <v>11</v>
      </c>
      <c r="E6720">
        <v>115.15</v>
      </c>
      <c r="F6720">
        <v>72</v>
      </c>
      <c r="G6720">
        <v>8290.7999999999993</v>
      </c>
      <c r="H6720" t="s">
        <v>12</v>
      </c>
      <c r="I6720" t="str">
        <f t="shared" si="313"/>
        <v>High Value</v>
      </c>
      <c r="J6720" t="str">
        <f t="shared" si="314"/>
        <v>Low Risk</v>
      </c>
      <c r="K6720" s="3" t="str">
        <f t="shared" si="312"/>
        <v>4+ Years</v>
      </c>
    </row>
    <row r="6721" spans="1:11" x14ac:dyDescent="0.3">
      <c r="A6721" t="s">
        <v>6738</v>
      </c>
      <c r="B6721" t="s">
        <v>14</v>
      </c>
      <c r="C6721" t="s">
        <v>30</v>
      </c>
      <c r="D6721" t="s">
        <v>20</v>
      </c>
      <c r="E6721">
        <v>72.95</v>
      </c>
      <c r="F6721">
        <v>68</v>
      </c>
      <c r="G6721">
        <v>4960.6000000000004</v>
      </c>
      <c r="H6721" t="s">
        <v>12</v>
      </c>
      <c r="I6721" t="str">
        <f t="shared" si="313"/>
        <v>Medium Value</v>
      </c>
      <c r="J6721" t="str">
        <f t="shared" si="314"/>
        <v>Low Risk</v>
      </c>
      <c r="K6721" s="3" t="str">
        <f t="shared" si="312"/>
        <v>4+ Years</v>
      </c>
    </row>
    <row r="6722" spans="1:11" x14ac:dyDescent="0.3">
      <c r="A6722" t="s">
        <v>6739</v>
      </c>
      <c r="B6722" t="s">
        <v>14</v>
      </c>
      <c r="C6722" t="s">
        <v>15</v>
      </c>
      <c r="D6722" t="s">
        <v>16</v>
      </c>
      <c r="E6722">
        <v>19.649999999999999</v>
      </c>
      <c r="F6722">
        <v>15</v>
      </c>
      <c r="G6722">
        <v>294.75</v>
      </c>
      <c r="H6722" t="s">
        <v>12</v>
      </c>
      <c r="I6722" t="str">
        <f t="shared" si="313"/>
        <v>Low Value</v>
      </c>
      <c r="J6722" t="str">
        <f t="shared" si="314"/>
        <v>Medium Risk</v>
      </c>
      <c r="K6722" s="3" t="str">
        <f t="shared" si="312"/>
        <v>1-2 Years</v>
      </c>
    </row>
    <row r="6723" spans="1:11" x14ac:dyDescent="0.3">
      <c r="A6723" t="s">
        <v>6740</v>
      </c>
      <c r="B6723" t="s">
        <v>9</v>
      </c>
      <c r="C6723" t="s">
        <v>30</v>
      </c>
      <c r="D6723" t="s">
        <v>20</v>
      </c>
      <c r="E6723">
        <v>19.55</v>
      </c>
      <c r="F6723">
        <v>24</v>
      </c>
      <c r="G6723">
        <v>469.2</v>
      </c>
      <c r="H6723" t="s">
        <v>12</v>
      </c>
      <c r="I6723" t="str">
        <f t="shared" si="313"/>
        <v>Low Value</v>
      </c>
      <c r="J6723" t="str">
        <f t="shared" si="314"/>
        <v>Low Risk</v>
      </c>
      <c r="K6723" s="3" t="str">
        <f t="shared" ref="K6723:K6786" si="315">IF(F6723&lt;=12,"0-1 Year",
IF(F6723&lt;=24,"1-2 Years",
IF(F6723&lt;=48,"2-4 Years","4+ Years")))</f>
        <v>1-2 Years</v>
      </c>
    </row>
    <row r="6724" spans="1:11" x14ac:dyDescent="0.3">
      <c r="A6724" t="s">
        <v>6741</v>
      </c>
      <c r="B6724" t="s">
        <v>9</v>
      </c>
      <c r="C6724" t="s">
        <v>10</v>
      </c>
      <c r="D6724" t="s">
        <v>11</v>
      </c>
      <c r="E6724">
        <v>89.55</v>
      </c>
      <c r="F6724">
        <v>24</v>
      </c>
      <c r="G6724">
        <v>2149.1999999999998</v>
      </c>
      <c r="H6724" t="s">
        <v>12</v>
      </c>
      <c r="I6724" t="str">
        <f t="shared" ref="I6724:I6787" si="316">IF(G6724&gt;5000,"High Value",
IF(G6724&gt;2000,"Medium Value","Low Value"))</f>
        <v>Medium Value</v>
      </c>
      <c r="J6724" t="str">
        <f t="shared" ref="J6724:J6787" si="317">IF(F6724&lt;12,"High Risk",
IF(F6724&lt;24,"Medium Risk","Low Risk"))</f>
        <v>Low Risk</v>
      </c>
      <c r="K6724" s="3" t="str">
        <f t="shared" si="315"/>
        <v>1-2 Years</v>
      </c>
    </row>
    <row r="6725" spans="1:11" x14ac:dyDescent="0.3">
      <c r="A6725" t="s">
        <v>6742</v>
      </c>
      <c r="B6725" t="s">
        <v>14</v>
      </c>
      <c r="C6725" t="s">
        <v>10</v>
      </c>
      <c r="D6725" t="s">
        <v>16</v>
      </c>
      <c r="E6725">
        <v>50.35</v>
      </c>
      <c r="F6725">
        <v>27</v>
      </c>
      <c r="G6725">
        <v>1359.45</v>
      </c>
      <c r="H6725" t="s">
        <v>12</v>
      </c>
      <c r="I6725" t="str">
        <f t="shared" si="316"/>
        <v>Low Value</v>
      </c>
      <c r="J6725" t="str">
        <f t="shared" si="317"/>
        <v>Low Risk</v>
      </c>
      <c r="K6725" s="3" t="str">
        <f t="shared" si="315"/>
        <v>2-4 Years</v>
      </c>
    </row>
    <row r="6726" spans="1:11" x14ac:dyDescent="0.3">
      <c r="A6726" t="s">
        <v>6743</v>
      </c>
      <c r="B6726" t="s">
        <v>14</v>
      </c>
      <c r="C6726" t="s">
        <v>10</v>
      </c>
      <c r="D6726" t="s">
        <v>20</v>
      </c>
      <c r="E6726">
        <v>50.25</v>
      </c>
      <c r="F6726">
        <v>12</v>
      </c>
      <c r="G6726">
        <v>603</v>
      </c>
      <c r="H6726" t="s">
        <v>18</v>
      </c>
      <c r="I6726" t="str">
        <f t="shared" si="316"/>
        <v>Low Value</v>
      </c>
      <c r="J6726" t="str">
        <f t="shared" si="317"/>
        <v>Medium Risk</v>
      </c>
      <c r="K6726" s="3" t="str">
        <f t="shared" si="315"/>
        <v>0-1 Year</v>
      </c>
    </row>
    <row r="6727" spans="1:11" x14ac:dyDescent="0.3">
      <c r="A6727" t="s">
        <v>6744</v>
      </c>
      <c r="B6727" t="s">
        <v>9</v>
      </c>
      <c r="C6727" t="s">
        <v>30</v>
      </c>
      <c r="D6727" t="s">
        <v>24</v>
      </c>
      <c r="E6727">
        <v>87.25</v>
      </c>
      <c r="F6727">
        <v>71</v>
      </c>
      <c r="G6727">
        <v>6194.75</v>
      </c>
      <c r="H6727" t="s">
        <v>12</v>
      </c>
      <c r="I6727" t="str">
        <f t="shared" si="316"/>
        <v>High Value</v>
      </c>
      <c r="J6727" t="str">
        <f t="shared" si="317"/>
        <v>Low Risk</v>
      </c>
      <c r="K6727" s="3" t="str">
        <f t="shared" si="315"/>
        <v>4+ Years</v>
      </c>
    </row>
    <row r="6728" spans="1:11" x14ac:dyDescent="0.3">
      <c r="A6728" t="s">
        <v>6745</v>
      </c>
      <c r="B6728" t="s">
        <v>14</v>
      </c>
      <c r="C6728" t="s">
        <v>30</v>
      </c>
      <c r="D6728" t="s">
        <v>16</v>
      </c>
      <c r="E6728">
        <v>20.8</v>
      </c>
      <c r="F6728">
        <v>67</v>
      </c>
      <c r="G6728">
        <v>1393.6</v>
      </c>
      <c r="H6728" t="s">
        <v>12</v>
      </c>
      <c r="I6728" t="str">
        <f t="shared" si="316"/>
        <v>Low Value</v>
      </c>
      <c r="J6728" t="str">
        <f t="shared" si="317"/>
        <v>Low Risk</v>
      </c>
      <c r="K6728" s="3" t="str">
        <f t="shared" si="315"/>
        <v>4+ Years</v>
      </c>
    </row>
    <row r="6729" spans="1:11" x14ac:dyDescent="0.3">
      <c r="A6729" t="s">
        <v>6746</v>
      </c>
      <c r="B6729" t="s">
        <v>9</v>
      </c>
      <c r="C6729" t="s">
        <v>30</v>
      </c>
      <c r="D6729" t="s">
        <v>20</v>
      </c>
      <c r="E6729">
        <v>109.25</v>
      </c>
      <c r="F6729">
        <v>63</v>
      </c>
      <c r="G6729">
        <v>6882.75</v>
      </c>
      <c r="H6729" t="s">
        <v>12</v>
      </c>
      <c r="I6729" t="str">
        <f t="shared" si="316"/>
        <v>High Value</v>
      </c>
      <c r="J6729" t="str">
        <f t="shared" si="317"/>
        <v>Low Risk</v>
      </c>
      <c r="K6729" s="3" t="str">
        <f t="shared" si="315"/>
        <v>4+ Years</v>
      </c>
    </row>
    <row r="6730" spans="1:11" x14ac:dyDescent="0.3">
      <c r="A6730" t="s">
        <v>6747</v>
      </c>
      <c r="B6730" t="s">
        <v>14</v>
      </c>
      <c r="C6730" t="s">
        <v>10</v>
      </c>
      <c r="D6730" t="s">
        <v>16</v>
      </c>
      <c r="E6730">
        <v>20.350000000000001</v>
      </c>
      <c r="F6730">
        <v>1</v>
      </c>
      <c r="G6730">
        <v>20.350000000000001</v>
      </c>
      <c r="H6730" t="s">
        <v>12</v>
      </c>
      <c r="I6730" t="str">
        <f t="shared" si="316"/>
        <v>Low Value</v>
      </c>
      <c r="J6730" t="str">
        <f t="shared" si="317"/>
        <v>High Risk</v>
      </c>
      <c r="K6730" s="3" t="str">
        <f t="shared" si="315"/>
        <v>0-1 Year</v>
      </c>
    </row>
    <row r="6731" spans="1:11" x14ac:dyDescent="0.3">
      <c r="A6731" t="s">
        <v>6748</v>
      </c>
      <c r="B6731" t="s">
        <v>14</v>
      </c>
      <c r="C6731" t="s">
        <v>10</v>
      </c>
      <c r="D6731" t="s">
        <v>11</v>
      </c>
      <c r="E6731">
        <v>55.9</v>
      </c>
      <c r="F6731">
        <v>4</v>
      </c>
      <c r="G6731">
        <v>223.6</v>
      </c>
      <c r="H6731" t="s">
        <v>12</v>
      </c>
      <c r="I6731" t="str">
        <f t="shared" si="316"/>
        <v>Low Value</v>
      </c>
      <c r="J6731" t="str">
        <f t="shared" si="317"/>
        <v>High Risk</v>
      </c>
      <c r="K6731" s="3" t="str">
        <f t="shared" si="315"/>
        <v>0-1 Year</v>
      </c>
    </row>
    <row r="6732" spans="1:11" x14ac:dyDescent="0.3">
      <c r="A6732" t="s">
        <v>6749</v>
      </c>
      <c r="B6732" t="s">
        <v>9</v>
      </c>
      <c r="C6732" t="s">
        <v>10</v>
      </c>
      <c r="D6732" t="s">
        <v>24</v>
      </c>
      <c r="E6732">
        <v>79.2</v>
      </c>
      <c r="F6732">
        <v>40</v>
      </c>
      <c r="G6732">
        <v>3168</v>
      </c>
      <c r="H6732" t="s">
        <v>18</v>
      </c>
      <c r="I6732" t="str">
        <f t="shared" si="316"/>
        <v>Medium Value</v>
      </c>
      <c r="J6732" t="str">
        <f t="shared" si="317"/>
        <v>Low Risk</v>
      </c>
      <c r="K6732" s="3" t="str">
        <f t="shared" si="315"/>
        <v>2-4 Years</v>
      </c>
    </row>
    <row r="6733" spans="1:11" x14ac:dyDescent="0.3">
      <c r="A6733" t="s">
        <v>6750</v>
      </c>
      <c r="B6733" t="s">
        <v>9</v>
      </c>
      <c r="C6733" t="s">
        <v>10</v>
      </c>
      <c r="D6733" t="s">
        <v>11</v>
      </c>
      <c r="E6733">
        <v>96</v>
      </c>
      <c r="F6733">
        <v>12</v>
      </c>
      <c r="G6733">
        <v>1152</v>
      </c>
      <c r="H6733" t="s">
        <v>18</v>
      </c>
      <c r="I6733" t="str">
        <f t="shared" si="316"/>
        <v>Low Value</v>
      </c>
      <c r="J6733" t="str">
        <f t="shared" si="317"/>
        <v>Medium Risk</v>
      </c>
      <c r="K6733" s="3" t="str">
        <f t="shared" si="315"/>
        <v>0-1 Year</v>
      </c>
    </row>
    <row r="6734" spans="1:11" x14ac:dyDescent="0.3">
      <c r="A6734" t="s">
        <v>6751</v>
      </c>
      <c r="B6734" t="s">
        <v>14</v>
      </c>
      <c r="C6734" t="s">
        <v>30</v>
      </c>
      <c r="D6734" t="s">
        <v>11</v>
      </c>
      <c r="E6734">
        <v>79.2</v>
      </c>
      <c r="F6734">
        <v>52</v>
      </c>
      <c r="G6734">
        <v>4118.3999999999996</v>
      </c>
      <c r="H6734" t="s">
        <v>12</v>
      </c>
      <c r="I6734" t="str">
        <f t="shared" si="316"/>
        <v>Medium Value</v>
      </c>
      <c r="J6734" t="str">
        <f t="shared" si="317"/>
        <v>Low Risk</v>
      </c>
      <c r="K6734" s="3" t="str">
        <f t="shared" si="315"/>
        <v>4+ Years</v>
      </c>
    </row>
    <row r="6735" spans="1:11" x14ac:dyDescent="0.3">
      <c r="A6735" t="s">
        <v>6752</v>
      </c>
      <c r="B6735" t="s">
        <v>14</v>
      </c>
      <c r="C6735" t="s">
        <v>10</v>
      </c>
      <c r="D6735" t="s">
        <v>11</v>
      </c>
      <c r="E6735">
        <v>24</v>
      </c>
      <c r="F6735">
        <v>10</v>
      </c>
      <c r="G6735">
        <v>240</v>
      </c>
      <c r="H6735" t="s">
        <v>12</v>
      </c>
      <c r="I6735" t="str">
        <f t="shared" si="316"/>
        <v>Low Value</v>
      </c>
      <c r="J6735" t="str">
        <f t="shared" si="317"/>
        <v>High Risk</v>
      </c>
      <c r="K6735" s="3" t="str">
        <f t="shared" si="315"/>
        <v>0-1 Year</v>
      </c>
    </row>
    <row r="6736" spans="1:11" x14ac:dyDescent="0.3">
      <c r="A6736" t="s">
        <v>6753</v>
      </c>
      <c r="B6736" t="s">
        <v>14</v>
      </c>
      <c r="C6736" t="s">
        <v>15</v>
      </c>
      <c r="D6736" t="s">
        <v>20</v>
      </c>
      <c r="E6736">
        <v>101.35</v>
      </c>
      <c r="F6736">
        <v>68</v>
      </c>
      <c r="G6736">
        <v>6891.7999999999902</v>
      </c>
      <c r="H6736" t="s">
        <v>12</v>
      </c>
      <c r="I6736" t="str">
        <f t="shared" si="316"/>
        <v>High Value</v>
      </c>
      <c r="J6736" t="str">
        <f t="shared" si="317"/>
        <v>Low Risk</v>
      </c>
      <c r="K6736" s="3" t="str">
        <f t="shared" si="315"/>
        <v>4+ Years</v>
      </c>
    </row>
    <row r="6737" spans="1:11" x14ac:dyDescent="0.3">
      <c r="A6737" t="s">
        <v>6754</v>
      </c>
      <c r="B6737" t="s">
        <v>9</v>
      </c>
      <c r="C6737" t="s">
        <v>10</v>
      </c>
      <c r="D6737" t="s">
        <v>11</v>
      </c>
      <c r="E6737">
        <v>100.1</v>
      </c>
      <c r="F6737">
        <v>54</v>
      </c>
      <c r="G6737">
        <v>5405.4</v>
      </c>
      <c r="H6737" t="s">
        <v>18</v>
      </c>
      <c r="I6737" t="str">
        <f t="shared" si="316"/>
        <v>High Value</v>
      </c>
      <c r="J6737" t="str">
        <f t="shared" si="317"/>
        <v>Low Risk</v>
      </c>
      <c r="K6737" s="3" t="str">
        <f t="shared" si="315"/>
        <v>4+ Years</v>
      </c>
    </row>
    <row r="6738" spans="1:11" x14ac:dyDescent="0.3">
      <c r="A6738" t="s">
        <v>6755</v>
      </c>
      <c r="B6738" t="s">
        <v>9</v>
      </c>
      <c r="C6738" t="s">
        <v>10</v>
      </c>
      <c r="D6738" t="s">
        <v>16</v>
      </c>
      <c r="E6738">
        <v>56.5</v>
      </c>
      <c r="F6738">
        <v>4</v>
      </c>
      <c r="G6738">
        <v>226</v>
      </c>
      <c r="H6738" t="s">
        <v>18</v>
      </c>
      <c r="I6738" t="str">
        <f t="shared" si="316"/>
        <v>Low Value</v>
      </c>
      <c r="J6738" t="str">
        <f t="shared" si="317"/>
        <v>High Risk</v>
      </c>
      <c r="K6738" s="3" t="str">
        <f t="shared" si="315"/>
        <v>0-1 Year</v>
      </c>
    </row>
    <row r="6739" spans="1:11" x14ac:dyDescent="0.3">
      <c r="A6739" t="s">
        <v>6756</v>
      </c>
      <c r="B6739" t="s">
        <v>9</v>
      </c>
      <c r="C6739" t="s">
        <v>15</v>
      </c>
      <c r="D6739" t="s">
        <v>16</v>
      </c>
      <c r="E6739">
        <v>35.450000000000003</v>
      </c>
      <c r="F6739">
        <v>52</v>
      </c>
      <c r="G6739">
        <v>1843.4</v>
      </c>
      <c r="H6739" t="s">
        <v>12</v>
      </c>
      <c r="I6739" t="str">
        <f t="shared" si="316"/>
        <v>Low Value</v>
      </c>
      <c r="J6739" t="str">
        <f t="shared" si="317"/>
        <v>Low Risk</v>
      </c>
      <c r="K6739" s="3" t="str">
        <f t="shared" si="315"/>
        <v>4+ Years</v>
      </c>
    </row>
    <row r="6740" spans="1:11" x14ac:dyDescent="0.3">
      <c r="A6740" t="s">
        <v>6757</v>
      </c>
      <c r="B6740" t="s">
        <v>9</v>
      </c>
      <c r="C6740" t="s">
        <v>10</v>
      </c>
      <c r="D6740" t="s">
        <v>11</v>
      </c>
      <c r="E6740">
        <v>85</v>
      </c>
      <c r="F6740">
        <v>1</v>
      </c>
      <c r="G6740">
        <v>85</v>
      </c>
      <c r="H6740" t="s">
        <v>18</v>
      </c>
      <c r="I6740" t="str">
        <f t="shared" si="316"/>
        <v>Low Value</v>
      </c>
      <c r="J6740" t="str">
        <f t="shared" si="317"/>
        <v>High Risk</v>
      </c>
      <c r="K6740" s="3" t="str">
        <f t="shared" si="315"/>
        <v>0-1 Year</v>
      </c>
    </row>
    <row r="6741" spans="1:11" x14ac:dyDescent="0.3">
      <c r="A6741" t="s">
        <v>6758</v>
      </c>
      <c r="B6741" t="s">
        <v>14</v>
      </c>
      <c r="C6741" t="s">
        <v>15</v>
      </c>
      <c r="D6741" t="s">
        <v>20</v>
      </c>
      <c r="E6741">
        <v>79.400000000000006</v>
      </c>
      <c r="F6741">
        <v>70</v>
      </c>
      <c r="G6741">
        <v>5558</v>
      </c>
      <c r="H6741" t="s">
        <v>12</v>
      </c>
      <c r="I6741" t="str">
        <f t="shared" si="316"/>
        <v>High Value</v>
      </c>
      <c r="J6741" t="str">
        <f t="shared" si="317"/>
        <v>Low Risk</v>
      </c>
      <c r="K6741" s="3" t="str">
        <f t="shared" si="315"/>
        <v>4+ Years</v>
      </c>
    </row>
    <row r="6742" spans="1:11" x14ac:dyDescent="0.3">
      <c r="A6742" t="s">
        <v>6759</v>
      </c>
      <c r="B6742" t="s">
        <v>14</v>
      </c>
      <c r="C6742" t="s">
        <v>15</v>
      </c>
      <c r="D6742" t="s">
        <v>24</v>
      </c>
      <c r="E6742">
        <v>35.200000000000003</v>
      </c>
      <c r="F6742">
        <v>43</v>
      </c>
      <c r="G6742">
        <v>1513.6</v>
      </c>
      <c r="H6742" t="s">
        <v>12</v>
      </c>
      <c r="I6742" t="str">
        <f t="shared" si="316"/>
        <v>Low Value</v>
      </c>
      <c r="J6742" t="str">
        <f t="shared" si="317"/>
        <v>Low Risk</v>
      </c>
      <c r="K6742" s="3" t="str">
        <f t="shared" si="315"/>
        <v>2-4 Years</v>
      </c>
    </row>
    <row r="6743" spans="1:11" x14ac:dyDescent="0.3">
      <c r="A6743" t="s">
        <v>6760</v>
      </c>
      <c r="B6743" t="s">
        <v>14</v>
      </c>
      <c r="C6743" t="s">
        <v>30</v>
      </c>
      <c r="D6743" t="s">
        <v>16</v>
      </c>
      <c r="E6743">
        <v>19.649999999999999</v>
      </c>
      <c r="F6743">
        <v>52</v>
      </c>
      <c r="G6743">
        <v>1021.8</v>
      </c>
      <c r="H6743" t="s">
        <v>12</v>
      </c>
      <c r="I6743" t="str">
        <f t="shared" si="316"/>
        <v>Low Value</v>
      </c>
      <c r="J6743" t="str">
        <f t="shared" si="317"/>
        <v>Low Risk</v>
      </c>
      <c r="K6743" s="3" t="str">
        <f t="shared" si="315"/>
        <v>4+ Years</v>
      </c>
    </row>
    <row r="6744" spans="1:11" x14ac:dyDescent="0.3">
      <c r="A6744" t="s">
        <v>6761</v>
      </c>
      <c r="B6744" t="s">
        <v>9</v>
      </c>
      <c r="C6744" t="s">
        <v>30</v>
      </c>
      <c r="D6744" t="s">
        <v>16</v>
      </c>
      <c r="E6744">
        <v>49.85</v>
      </c>
      <c r="F6744">
        <v>12</v>
      </c>
      <c r="G6744">
        <v>598.20000000000005</v>
      </c>
      <c r="H6744" t="s">
        <v>12</v>
      </c>
      <c r="I6744" t="str">
        <f t="shared" si="316"/>
        <v>Low Value</v>
      </c>
      <c r="J6744" t="str">
        <f t="shared" si="317"/>
        <v>Medium Risk</v>
      </c>
      <c r="K6744" s="3" t="str">
        <f t="shared" si="315"/>
        <v>0-1 Year</v>
      </c>
    </row>
    <row r="6745" spans="1:11" x14ac:dyDescent="0.3">
      <c r="A6745" t="s">
        <v>6762</v>
      </c>
      <c r="B6745" t="s">
        <v>9</v>
      </c>
      <c r="C6745" t="s">
        <v>15</v>
      </c>
      <c r="D6745" t="s">
        <v>20</v>
      </c>
      <c r="E6745">
        <v>68.75</v>
      </c>
      <c r="F6745">
        <v>56</v>
      </c>
      <c r="G6745">
        <v>3850</v>
      </c>
      <c r="H6745" t="s">
        <v>12</v>
      </c>
      <c r="I6745" t="str">
        <f t="shared" si="316"/>
        <v>Medium Value</v>
      </c>
      <c r="J6745" t="str">
        <f t="shared" si="317"/>
        <v>Low Risk</v>
      </c>
      <c r="K6745" s="3" t="str">
        <f t="shared" si="315"/>
        <v>4+ Years</v>
      </c>
    </row>
    <row r="6746" spans="1:11" x14ac:dyDescent="0.3">
      <c r="A6746" t="s">
        <v>6763</v>
      </c>
      <c r="B6746" t="s">
        <v>14</v>
      </c>
      <c r="C6746" t="s">
        <v>10</v>
      </c>
      <c r="D6746" t="s">
        <v>11</v>
      </c>
      <c r="E6746">
        <v>79.900000000000006</v>
      </c>
      <c r="F6746">
        <v>42</v>
      </c>
      <c r="G6746">
        <v>3355.8</v>
      </c>
      <c r="H6746" t="s">
        <v>12</v>
      </c>
      <c r="I6746" t="str">
        <f t="shared" si="316"/>
        <v>Medium Value</v>
      </c>
      <c r="J6746" t="str">
        <f t="shared" si="317"/>
        <v>Low Risk</v>
      </c>
      <c r="K6746" s="3" t="str">
        <f t="shared" si="315"/>
        <v>2-4 Years</v>
      </c>
    </row>
    <row r="6747" spans="1:11" x14ac:dyDescent="0.3">
      <c r="A6747" t="s">
        <v>6764</v>
      </c>
      <c r="B6747" t="s">
        <v>14</v>
      </c>
      <c r="C6747" t="s">
        <v>10</v>
      </c>
      <c r="D6747" t="s">
        <v>20</v>
      </c>
      <c r="E6747">
        <v>89.75</v>
      </c>
      <c r="F6747">
        <v>22</v>
      </c>
      <c r="G6747">
        <v>1974.5</v>
      </c>
      <c r="H6747" t="s">
        <v>12</v>
      </c>
      <c r="I6747" t="str">
        <f t="shared" si="316"/>
        <v>Low Value</v>
      </c>
      <c r="J6747" t="str">
        <f t="shared" si="317"/>
        <v>Medium Risk</v>
      </c>
      <c r="K6747" s="3" t="str">
        <f t="shared" si="315"/>
        <v>1-2 Years</v>
      </c>
    </row>
    <row r="6748" spans="1:11" x14ac:dyDescent="0.3">
      <c r="A6748" t="s">
        <v>6765</v>
      </c>
      <c r="B6748" t="s">
        <v>14</v>
      </c>
      <c r="C6748" t="s">
        <v>15</v>
      </c>
      <c r="D6748" t="s">
        <v>11</v>
      </c>
      <c r="E6748">
        <v>59.3</v>
      </c>
      <c r="F6748">
        <v>51</v>
      </c>
      <c r="G6748">
        <v>3024.2999999999902</v>
      </c>
      <c r="H6748" t="s">
        <v>18</v>
      </c>
      <c r="I6748" t="str">
        <f t="shared" si="316"/>
        <v>Medium Value</v>
      </c>
      <c r="J6748" t="str">
        <f t="shared" si="317"/>
        <v>Low Risk</v>
      </c>
      <c r="K6748" s="3" t="str">
        <f t="shared" si="315"/>
        <v>4+ Years</v>
      </c>
    </row>
    <row r="6749" spans="1:11" x14ac:dyDescent="0.3">
      <c r="A6749" t="s">
        <v>6766</v>
      </c>
      <c r="B6749" t="s">
        <v>14</v>
      </c>
      <c r="C6749" t="s">
        <v>10</v>
      </c>
      <c r="D6749" t="s">
        <v>24</v>
      </c>
      <c r="E6749">
        <v>19.399999999999999</v>
      </c>
      <c r="F6749">
        <v>27</v>
      </c>
      <c r="G6749">
        <v>523.79999999999995</v>
      </c>
      <c r="H6749" t="s">
        <v>12</v>
      </c>
      <c r="I6749" t="str">
        <f t="shared" si="316"/>
        <v>Low Value</v>
      </c>
      <c r="J6749" t="str">
        <f t="shared" si="317"/>
        <v>Low Risk</v>
      </c>
      <c r="K6749" s="3" t="str">
        <f t="shared" si="315"/>
        <v>2-4 Years</v>
      </c>
    </row>
    <row r="6750" spans="1:11" x14ac:dyDescent="0.3">
      <c r="A6750" t="s">
        <v>6767</v>
      </c>
      <c r="B6750" t="s">
        <v>14</v>
      </c>
      <c r="C6750" t="s">
        <v>15</v>
      </c>
      <c r="D6750" t="s">
        <v>20</v>
      </c>
      <c r="E6750">
        <v>93.65</v>
      </c>
      <c r="F6750">
        <v>51</v>
      </c>
      <c r="G6750">
        <v>4776.1499999999996</v>
      </c>
      <c r="H6750" t="s">
        <v>12</v>
      </c>
      <c r="I6750" t="str">
        <f t="shared" si="316"/>
        <v>Medium Value</v>
      </c>
      <c r="J6750" t="str">
        <f t="shared" si="317"/>
        <v>Low Risk</v>
      </c>
      <c r="K6750" s="3" t="str">
        <f t="shared" si="315"/>
        <v>4+ Years</v>
      </c>
    </row>
    <row r="6751" spans="1:11" x14ac:dyDescent="0.3">
      <c r="A6751" t="s">
        <v>6768</v>
      </c>
      <c r="B6751" t="s">
        <v>14</v>
      </c>
      <c r="C6751" t="s">
        <v>10</v>
      </c>
      <c r="D6751" t="s">
        <v>11</v>
      </c>
      <c r="E6751">
        <v>49.4</v>
      </c>
      <c r="F6751">
        <v>4</v>
      </c>
      <c r="G6751">
        <v>197.6</v>
      </c>
      <c r="H6751" t="s">
        <v>18</v>
      </c>
      <c r="I6751" t="str">
        <f t="shared" si="316"/>
        <v>Low Value</v>
      </c>
      <c r="J6751" t="str">
        <f t="shared" si="317"/>
        <v>High Risk</v>
      </c>
      <c r="K6751" s="3" t="str">
        <f t="shared" si="315"/>
        <v>0-1 Year</v>
      </c>
    </row>
    <row r="6752" spans="1:11" x14ac:dyDescent="0.3">
      <c r="A6752" t="s">
        <v>6769</v>
      </c>
      <c r="B6752" t="s">
        <v>14</v>
      </c>
      <c r="C6752" t="s">
        <v>10</v>
      </c>
      <c r="D6752" t="s">
        <v>16</v>
      </c>
      <c r="E6752">
        <v>19.899999999999999</v>
      </c>
      <c r="F6752">
        <v>1</v>
      </c>
      <c r="G6752">
        <v>19.899999999999999</v>
      </c>
      <c r="H6752" t="s">
        <v>12</v>
      </c>
      <c r="I6752" t="str">
        <f t="shared" si="316"/>
        <v>Low Value</v>
      </c>
      <c r="J6752" t="str">
        <f t="shared" si="317"/>
        <v>High Risk</v>
      </c>
      <c r="K6752" s="3" t="str">
        <f t="shared" si="315"/>
        <v>0-1 Year</v>
      </c>
    </row>
    <row r="6753" spans="1:11" x14ac:dyDescent="0.3">
      <c r="A6753" t="s">
        <v>6770</v>
      </c>
      <c r="B6753" t="s">
        <v>14</v>
      </c>
      <c r="C6753" t="s">
        <v>10</v>
      </c>
      <c r="D6753" t="s">
        <v>16</v>
      </c>
      <c r="E6753">
        <v>55</v>
      </c>
      <c r="F6753">
        <v>35</v>
      </c>
      <c r="G6753">
        <v>1925</v>
      </c>
      <c r="H6753" t="s">
        <v>18</v>
      </c>
      <c r="I6753" t="str">
        <f t="shared" si="316"/>
        <v>Low Value</v>
      </c>
      <c r="J6753" t="str">
        <f t="shared" si="317"/>
        <v>Low Risk</v>
      </c>
      <c r="K6753" s="3" t="str">
        <f t="shared" si="315"/>
        <v>2-4 Years</v>
      </c>
    </row>
    <row r="6754" spans="1:11" x14ac:dyDescent="0.3">
      <c r="A6754" t="s">
        <v>6771</v>
      </c>
      <c r="B6754" t="s">
        <v>14</v>
      </c>
      <c r="C6754" t="s">
        <v>15</v>
      </c>
      <c r="D6754" t="s">
        <v>20</v>
      </c>
      <c r="E6754">
        <v>72.900000000000006</v>
      </c>
      <c r="F6754">
        <v>71</v>
      </c>
      <c r="G6754">
        <v>5175.8999999999996</v>
      </c>
      <c r="H6754" t="s">
        <v>12</v>
      </c>
      <c r="I6754" t="str">
        <f t="shared" si="316"/>
        <v>High Value</v>
      </c>
      <c r="J6754" t="str">
        <f t="shared" si="317"/>
        <v>Low Risk</v>
      </c>
      <c r="K6754" s="3" t="str">
        <f t="shared" si="315"/>
        <v>4+ Years</v>
      </c>
    </row>
    <row r="6755" spans="1:11" x14ac:dyDescent="0.3">
      <c r="A6755" t="s">
        <v>6772</v>
      </c>
      <c r="B6755" t="s">
        <v>9</v>
      </c>
      <c r="C6755" t="s">
        <v>10</v>
      </c>
      <c r="D6755" t="s">
        <v>11</v>
      </c>
      <c r="E6755">
        <v>69.2</v>
      </c>
      <c r="F6755">
        <v>1</v>
      </c>
      <c r="G6755">
        <v>69.2</v>
      </c>
      <c r="H6755" t="s">
        <v>18</v>
      </c>
      <c r="I6755" t="str">
        <f t="shared" si="316"/>
        <v>Low Value</v>
      </c>
      <c r="J6755" t="str">
        <f t="shared" si="317"/>
        <v>High Risk</v>
      </c>
      <c r="K6755" s="3" t="str">
        <f t="shared" si="315"/>
        <v>0-1 Year</v>
      </c>
    </row>
    <row r="6756" spans="1:11" x14ac:dyDescent="0.3">
      <c r="A6756" t="s">
        <v>6773</v>
      </c>
      <c r="B6756" t="s">
        <v>9</v>
      </c>
      <c r="C6756" t="s">
        <v>30</v>
      </c>
      <c r="D6756" t="s">
        <v>20</v>
      </c>
      <c r="E6756">
        <v>25.6</v>
      </c>
      <c r="F6756">
        <v>69</v>
      </c>
      <c r="G6756">
        <v>1766.4</v>
      </c>
      <c r="H6756" t="s">
        <v>12</v>
      </c>
      <c r="I6756" t="str">
        <f t="shared" si="316"/>
        <v>Low Value</v>
      </c>
      <c r="J6756" t="str">
        <f t="shared" si="317"/>
        <v>Low Risk</v>
      </c>
      <c r="K6756" s="3" t="str">
        <f t="shared" si="315"/>
        <v>4+ Years</v>
      </c>
    </row>
    <row r="6757" spans="1:11" x14ac:dyDescent="0.3">
      <c r="A6757" t="s">
        <v>6774</v>
      </c>
      <c r="B6757" t="s">
        <v>14</v>
      </c>
      <c r="C6757" t="s">
        <v>15</v>
      </c>
      <c r="D6757" t="s">
        <v>16</v>
      </c>
      <c r="E6757">
        <v>19.75</v>
      </c>
      <c r="F6757">
        <v>14</v>
      </c>
      <c r="G6757">
        <v>276.5</v>
      </c>
      <c r="H6757" t="s">
        <v>12</v>
      </c>
      <c r="I6757" t="str">
        <f t="shared" si="316"/>
        <v>Low Value</v>
      </c>
      <c r="J6757" t="str">
        <f t="shared" si="317"/>
        <v>Medium Risk</v>
      </c>
      <c r="K6757" s="3" t="str">
        <f t="shared" si="315"/>
        <v>1-2 Years</v>
      </c>
    </row>
    <row r="6758" spans="1:11" x14ac:dyDescent="0.3">
      <c r="A6758" t="s">
        <v>6775</v>
      </c>
      <c r="B6758" t="s">
        <v>14</v>
      </c>
      <c r="C6758" t="s">
        <v>10</v>
      </c>
      <c r="D6758" t="s">
        <v>11</v>
      </c>
      <c r="E6758">
        <v>55.7</v>
      </c>
      <c r="F6758">
        <v>57</v>
      </c>
      <c r="G6758">
        <v>3174.9</v>
      </c>
      <c r="H6758" t="s">
        <v>12</v>
      </c>
      <c r="I6758" t="str">
        <f t="shared" si="316"/>
        <v>Medium Value</v>
      </c>
      <c r="J6758" t="str">
        <f t="shared" si="317"/>
        <v>Low Risk</v>
      </c>
      <c r="K6758" s="3" t="str">
        <f t="shared" si="315"/>
        <v>4+ Years</v>
      </c>
    </row>
    <row r="6759" spans="1:11" x14ac:dyDescent="0.3">
      <c r="A6759" t="s">
        <v>6776</v>
      </c>
      <c r="B6759" t="s">
        <v>9</v>
      </c>
      <c r="C6759" t="s">
        <v>30</v>
      </c>
      <c r="D6759" t="s">
        <v>24</v>
      </c>
      <c r="E6759">
        <v>117.5</v>
      </c>
      <c r="F6759">
        <v>72</v>
      </c>
      <c r="G6759">
        <v>8460</v>
      </c>
      <c r="H6759" t="s">
        <v>12</v>
      </c>
      <c r="I6759" t="str">
        <f t="shared" si="316"/>
        <v>High Value</v>
      </c>
      <c r="J6759" t="str">
        <f t="shared" si="317"/>
        <v>Low Risk</v>
      </c>
      <c r="K6759" s="3" t="str">
        <f t="shared" si="315"/>
        <v>4+ Years</v>
      </c>
    </row>
    <row r="6760" spans="1:11" x14ac:dyDescent="0.3">
      <c r="A6760" t="s">
        <v>6777</v>
      </c>
      <c r="B6760" t="s">
        <v>14</v>
      </c>
      <c r="C6760" t="s">
        <v>30</v>
      </c>
      <c r="D6760" t="s">
        <v>24</v>
      </c>
      <c r="E6760">
        <v>19.850000000000001</v>
      </c>
      <c r="F6760">
        <v>48</v>
      </c>
      <c r="G6760">
        <v>952.8</v>
      </c>
      <c r="H6760" t="s">
        <v>12</v>
      </c>
      <c r="I6760" t="str">
        <f t="shared" si="316"/>
        <v>Low Value</v>
      </c>
      <c r="J6760" t="str">
        <f t="shared" si="317"/>
        <v>Low Risk</v>
      </c>
      <c r="K6760" s="3" t="str">
        <f t="shared" si="315"/>
        <v>2-4 Years</v>
      </c>
    </row>
    <row r="6761" spans="1:11" x14ac:dyDescent="0.3">
      <c r="A6761" t="s">
        <v>6778</v>
      </c>
      <c r="B6761" t="s">
        <v>9</v>
      </c>
      <c r="C6761" t="s">
        <v>10</v>
      </c>
      <c r="D6761" t="s">
        <v>16</v>
      </c>
      <c r="E6761">
        <v>78.900000000000006</v>
      </c>
      <c r="F6761">
        <v>4</v>
      </c>
      <c r="G6761">
        <v>315.60000000000002</v>
      </c>
      <c r="H6761" t="s">
        <v>12</v>
      </c>
      <c r="I6761" t="str">
        <f t="shared" si="316"/>
        <v>Low Value</v>
      </c>
      <c r="J6761" t="str">
        <f t="shared" si="317"/>
        <v>High Risk</v>
      </c>
      <c r="K6761" s="3" t="str">
        <f t="shared" si="315"/>
        <v>0-1 Year</v>
      </c>
    </row>
    <row r="6762" spans="1:11" x14ac:dyDescent="0.3">
      <c r="A6762" t="s">
        <v>6779</v>
      </c>
      <c r="B6762" t="s">
        <v>14</v>
      </c>
      <c r="C6762" t="s">
        <v>10</v>
      </c>
      <c r="D6762" t="s">
        <v>11</v>
      </c>
      <c r="E6762">
        <v>20.65</v>
      </c>
      <c r="F6762">
        <v>31</v>
      </c>
      <c r="G6762">
        <v>640.15</v>
      </c>
      <c r="H6762" t="s">
        <v>12</v>
      </c>
      <c r="I6762" t="str">
        <f t="shared" si="316"/>
        <v>Low Value</v>
      </c>
      <c r="J6762" t="str">
        <f t="shared" si="317"/>
        <v>Low Risk</v>
      </c>
      <c r="K6762" s="3" t="str">
        <f t="shared" si="315"/>
        <v>2-4 Years</v>
      </c>
    </row>
    <row r="6763" spans="1:11" x14ac:dyDescent="0.3">
      <c r="A6763" t="s">
        <v>6780</v>
      </c>
      <c r="B6763" t="s">
        <v>14</v>
      </c>
      <c r="C6763" t="s">
        <v>15</v>
      </c>
      <c r="D6763" t="s">
        <v>16</v>
      </c>
      <c r="E6763">
        <v>62.3</v>
      </c>
      <c r="F6763">
        <v>38</v>
      </c>
      <c r="G6763">
        <v>2367.4</v>
      </c>
      <c r="H6763" t="s">
        <v>18</v>
      </c>
      <c r="I6763" t="str">
        <f t="shared" si="316"/>
        <v>Medium Value</v>
      </c>
      <c r="J6763" t="str">
        <f t="shared" si="317"/>
        <v>Low Risk</v>
      </c>
      <c r="K6763" s="3" t="str">
        <f t="shared" si="315"/>
        <v>2-4 Years</v>
      </c>
    </row>
    <row r="6764" spans="1:11" x14ac:dyDescent="0.3">
      <c r="A6764" t="s">
        <v>6781</v>
      </c>
      <c r="B6764" t="s">
        <v>14</v>
      </c>
      <c r="C6764" t="s">
        <v>10</v>
      </c>
      <c r="D6764" t="s">
        <v>11</v>
      </c>
      <c r="E6764">
        <v>92.5</v>
      </c>
      <c r="F6764">
        <v>37</v>
      </c>
      <c r="G6764">
        <v>3422.5</v>
      </c>
      <c r="H6764" t="s">
        <v>18</v>
      </c>
      <c r="I6764" t="str">
        <f t="shared" si="316"/>
        <v>Medium Value</v>
      </c>
      <c r="J6764" t="str">
        <f t="shared" si="317"/>
        <v>Low Risk</v>
      </c>
      <c r="K6764" s="3" t="str">
        <f t="shared" si="315"/>
        <v>2-4 Years</v>
      </c>
    </row>
    <row r="6765" spans="1:11" x14ac:dyDescent="0.3">
      <c r="A6765" t="s">
        <v>6782</v>
      </c>
      <c r="B6765" t="s">
        <v>9</v>
      </c>
      <c r="C6765" t="s">
        <v>10</v>
      </c>
      <c r="D6765" t="s">
        <v>16</v>
      </c>
      <c r="E6765">
        <v>19.649999999999999</v>
      </c>
      <c r="F6765">
        <v>1</v>
      </c>
      <c r="G6765">
        <v>19.649999999999999</v>
      </c>
      <c r="H6765" t="s">
        <v>12</v>
      </c>
      <c r="I6765" t="str">
        <f t="shared" si="316"/>
        <v>Low Value</v>
      </c>
      <c r="J6765" t="str">
        <f t="shared" si="317"/>
        <v>High Risk</v>
      </c>
      <c r="K6765" s="3" t="str">
        <f t="shared" si="315"/>
        <v>0-1 Year</v>
      </c>
    </row>
    <row r="6766" spans="1:11" x14ac:dyDescent="0.3">
      <c r="A6766" t="s">
        <v>6783</v>
      </c>
      <c r="B6766" t="s">
        <v>14</v>
      </c>
      <c r="C6766" t="s">
        <v>30</v>
      </c>
      <c r="D6766" t="s">
        <v>20</v>
      </c>
      <c r="E6766">
        <v>79.75</v>
      </c>
      <c r="F6766">
        <v>57</v>
      </c>
      <c r="G6766">
        <v>4545.75</v>
      </c>
      <c r="H6766" t="s">
        <v>12</v>
      </c>
      <c r="I6766" t="str">
        <f t="shared" si="316"/>
        <v>Medium Value</v>
      </c>
      <c r="J6766" t="str">
        <f t="shared" si="317"/>
        <v>Low Risk</v>
      </c>
      <c r="K6766" s="3" t="str">
        <f t="shared" si="315"/>
        <v>4+ Years</v>
      </c>
    </row>
    <row r="6767" spans="1:11" x14ac:dyDescent="0.3">
      <c r="A6767" t="s">
        <v>6784</v>
      </c>
      <c r="B6767" t="s">
        <v>9</v>
      </c>
      <c r="C6767" t="s">
        <v>30</v>
      </c>
      <c r="D6767" t="s">
        <v>24</v>
      </c>
      <c r="E6767">
        <v>79.95</v>
      </c>
      <c r="F6767">
        <v>62</v>
      </c>
      <c r="G6767">
        <v>4956.8999999999996</v>
      </c>
      <c r="H6767" t="s">
        <v>12</v>
      </c>
      <c r="I6767" t="str">
        <f t="shared" si="316"/>
        <v>Medium Value</v>
      </c>
      <c r="J6767" t="str">
        <f t="shared" si="317"/>
        <v>Low Risk</v>
      </c>
      <c r="K6767" s="3" t="str">
        <f t="shared" si="315"/>
        <v>4+ Years</v>
      </c>
    </row>
    <row r="6768" spans="1:11" x14ac:dyDescent="0.3">
      <c r="A6768" t="s">
        <v>6785</v>
      </c>
      <c r="B6768" t="s">
        <v>14</v>
      </c>
      <c r="C6768" t="s">
        <v>10</v>
      </c>
      <c r="D6768" t="s">
        <v>11</v>
      </c>
      <c r="E6768">
        <v>29.9</v>
      </c>
      <c r="F6768">
        <v>3</v>
      </c>
      <c r="G6768">
        <v>89.699999999999903</v>
      </c>
      <c r="H6768" t="s">
        <v>12</v>
      </c>
      <c r="I6768" t="str">
        <f t="shared" si="316"/>
        <v>Low Value</v>
      </c>
      <c r="J6768" t="str">
        <f t="shared" si="317"/>
        <v>High Risk</v>
      </c>
      <c r="K6768" s="3" t="str">
        <f t="shared" si="315"/>
        <v>0-1 Year</v>
      </c>
    </row>
    <row r="6769" spans="1:11" x14ac:dyDescent="0.3">
      <c r="A6769" t="s">
        <v>6786</v>
      </c>
      <c r="B6769" t="s">
        <v>9</v>
      </c>
      <c r="C6769" t="s">
        <v>30</v>
      </c>
      <c r="D6769" t="s">
        <v>16</v>
      </c>
      <c r="E6769">
        <v>19.75</v>
      </c>
      <c r="F6769">
        <v>72</v>
      </c>
      <c r="G6769">
        <v>1422</v>
      </c>
      <c r="H6769" t="s">
        <v>12</v>
      </c>
      <c r="I6769" t="str">
        <f t="shared" si="316"/>
        <v>Low Value</v>
      </c>
      <c r="J6769" t="str">
        <f t="shared" si="317"/>
        <v>Low Risk</v>
      </c>
      <c r="K6769" s="3" t="str">
        <f t="shared" si="315"/>
        <v>4+ Years</v>
      </c>
    </row>
    <row r="6770" spans="1:11" x14ac:dyDescent="0.3">
      <c r="A6770" t="s">
        <v>6787</v>
      </c>
      <c r="B6770" t="s">
        <v>14</v>
      </c>
      <c r="C6770" t="s">
        <v>10</v>
      </c>
      <c r="D6770" t="s">
        <v>16</v>
      </c>
      <c r="E6770">
        <v>45</v>
      </c>
      <c r="F6770">
        <v>29</v>
      </c>
      <c r="G6770">
        <v>1305</v>
      </c>
      <c r="H6770" t="s">
        <v>12</v>
      </c>
      <c r="I6770" t="str">
        <f t="shared" si="316"/>
        <v>Low Value</v>
      </c>
      <c r="J6770" t="str">
        <f t="shared" si="317"/>
        <v>Low Risk</v>
      </c>
      <c r="K6770" s="3" t="str">
        <f t="shared" si="315"/>
        <v>2-4 Years</v>
      </c>
    </row>
    <row r="6771" spans="1:11" x14ac:dyDescent="0.3">
      <c r="A6771" t="s">
        <v>6788</v>
      </c>
      <c r="B6771" t="s">
        <v>14</v>
      </c>
      <c r="C6771" t="s">
        <v>10</v>
      </c>
      <c r="D6771" t="s">
        <v>20</v>
      </c>
      <c r="E6771">
        <v>44.8</v>
      </c>
      <c r="F6771">
        <v>13</v>
      </c>
      <c r="G6771">
        <v>582.4</v>
      </c>
      <c r="H6771" t="s">
        <v>12</v>
      </c>
      <c r="I6771" t="str">
        <f t="shared" si="316"/>
        <v>Low Value</v>
      </c>
      <c r="J6771" t="str">
        <f t="shared" si="317"/>
        <v>Medium Risk</v>
      </c>
      <c r="K6771" s="3" t="str">
        <f t="shared" si="315"/>
        <v>1-2 Years</v>
      </c>
    </row>
    <row r="6772" spans="1:11" x14ac:dyDescent="0.3">
      <c r="A6772" t="s">
        <v>6789</v>
      </c>
      <c r="B6772" t="s">
        <v>14</v>
      </c>
      <c r="C6772" t="s">
        <v>10</v>
      </c>
      <c r="D6772" t="s">
        <v>11</v>
      </c>
      <c r="E6772">
        <v>69.650000000000006</v>
      </c>
      <c r="F6772">
        <v>3</v>
      </c>
      <c r="G6772">
        <v>208.95</v>
      </c>
      <c r="H6772" t="s">
        <v>18</v>
      </c>
      <c r="I6772" t="str">
        <f t="shared" si="316"/>
        <v>Low Value</v>
      </c>
      <c r="J6772" t="str">
        <f t="shared" si="317"/>
        <v>High Risk</v>
      </c>
      <c r="K6772" s="3" t="str">
        <f t="shared" si="315"/>
        <v>0-1 Year</v>
      </c>
    </row>
    <row r="6773" spans="1:11" x14ac:dyDescent="0.3">
      <c r="A6773" t="s">
        <v>6790</v>
      </c>
      <c r="B6773" t="s">
        <v>9</v>
      </c>
      <c r="C6773" t="s">
        <v>10</v>
      </c>
      <c r="D6773" t="s">
        <v>11</v>
      </c>
      <c r="E6773">
        <v>51.1</v>
      </c>
      <c r="F6773">
        <v>11</v>
      </c>
      <c r="G6773">
        <v>562.1</v>
      </c>
      <c r="H6773" t="s">
        <v>12</v>
      </c>
      <c r="I6773" t="str">
        <f t="shared" si="316"/>
        <v>Low Value</v>
      </c>
      <c r="J6773" t="str">
        <f t="shared" si="317"/>
        <v>High Risk</v>
      </c>
      <c r="K6773" s="3" t="str">
        <f t="shared" si="315"/>
        <v>0-1 Year</v>
      </c>
    </row>
    <row r="6774" spans="1:11" x14ac:dyDescent="0.3">
      <c r="A6774" t="s">
        <v>6791</v>
      </c>
      <c r="B6774" t="s">
        <v>9</v>
      </c>
      <c r="C6774" t="s">
        <v>30</v>
      </c>
      <c r="D6774" t="s">
        <v>16</v>
      </c>
      <c r="E6774">
        <v>53.15</v>
      </c>
      <c r="F6774">
        <v>21</v>
      </c>
      <c r="G6774">
        <v>1116.1499999999901</v>
      </c>
      <c r="H6774" t="s">
        <v>12</v>
      </c>
      <c r="I6774" t="str">
        <f t="shared" si="316"/>
        <v>Low Value</v>
      </c>
      <c r="J6774" t="str">
        <f t="shared" si="317"/>
        <v>Medium Risk</v>
      </c>
      <c r="K6774" s="3" t="str">
        <f t="shared" si="315"/>
        <v>1-2 Years</v>
      </c>
    </row>
    <row r="6775" spans="1:11" x14ac:dyDescent="0.3">
      <c r="A6775" t="s">
        <v>6792</v>
      </c>
      <c r="B6775" t="s">
        <v>9</v>
      </c>
      <c r="C6775" t="s">
        <v>10</v>
      </c>
      <c r="D6775" t="s">
        <v>20</v>
      </c>
      <c r="E6775">
        <v>24.7</v>
      </c>
      <c r="F6775">
        <v>19</v>
      </c>
      <c r="G6775">
        <v>469.3</v>
      </c>
      <c r="H6775" t="s">
        <v>12</v>
      </c>
      <c r="I6775" t="str">
        <f t="shared" si="316"/>
        <v>Low Value</v>
      </c>
      <c r="J6775" t="str">
        <f t="shared" si="317"/>
        <v>Medium Risk</v>
      </c>
      <c r="K6775" s="3" t="str">
        <f t="shared" si="315"/>
        <v>1-2 Years</v>
      </c>
    </row>
    <row r="6776" spans="1:11" x14ac:dyDescent="0.3">
      <c r="A6776" t="s">
        <v>6793</v>
      </c>
      <c r="B6776" t="s">
        <v>14</v>
      </c>
      <c r="C6776" t="s">
        <v>30</v>
      </c>
      <c r="D6776" t="s">
        <v>24</v>
      </c>
      <c r="E6776">
        <v>111.6</v>
      </c>
      <c r="F6776">
        <v>61</v>
      </c>
      <c r="G6776">
        <v>6807.5999999999904</v>
      </c>
      <c r="H6776" t="s">
        <v>18</v>
      </c>
      <c r="I6776" t="str">
        <f t="shared" si="316"/>
        <v>High Value</v>
      </c>
      <c r="J6776" t="str">
        <f t="shared" si="317"/>
        <v>Low Risk</v>
      </c>
      <c r="K6776" s="3" t="str">
        <f t="shared" si="315"/>
        <v>4+ Years</v>
      </c>
    </row>
    <row r="6777" spans="1:11" x14ac:dyDescent="0.3">
      <c r="A6777" t="s">
        <v>6794</v>
      </c>
      <c r="B6777" t="s">
        <v>9</v>
      </c>
      <c r="C6777" t="s">
        <v>10</v>
      </c>
      <c r="D6777" t="s">
        <v>24</v>
      </c>
      <c r="E6777">
        <v>48.55</v>
      </c>
      <c r="F6777">
        <v>11</v>
      </c>
      <c r="G6777">
        <v>534.04999999999995</v>
      </c>
      <c r="H6777" t="s">
        <v>18</v>
      </c>
      <c r="I6777" t="str">
        <f t="shared" si="316"/>
        <v>Low Value</v>
      </c>
      <c r="J6777" t="str">
        <f t="shared" si="317"/>
        <v>High Risk</v>
      </c>
      <c r="K6777" s="3" t="str">
        <f t="shared" si="315"/>
        <v>0-1 Year</v>
      </c>
    </row>
    <row r="6778" spans="1:11" x14ac:dyDescent="0.3">
      <c r="A6778" t="s">
        <v>6795</v>
      </c>
      <c r="B6778" t="s">
        <v>14</v>
      </c>
      <c r="C6778" t="s">
        <v>10</v>
      </c>
      <c r="D6778" t="s">
        <v>11</v>
      </c>
      <c r="E6778">
        <v>109.95</v>
      </c>
      <c r="F6778">
        <v>35</v>
      </c>
      <c r="G6778">
        <v>3848.25</v>
      </c>
      <c r="H6778" t="s">
        <v>12</v>
      </c>
      <c r="I6778" t="str">
        <f t="shared" si="316"/>
        <v>Medium Value</v>
      </c>
      <c r="J6778" t="str">
        <f t="shared" si="317"/>
        <v>Low Risk</v>
      </c>
      <c r="K6778" s="3" t="str">
        <f t="shared" si="315"/>
        <v>2-4 Years</v>
      </c>
    </row>
    <row r="6779" spans="1:11" x14ac:dyDescent="0.3">
      <c r="A6779" t="s">
        <v>6796</v>
      </c>
      <c r="B6779" t="s">
        <v>14</v>
      </c>
      <c r="C6779" t="s">
        <v>10</v>
      </c>
      <c r="D6779" t="s">
        <v>16</v>
      </c>
      <c r="E6779">
        <v>20.8</v>
      </c>
      <c r="F6779">
        <v>25</v>
      </c>
      <c r="G6779">
        <v>520</v>
      </c>
      <c r="H6779" t="s">
        <v>12</v>
      </c>
      <c r="I6779" t="str">
        <f t="shared" si="316"/>
        <v>Low Value</v>
      </c>
      <c r="J6779" t="str">
        <f t="shared" si="317"/>
        <v>Low Risk</v>
      </c>
      <c r="K6779" s="3" t="str">
        <f t="shared" si="315"/>
        <v>2-4 Years</v>
      </c>
    </row>
    <row r="6780" spans="1:11" x14ac:dyDescent="0.3">
      <c r="A6780" t="s">
        <v>6797</v>
      </c>
      <c r="B6780" t="s">
        <v>9</v>
      </c>
      <c r="C6780" t="s">
        <v>10</v>
      </c>
      <c r="D6780" t="s">
        <v>16</v>
      </c>
      <c r="E6780">
        <v>20.2</v>
      </c>
      <c r="F6780">
        <v>1</v>
      </c>
      <c r="G6780">
        <v>20.2</v>
      </c>
      <c r="H6780" t="s">
        <v>18</v>
      </c>
      <c r="I6780" t="str">
        <f t="shared" si="316"/>
        <v>Low Value</v>
      </c>
      <c r="J6780" t="str">
        <f t="shared" si="317"/>
        <v>High Risk</v>
      </c>
      <c r="K6780" s="3" t="str">
        <f t="shared" si="315"/>
        <v>0-1 Year</v>
      </c>
    </row>
    <row r="6781" spans="1:11" x14ac:dyDescent="0.3">
      <c r="A6781" t="s">
        <v>6798</v>
      </c>
      <c r="B6781" t="s">
        <v>9</v>
      </c>
      <c r="C6781" t="s">
        <v>30</v>
      </c>
      <c r="D6781" t="s">
        <v>20</v>
      </c>
      <c r="E6781">
        <v>25.6</v>
      </c>
      <c r="F6781">
        <v>67</v>
      </c>
      <c r="G6781">
        <v>1715.2</v>
      </c>
      <c r="H6781" t="s">
        <v>12</v>
      </c>
      <c r="I6781" t="str">
        <f t="shared" si="316"/>
        <v>Low Value</v>
      </c>
      <c r="J6781" t="str">
        <f t="shared" si="317"/>
        <v>Low Risk</v>
      </c>
      <c r="K6781" s="3" t="str">
        <f t="shared" si="315"/>
        <v>4+ Years</v>
      </c>
    </row>
    <row r="6782" spans="1:11" x14ac:dyDescent="0.3">
      <c r="A6782" t="s">
        <v>6799</v>
      </c>
      <c r="B6782" t="s">
        <v>14</v>
      </c>
      <c r="C6782" t="s">
        <v>10</v>
      </c>
      <c r="D6782" t="s">
        <v>11</v>
      </c>
      <c r="E6782">
        <v>39.65</v>
      </c>
      <c r="F6782">
        <v>19</v>
      </c>
      <c r="G6782">
        <v>753.35</v>
      </c>
      <c r="H6782" t="s">
        <v>18</v>
      </c>
      <c r="I6782" t="str">
        <f t="shared" si="316"/>
        <v>Low Value</v>
      </c>
      <c r="J6782" t="str">
        <f t="shared" si="317"/>
        <v>Medium Risk</v>
      </c>
      <c r="K6782" s="3" t="str">
        <f t="shared" si="315"/>
        <v>1-2 Years</v>
      </c>
    </row>
    <row r="6783" spans="1:11" x14ac:dyDescent="0.3">
      <c r="A6783" t="s">
        <v>6800</v>
      </c>
      <c r="B6783" t="s">
        <v>14</v>
      </c>
      <c r="C6783" t="s">
        <v>15</v>
      </c>
      <c r="D6783" t="s">
        <v>11</v>
      </c>
      <c r="E6783">
        <v>24.9</v>
      </c>
      <c r="F6783">
        <v>56</v>
      </c>
      <c r="G6783">
        <v>1394.3999999999901</v>
      </c>
      <c r="H6783" t="s">
        <v>18</v>
      </c>
      <c r="I6783" t="str">
        <f t="shared" si="316"/>
        <v>Low Value</v>
      </c>
      <c r="J6783" t="str">
        <f t="shared" si="317"/>
        <v>Low Risk</v>
      </c>
      <c r="K6783" s="3" t="str">
        <f t="shared" si="315"/>
        <v>4+ Years</v>
      </c>
    </row>
    <row r="6784" spans="1:11" x14ac:dyDescent="0.3">
      <c r="A6784" t="s">
        <v>6801</v>
      </c>
      <c r="B6784" t="s">
        <v>14</v>
      </c>
      <c r="C6784" t="s">
        <v>30</v>
      </c>
      <c r="D6784" t="s">
        <v>24</v>
      </c>
      <c r="E6784">
        <v>108.4</v>
      </c>
      <c r="F6784">
        <v>72</v>
      </c>
      <c r="G6784">
        <v>7804.8</v>
      </c>
      <c r="H6784" t="s">
        <v>12</v>
      </c>
      <c r="I6784" t="str">
        <f t="shared" si="316"/>
        <v>High Value</v>
      </c>
      <c r="J6784" t="str">
        <f t="shared" si="317"/>
        <v>Low Risk</v>
      </c>
      <c r="K6784" s="3" t="str">
        <f t="shared" si="315"/>
        <v>4+ Years</v>
      </c>
    </row>
    <row r="6785" spans="1:11" x14ac:dyDescent="0.3">
      <c r="A6785" t="s">
        <v>6802</v>
      </c>
      <c r="B6785" t="s">
        <v>14</v>
      </c>
      <c r="C6785" t="s">
        <v>30</v>
      </c>
      <c r="D6785" t="s">
        <v>16</v>
      </c>
      <c r="E6785">
        <v>19.55</v>
      </c>
      <c r="F6785">
        <v>43</v>
      </c>
      <c r="G6785">
        <v>840.65</v>
      </c>
      <c r="H6785" t="s">
        <v>12</v>
      </c>
      <c r="I6785" t="str">
        <f t="shared" si="316"/>
        <v>Low Value</v>
      </c>
      <c r="J6785" t="str">
        <f t="shared" si="317"/>
        <v>Low Risk</v>
      </c>
      <c r="K6785" s="3" t="str">
        <f t="shared" si="315"/>
        <v>2-4 Years</v>
      </c>
    </row>
    <row r="6786" spans="1:11" x14ac:dyDescent="0.3">
      <c r="A6786" t="s">
        <v>6803</v>
      </c>
      <c r="B6786" t="s">
        <v>9</v>
      </c>
      <c r="C6786" t="s">
        <v>10</v>
      </c>
      <c r="D6786" t="s">
        <v>11</v>
      </c>
      <c r="E6786">
        <v>85.1</v>
      </c>
      <c r="F6786">
        <v>55</v>
      </c>
      <c r="G6786">
        <v>4680.5</v>
      </c>
      <c r="H6786" t="s">
        <v>12</v>
      </c>
      <c r="I6786" t="str">
        <f t="shared" si="316"/>
        <v>Medium Value</v>
      </c>
      <c r="J6786" t="str">
        <f t="shared" si="317"/>
        <v>Low Risk</v>
      </c>
      <c r="K6786" s="3" t="str">
        <f t="shared" si="315"/>
        <v>4+ Years</v>
      </c>
    </row>
    <row r="6787" spans="1:11" x14ac:dyDescent="0.3">
      <c r="A6787" t="s">
        <v>6804</v>
      </c>
      <c r="B6787" t="s">
        <v>14</v>
      </c>
      <c r="C6787" t="s">
        <v>10</v>
      </c>
      <c r="D6787" t="s">
        <v>16</v>
      </c>
      <c r="E6787">
        <v>56.7</v>
      </c>
      <c r="F6787">
        <v>2</v>
      </c>
      <c r="G6787">
        <v>113.4</v>
      </c>
      <c r="H6787" t="s">
        <v>18</v>
      </c>
      <c r="I6787" t="str">
        <f t="shared" si="316"/>
        <v>Low Value</v>
      </c>
      <c r="J6787" t="str">
        <f t="shared" si="317"/>
        <v>High Risk</v>
      </c>
      <c r="K6787" s="3" t="str">
        <f t="shared" ref="K6787:K6850" si="318">IF(F6787&lt;=12,"0-1 Year",
IF(F6787&lt;=24,"1-2 Years",
IF(F6787&lt;=48,"2-4 Years","4+ Years")))</f>
        <v>0-1 Year</v>
      </c>
    </row>
    <row r="6788" spans="1:11" x14ac:dyDescent="0.3">
      <c r="A6788" t="s">
        <v>6805</v>
      </c>
      <c r="B6788" t="s">
        <v>14</v>
      </c>
      <c r="C6788" t="s">
        <v>10</v>
      </c>
      <c r="D6788" t="s">
        <v>16</v>
      </c>
      <c r="E6788">
        <v>69.05</v>
      </c>
      <c r="F6788">
        <v>27</v>
      </c>
      <c r="G6788">
        <v>1864.35</v>
      </c>
      <c r="H6788" t="s">
        <v>12</v>
      </c>
      <c r="I6788" t="str">
        <f t="shared" ref="I6788:I6851" si="319">IF(G6788&gt;5000,"High Value",
IF(G6788&gt;2000,"Medium Value","Low Value"))</f>
        <v>Low Value</v>
      </c>
      <c r="J6788" t="str">
        <f t="shared" ref="J6788:J6851" si="320">IF(F6788&lt;12,"High Risk",
IF(F6788&lt;24,"Medium Risk","Low Risk"))</f>
        <v>Low Risk</v>
      </c>
      <c r="K6788" s="3" t="str">
        <f t="shared" si="318"/>
        <v>2-4 Years</v>
      </c>
    </row>
    <row r="6789" spans="1:11" x14ac:dyDescent="0.3">
      <c r="A6789" t="s">
        <v>6806</v>
      </c>
      <c r="B6789" t="s">
        <v>9</v>
      </c>
      <c r="C6789" t="s">
        <v>10</v>
      </c>
      <c r="D6789" t="s">
        <v>16</v>
      </c>
      <c r="E6789">
        <v>70.150000000000006</v>
      </c>
      <c r="F6789">
        <v>13</v>
      </c>
      <c r="G6789">
        <v>911.95</v>
      </c>
      <c r="H6789" t="s">
        <v>12</v>
      </c>
      <c r="I6789" t="str">
        <f t="shared" si="319"/>
        <v>Low Value</v>
      </c>
      <c r="J6789" t="str">
        <f t="shared" si="320"/>
        <v>Medium Risk</v>
      </c>
      <c r="K6789" s="3" t="str">
        <f t="shared" si="318"/>
        <v>1-2 Years</v>
      </c>
    </row>
    <row r="6790" spans="1:11" x14ac:dyDescent="0.3">
      <c r="A6790" t="s">
        <v>6807</v>
      </c>
      <c r="B6790" t="s">
        <v>9</v>
      </c>
      <c r="C6790" t="s">
        <v>30</v>
      </c>
      <c r="D6790" t="s">
        <v>16</v>
      </c>
      <c r="E6790">
        <v>111.15</v>
      </c>
      <c r="F6790">
        <v>70</v>
      </c>
      <c r="G6790">
        <v>7780.5</v>
      </c>
      <c r="H6790" t="s">
        <v>12</v>
      </c>
      <c r="I6790" t="str">
        <f t="shared" si="319"/>
        <v>High Value</v>
      </c>
      <c r="J6790" t="str">
        <f t="shared" si="320"/>
        <v>Low Risk</v>
      </c>
      <c r="K6790" s="3" t="str">
        <f t="shared" si="318"/>
        <v>4+ Years</v>
      </c>
    </row>
    <row r="6791" spans="1:11" x14ac:dyDescent="0.3">
      <c r="A6791" t="s">
        <v>6808</v>
      </c>
      <c r="B6791" t="s">
        <v>9</v>
      </c>
      <c r="C6791" t="s">
        <v>15</v>
      </c>
      <c r="D6791" t="s">
        <v>16</v>
      </c>
      <c r="E6791">
        <v>105.95</v>
      </c>
      <c r="F6791">
        <v>14</v>
      </c>
      <c r="G6791">
        <v>1483.3</v>
      </c>
      <c r="H6791" t="s">
        <v>18</v>
      </c>
      <c r="I6791" t="str">
        <f t="shared" si="319"/>
        <v>Low Value</v>
      </c>
      <c r="J6791" t="str">
        <f t="shared" si="320"/>
        <v>Medium Risk</v>
      </c>
      <c r="K6791" s="3" t="str">
        <f t="shared" si="318"/>
        <v>1-2 Years</v>
      </c>
    </row>
    <row r="6792" spans="1:11" x14ac:dyDescent="0.3">
      <c r="A6792" t="s">
        <v>6809</v>
      </c>
      <c r="B6792" t="s">
        <v>9</v>
      </c>
      <c r="C6792" t="s">
        <v>15</v>
      </c>
      <c r="D6792" t="s">
        <v>20</v>
      </c>
      <c r="E6792">
        <v>89.35</v>
      </c>
      <c r="F6792">
        <v>19</v>
      </c>
      <c r="G6792">
        <v>1697.6499999999901</v>
      </c>
      <c r="H6792" t="s">
        <v>12</v>
      </c>
      <c r="I6792" t="str">
        <f t="shared" si="319"/>
        <v>Low Value</v>
      </c>
      <c r="J6792" t="str">
        <f t="shared" si="320"/>
        <v>Medium Risk</v>
      </c>
      <c r="K6792" s="3" t="str">
        <f t="shared" si="318"/>
        <v>1-2 Years</v>
      </c>
    </row>
    <row r="6793" spans="1:11" x14ac:dyDescent="0.3">
      <c r="A6793" t="s">
        <v>6810</v>
      </c>
      <c r="B6793" t="s">
        <v>9</v>
      </c>
      <c r="C6793" t="s">
        <v>10</v>
      </c>
      <c r="D6793" t="s">
        <v>20</v>
      </c>
      <c r="E6793">
        <v>89.1</v>
      </c>
      <c r="F6793">
        <v>20</v>
      </c>
      <c r="G6793">
        <v>1782</v>
      </c>
      <c r="H6793" t="s">
        <v>12</v>
      </c>
      <c r="I6793" t="str">
        <f t="shared" si="319"/>
        <v>Low Value</v>
      </c>
      <c r="J6793" t="str">
        <f t="shared" si="320"/>
        <v>Medium Risk</v>
      </c>
      <c r="K6793" s="3" t="str">
        <f t="shared" si="318"/>
        <v>1-2 Years</v>
      </c>
    </row>
    <row r="6794" spans="1:11" x14ac:dyDescent="0.3">
      <c r="A6794" t="s">
        <v>6811</v>
      </c>
      <c r="B6794" t="s">
        <v>14</v>
      </c>
      <c r="C6794" t="s">
        <v>15</v>
      </c>
      <c r="D6794" t="s">
        <v>24</v>
      </c>
      <c r="E6794">
        <v>91.25</v>
      </c>
      <c r="F6794">
        <v>43</v>
      </c>
      <c r="G6794">
        <v>3923.75</v>
      </c>
      <c r="H6794" t="s">
        <v>12</v>
      </c>
      <c r="I6794" t="str">
        <f t="shared" si="319"/>
        <v>Medium Value</v>
      </c>
      <c r="J6794" t="str">
        <f t="shared" si="320"/>
        <v>Low Risk</v>
      </c>
      <c r="K6794" s="3" t="str">
        <f t="shared" si="318"/>
        <v>2-4 Years</v>
      </c>
    </row>
    <row r="6795" spans="1:11" x14ac:dyDescent="0.3">
      <c r="A6795" t="s">
        <v>6812</v>
      </c>
      <c r="B6795" t="s">
        <v>14</v>
      </c>
      <c r="C6795" t="s">
        <v>10</v>
      </c>
      <c r="D6795" t="s">
        <v>16</v>
      </c>
      <c r="E6795">
        <v>90.35</v>
      </c>
      <c r="F6795">
        <v>5</v>
      </c>
      <c r="G6795">
        <v>451.75</v>
      </c>
      <c r="H6795" t="s">
        <v>12</v>
      </c>
      <c r="I6795" t="str">
        <f t="shared" si="319"/>
        <v>Low Value</v>
      </c>
      <c r="J6795" t="str">
        <f t="shared" si="320"/>
        <v>High Risk</v>
      </c>
      <c r="K6795" s="3" t="str">
        <f t="shared" si="318"/>
        <v>0-1 Year</v>
      </c>
    </row>
    <row r="6796" spans="1:11" x14ac:dyDescent="0.3">
      <c r="A6796" t="s">
        <v>6813</v>
      </c>
      <c r="B6796" t="s">
        <v>9</v>
      </c>
      <c r="C6796" t="s">
        <v>15</v>
      </c>
      <c r="D6796" t="s">
        <v>20</v>
      </c>
      <c r="E6796">
        <v>105.55</v>
      </c>
      <c r="F6796">
        <v>70</v>
      </c>
      <c r="G6796">
        <v>7388.5</v>
      </c>
      <c r="H6796" t="s">
        <v>12</v>
      </c>
      <c r="I6796" t="str">
        <f t="shared" si="319"/>
        <v>High Value</v>
      </c>
      <c r="J6796" t="str">
        <f t="shared" si="320"/>
        <v>Low Risk</v>
      </c>
      <c r="K6796" s="3" t="str">
        <f t="shared" si="318"/>
        <v>4+ Years</v>
      </c>
    </row>
    <row r="6797" spans="1:11" x14ac:dyDescent="0.3">
      <c r="A6797" t="s">
        <v>6814</v>
      </c>
      <c r="B6797" t="s">
        <v>9</v>
      </c>
      <c r="C6797" t="s">
        <v>30</v>
      </c>
      <c r="D6797" t="s">
        <v>16</v>
      </c>
      <c r="E6797">
        <v>19.100000000000001</v>
      </c>
      <c r="F6797">
        <v>40</v>
      </c>
      <c r="G6797">
        <v>764</v>
      </c>
      <c r="H6797" t="s">
        <v>12</v>
      </c>
      <c r="I6797" t="str">
        <f t="shared" si="319"/>
        <v>Low Value</v>
      </c>
      <c r="J6797" t="str">
        <f t="shared" si="320"/>
        <v>Low Risk</v>
      </c>
      <c r="K6797" s="3" t="str">
        <f t="shared" si="318"/>
        <v>2-4 Years</v>
      </c>
    </row>
    <row r="6798" spans="1:11" x14ac:dyDescent="0.3">
      <c r="A6798" t="s">
        <v>6815</v>
      </c>
      <c r="B6798" t="s">
        <v>14</v>
      </c>
      <c r="C6798" t="s">
        <v>30</v>
      </c>
      <c r="D6798" t="s">
        <v>24</v>
      </c>
      <c r="E6798">
        <v>20.399999999999999</v>
      </c>
      <c r="F6798">
        <v>6</v>
      </c>
      <c r="G6798">
        <v>122.399999999999</v>
      </c>
      <c r="H6798" t="s">
        <v>12</v>
      </c>
      <c r="I6798" t="str">
        <f t="shared" si="319"/>
        <v>Low Value</v>
      </c>
      <c r="J6798" t="str">
        <f t="shared" si="320"/>
        <v>High Risk</v>
      </c>
      <c r="K6798" s="3" t="str">
        <f t="shared" si="318"/>
        <v>0-1 Year</v>
      </c>
    </row>
    <row r="6799" spans="1:11" x14ac:dyDescent="0.3">
      <c r="A6799" t="s">
        <v>6816</v>
      </c>
      <c r="B6799" t="s">
        <v>14</v>
      </c>
      <c r="C6799" t="s">
        <v>30</v>
      </c>
      <c r="D6799" t="s">
        <v>11</v>
      </c>
      <c r="E6799">
        <v>100.45</v>
      </c>
      <c r="F6799">
        <v>39</v>
      </c>
      <c r="G6799">
        <v>3917.55</v>
      </c>
      <c r="H6799" t="s">
        <v>12</v>
      </c>
      <c r="I6799" t="str">
        <f t="shared" si="319"/>
        <v>Medium Value</v>
      </c>
      <c r="J6799" t="str">
        <f t="shared" si="320"/>
        <v>Low Risk</v>
      </c>
      <c r="K6799" s="3" t="str">
        <f t="shared" si="318"/>
        <v>2-4 Years</v>
      </c>
    </row>
    <row r="6800" spans="1:11" x14ac:dyDescent="0.3">
      <c r="A6800" t="s">
        <v>6817</v>
      </c>
      <c r="B6800" t="s">
        <v>14</v>
      </c>
      <c r="C6800" t="s">
        <v>10</v>
      </c>
      <c r="D6800" t="s">
        <v>11</v>
      </c>
      <c r="E6800">
        <v>74.95</v>
      </c>
      <c r="F6800">
        <v>4</v>
      </c>
      <c r="G6800">
        <v>299.8</v>
      </c>
      <c r="H6800" t="s">
        <v>18</v>
      </c>
      <c r="I6800" t="str">
        <f t="shared" si="319"/>
        <v>Low Value</v>
      </c>
      <c r="J6800" t="str">
        <f t="shared" si="320"/>
        <v>High Risk</v>
      </c>
      <c r="K6800" s="3" t="str">
        <f t="shared" si="318"/>
        <v>0-1 Year</v>
      </c>
    </row>
    <row r="6801" spans="1:11" x14ac:dyDescent="0.3">
      <c r="A6801" t="s">
        <v>6818</v>
      </c>
      <c r="B6801" t="s">
        <v>14</v>
      </c>
      <c r="C6801" t="s">
        <v>10</v>
      </c>
      <c r="D6801" t="s">
        <v>11</v>
      </c>
      <c r="E6801">
        <v>29.7</v>
      </c>
      <c r="F6801">
        <v>15</v>
      </c>
      <c r="G6801">
        <v>445.5</v>
      </c>
      <c r="H6801" t="s">
        <v>18</v>
      </c>
      <c r="I6801" t="str">
        <f t="shared" si="319"/>
        <v>Low Value</v>
      </c>
      <c r="J6801" t="str">
        <f t="shared" si="320"/>
        <v>Medium Risk</v>
      </c>
      <c r="K6801" s="3" t="str">
        <f t="shared" si="318"/>
        <v>1-2 Years</v>
      </c>
    </row>
    <row r="6802" spans="1:11" x14ac:dyDescent="0.3">
      <c r="A6802" t="s">
        <v>6819</v>
      </c>
      <c r="B6802" t="s">
        <v>14</v>
      </c>
      <c r="C6802" t="s">
        <v>10</v>
      </c>
      <c r="D6802" t="s">
        <v>11</v>
      </c>
      <c r="E6802">
        <v>50.35</v>
      </c>
      <c r="F6802">
        <v>1</v>
      </c>
      <c r="G6802">
        <v>50.35</v>
      </c>
      <c r="H6802" t="s">
        <v>18</v>
      </c>
      <c r="I6802" t="str">
        <f t="shared" si="319"/>
        <v>Low Value</v>
      </c>
      <c r="J6802" t="str">
        <f t="shared" si="320"/>
        <v>High Risk</v>
      </c>
      <c r="K6802" s="3" t="str">
        <f t="shared" si="318"/>
        <v>0-1 Year</v>
      </c>
    </row>
    <row r="6803" spans="1:11" x14ac:dyDescent="0.3">
      <c r="A6803" t="s">
        <v>6820</v>
      </c>
      <c r="B6803" t="s">
        <v>9</v>
      </c>
      <c r="C6803" t="s">
        <v>10</v>
      </c>
      <c r="D6803" t="s">
        <v>20</v>
      </c>
      <c r="E6803">
        <v>85.7</v>
      </c>
      <c r="F6803">
        <v>45</v>
      </c>
      <c r="G6803">
        <v>3856.5</v>
      </c>
      <c r="H6803" t="s">
        <v>12</v>
      </c>
      <c r="I6803" t="str">
        <f t="shared" si="319"/>
        <v>Medium Value</v>
      </c>
      <c r="J6803" t="str">
        <f t="shared" si="320"/>
        <v>Low Risk</v>
      </c>
      <c r="K6803" s="3" t="str">
        <f t="shared" si="318"/>
        <v>2-4 Years</v>
      </c>
    </row>
    <row r="6804" spans="1:11" x14ac:dyDescent="0.3">
      <c r="A6804" t="s">
        <v>6821</v>
      </c>
      <c r="B6804" t="s">
        <v>9</v>
      </c>
      <c r="C6804" t="s">
        <v>30</v>
      </c>
      <c r="D6804" t="s">
        <v>11</v>
      </c>
      <c r="E6804">
        <v>47.85</v>
      </c>
      <c r="F6804">
        <v>64</v>
      </c>
      <c r="G6804">
        <v>3062.4</v>
      </c>
      <c r="H6804" t="s">
        <v>18</v>
      </c>
      <c r="I6804" t="str">
        <f t="shared" si="319"/>
        <v>Medium Value</v>
      </c>
      <c r="J6804" t="str">
        <f t="shared" si="320"/>
        <v>Low Risk</v>
      </c>
      <c r="K6804" s="3" t="str">
        <f t="shared" si="318"/>
        <v>4+ Years</v>
      </c>
    </row>
    <row r="6805" spans="1:11" x14ac:dyDescent="0.3">
      <c r="A6805" t="s">
        <v>6822</v>
      </c>
      <c r="B6805" t="s">
        <v>9</v>
      </c>
      <c r="C6805" t="s">
        <v>10</v>
      </c>
      <c r="D6805" t="s">
        <v>24</v>
      </c>
      <c r="E6805">
        <v>94</v>
      </c>
      <c r="F6805">
        <v>57</v>
      </c>
      <c r="G6805">
        <v>5358</v>
      </c>
      <c r="H6805" t="s">
        <v>12</v>
      </c>
      <c r="I6805" t="str">
        <f t="shared" si="319"/>
        <v>High Value</v>
      </c>
      <c r="J6805" t="str">
        <f t="shared" si="320"/>
        <v>Low Risk</v>
      </c>
      <c r="K6805" s="3" t="str">
        <f t="shared" si="318"/>
        <v>4+ Years</v>
      </c>
    </row>
    <row r="6806" spans="1:11" x14ac:dyDescent="0.3">
      <c r="A6806" t="s">
        <v>6823</v>
      </c>
      <c r="B6806" t="s">
        <v>14</v>
      </c>
      <c r="C6806" t="s">
        <v>30</v>
      </c>
      <c r="D6806" t="s">
        <v>20</v>
      </c>
      <c r="E6806">
        <v>69.849999999999994</v>
      </c>
      <c r="F6806">
        <v>72</v>
      </c>
      <c r="G6806">
        <v>5029.2</v>
      </c>
      <c r="H6806" t="s">
        <v>12</v>
      </c>
      <c r="I6806" t="str">
        <f t="shared" si="319"/>
        <v>High Value</v>
      </c>
      <c r="J6806" t="str">
        <f t="shared" si="320"/>
        <v>Low Risk</v>
      </c>
      <c r="K6806" s="3" t="str">
        <f t="shared" si="318"/>
        <v>4+ Years</v>
      </c>
    </row>
    <row r="6807" spans="1:11" x14ac:dyDescent="0.3">
      <c r="A6807" t="s">
        <v>6824</v>
      </c>
      <c r="B6807" t="s">
        <v>14</v>
      </c>
      <c r="C6807" t="s">
        <v>10</v>
      </c>
      <c r="D6807" t="s">
        <v>11</v>
      </c>
      <c r="E6807">
        <v>70.3</v>
      </c>
      <c r="F6807">
        <v>1</v>
      </c>
      <c r="G6807">
        <v>70.3</v>
      </c>
      <c r="H6807" t="s">
        <v>18</v>
      </c>
      <c r="I6807" t="str">
        <f t="shared" si="319"/>
        <v>Low Value</v>
      </c>
      <c r="J6807" t="str">
        <f t="shared" si="320"/>
        <v>High Risk</v>
      </c>
      <c r="K6807" s="3" t="str">
        <f t="shared" si="318"/>
        <v>0-1 Year</v>
      </c>
    </row>
    <row r="6808" spans="1:11" x14ac:dyDescent="0.3">
      <c r="A6808" t="s">
        <v>6825</v>
      </c>
      <c r="B6808" t="s">
        <v>14</v>
      </c>
      <c r="C6808" t="s">
        <v>30</v>
      </c>
      <c r="D6808" t="s">
        <v>24</v>
      </c>
      <c r="E6808">
        <v>25.85</v>
      </c>
      <c r="F6808">
        <v>72</v>
      </c>
      <c r="G6808">
        <v>1861.2</v>
      </c>
      <c r="H6808" t="s">
        <v>12</v>
      </c>
      <c r="I6808" t="str">
        <f t="shared" si="319"/>
        <v>Low Value</v>
      </c>
      <c r="J6808" t="str">
        <f t="shared" si="320"/>
        <v>Low Risk</v>
      </c>
      <c r="K6808" s="3" t="str">
        <f t="shared" si="318"/>
        <v>4+ Years</v>
      </c>
    </row>
    <row r="6809" spans="1:11" x14ac:dyDescent="0.3">
      <c r="A6809" t="s">
        <v>6826</v>
      </c>
      <c r="B6809" t="s">
        <v>9</v>
      </c>
      <c r="C6809" t="s">
        <v>30</v>
      </c>
      <c r="D6809" t="s">
        <v>16</v>
      </c>
      <c r="E6809">
        <v>71.099999999999994</v>
      </c>
      <c r="F6809">
        <v>3</v>
      </c>
      <c r="G6809">
        <v>213.29999999999899</v>
      </c>
      <c r="H6809" t="s">
        <v>12</v>
      </c>
      <c r="I6809" t="str">
        <f t="shared" si="319"/>
        <v>Low Value</v>
      </c>
      <c r="J6809" t="str">
        <f t="shared" si="320"/>
        <v>High Risk</v>
      </c>
      <c r="K6809" s="3" t="str">
        <f t="shared" si="318"/>
        <v>0-1 Year</v>
      </c>
    </row>
    <row r="6810" spans="1:11" x14ac:dyDescent="0.3">
      <c r="A6810" t="s">
        <v>6827</v>
      </c>
      <c r="B6810" t="s">
        <v>14</v>
      </c>
      <c r="C6810" t="s">
        <v>10</v>
      </c>
      <c r="D6810" t="s">
        <v>11</v>
      </c>
      <c r="E6810">
        <v>98.8</v>
      </c>
      <c r="F6810">
        <v>55</v>
      </c>
      <c r="G6810">
        <v>5434</v>
      </c>
      <c r="H6810" t="s">
        <v>18</v>
      </c>
      <c r="I6810" t="str">
        <f t="shared" si="319"/>
        <v>High Value</v>
      </c>
      <c r="J6810" t="str">
        <f t="shared" si="320"/>
        <v>Low Risk</v>
      </c>
      <c r="K6810" s="3" t="str">
        <f t="shared" si="318"/>
        <v>4+ Years</v>
      </c>
    </row>
    <row r="6811" spans="1:11" x14ac:dyDescent="0.3">
      <c r="A6811" t="s">
        <v>6828</v>
      </c>
      <c r="B6811" t="s">
        <v>9</v>
      </c>
      <c r="C6811" t="s">
        <v>10</v>
      </c>
      <c r="D6811" t="s">
        <v>11</v>
      </c>
      <c r="E6811">
        <v>93.35</v>
      </c>
      <c r="F6811">
        <v>59</v>
      </c>
      <c r="G6811">
        <v>5507.65</v>
      </c>
      <c r="H6811" t="s">
        <v>12</v>
      </c>
      <c r="I6811" t="str">
        <f t="shared" si="319"/>
        <v>High Value</v>
      </c>
      <c r="J6811" t="str">
        <f t="shared" si="320"/>
        <v>Low Risk</v>
      </c>
      <c r="K6811" s="3" t="str">
        <f t="shared" si="318"/>
        <v>4+ Years</v>
      </c>
    </row>
    <row r="6812" spans="1:11" x14ac:dyDescent="0.3">
      <c r="A6812" t="s">
        <v>6829</v>
      </c>
      <c r="B6812" t="s">
        <v>9</v>
      </c>
      <c r="C6812" t="s">
        <v>10</v>
      </c>
      <c r="D6812" t="s">
        <v>20</v>
      </c>
      <c r="E6812">
        <v>99.85</v>
      </c>
      <c r="F6812">
        <v>18</v>
      </c>
      <c r="G6812">
        <v>1797.3</v>
      </c>
      <c r="H6812" t="s">
        <v>18</v>
      </c>
      <c r="I6812" t="str">
        <f t="shared" si="319"/>
        <v>Low Value</v>
      </c>
      <c r="J6812" t="str">
        <f t="shared" si="320"/>
        <v>Medium Risk</v>
      </c>
      <c r="K6812" s="3" t="str">
        <f t="shared" si="318"/>
        <v>1-2 Years</v>
      </c>
    </row>
    <row r="6813" spans="1:11" x14ac:dyDescent="0.3">
      <c r="A6813" t="s">
        <v>6830</v>
      </c>
      <c r="B6813" t="s">
        <v>14</v>
      </c>
      <c r="C6813" t="s">
        <v>10</v>
      </c>
      <c r="D6813" t="s">
        <v>24</v>
      </c>
      <c r="E6813">
        <v>80.3</v>
      </c>
      <c r="F6813">
        <v>32</v>
      </c>
      <c r="G6813">
        <v>2569.6</v>
      </c>
      <c r="H6813" t="s">
        <v>18</v>
      </c>
      <c r="I6813" t="str">
        <f t="shared" si="319"/>
        <v>Medium Value</v>
      </c>
      <c r="J6813" t="str">
        <f t="shared" si="320"/>
        <v>Low Risk</v>
      </c>
      <c r="K6813" s="3" t="str">
        <f t="shared" si="318"/>
        <v>2-4 Years</v>
      </c>
    </row>
    <row r="6814" spans="1:11" x14ac:dyDescent="0.3">
      <c r="A6814" t="s">
        <v>6831</v>
      </c>
      <c r="B6814" t="s">
        <v>9</v>
      </c>
      <c r="C6814" t="s">
        <v>10</v>
      </c>
      <c r="D6814" t="s">
        <v>20</v>
      </c>
      <c r="E6814">
        <v>50.55</v>
      </c>
      <c r="F6814">
        <v>4</v>
      </c>
      <c r="G6814">
        <v>202.2</v>
      </c>
      <c r="H6814" t="s">
        <v>12</v>
      </c>
      <c r="I6814" t="str">
        <f t="shared" si="319"/>
        <v>Low Value</v>
      </c>
      <c r="J6814" t="str">
        <f t="shared" si="320"/>
        <v>High Risk</v>
      </c>
      <c r="K6814" s="3" t="str">
        <f t="shared" si="318"/>
        <v>0-1 Year</v>
      </c>
    </row>
    <row r="6815" spans="1:11" x14ac:dyDescent="0.3">
      <c r="A6815" t="s">
        <v>6832</v>
      </c>
      <c r="B6815" t="s">
        <v>9</v>
      </c>
      <c r="C6815" t="s">
        <v>10</v>
      </c>
      <c r="D6815" t="s">
        <v>24</v>
      </c>
      <c r="E6815">
        <v>80.45</v>
      </c>
      <c r="F6815">
        <v>66</v>
      </c>
      <c r="G6815">
        <v>5309.7</v>
      </c>
      <c r="H6815" t="s">
        <v>18</v>
      </c>
      <c r="I6815" t="str">
        <f t="shared" si="319"/>
        <v>High Value</v>
      </c>
      <c r="J6815" t="str">
        <f t="shared" si="320"/>
        <v>Low Risk</v>
      </c>
      <c r="K6815" s="3" t="str">
        <f t="shared" si="318"/>
        <v>4+ Years</v>
      </c>
    </row>
    <row r="6816" spans="1:11" x14ac:dyDescent="0.3">
      <c r="A6816" t="s">
        <v>6833</v>
      </c>
      <c r="B6816" t="s">
        <v>14</v>
      </c>
      <c r="C6816" t="s">
        <v>10</v>
      </c>
      <c r="D6816" t="s">
        <v>11</v>
      </c>
      <c r="E6816">
        <v>81.3</v>
      </c>
      <c r="F6816">
        <v>27</v>
      </c>
      <c r="G6816">
        <v>2195.1</v>
      </c>
      <c r="H6816" t="s">
        <v>12</v>
      </c>
      <c r="I6816" t="str">
        <f t="shared" si="319"/>
        <v>Medium Value</v>
      </c>
      <c r="J6816" t="str">
        <f t="shared" si="320"/>
        <v>Low Risk</v>
      </c>
      <c r="K6816" s="3" t="str">
        <f t="shared" si="318"/>
        <v>2-4 Years</v>
      </c>
    </row>
    <row r="6817" spans="1:11" x14ac:dyDescent="0.3">
      <c r="A6817" t="s">
        <v>6834</v>
      </c>
      <c r="B6817" t="s">
        <v>14</v>
      </c>
      <c r="C6817" t="s">
        <v>10</v>
      </c>
      <c r="D6817" t="s">
        <v>24</v>
      </c>
      <c r="E6817">
        <v>20.7</v>
      </c>
      <c r="F6817">
        <v>4</v>
      </c>
      <c r="G6817">
        <v>82.8</v>
      </c>
      <c r="H6817" t="s">
        <v>12</v>
      </c>
      <c r="I6817" t="str">
        <f t="shared" si="319"/>
        <v>Low Value</v>
      </c>
      <c r="J6817" t="str">
        <f t="shared" si="320"/>
        <v>High Risk</v>
      </c>
      <c r="K6817" s="3" t="str">
        <f t="shared" si="318"/>
        <v>0-1 Year</v>
      </c>
    </row>
    <row r="6818" spans="1:11" x14ac:dyDescent="0.3">
      <c r="A6818" t="s">
        <v>6835</v>
      </c>
      <c r="B6818" t="s">
        <v>14</v>
      </c>
      <c r="C6818" t="s">
        <v>10</v>
      </c>
      <c r="D6818" t="s">
        <v>24</v>
      </c>
      <c r="E6818">
        <v>79.05</v>
      </c>
      <c r="F6818">
        <v>60</v>
      </c>
      <c r="G6818">
        <v>4743</v>
      </c>
      <c r="H6818" t="s">
        <v>12</v>
      </c>
      <c r="I6818" t="str">
        <f t="shared" si="319"/>
        <v>Medium Value</v>
      </c>
      <c r="J6818" t="str">
        <f t="shared" si="320"/>
        <v>Low Risk</v>
      </c>
      <c r="K6818" s="3" t="str">
        <f t="shared" si="318"/>
        <v>4+ Years</v>
      </c>
    </row>
    <row r="6819" spans="1:11" x14ac:dyDescent="0.3">
      <c r="A6819" t="s">
        <v>6836</v>
      </c>
      <c r="B6819" t="s">
        <v>9</v>
      </c>
      <c r="C6819" t="s">
        <v>30</v>
      </c>
      <c r="D6819" t="s">
        <v>16</v>
      </c>
      <c r="E6819">
        <v>19.05</v>
      </c>
      <c r="F6819">
        <v>8</v>
      </c>
      <c r="G6819">
        <v>152.4</v>
      </c>
      <c r="H6819" t="s">
        <v>12</v>
      </c>
      <c r="I6819" t="str">
        <f t="shared" si="319"/>
        <v>Low Value</v>
      </c>
      <c r="J6819" t="str">
        <f t="shared" si="320"/>
        <v>High Risk</v>
      </c>
      <c r="K6819" s="3" t="str">
        <f t="shared" si="318"/>
        <v>0-1 Year</v>
      </c>
    </row>
    <row r="6820" spans="1:11" x14ac:dyDescent="0.3">
      <c r="A6820" t="s">
        <v>6837</v>
      </c>
      <c r="B6820" t="s">
        <v>14</v>
      </c>
      <c r="C6820" t="s">
        <v>30</v>
      </c>
      <c r="D6820" t="s">
        <v>24</v>
      </c>
      <c r="E6820">
        <v>19.600000000000001</v>
      </c>
      <c r="F6820">
        <v>8</v>
      </c>
      <c r="G6820">
        <v>156.80000000000001</v>
      </c>
      <c r="H6820" t="s">
        <v>12</v>
      </c>
      <c r="I6820" t="str">
        <f t="shared" si="319"/>
        <v>Low Value</v>
      </c>
      <c r="J6820" t="str">
        <f t="shared" si="320"/>
        <v>High Risk</v>
      </c>
      <c r="K6820" s="3" t="str">
        <f t="shared" si="318"/>
        <v>0-1 Year</v>
      </c>
    </row>
    <row r="6821" spans="1:11" x14ac:dyDescent="0.3">
      <c r="A6821" t="s">
        <v>6838</v>
      </c>
      <c r="B6821" t="s">
        <v>14</v>
      </c>
      <c r="C6821" t="s">
        <v>30</v>
      </c>
      <c r="D6821" t="s">
        <v>16</v>
      </c>
      <c r="E6821">
        <v>20.2</v>
      </c>
      <c r="F6821">
        <v>35</v>
      </c>
      <c r="G6821">
        <v>707</v>
      </c>
      <c r="H6821" t="s">
        <v>12</v>
      </c>
      <c r="I6821" t="str">
        <f t="shared" si="319"/>
        <v>Low Value</v>
      </c>
      <c r="J6821" t="str">
        <f t="shared" si="320"/>
        <v>Low Risk</v>
      </c>
      <c r="K6821" s="3" t="str">
        <f t="shared" si="318"/>
        <v>2-4 Years</v>
      </c>
    </row>
    <row r="6822" spans="1:11" x14ac:dyDescent="0.3">
      <c r="A6822" t="s">
        <v>6839</v>
      </c>
      <c r="B6822" t="s">
        <v>14</v>
      </c>
      <c r="C6822" t="s">
        <v>10</v>
      </c>
      <c r="D6822" t="s">
        <v>11</v>
      </c>
      <c r="E6822">
        <v>86.8</v>
      </c>
      <c r="F6822">
        <v>7</v>
      </c>
      <c r="G6822">
        <v>607.6</v>
      </c>
      <c r="H6822" t="s">
        <v>18</v>
      </c>
      <c r="I6822" t="str">
        <f t="shared" si="319"/>
        <v>Low Value</v>
      </c>
      <c r="J6822" t="str">
        <f t="shared" si="320"/>
        <v>High Risk</v>
      </c>
      <c r="K6822" s="3" t="str">
        <f t="shared" si="318"/>
        <v>0-1 Year</v>
      </c>
    </row>
    <row r="6823" spans="1:11" x14ac:dyDescent="0.3">
      <c r="A6823" t="s">
        <v>6840</v>
      </c>
      <c r="B6823" t="s">
        <v>9</v>
      </c>
      <c r="C6823" t="s">
        <v>30</v>
      </c>
      <c r="D6823" t="s">
        <v>16</v>
      </c>
      <c r="E6823">
        <v>20.9</v>
      </c>
      <c r="F6823">
        <v>53</v>
      </c>
      <c r="G6823">
        <v>1107.69999999999</v>
      </c>
      <c r="H6823" t="s">
        <v>12</v>
      </c>
      <c r="I6823" t="str">
        <f t="shared" si="319"/>
        <v>Low Value</v>
      </c>
      <c r="J6823" t="str">
        <f t="shared" si="320"/>
        <v>Low Risk</v>
      </c>
      <c r="K6823" s="3" t="str">
        <f t="shared" si="318"/>
        <v>4+ Years</v>
      </c>
    </row>
    <row r="6824" spans="1:11" x14ac:dyDescent="0.3">
      <c r="A6824" t="s">
        <v>6841</v>
      </c>
      <c r="B6824" t="s">
        <v>9</v>
      </c>
      <c r="C6824" t="s">
        <v>10</v>
      </c>
      <c r="D6824" t="s">
        <v>24</v>
      </c>
      <c r="E6824">
        <v>103.6</v>
      </c>
      <c r="F6824">
        <v>18</v>
      </c>
      <c r="G6824">
        <v>1864.8</v>
      </c>
      <c r="H6824" t="s">
        <v>12</v>
      </c>
      <c r="I6824" t="str">
        <f t="shared" si="319"/>
        <v>Low Value</v>
      </c>
      <c r="J6824" t="str">
        <f t="shared" si="320"/>
        <v>Medium Risk</v>
      </c>
      <c r="K6824" s="3" t="str">
        <f t="shared" si="318"/>
        <v>1-2 Years</v>
      </c>
    </row>
    <row r="6825" spans="1:11" x14ac:dyDescent="0.3">
      <c r="A6825" t="s">
        <v>6842</v>
      </c>
      <c r="B6825" t="s">
        <v>9</v>
      </c>
      <c r="C6825" t="s">
        <v>30</v>
      </c>
      <c r="D6825" t="s">
        <v>16</v>
      </c>
      <c r="E6825">
        <v>38.799999999999997</v>
      </c>
      <c r="F6825">
        <v>15</v>
      </c>
      <c r="G6825">
        <v>582</v>
      </c>
      <c r="H6825" t="s">
        <v>12</v>
      </c>
      <c r="I6825" t="str">
        <f t="shared" si="319"/>
        <v>Low Value</v>
      </c>
      <c r="J6825" t="str">
        <f t="shared" si="320"/>
        <v>Medium Risk</v>
      </c>
      <c r="K6825" s="3" t="str">
        <f t="shared" si="318"/>
        <v>1-2 Years</v>
      </c>
    </row>
    <row r="6826" spans="1:11" x14ac:dyDescent="0.3">
      <c r="A6826" t="s">
        <v>6843</v>
      </c>
      <c r="B6826" t="s">
        <v>14</v>
      </c>
      <c r="C6826" t="s">
        <v>15</v>
      </c>
      <c r="D6826" t="s">
        <v>20</v>
      </c>
      <c r="E6826">
        <v>88.4</v>
      </c>
      <c r="F6826">
        <v>67</v>
      </c>
      <c r="G6826">
        <v>5922.8</v>
      </c>
      <c r="H6826" t="s">
        <v>12</v>
      </c>
      <c r="I6826" t="str">
        <f t="shared" si="319"/>
        <v>High Value</v>
      </c>
      <c r="J6826" t="str">
        <f t="shared" si="320"/>
        <v>Low Risk</v>
      </c>
      <c r="K6826" s="3" t="str">
        <f t="shared" si="318"/>
        <v>4+ Years</v>
      </c>
    </row>
    <row r="6827" spans="1:11" x14ac:dyDescent="0.3">
      <c r="A6827" t="s">
        <v>6844</v>
      </c>
      <c r="B6827" t="s">
        <v>14</v>
      </c>
      <c r="C6827" t="s">
        <v>10</v>
      </c>
      <c r="D6827" t="s">
        <v>11</v>
      </c>
      <c r="E6827">
        <v>84.2</v>
      </c>
      <c r="F6827">
        <v>6</v>
      </c>
      <c r="G6827">
        <v>505.2</v>
      </c>
      <c r="H6827" t="s">
        <v>18</v>
      </c>
      <c r="I6827" t="str">
        <f t="shared" si="319"/>
        <v>Low Value</v>
      </c>
      <c r="J6827" t="str">
        <f t="shared" si="320"/>
        <v>High Risk</v>
      </c>
      <c r="K6827" s="3" t="str">
        <f t="shared" si="318"/>
        <v>0-1 Year</v>
      </c>
    </row>
    <row r="6828" spans="1:11" x14ac:dyDescent="0.3">
      <c r="A6828" t="s">
        <v>6845</v>
      </c>
      <c r="B6828" t="s">
        <v>14</v>
      </c>
      <c r="C6828" t="s">
        <v>10</v>
      </c>
      <c r="D6828" t="s">
        <v>11</v>
      </c>
      <c r="E6828">
        <v>79.7</v>
      </c>
      <c r="F6828">
        <v>6</v>
      </c>
      <c r="G6828">
        <v>478.2</v>
      </c>
      <c r="H6828" t="s">
        <v>12</v>
      </c>
      <c r="I6828" t="str">
        <f t="shared" si="319"/>
        <v>Low Value</v>
      </c>
      <c r="J6828" t="str">
        <f t="shared" si="320"/>
        <v>High Risk</v>
      </c>
      <c r="K6828" s="3" t="str">
        <f t="shared" si="318"/>
        <v>0-1 Year</v>
      </c>
    </row>
    <row r="6829" spans="1:11" x14ac:dyDescent="0.3">
      <c r="A6829" t="s">
        <v>6846</v>
      </c>
      <c r="B6829" t="s">
        <v>14</v>
      </c>
      <c r="C6829" t="s">
        <v>10</v>
      </c>
      <c r="D6829" t="s">
        <v>16</v>
      </c>
      <c r="E6829">
        <v>99</v>
      </c>
      <c r="F6829">
        <v>13</v>
      </c>
      <c r="G6829">
        <v>1287</v>
      </c>
      <c r="H6829" t="s">
        <v>18</v>
      </c>
      <c r="I6829" t="str">
        <f t="shared" si="319"/>
        <v>Low Value</v>
      </c>
      <c r="J6829" t="str">
        <f t="shared" si="320"/>
        <v>Medium Risk</v>
      </c>
      <c r="K6829" s="3" t="str">
        <f t="shared" si="318"/>
        <v>1-2 Years</v>
      </c>
    </row>
    <row r="6830" spans="1:11" x14ac:dyDescent="0.3">
      <c r="A6830" t="s">
        <v>6847</v>
      </c>
      <c r="B6830" t="s">
        <v>9</v>
      </c>
      <c r="C6830" t="s">
        <v>10</v>
      </c>
      <c r="D6830" t="s">
        <v>11</v>
      </c>
      <c r="E6830">
        <v>100.75</v>
      </c>
      <c r="F6830">
        <v>11</v>
      </c>
      <c r="G6830">
        <v>1108.25</v>
      </c>
      <c r="H6830" t="s">
        <v>18</v>
      </c>
      <c r="I6830" t="str">
        <f t="shared" si="319"/>
        <v>Low Value</v>
      </c>
      <c r="J6830" t="str">
        <f t="shared" si="320"/>
        <v>High Risk</v>
      </c>
      <c r="K6830" s="3" t="str">
        <f t="shared" si="318"/>
        <v>0-1 Year</v>
      </c>
    </row>
    <row r="6831" spans="1:11" x14ac:dyDescent="0.3">
      <c r="A6831" t="s">
        <v>6848</v>
      </c>
      <c r="B6831" t="s">
        <v>14</v>
      </c>
      <c r="C6831" t="s">
        <v>10</v>
      </c>
      <c r="D6831" t="s">
        <v>16</v>
      </c>
      <c r="E6831">
        <v>19.3</v>
      </c>
      <c r="F6831">
        <v>1</v>
      </c>
      <c r="G6831">
        <v>19.3</v>
      </c>
      <c r="H6831" t="s">
        <v>12</v>
      </c>
      <c r="I6831" t="str">
        <f t="shared" si="319"/>
        <v>Low Value</v>
      </c>
      <c r="J6831" t="str">
        <f t="shared" si="320"/>
        <v>High Risk</v>
      </c>
      <c r="K6831" s="3" t="str">
        <f t="shared" si="318"/>
        <v>0-1 Year</v>
      </c>
    </row>
    <row r="6832" spans="1:11" x14ac:dyDescent="0.3">
      <c r="A6832" t="s">
        <v>6849</v>
      </c>
      <c r="B6832" t="s">
        <v>14</v>
      </c>
      <c r="C6832" t="s">
        <v>10</v>
      </c>
      <c r="D6832" t="s">
        <v>16</v>
      </c>
      <c r="E6832">
        <v>55.75</v>
      </c>
      <c r="F6832">
        <v>5</v>
      </c>
      <c r="G6832">
        <v>278.75</v>
      </c>
      <c r="H6832" t="s">
        <v>12</v>
      </c>
      <c r="I6832" t="str">
        <f t="shared" si="319"/>
        <v>Low Value</v>
      </c>
      <c r="J6832" t="str">
        <f t="shared" si="320"/>
        <v>High Risk</v>
      </c>
      <c r="K6832" s="3" t="str">
        <f t="shared" si="318"/>
        <v>0-1 Year</v>
      </c>
    </row>
    <row r="6833" spans="1:11" x14ac:dyDescent="0.3">
      <c r="A6833" t="s">
        <v>6850</v>
      </c>
      <c r="B6833" t="s">
        <v>14</v>
      </c>
      <c r="C6833" t="s">
        <v>15</v>
      </c>
      <c r="D6833" t="s">
        <v>16</v>
      </c>
      <c r="E6833">
        <v>19.95</v>
      </c>
      <c r="F6833">
        <v>13</v>
      </c>
      <c r="G6833">
        <v>259.349999999999</v>
      </c>
      <c r="H6833" t="s">
        <v>12</v>
      </c>
      <c r="I6833" t="str">
        <f t="shared" si="319"/>
        <v>Low Value</v>
      </c>
      <c r="J6833" t="str">
        <f t="shared" si="320"/>
        <v>Medium Risk</v>
      </c>
      <c r="K6833" s="3" t="str">
        <f t="shared" si="318"/>
        <v>1-2 Years</v>
      </c>
    </row>
    <row r="6834" spans="1:11" x14ac:dyDescent="0.3">
      <c r="A6834" t="s">
        <v>6851</v>
      </c>
      <c r="B6834" t="s">
        <v>9</v>
      </c>
      <c r="C6834" t="s">
        <v>10</v>
      </c>
      <c r="D6834" t="s">
        <v>20</v>
      </c>
      <c r="E6834">
        <v>91.75</v>
      </c>
      <c r="F6834">
        <v>9</v>
      </c>
      <c r="G6834">
        <v>825.75</v>
      </c>
      <c r="H6834" t="s">
        <v>18</v>
      </c>
      <c r="I6834" t="str">
        <f t="shared" si="319"/>
        <v>Low Value</v>
      </c>
      <c r="J6834" t="str">
        <f t="shared" si="320"/>
        <v>High Risk</v>
      </c>
      <c r="K6834" s="3" t="str">
        <f t="shared" si="318"/>
        <v>0-1 Year</v>
      </c>
    </row>
    <row r="6835" spans="1:11" x14ac:dyDescent="0.3">
      <c r="A6835" t="s">
        <v>6852</v>
      </c>
      <c r="B6835" t="s">
        <v>14</v>
      </c>
      <c r="C6835" t="s">
        <v>10</v>
      </c>
      <c r="D6835" t="s">
        <v>16</v>
      </c>
      <c r="E6835">
        <v>89.65</v>
      </c>
      <c r="F6835">
        <v>29</v>
      </c>
      <c r="G6835">
        <v>2599.85</v>
      </c>
      <c r="H6835" t="s">
        <v>12</v>
      </c>
      <c r="I6835" t="str">
        <f t="shared" si="319"/>
        <v>Medium Value</v>
      </c>
      <c r="J6835" t="str">
        <f t="shared" si="320"/>
        <v>Low Risk</v>
      </c>
      <c r="K6835" s="3" t="str">
        <f t="shared" si="318"/>
        <v>2-4 Years</v>
      </c>
    </row>
    <row r="6836" spans="1:11" x14ac:dyDescent="0.3">
      <c r="A6836" t="s">
        <v>6853</v>
      </c>
      <c r="B6836" t="s">
        <v>14</v>
      </c>
      <c r="C6836" t="s">
        <v>10</v>
      </c>
      <c r="D6836" t="s">
        <v>16</v>
      </c>
      <c r="E6836">
        <v>45.85</v>
      </c>
      <c r="F6836">
        <v>1</v>
      </c>
      <c r="G6836">
        <v>45.85</v>
      </c>
      <c r="H6836" t="s">
        <v>12</v>
      </c>
      <c r="I6836" t="str">
        <f t="shared" si="319"/>
        <v>Low Value</v>
      </c>
      <c r="J6836" t="str">
        <f t="shared" si="320"/>
        <v>High Risk</v>
      </c>
      <c r="K6836" s="3" t="str">
        <f t="shared" si="318"/>
        <v>0-1 Year</v>
      </c>
    </row>
    <row r="6837" spans="1:11" x14ac:dyDescent="0.3">
      <c r="A6837" t="s">
        <v>6854</v>
      </c>
      <c r="B6837" t="s">
        <v>9</v>
      </c>
      <c r="C6837" t="s">
        <v>10</v>
      </c>
      <c r="D6837" t="s">
        <v>16</v>
      </c>
      <c r="E6837">
        <v>79.55</v>
      </c>
      <c r="F6837">
        <v>1</v>
      </c>
      <c r="G6837">
        <v>79.55</v>
      </c>
      <c r="H6837" t="s">
        <v>18</v>
      </c>
      <c r="I6837" t="str">
        <f t="shared" si="319"/>
        <v>Low Value</v>
      </c>
      <c r="J6837" t="str">
        <f t="shared" si="320"/>
        <v>High Risk</v>
      </c>
      <c r="K6837" s="3" t="str">
        <f t="shared" si="318"/>
        <v>0-1 Year</v>
      </c>
    </row>
    <row r="6838" spans="1:11" x14ac:dyDescent="0.3">
      <c r="A6838" t="s">
        <v>6855</v>
      </c>
      <c r="B6838" t="s">
        <v>9</v>
      </c>
      <c r="C6838" t="s">
        <v>10</v>
      </c>
      <c r="D6838" t="s">
        <v>16</v>
      </c>
      <c r="E6838">
        <v>55.95</v>
      </c>
      <c r="F6838">
        <v>18</v>
      </c>
      <c r="G6838">
        <v>1007.1</v>
      </c>
      <c r="H6838" t="s">
        <v>12</v>
      </c>
      <c r="I6838" t="str">
        <f t="shared" si="319"/>
        <v>Low Value</v>
      </c>
      <c r="J6838" t="str">
        <f t="shared" si="320"/>
        <v>Medium Risk</v>
      </c>
      <c r="K6838" s="3" t="str">
        <f t="shared" si="318"/>
        <v>1-2 Years</v>
      </c>
    </row>
    <row r="6839" spans="1:11" x14ac:dyDescent="0.3">
      <c r="A6839" t="s">
        <v>6856</v>
      </c>
      <c r="B6839" t="s">
        <v>9</v>
      </c>
      <c r="C6839" t="s">
        <v>10</v>
      </c>
      <c r="D6839" t="s">
        <v>24</v>
      </c>
      <c r="E6839">
        <v>69</v>
      </c>
      <c r="F6839">
        <v>2</v>
      </c>
      <c r="G6839">
        <v>138</v>
      </c>
      <c r="H6839" t="s">
        <v>12</v>
      </c>
      <c r="I6839" t="str">
        <f t="shared" si="319"/>
        <v>Low Value</v>
      </c>
      <c r="J6839" t="str">
        <f t="shared" si="320"/>
        <v>High Risk</v>
      </c>
      <c r="K6839" s="3" t="str">
        <f t="shared" si="318"/>
        <v>0-1 Year</v>
      </c>
    </row>
    <row r="6840" spans="1:11" x14ac:dyDescent="0.3">
      <c r="A6840" t="s">
        <v>6857</v>
      </c>
      <c r="B6840" t="s">
        <v>14</v>
      </c>
      <c r="C6840" t="s">
        <v>10</v>
      </c>
      <c r="D6840" t="s">
        <v>20</v>
      </c>
      <c r="E6840">
        <v>83.55</v>
      </c>
      <c r="F6840">
        <v>30</v>
      </c>
      <c r="G6840">
        <v>2506.5</v>
      </c>
      <c r="H6840" t="s">
        <v>12</v>
      </c>
      <c r="I6840" t="str">
        <f t="shared" si="319"/>
        <v>Medium Value</v>
      </c>
      <c r="J6840" t="str">
        <f t="shared" si="320"/>
        <v>Low Risk</v>
      </c>
      <c r="K6840" s="3" t="str">
        <f t="shared" si="318"/>
        <v>2-4 Years</v>
      </c>
    </row>
    <row r="6841" spans="1:11" x14ac:dyDescent="0.3">
      <c r="A6841" t="s">
        <v>6858</v>
      </c>
      <c r="B6841" t="s">
        <v>14</v>
      </c>
      <c r="C6841" t="s">
        <v>30</v>
      </c>
      <c r="D6841" t="s">
        <v>20</v>
      </c>
      <c r="E6841">
        <v>65.7</v>
      </c>
      <c r="F6841">
        <v>66</v>
      </c>
      <c r="G6841">
        <v>4336.2</v>
      </c>
      <c r="H6841" t="s">
        <v>12</v>
      </c>
      <c r="I6841" t="str">
        <f t="shared" si="319"/>
        <v>Medium Value</v>
      </c>
      <c r="J6841" t="str">
        <f t="shared" si="320"/>
        <v>Low Risk</v>
      </c>
      <c r="K6841" s="3" t="str">
        <f t="shared" si="318"/>
        <v>4+ Years</v>
      </c>
    </row>
    <row r="6842" spans="1:11" x14ac:dyDescent="0.3">
      <c r="A6842" t="s">
        <v>6859</v>
      </c>
      <c r="B6842" t="s">
        <v>14</v>
      </c>
      <c r="C6842" t="s">
        <v>30</v>
      </c>
      <c r="D6842" t="s">
        <v>20</v>
      </c>
      <c r="E6842">
        <v>94.9</v>
      </c>
      <c r="F6842">
        <v>38</v>
      </c>
      <c r="G6842">
        <v>3606.2</v>
      </c>
      <c r="H6842" t="s">
        <v>12</v>
      </c>
      <c r="I6842" t="str">
        <f t="shared" si="319"/>
        <v>Medium Value</v>
      </c>
      <c r="J6842" t="str">
        <f t="shared" si="320"/>
        <v>Low Risk</v>
      </c>
      <c r="K6842" s="3" t="str">
        <f t="shared" si="318"/>
        <v>2-4 Years</v>
      </c>
    </row>
    <row r="6843" spans="1:11" x14ac:dyDescent="0.3">
      <c r="A6843" t="s">
        <v>6860</v>
      </c>
      <c r="B6843" t="s">
        <v>14</v>
      </c>
      <c r="C6843" t="s">
        <v>10</v>
      </c>
      <c r="D6843" t="s">
        <v>16</v>
      </c>
      <c r="E6843">
        <v>61.9</v>
      </c>
      <c r="F6843">
        <v>44</v>
      </c>
      <c r="G6843">
        <v>2723.6</v>
      </c>
      <c r="H6843" t="s">
        <v>12</v>
      </c>
      <c r="I6843" t="str">
        <f t="shared" si="319"/>
        <v>Medium Value</v>
      </c>
      <c r="J6843" t="str">
        <f t="shared" si="320"/>
        <v>Low Risk</v>
      </c>
      <c r="K6843" s="3" t="str">
        <f t="shared" si="318"/>
        <v>2-4 Years</v>
      </c>
    </row>
    <row r="6844" spans="1:11" x14ac:dyDescent="0.3">
      <c r="A6844" t="s">
        <v>6861</v>
      </c>
      <c r="B6844" t="s">
        <v>9</v>
      </c>
      <c r="C6844" t="s">
        <v>10</v>
      </c>
      <c r="D6844" t="s">
        <v>11</v>
      </c>
      <c r="E6844">
        <v>111.1</v>
      </c>
      <c r="F6844">
        <v>54</v>
      </c>
      <c r="G6844">
        <v>5999.4</v>
      </c>
      <c r="H6844" t="s">
        <v>18</v>
      </c>
      <c r="I6844" t="str">
        <f t="shared" si="319"/>
        <v>High Value</v>
      </c>
      <c r="J6844" t="str">
        <f t="shared" si="320"/>
        <v>Low Risk</v>
      </c>
      <c r="K6844" s="3" t="str">
        <f t="shared" si="318"/>
        <v>4+ Years</v>
      </c>
    </row>
    <row r="6845" spans="1:11" x14ac:dyDescent="0.3">
      <c r="A6845" t="s">
        <v>6862</v>
      </c>
      <c r="B6845" t="s">
        <v>14</v>
      </c>
      <c r="C6845" t="s">
        <v>10</v>
      </c>
      <c r="D6845" t="s">
        <v>16</v>
      </c>
      <c r="E6845">
        <v>20</v>
      </c>
      <c r="F6845">
        <v>2</v>
      </c>
      <c r="G6845">
        <v>40</v>
      </c>
      <c r="H6845" t="s">
        <v>12</v>
      </c>
      <c r="I6845" t="str">
        <f t="shared" si="319"/>
        <v>Low Value</v>
      </c>
      <c r="J6845" t="str">
        <f t="shared" si="320"/>
        <v>High Risk</v>
      </c>
      <c r="K6845" s="3" t="str">
        <f t="shared" si="318"/>
        <v>0-1 Year</v>
      </c>
    </row>
    <row r="6846" spans="1:11" x14ac:dyDescent="0.3">
      <c r="A6846" t="s">
        <v>6863</v>
      </c>
      <c r="B6846" t="s">
        <v>9</v>
      </c>
      <c r="C6846" t="s">
        <v>15</v>
      </c>
      <c r="D6846" t="s">
        <v>16</v>
      </c>
      <c r="E6846">
        <v>67.7</v>
      </c>
      <c r="F6846">
        <v>42</v>
      </c>
      <c r="G6846">
        <v>2843.4</v>
      </c>
      <c r="H6846" t="s">
        <v>12</v>
      </c>
      <c r="I6846" t="str">
        <f t="shared" si="319"/>
        <v>Medium Value</v>
      </c>
      <c r="J6846" t="str">
        <f t="shared" si="320"/>
        <v>Low Risk</v>
      </c>
      <c r="K6846" s="3" t="str">
        <f t="shared" si="318"/>
        <v>2-4 Years</v>
      </c>
    </row>
    <row r="6847" spans="1:11" x14ac:dyDescent="0.3">
      <c r="A6847" t="s">
        <v>6864</v>
      </c>
      <c r="B6847" t="s">
        <v>9</v>
      </c>
      <c r="C6847" t="s">
        <v>30</v>
      </c>
      <c r="D6847" t="s">
        <v>24</v>
      </c>
      <c r="E6847">
        <v>25.15</v>
      </c>
      <c r="F6847">
        <v>58</v>
      </c>
      <c r="G6847">
        <v>1458.69999999999</v>
      </c>
      <c r="H6847" t="s">
        <v>12</v>
      </c>
      <c r="I6847" t="str">
        <f t="shared" si="319"/>
        <v>Low Value</v>
      </c>
      <c r="J6847" t="str">
        <f t="shared" si="320"/>
        <v>Low Risk</v>
      </c>
      <c r="K6847" s="3" t="str">
        <f t="shared" si="318"/>
        <v>4+ Years</v>
      </c>
    </row>
    <row r="6848" spans="1:11" x14ac:dyDescent="0.3">
      <c r="A6848" t="s">
        <v>6865</v>
      </c>
      <c r="B6848" t="s">
        <v>14</v>
      </c>
      <c r="C6848" t="s">
        <v>10</v>
      </c>
      <c r="D6848" t="s">
        <v>11</v>
      </c>
      <c r="E6848">
        <v>92.85</v>
      </c>
      <c r="F6848">
        <v>58</v>
      </c>
      <c r="G6848">
        <v>5385.2999999999902</v>
      </c>
      <c r="H6848" t="s">
        <v>12</v>
      </c>
      <c r="I6848" t="str">
        <f t="shared" si="319"/>
        <v>High Value</v>
      </c>
      <c r="J6848" t="str">
        <f t="shared" si="320"/>
        <v>Low Risk</v>
      </c>
      <c r="K6848" s="3" t="str">
        <f t="shared" si="318"/>
        <v>4+ Years</v>
      </c>
    </row>
    <row r="6849" spans="1:11" x14ac:dyDescent="0.3">
      <c r="A6849" t="s">
        <v>6866</v>
      </c>
      <c r="B6849" t="s">
        <v>9</v>
      </c>
      <c r="C6849" t="s">
        <v>10</v>
      </c>
      <c r="D6849" t="s">
        <v>11</v>
      </c>
      <c r="E6849">
        <v>89.1</v>
      </c>
      <c r="F6849">
        <v>25</v>
      </c>
      <c r="G6849">
        <v>2227.5</v>
      </c>
      <c r="H6849" t="s">
        <v>18</v>
      </c>
      <c r="I6849" t="str">
        <f t="shared" si="319"/>
        <v>Medium Value</v>
      </c>
      <c r="J6849" t="str">
        <f t="shared" si="320"/>
        <v>Low Risk</v>
      </c>
      <c r="K6849" s="3" t="str">
        <f t="shared" si="318"/>
        <v>2-4 Years</v>
      </c>
    </row>
    <row r="6850" spans="1:11" x14ac:dyDescent="0.3">
      <c r="A6850" t="s">
        <v>6867</v>
      </c>
      <c r="B6850" t="s">
        <v>9</v>
      </c>
      <c r="C6850" t="s">
        <v>30</v>
      </c>
      <c r="D6850" t="s">
        <v>16</v>
      </c>
      <c r="E6850">
        <v>111.3</v>
      </c>
      <c r="F6850">
        <v>71</v>
      </c>
      <c r="G6850">
        <v>7902.3</v>
      </c>
      <c r="H6850" t="s">
        <v>12</v>
      </c>
      <c r="I6850" t="str">
        <f t="shared" si="319"/>
        <v>High Value</v>
      </c>
      <c r="J6850" t="str">
        <f t="shared" si="320"/>
        <v>Low Risk</v>
      </c>
      <c r="K6850" s="3" t="str">
        <f t="shared" si="318"/>
        <v>4+ Years</v>
      </c>
    </row>
    <row r="6851" spans="1:11" x14ac:dyDescent="0.3">
      <c r="A6851" t="s">
        <v>6868</v>
      </c>
      <c r="B6851" t="s">
        <v>9</v>
      </c>
      <c r="C6851" t="s">
        <v>10</v>
      </c>
      <c r="D6851" t="s">
        <v>20</v>
      </c>
      <c r="E6851">
        <v>101.9</v>
      </c>
      <c r="F6851">
        <v>37</v>
      </c>
      <c r="G6851">
        <v>3770.3</v>
      </c>
      <c r="H6851" t="s">
        <v>18</v>
      </c>
      <c r="I6851" t="str">
        <f t="shared" si="319"/>
        <v>Medium Value</v>
      </c>
      <c r="J6851" t="str">
        <f t="shared" si="320"/>
        <v>Low Risk</v>
      </c>
      <c r="K6851" s="3" t="str">
        <f t="shared" ref="K6851:K6914" si="321">IF(F6851&lt;=12,"0-1 Year",
IF(F6851&lt;=24,"1-2 Years",
IF(F6851&lt;=48,"2-4 Years","4+ Years")))</f>
        <v>2-4 Years</v>
      </c>
    </row>
    <row r="6852" spans="1:11" x14ac:dyDescent="0.3">
      <c r="A6852" t="s">
        <v>6869</v>
      </c>
      <c r="B6852" t="s">
        <v>9</v>
      </c>
      <c r="C6852" t="s">
        <v>10</v>
      </c>
      <c r="D6852" t="s">
        <v>11</v>
      </c>
      <c r="E6852">
        <v>91.65</v>
      </c>
      <c r="F6852">
        <v>14</v>
      </c>
      <c r="G6852">
        <v>1283.0999999999999</v>
      </c>
      <c r="H6852" t="s">
        <v>18</v>
      </c>
      <c r="I6852" t="str">
        <f t="shared" ref="I6852:I6915" si="322">IF(G6852&gt;5000,"High Value",
IF(G6852&gt;2000,"Medium Value","Low Value"))</f>
        <v>Low Value</v>
      </c>
      <c r="J6852" t="str">
        <f t="shared" ref="J6852:J6915" si="323">IF(F6852&lt;12,"High Risk",
IF(F6852&lt;24,"Medium Risk","Low Risk"))</f>
        <v>Medium Risk</v>
      </c>
      <c r="K6852" s="3" t="str">
        <f t="shared" si="321"/>
        <v>1-2 Years</v>
      </c>
    </row>
    <row r="6853" spans="1:11" x14ac:dyDescent="0.3">
      <c r="A6853" t="s">
        <v>6870</v>
      </c>
      <c r="B6853" t="s">
        <v>9</v>
      </c>
      <c r="C6853" t="s">
        <v>10</v>
      </c>
      <c r="D6853" t="s">
        <v>11</v>
      </c>
      <c r="E6853">
        <v>88.85</v>
      </c>
      <c r="F6853">
        <v>4</v>
      </c>
      <c r="G6853">
        <v>355.4</v>
      </c>
      <c r="H6853" t="s">
        <v>18</v>
      </c>
      <c r="I6853" t="str">
        <f t="shared" si="322"/>
        <v>Low Value</v>
      </c>
      <c r="J6853" t="str">
        <f t="shared" si="323"/>
        <v>High Risk</v>
      </c>
      <c r="K6853" s="3" t="str">
        <f t="shared" si="321"/>
        <v>0-1 Year</v>
      </c>
    </row>
    <row r="6854" spans="1:11" x14ac:dyDescent="0.3">
      <c r="A6854" t="s">
        <v>6871</v>
      </c>
      <c r="B6854" t="s">
        <v>9</v>
      </c>
      <c r="C6854" t="s">
        <v>15</v>
      </c>
      <c r="D6854" t="s">
        <v>20</v>
      </c>
      <c r="E6854">
        <v>60.6</v>
      </c>
      <c r="F6854">
        <v>48</v>
      </c>
      <c r="G6854">
        <v>2908.8</v>
      </c>
      <c r="H6854" t="s">
        <v>12</v>
      </c>
      <c r="I6854" t="str">
        <f t="shared" si="322"/>
        <v>Medium Value</v>
      </c>
      <c r="J6854" t="str">
        <f t="shared" si="323"/>
        <v>Low Risk</v>
      </c>
      <c r="K6854" s="3" t="str">
        <f t="shared" si="321"/>
        <v>2-4 Years</v>
      </c>
    </row>
    <row r="6855" spans="1:11" x14ac:dyDescent="0.3">
      <c r="A6855" t="s">
        <v>6872</v>
      </c>
      <c r="B6855" t="s">
        <v>9</v>
      </c>
      <c r="C6855" t="s">
        <v>10</v>
      </c>
      <c r="D6855" t="s">
        <v>11</v>
      </c>
      <c r="E6855">
        <v>25.3</v>
      </c>
      <c r="F6855">
        <v>3</v>
      </c>
      <c r="G6855">
        <v>75.900000000000006</v>
      </c>
      <c r="H6855" t="s">
        <v>18</v>
      </c>
      <c r="I6855" t="str">
        <f t="shared" si="322"/>
        <v>Low Value</v>
      </c>
      <c r="J6855" t="str">
        <f t="shared" si="323"/>
        <v>High Risk</v>
      </c>
      <c r="K6855" s="3" t="str">
        <f t="shared" si="321"/>
        <v>0-1 Year</v>
      </c>
    </row>
    <row r="6856" spans="1:11" x14ac:dyDescent="0.3">
      <c r="A6856" t="s">
        <v>6873</v>
      </c>
      <c r="B6856" t="s">
        <v>9</v>
      </c>
      <c r="C6856" t="s">
        <v>30</v>
      </c>
      <c r="D6856" t="s">
        <v>16</v>
      </c>
      <c r="E6856">
        <v>65.5</v>
      </c>
      <c r="F6856">
        <v>8</v>
      </c>
      <c r="G6856">
        <v>524</v>
      </c>
      <c r="H6856" t="s">
        <v>12</v>
      </c>
      <c r="I6856" t="str">
        <f t="shared" si="322"/>
        <v>Low Value</v>
      </c>
      <c r="J6856" t="str">
        <f t="shared" si="323"/>
        <v>High Risk</v>
      </c>
      <c r="K6856" s="3" t="str">
        <f t="shared" si="321"/>
        <v>0-1 Year</v>
      </c>
    </row>
    <row r="6857" spans="1:11" x14ac:dyDescent="0.3">
      <c r="A6857" t="s">
        <v>6874</v>
      </c>
      <c r="B6857" t="s">
        <v>14</v>
      </c>
      <c r="C6857" t="s">
        <v>10</v>
      </c>
      <c r="D6857" t="s">
        <v>11</v>
      </c>
      <c r="E6857">
        <v>95.45</v>
      </c>
      <c r="F6857">
        <v>1</v>
      </c>
      <c r="G6857">
        <v>95.45</v>
      </c>
      <c r="H6857" t="s">
        <v>18</v>
      </c>
      <c r="I6857" t="str">
        <f t="shared" si="322"/>
        <v>Low Value</v>
      </c>
      <c r="J6857" t="str">
        <f t="shared" si="323"/>
        <v>High Risk</v>
      </c>
      <c r="K6857" s="3" t="str">
        <f t="shared" si="321"/>
        <v>0-1 Year</v>
      </c>
    </row>
    <row r="6858" spans="1:11" x14ac:dyDescent="0.3">
      <c r="A6858" t="s">
        <v>6875</v>
      </c>
      <c r="B6858" t="s">
        <v>14</v>
      </c>
      <c r="C6858" t="s">
        <v>30</v>
      </c>
      <c r="D6858" t="s">
        <v>20</v>
      </c>
      <c r="E6858">
        <v>19.95</v>
      </c>
      <c r="F6858">
        <v>67</v>
      </c>
      <c r="G6858">
        <v>1336.6499999999901</v>
      </c>
      <c r="H6858" t="s">
        <v>12</v>
      </c>
      <c r="I6858" t="str">
        <f t="shared" si="322"/>
        <v>Low Value</v>
      </c>
      <c r="J6858" t="str">
        <f t="shared" si="323"/>
        <v>Low Risk</v>
      </c>
      <c r="K6858" s="3" t="str">
        <f t="shared" si="321"/>
        <v>4+ Years</v>
      </c>
    </row>
    <row r="6859" spans="1:11" x14ac:dyDescent="0.3">
      <c r="A6859" t="s">
        <v>6876</v>
      </c>
      <c r="B6859" t="s">
        <v>14</v>
      </c>
      <c r="C6859" t="s">
        <v>10</v>
      </c>
      <c r="D6859" t="s">
        <v>11</v>
      </c>
      <c r="E6859">
        <v>91.1</v>
      </c>
      <c r="F6859">
        <v>13</v>
      </c>
      <c r="G6859">
        <v>1184.3</v>
      </c>
      <c r="H6859" t="s">
        <v>18</v>
      </c>
      <c r="I6859" t="str">
        <f t="shared" si="322"/>
        <v>Low Value</v>
      </c>
      <c r="J6859" t="str">
        <f t="shared" si="323"/>
        <v>Medium Risk</v>
      </c>
      <c r="K6859" s="3" t="str">
        <f t="shared" si="321"/>
        <v>1-2 Years</v>
      </c>
    </row>
    <row r="6860" spans="1:11" x14ac:dyDescent="0.3">
      <c r="A6860" t="s">
        <v>6877</v>
      </c>
      <c r="B6860" t="s">
        <v>9</v>
      </c>
      <c r="C6860" t="s">
        <v>15</v>
      </c>
      <c r="D6860" t="s">
        <v>24</v>
      </c>
      <c r="E6860">
        <v>54.15</v>
      </c>
      <c r="F6860">
        <v>45</v>
      </c>
      <c r="G6860">
        <v>2436.75</v>
      </c>
      <c r="H6860" t="s">
        <v>18</v>
      </c>
      <c r="I6860" t="str">
        <f t="shared" si="322"/>
        <v>Medium Value</v>
      </c>
      <c r="J6860" t="str">
        <f t="shared" si="323"/>
        <v>Low Risk</v>
      </c>
      <c r="K6860" s="3" t="str">
        <f t="shared" si="321"/>
        <v>2-4 Years</v>
      </c>
    </row>
    <row r="6861" spans="1:11" x14ac:dyDescent="0.3">
      <c r="A6861" t="s">
        <v>6878</v>
      </c>
      <c r="B6861" t="s">
        <v>14</v>
      </c>
      <c r="C6861" t="s">
        <v>10</v>
      </c>
      <c r="D6861" t="s">
        <v>20</v>
      </c>
      <c r="E6861">
        <v>74.599999999999994</v>
      </c>
      <c r="F6861">
        <v>49</v>
      </c>
      <c r="G6861">
        <v>3655.3999999999901</v>
      </c>
      <c r="H6861" t="s">
        <v>12</v>
      </c>
      <c r="I6861" t="str">
        <f t="shared" si="322"/>
        <v>Medium Value</v>
      </c>
      <c r="J6861" t="str">
        <f t="shared" si="323"/>
        <v>Low Risk</v>
      </c>
      <c r="K6861" s="3" t="str">
        <f t="shared" si="321"/>
        <v>4+ Years</v>
      </c>
    </row>
    <row r="6862" spans="1:11" x14ac:dyDescent="0.3">
      <c r="A6862" t="s">
        <v>6879</v>
      </c>
      <c r="B6862" t="s">
        <v>9</v>
      </c>
      <c r="C6862" t="s">
        <v>10</v>
      </c>
      <c r="D6862" t="s">
        <v>20</v>
      </c>
      <c r="E6862">
        <v>94.6</v>
      </c>
      <c r="F6862">
        <v>52</v>
      </c>
      <c r="G6862">
        <v>4919.2</v>
      </c>
      <c r="H6862" t="s">
        <v>12</v>
      </c>
      <c r="I6862" t="str">
        <f t="shared" si="322"/>
        <v>Medium Value</v>
      </c>
      <c r="J6862" t="str">
        <f t="shared" si="323"/>
        <v>Low Risk</v>
      </c>
      <c r="K6862" s="3" t="str">
        <f t="shared" si="321"/>
        <v>4+ Years</v>
      </c>
    </row>
    <row r="6863" spans="1:11" x14ac:dyDescent="0.3">
      <c r="A6863" t="s">
        <v>6880</v>
      </c>
      <c r="B6863" t="s">
        <v>9</v>
      </c>
      <c r="C6863" t="s">
        <v>15</v>
      </c>
      <c r="D6863" t="s">
        <v>24</v>
      </c>
      <c r="E6863">
        <v>81.150000000000006</v>
      </c>
      <c r="F6863">
        <v>63</v>
      </c>
      <c r="G6863">
        <v>5112.45</v>
      </c>
      <c r="H6863" t="s">
        <v>12</v>
      </c>
      <c r="I6863" t="str">
        <f t="shared" si="322"/>
        <v>High Value</v>
      </c>
      <c r="J6863" t="str">
        <f t="shared" si="323"/>
        <v>Low Risk</v>
      </c>
      <c r="K6863" s="3" t="str">
        <f t="shared" si="321"/>
        <v>4+ Years</v>
      </c>
    </row>
    <row r="6864" spans="1:11" x14ac:dyDescent="0.3">
      <c r="A6864" t="s">
        <v>6881</v>
      </c>
      <c r="B6864" t="s">
        <v>9</v>
      </c>
      <c r="C6864" t="s">
        <v>30</v>
      </c>
      <c r="D6864" t="s">
        <v>20</v>
      </c>
      <c r="E6864">
        <v>89.05</v>
      </c>
      <c r="F6864">
        <v>68</v>
      </c>
      <c r="G6864">
        <v>6055.4</v>
      </c>
      <c r="H6864" t="s">
        <v>12</v>
      </c>
      <c r="I6864" t="str">
        <f t="shared" si="322"/>
        <v>High Value</v>
      </c>
      <c r="J6864" t="str">
        <f t="shared" si="323"/>
        <v>Low Risk</v>
      </c>
      <c r="K6864" s="3" t="str">
        <f t="shared" si="321"/>
        <v>4+ Years</v>
      </c>
    </row>
    <row r="6865" spans="1:11" x14ac:dyDescent="0.3">
      <c r="A6865" t="s">
        <v>6882</v>
      </c>
      <c r="B6865" t="s">
        <v>9</v>
      </c>
      <c r="C6865" t="s">
        <v>10</v>
      </c>
      <c r="D6865" t="s">
        <v>16</v>
      </c>
      <c r="E6865">
        <v>49.2</v>
      </c>
      <c r="F6865">
        <v>31</v>
      </c>
      <c r="G6865">
        <v>1525.2</v>
      </c>
      <c r="H6865" t="s">
        <v>12</v>
      </c>
      <c r="I6865" t="str">
        <f t="shared" si="322"/>
        <v>Low Value</v>
      </c>
      <c r="J6865" t="str">
        <f t="shared" si="323"/>
        <v>Low Risk</v>
      </c>
      <c r="K6865" s="3" t="str">
        <f t="shared" si="321"/>
        <v>2-4 Years</v>
      </c>
    </row>
    <row r="6866" spans="1:11" x14ac:dyDescent="0.3">
      <c r="A6866" t="s">
        <v>6883</v>
      </c>
      <c r="B6866" t="s">
        <v>9</v>
      </c>
      <c r="C6866" t="s">
        <v>30</v>
      </c>
      <c r="D6866" t="s">
        <v>24</v>
      </c>
      <c r="E6866">
        <v>19.45</v>
      </c>
      <c r="F6866">
        <v>64</v>
      </c>
      <c r="G6866">
        <v>1244.8</v>
      </c>
      <c r="H6866" t="s">
        <v>12</v>
      </c>
      <c r="I6866" t="str">
        <f t="shared" si="322"/>
        <v>Low Value</v>
      </c>
      <c r="J6866" t="str">
        <f t="shared" si="323"/>
        <v>Low Risk</v>
      </c>
      <c r="K6866" s="3" t="str">
        <f t="shared" si="321"/>
        <v>4+ Years</v>
      </c>
    </row>
    <row r="6867" spans="1:11" x14ac:dyDescent="0.3">
      <c r="A6867" t="s">
        <v>6884</v>
      </c>
      <c r="B6867" t="s">
        <v>9</v>
      </c>
      <c r="C6867" t="s">
        <v>15</v>
      </c>
      <c r="D6867" t="s">
        <v>11</v>
      </c>
      <c r="E6867">
        <v>104.3</v>
      </c>
      <c r="F6867">
        <v>62</v>
      </c>
      <c r="G6867">
        <v>6466.5999999999904</v>
      </c>
      <c r="H6867" t="s">
        <v>12</v>
      </c>
      <c r="I6867" t="str">
        <f t="shared" si="322"/>
        <v>High Value</v>
      </c>
      <c r="J6867" t="str">
        <f t="shared" si="323"/>
        <v>Low Risk</v>
      </c>
      <c r="K6867" s="3" t="str">
        <f t="shared" si="321"/>
        <v>4+ Years</v>
      </c>
    </row>
    <row r="6868" spans="1:11" x14ac:dyDescent="0.3">
      <c r="A6868" t="s">
        <v>6885</v>
      </c>
      <c r="B6868" t="s">
        <v>9</v>
      </c>
      <c r="C6868" t="s">
        <v>10</v>
      </c>
      <c r="D6868" t="s">
        <v>20</v>
      </c>
      <c r="E6868">
        <v>69.7</v>
      </c>
      <c r="F6868">
        <v>1</v>
      </c>
      <c r="G6868">
        <v>69.7</v>
      </c>
      <c r="H6868" t="s">
        <v>18</v>
      </c>
      <c r="I6868" t="str">
        <f t="shared" si="322"/>
        <v>Low Value</v>
      </c>
      <c r="J6868" t="str">
        <f t="shared" si="323"/>
        <v>High Risk</v>
      </c>
      <c r="K6868" s="3" t="str">
        <f t="shared" si="321"/>
        <v>0-1 Year</v>
      </c>
    </row>
    <row r="6869" spans="1:11" x14ac:dyDescent="0.3">
      <c r="A6869" t="s">
        <v>6886</v>
      </c>
      <c r="B6869" t="s">
        <v>9</v>
      </c>
      <c r="C6869" t="s">
        <v>10</v>
      </c>
      <c r="D6869" t="s">
        <v>11</v>
      </c>
      <c r="E6869">
        <v>89.5</v>
      </c>
      <c r="F6869">
        <v>6</v>
      </c>
      <c r="G6869">
        <v>537</v>
      </c>
      <c r="H6869" t="s">
        <v>18</v>
      </c>
      <c r="I6869" t="str">
        <f t="shared" si="322"/>
        <v>Low Value</v>
      </c>
      <c r="J6869" t="str">
        <f t="shared" si="323"/>
        <v>High Risk</v>
      </c>
      <c r="K6869" s="3" t="str">
        <f t="shared" si="321"/>
        <v>0-1 Year</v>
      </c>
    </row>
    <row r="6870" spans="1:11" x14ac:dyDescent="0.3">
      <c r="A6870" t="s">
        <v>6887</v>
      </c>
      <c r="B6870" t="s">
        <v>9</v>
      </c>
      <c r="C6870" t="s">
        <v>10</v>
      </c>
      <c r="D6870" t="s">
        <v>11</v>
      </c>
      <c r="E6870">
        <v>86.05</v>
      </c>
      <c r="F6870">
        <v>21</v>
      </c>
      <c r="G6870">
        <v>1807.05</v>
      </c>
      <c r="H6870" t="s">
        <v>12</v>
      </c>
      <c r="I6870" t="str">
        <f t="shared" si="322"/>
        <v>Low Value</v>
      </c>
      <c r="J6870" t="str">
        <f t="shared" si="323"/>
        <v>Medium Risk</v>
      </c>
      <c r="K6870" s="3" t="str">
        <f t="shared" si="321"/>
        <v>1-2 Years</v>
      </c>
    </row>
    <row r="6871" spans="1:11" x14ac:dyDescent="0.3">
      <c r="A6871" t="s">
        <v>6888</v>
      </c>
      <c r="B6871" t="s">
        <v>9</v>
      </c>
      <c r="C6871" t="s">
        <v>30</v>
      </c>
      <c r="D6871" t="s">
        <v>20</v>
      </c>
      <c r="E6871">
        <v>25.2</v>
      </c>
      <c r="F6871">
        <v>72</v>
      </c>
      <c r="G6871">
        <v>1814.3999999999901</v>
      </c>
      <c r="H6871" t="s">
        <v>12</v>
      </c>
      <c r="I6871" t="str">
        <f t="shared" si="322"/>
        <v>Low Value</v>
      </c>
      <c r="J6871" t="str">
        <f t="shared" si="323"/>
        <v>Low Risk</v>
      </c>
      <c r="K6871" s="3" t="str">
        <f t="shared" si="321"/>
        <v>4+ Years</v>
      </c>
    </row>
    <row r="6872" spans="1:11" x14ac:dyDescent="0.3">
      <c r="A6872" t="s">
        <v>6889</v>
      </c>
      <c r="B6872" t="s">
        <v>9</v>
      </c>
      <c r="C6872" t="s">
        <v>10</v>
      </c>
      <c r="D6872" t="s">
        <v>11</v>
      </c>
      <c r="E6872">
        <v>35.15</v>
      </c>
      <c r="F6872">
        <v>32</v>
      </c>
      <c r="G6872">
        <v>1124.8</v>
      </c>
      <c r="H6872" t="s">
        <v>12</v>
      </c>
      <c r="I6872" t="str">
        <f t="shared" si="322"/>
        <v>Low Value</v>
      </c>
      <c r="J6872" t="str">
        <f t="shared" si="323"/>
        <v>Low Risk</v>
      </c>
      <c r="K6872" s="3" t="str">
        <f t="shared" si="321"/>
        <v>2-4 Years</v>
      </c>
    </row>
    <row r="6873" spans="1:11" x14ac:dyDescent="0.3">
      <c r="A6873" t="s">
        <v>6890</v>
      </c>
      <c r="B6873" t="s">
        <v>9</v>
      </c>
      <c r="C6873" t="s">
        <v>15</v>
      </c>
      <c r="D6873" t="s">
        <v>24</v>
      </c>
      <c r="E6873">
        <v>99.65</v>
      </c>
      <c r="F6873">
        <v>71</v>
      </c>
      <c r="G6873">
        <v>7075.15</v>
      </c>
      <c r="H6873" t="s">
        <v>12</v>
      </c>
      <c r="I6873" t="str">
        <f t="shared" si="322"/>
        <v>High Value</v>
      </c>
      <c r="J6873" t="str">
        <f t="shared" si="323"/>
        <v>Low Risk</v>
      </c>
      <c r="K6873" s="3" t="str">
        <f t="shared" si="321"/>
        <v>4+ Years</v>
      </c>
    </row>
    <row r="6874" spans="1:11" x14ac:dyDescent="0.3">
      <c r="A6874" t="s">
        <v>6891</v>
      </c>
      <c r="B6874" t="s">
        <v>9</v>
      </c>
      <c r="C6874" t="s">
        <v>10</v>
      </c>
      <c r="D6874" t="s">
        <v>20</v>
      </c>
      <c r="E6874">
        <v>105.35</v>
      </c>
      <c r="F6874">
        <v>34</v>
      </c>
      <c r="G6874">
        <v>3581.8999999999901</v>
      </c>
      <c r="H6874" t="s">
        <v>12</v>
      </c>
      <c r="I6874" t="str">
        <f t="shared" si="322"/>
        <v>Medium Value</v>
      </c>
      <c r="J6874" t="str">
        <f t="shared" si="323"/>
        <v>Low Risk</v>
      </c>
      <c r="K6874" s="3" t="str">
        <f t="shared" si="321"/>
        <v>2-4 Years</v>
      </c>
    </row>
    <row r="6875" spans="1:11" x14ac:dyDescent="0.3">
      <c r="A6875" t="s">
        <v>6892</v>
      </c>
      <c r="B6875" t="s">
        <v>14</v>
      </c>
      <c r="C6875" t="s">
        <v>10</v>
      </c>
      <c r="D6875" t="s">
        <v>11</v>
      </c>
      <c r="E6875">
        <v>35.15</v>
      </c>
      <c r="F6875">
        <v>3</v>
      </c>
      <c r="G6875">
        <v>105.44999999999899</v>
      </c>
      <c r="H6875" t="s">
        <v>18</v>
      </c>
      <c r="I6875" t="str">
        <f t="shared" si="322"/>
        <v>Low Value</v>
      </c>
      <c r="J6875" t="str">
        <f t="shared" si="323"/>
        <v>High Risk</v>
      </c>
      <c r="K6875" s="3" t="str">
        <f t="shared" si="321"/>
        <v>0-1 Year</v>
      </c>
    </row>
    <row r="6876" spans="1:11" x14ac:dyDescent="0.3">
      <c r="A6876" t="s">
        <v>6893</v>
      </c>
      <c r="B6876" t="s">
        <v>14</v>
      </c>
      <c r="C6876" t="s">
        <v>10</v>
      </c>
      <c r="D6876" t="s">
        <v>24</v>
      </c>
      <c r="E6876">
        <v>73.75</v>
      </c>
      <c r="F6876">
        <v>12</v>
      </c>
      <c r="G6876">
        <v>885</v>
      </c>
      <c r="H6876" t="s">
        <v>18</v>
      </c>
      <c r="I6876" t="str">
        <f t="shared" si="322"/>
        <v>Low Value</v>
      </c>
      <c r="J6876" t="str">
        <f t="shared" si="323"/>
        <v>Medium Risk</v>
      </c>
      <c r="K6876" s="3" t="str">
        <f t="shared" si="321"/>
        <v>0-1 Year</v>
      </c>
    </row>
    <row r="6877" spans="1:11" x14ac:dyDescent="0.3">
      <c r="A6877" t="s">
        <v>6894</v>
      </c>
      <c r="B6877" t="s">
        <v>9</v>
      </c>
      <c r="C6877" t="s">
        <v>10</v>
      </c>
      <c r="D6877" t="s">
        <v>11</v>
      </c>
      <c r="E6877">
        <v>101.35</v>
      </c>
      <c r="F6877">
        <v>8</v>
      </c>
      <c r="G6877">
        <v>810.8</v>
      </c>
      <c r="H6877" t="s">
        <v>18</v>
      </c>
      <c r="I6877" t="str">
        <f t="shared" si="322"/>
        <v>Low Value</v>
      </c>
      <c r="J6877" t="str">
        <f t="shared" si="323"/>
        <v>High Risk</v>
      </c>
      <c r="K6877" s="3" t="str">
        <f t="shared" si="321"/>
        <v>0-1 Year</v>
      </c>
    </row>
    <row r="6878" spans="1:11" x14ac:dyDescent="0.3">
      <c r="A6878" t="s">
        <v>6895</v>
      </c>
      <c r="B6878" t="s">
        <v>9</v>
      </c>
      <c r="C6878" t="s">
        <v>30</v>
      </c>
      <c r="D6878" t="s">
        <v>20</v>
      </c>
      <c r="E6878">
        <v>24.3</v>
      </c>
      <c r="F6878">
        <v>35</v>
      </c>
      <c r="G6878">
        <v>850.5</v>
      </c>
      <c r="H6878" t="s">
        <v>12</v>
      </c>
      <c r="I6878" t="str">
        <f t="shared" si="322"/>
        <v>Low Value</v>
      </c>
      <c r="J6878" t="str">
        <f t="shared" si="323"/>
        <v>Low Risk</v>
      </c>
      <c r="K6878" s="3" t="str">
        <f t="shared" si="321"/>
        <v>2-4 Years</v>
      </c>
    </row>
    <row r="6879" spans="1:11" x14ac:dyDescent="0.3">
      <c r="A6879" t="s">
        <v>6896</v>
      </c>
      <c r="B6879" t="s">
        <v>9</v>
      </c>
      <c r="C6879" t="s">
        <v>10</v>
      </c>
      <c r="D6879" t="s">
        <v>11</v>
      </c>
      <c r="E6879">
        <v>80.7</v>
      </c>
      <c r="F6879">
        <v>3</v>
      </c>
      <c r="G6879">
        <v>242.1</v>
      </c>
      <c r="H6879" t="s">
        <v>12</v>
      </c>
      <c r="I6879" t="str">
        <f t="shared" si="322"/>
        <v>Low Value</v>
      </c>
      <c r="J6879" t="str">
        <f t="shared" si="323"/>
        <v>High Risk</v>
      </c>
      <c r="K6879" s="3" t="str">
        <f t="shared" si="321"/>
        <v>0-1 Year</v>
      </c>
    </row>
    <row r="6880" spans="1:11" x14ac:dyDescent="0.3">
      <c r="A6880" t="s">
        <v>6897</v>
      </c>
      <c r="B6880" t="s">
        <v>14</v>
      </c>
      <c r="C6880" t="s">
        <v>10</v>
      </c>
      <c r="D6880" t="s">
        <v>16</v>
      </c>
      <c r="E6880">
        <v>89.85</v>
      </c>
      <c r="F6880">
        <v>3</v>
      </c>
      <c r="G6880">
        <v>269.54999999999899</v>
      </c>
      <c r="H6880" t="s">
        <v>12</v>
      </c>
      <c r="I6880" t="str">
        <f t="shared" si="322"/>
        <v>Low Value</v>
      </c>
      <c r="J6880" t="str">
        <f t="shared" si="323"/>
        <v>High Risk</v>
      </c>
      <c r="K6880" s="3" t="str">
        <f t="shared" si="321"/>
        <v>0-1 Year</v>
      </c>
    </row>
    <row r="6881" spans="1:11" x14ac:dyDescent="0.3">
      <c r="A6881" t="s">
        <v>6898</v>
      </c>
      <c r="B6881" t="s">
        <v>14</v>
      </c>
      <c r="C6881" t="s">
        <v>15</v>
      </c>
      <c r="D6881" t="s">
        <v>11</v>
      </c>
      <c r="E6881">
        <v>61.1</v>
      </c>
      <c r="F6881">
        <v>53</v>
      </c>
      <c r="G6881">
        <v>3238.3</v>
      </c>
      <c r="H6881" t="s">
        <v>12</v>
      </c>
      <c r="I6881" t="str">
        <f t="shared" si="322"/>
        <v>Medium Value</v>
      </c>
      <c r="J6881" t="str">
        <f t="shared" si="323"/>
        <v>Low Risk</v>
      </c>
      <c r="K6881" s="3" t="str">
        <f t="shared" si="321"/>
        <v>4+ Years</v>
      </c>
    </row>
    <row r="6882" spans="1:11" x14ac:dyDescent="0.3">
      <c r="A6882" t="s">
        <v>6899</v>
      </c>
      <c r="B6882" t="s">
        <v>9</v>
      </c>
      <c r="C6882" t="s">
        <v>10</v>
      </c>
      <c r="D6882" t="s">
        <v>11</v>
      </c>
      <c r="E6882">
        <v>29.05</v>
      </c>
      <c r="F6882">
        <v>4</v>
      </c>
      <c r="G6882">
        <v>116.2</v>
      </c>
      <c r="H6882" t="s">
        <v>12</v>
      </c>
      <c r="I6882" t="str">
        <f t="shared" si="322"/>
        <v>Low Value</v>
      </c>
      <c r="J6882" t="str">
        <f t="shared" si="323"/>
        <v>High Risk</v>
      </c>
      <c r="K6882" s="3" t="str">
        <f t="shared" si="321"/>
        <v>0-1 Year</v>
      </c>
    </row>
    <row r="6883" spans="1:11" x14ac:dyDescent="0.3">
      <c r="A6883" t="s">
        <v>6900</v>
      </c>
      <c r="B6883" t="s">
        <v>9</v>
      </c>
      <c r="C6883" t="s">
        <v>15</v>
      </c>
      <c r="D6883" t="s">
        <v>20</v>
      </c>
      <c r="E6883">
        <v>99.7</v>
      </c>
      <c r="F6883">
        <v>48</v>
      </c>
      <c r="G6883">
        <v>4785.6000000000004</v>
      </c>
      <c r="H6883" t="s">
        <v>12</v>
      </c>
      <c r="I6883" t="str">
        <f t="shared" si="322"/>
        <v>Medium Value</v>
      </c>
      <c r="J6883" t="str">
        <f t="shared" si="323"/>
        <v>Low Risk</v>
      </c>
      <c r="K6883" s="3" t="str">
        <f t="shared" si="321"/>
        <v>2-4 Years</v>
      </c>
    </row>
    <row r="6884" spans="1:11" x14ac:dyDescent="0.3">
      <c r="A6884" t="s">
        <v>6901</v>
      </c>
      <c r="B6884" t="s">
        <v>9</v>
      </c>
      <c r="C6884" t="s">
        <v>10</v>
      </c>
      <c r="D6884" t="s">
        <v>24</v>
      </c>
      <c r="E6884">
        <v>55.9</v>
      </c>
      <c r="F6884">
        <v>6</v>
      </c>
      <c r="G6884">
        <v>335.4</v>
      </c>
      <c r="H6884" t="s">
        <v>18</v>
      </c>
      <c r="I6884" t="str">
        <f t="shared" si="322"/>
        <v>Low Value</v>
      </c>
      <c r="J6884" t="str">
        <f t="shared" si="323"/>
        <v>High Risk</v>
      </c>
      <c r="K6884" s="3" t="str">
        <f t="shared" si="321"/>
        <v>0-1 Year</v>
      </c>
    </row>
    <row r="6885" spans="1:11" x14ac:dyDescent="0.3">
      <c r="A6885" t="s">
        <v>6902</v>
      </c>
      <c r="B6885" t="s">
        <v>14</v>
      </c>
      <c r="C6885" t="s">
        <v>10</v>
      </c>
      <c r="D6885" t="s">
        <v>11</v>
      </c>
      <c r="E6885">
        <v>105.9</v>
      </c>
      <c r="F6885">
        <v>3</v>
      </c>
      <c r="G6885">
        <v>317.7</v>
      </c>
      <c r="H6885" t="s">
        <v>18</v>
      </c>
      <c r="I6885" t="str">
        <f t="shared" si="322"/>
        <v>Low Value</v>
      </c>
      <c r="J6885" t="str">
        <f t="shared" si="323"/>
        <v>High Risk</v>
      </c>
      <c r="K6885" s="3" t="str">
        <f t="shared" si="321"/>
        <v>0-1 Year</v>
      </c>
    </row>
    <row r="6886" spans="1:11" x14ac:dyDescent="0.3">
      <c r="A6886" t="s">
        <v>6903</v>
      </c>
      <c r="B6886" t="s">
        <v>14</v>
      </c>
      <c r="C6886" t="s">
        <v>30</v>
      </c>
      <c r="D6886" t="s">
        <v>24</v>
      </c>
      <c r="E6886">
        <v>46</v>
      </c>
      <c r="F6886">
        <v>54</v>
      </c>
      <c r="G6886">
        <v>2484</v>
      </c>
      <c r="H6886" t="s">
        <v>12</v>
      </c>
      <c r="I6886" t="str">
        <f t="shared" si="322"/>
        <v>Medium Value</v>
      </c>
      <c r="J6886" t="str">
        <f t="shared" si="323"/>
        <v>Low Risk</v>
      </c>
      <c r="K6886" s="3" t="str">
        <f t="shared" si="321"/>
        <v>4+ Years</v>
      </c>
    </row>
    <row r="6887" spans="1:11" x14ac:dyDescent="0.3">
      <c r="A6887" t="s">
        <v>6904</v>
      </c>
      <c r="B6887" t="s">
        <v>9</v>
      </c>
      <c r="C6887" t="s">
        <v>10</v>
      </c>
      <c r="D6887" t="s">
        <v>16</v>
      </c>
      <c r="E6887">
        <v>43.95</v>
      </c>
      <c r="F6887">
        <v>1</v>
      </c>
      <c r="G6887">
        <v>43.95</v>
      </c>
      <c r="H6887" t="s">
        <v>18</v>
      </c>
      <c r="I6887" t="str">
        <f t="shared" si="322"/>
        <v>Low Value</v>
      </c>
      <c r="J6887" t="str">
        <f t="shared" si="323"/>
        <v>High Risk</v>
      </c>
      <c r="K6887" s="3" t="str">
        <f t="shared" si="321"/>
        <v>0-1 Year</v>
      </c>
    </row>
    <row r="6888" spans="1:11" x14ac:dyDescent="0.3">
      <c r="A6888" t="s">
        <v>6905</v>
      </c>
      <c r="B6888" t="s">
        <v>14</v>
      </c>
      <c r="C6888" t="s">
        <v>10</v>
      </c>
      <c r="D6888" t="s">
        <v>20</v>
      </c>
      <c r="E6888">
        <v>80.400000000000006</v>
      </c>
      <c r="F6888">
        <v>62</v>
      </c>
      <c r="G6888">
        <v>4984.8</v>
      </c>
      <c r="H6888" t="s">
        <v>12</v>
      </c>
      <c r="I6888" t="str">
        <f t="shared" si="322"/>
        <v>Medium Value</v>
      </c>
      <c r="J6888" t="str">
        <f t="shared" si="323"/>
        <v>Low Risk</v>
      </c>
      <c r="K6888" s="3" t="str">
        <f t="shared" si="321"/>
        <v>4+ Years</v>
      </c>
    </row>
    <row r="6889" spans="1:11" x14ac:dyDescent="0.3">
      <c r="A6889" t="s">
        <v>6906</v>
      </c>
      <c r="B6889" t="s">
        <v>14</v>
      </c>
      <c r="C6889" t="s">
        <v>15</v>
      </c>
      <c r="D6889" t="s">
        <v>16</v>
      </c>
      <c r="E6889">
        <v>100.05</v>
      </c>
      <c r="F6889">
        <v>22</v>
      </c>
      <c r="G6889">
        <v>2201.1</v>
      </c>
      <c r="H6889" t="s">
        <v>12</v>
      </c>
      <c r="I6889" t="str">
        <f t="shared" si="322"/>
        <v>Medium Value</v>
      </c>
      <c r="J6889" t="str">
        <f t="shared" si="323"/>
        <v>Medium Risk</v>
      </c>
      <c r="K6889" s="3" t="str">
        <f t="shared" si="321"/>
        <v>1-2 Years</v>
      </c>
    </row>
    <row r="6890" spans="1:11" x14ac:dyDescent="0.3">
      <c r="A6890" t="s">
        <v>6907</v>
      </c>
      <c r="B6890" t="s">
        <v>14</v>
      </c>
      <c r="C6890" t="s">
        <v>10</v>
      </c>
      <c r="D6890" t="s">
        <v>20</v>
      </c>
      <c r="E6890">
        <v>45.1</v>
      </c>
      <c r="F6890">
        <v>1</v>
      </c>
      <c r="G6890">
        <v>45.1</v>
      </c>
      <c r="H6890" t="s">
        <v>18</v>
      </c>
      <c r="I6890" t="str">
        <f t="shared" si="322"/>
        <v>Low Value</v>
      </c>
      <c r="J6890" t="str">
        <f t="shared" si="323"/>
        <v>High Risk</v>
      </c>
      <c r="K6890" s="3" t="str">
        <f t="shared" si="321"/>
        <v>0-1 Year</v>
      </c>
    </row>
    <row r="6891" spans="1:11" x14ac:dyDescent="0.3">
      <c r="A6891" t="s">
        <v>6908</v>
      </c>
      <c r="B6891" t="s">
        <v>14</v>
      </c>
      <c r="C6891" t="s">
        <v>15</v>
      </c>
      <c r="D6891" t="s">
        <v>20</v>
      </c>
      <c r="E6891">
        <v>94</v>
      </c>
      <c r="F6891">
        <v>51</v>
      </c>
      <c r="G6891">
        <v>4794</v>
      </c>
      <c r="H6891" t="s">
        <v>12</v>
      </c>
      <c r="I6891" t="str">
        <f t="shared" si="322"/>
        <v>Medium Value</v>
      </c>
      <c r="J6891" t="str">
        <f t="shared" si="323"/>
        <v>Low Risk</v>
      </c>
      <c r="K6891" s="3" t="str">
        <f t="shared" si="321"/>
        <v>4+ Years</v>
      </c>
    </row>
    <row r="6892" spans="1:11" x14ac:dyDescent="0.3">
      <c r="A6892" t="s">
        <v>6909</v>
      </c>
      <c r="B6892" t="s">
        <v>9</v>
      </c>
      <c r="C6892" t="s">
        <v>15</v>
      </c>
      <c r="D6892" t="s">
        <v>24</v>
      </c>
      <c r="E6892">
        <v>68.95</v>
      </c>
      <c r="F6892">
        <v>30</v>
      </c>
      <c r="G6892">
        <v>2068.5</v>
      </c>
      <c r="H6892" t="s">
        <v>12</v>
      </c>
      <c r="I6892" t="str">
        <f t="shared" si="322"/>
        <v>Medium Value</v>
      </c>
      <c r="J6892" t="str">
        <f t="shared" si="323"/>
        <v>Low Risk</v>
      </c>
      <c r="K6892" s="3" t="str">
        <f t="shared" si="321"/>
        <v>2-4 Years</v>
      </c>
    </row>
    <row r="6893" spans="1:11" x14ac:dyDescent="0.3">
      <c r="A6893" t="s">
        <v>6910</v>
      </c>
      <c r="B6893" t="s">
        <v>9</v>
      </c>
      <c r="C6893" t="s">
        <v>15</v>
      </c>
      <c r="D6893" t="s">
        <v>24</v>
      </c>
      <c r="E6893">
        <v>68.45</v>
      </c>
      <c r="F6893">
        <v>56</v>
      </c>
      <c r="G6893">
        <v>3833.2</v>
      </c>
      <c r="H6893" t="s">
        <v>12</v>
      </c>
      <c r="I6893" t="str">
        <f t="shared" si="322"/>
        <v>Medium Value</v>
      </c>
      <c r="J6893" t="str">
        <f t="shared" si="323"/>
        <v>Low Risk</v>
      </c>
      <c r="K6893" s="3" t="str">
        <f t="shared" si="321"/>
        <v>4+ Years</v>
      </c>
    </row>
    <row r="6894" spans="1:11" x14ac:dyDescent="0.3">
      <c r="A6894" t="s">
        <v>6911</v>
      </c>
      <c r="B6894" t="s">
        <v>14</v>
      </c>
      <c r="C6894" t="s">
        <v>15</v>
      </c>
      <c r="D6894" t="s">
        <v>11</v>
      </c>
      <c r="E6894">
        <v>69</v>
      </c>
      <c r="F6894">
        <v>35</v>
      </c>
      <c r="G6894">
        <v>2415</v>
      </c>
      <c r="H6894" t="s">
        <v>12</v>
      </c>
      <c r="I6894" t="str">
        <f t="shared" si="322"/>
        <v>Medium Value</v>
      </c>
      <c r="J6894" t="str">
        <f t="shared" si="323"/>
        <v>Low Risk</v>
      </c>
      <c r="K6894" s="3" t="str">
        <f t="shared" si="321"/>
        <v>2-4 Years</v>
      </c>
    </row>
    <row r="6895" spans="1:11" x14ac:dyDescent="0.3">
      <c r="A6895" t="s">
        <v>6912</v>
      </c>
      <c r="B6895" t="s">
        <v>9</v>
      </c>
      <c r="C6895" t="s">
        <v>10</v>
      </c>
      <c r="D6895" t="s">
        <v>11</v>
      </c>
      <c r="E6895">
        <v>43.85</v>
      </c>
      <c r="F6895">
        <v>64</v>
      </c>
      <c r="G6895">
        <v>2806.4</v>
      </c>
      <c r="H6895" t="s">
        <v>12</v>
      </c>
      <c r="I6895" t="str">
        <f t="shared" si="322"/>
        <v>Medium Value</v>
      </c>
      <c r="J6895" t="str">
        <f t="shared" si="323"/>
        <v>Low Risk</v>
      </c>
      <c r="K6895" s="3" t="str">
        <f t="shared" si="321"/>
        <v>4+ Years</v>
      </c>
    </row>
    <row r="6896" spans="1:11" x14ac:dyDescent="0.3">
      <c r="A6896" t="s">
        <v>6913</v>
      </c>
      <c r="B6896" t="s">
        <v>14</v>
      </c>
      <c r="C6896" t="s">
        <v>10</v>
      </c>
      <c r="D6896" t="s">
        <v>11</v>
      </c>
      <c r="E6896">
        <v>44.5</v>
      </c>
      <c r="F6896">
        <v>30</v>
      </c>
      <c r="G6896">
        <v>1335</v>
      </c>
      <c r="H6896" t="s">
        <v>12</v>
      </c>
      <c r="I6896" t="str">
        <f t="shared" si="322"/>
        <v>Low Value</v>
      </c>
      <c r="J6896" t="str">
        <f t="shared" si="323"/>
        <v>Low Risk</v>
      </c>
      <c r="K6896" s="3" t="str">
        <f t="shared" si="321"/>
        <v>2-4 Years</v>
      </c>
    </row>
    <row r="6897" spans="1:11" x14ac:dyDescent="0.3">
      <c r="A6897" t="s">
        <v>6914</v>
      </c>
      <c r="B6897" t="s">
        <v>9</v>
      </c>
      <c r="C6897" t="s">
        <v>30</v>
      </c>
      <c r="D6897" t="s">
        <v>16</v>
      </c>
      <c r="E6897">
        <v>18.7</v>
      </c>
      <c r="F6897">
        <v>25</v>
      </c>
      <c r="G6897">
        <v>467.5</v>
      </c>
      <c r="H6897" t="s">
        <v>12</v>
      </c>
      <c r="I6897" t="str">
        <f t="shared" si="322"/>
        <v>Low Value</v>
      </c>
      <c r="J6897" t="str">
        <f t="shared" si="323"/>
        <v>Low Risk</v>
      </c>
      <c r="K6897" s="3" t="str">
        <f t="shared" si="321"/>
        <v>2-4 Years</v>
      </c>
    </row>
    <row r="6898" spans="1:11" x14ac:dyDescent="0.3">
      <c r="A6898" t="s">
        <v>6915</v>
      </c>
      <c r="B6898" t="s">
        <v>9</v>
      </c>
      <c r="C6898" t="s">
        <v>10</v>
      </c>
      <c r="D6898" t="s">
        <v>20</v>
      </c>
      <c r="E6898">
        <v>70.25</v>
      </c>
      <c r="F6898">
        <v>41</v>
      </c>
      <c r="G6898">
        <v>2880.25</v>
      </c>
      <c r="H6898" t="s">
        <v>18</v>
      </c>
      <c r="I6898" t="str">
        <f t="shared" si="322"/>
        <v>Medium Value</v>
      </c>
      <c r="J6898" t="str">
        <f t="shared" si="323"/>
        <v>Low Risk</v>
      </c>
      <c r="K6898" s="3" t="str">
        <f t="shared" si="321"/>
        <v>2-4 Years</v>
      </c>
    </row>
    <row r="6899" spans="1:11" x14ac:dyDescent="0.3">
      <c r="A6899" t="s">
        <v>6916</v>
      </c>
      <c r="B6899" t="s">
        <v>14</v>
      </c>
      <c r="C6899" t="s">
        <v>10</v>
      </c>
      <c r="D6899" t="s">
        <v>11</v>
      </c>
      <c r="E6899">
        <v>55.35</v>
      </c>
      <c r="F6899">
        <v>9</v>
      </c>
      <c r="G6899">
        <v>498.15</v>
      </c>
      <c r="H6899" t="s">
        <v>18</v>
      </c>
      <c r="I6899" t="str">
        <f t="shared" si="322"/>
        <v>Low Value</v>
      </c>
      <c r="J6899" t="str">
        <f t="shared" si="323"/>
        <v>High Risk</v>
      </c>
      <c r="K6899" s="3" t="str">
        <f t="shared" si="321"/>
        <v>0-1 Year</v>
      </c>
    </row>
    <row r="6900" spans="1:11" x14ac:dyDescent="0.3">
      <c r="A6900" t="s">
        <v>6917</v>
      </c>
      <c r="B6900" t="s">
        <v>9</v>
      </c>
      <c r="C6900" t="s">
        <v>10</v>
      </c>
      <c r="D6900" t="s">
        <v>16</v>
      </c>
      <c r="E6900">
        <v>53.55</v>
      </c>
      <c r="F6900">
        <v>1</v>
      </c>
      <c r="G6900">
        <v>53.55</v>
      </c>
      <c r="H6900" t="s">
        <v>12</v>
      </c>
      <c r="I6900" t="str">
        <f t="shared" si="322"/>
        <v>Low Value</v>
      </c>
      <c r="J6900" t="str">
        <f t="shared" si="323"/>
        <v>High Risk</v>
      </c>
      <c r="K6900" s="3" t="str">
        <f t="shared" si="321"/>
        <v>0-1 Year</v>
      </c>
    </row>
    <row r="6901" spans="1:11" x14ac:dyDescent="0.3">
      <c r="A6901" t="s">
        <v>6918</v>
      </c>
      <c r="B6901" t="s">
        <v>14</v>
      </c>
      <c r="C6901" t="s">
        <v>30</v>
      </c>
      <c r="D6901" t="s">
        <v>11</v>
      </c>
      <c r="E6901">
        <v>114.6</v>
      </c>
      <c r="F6901">
        <v>70</v>
      </c>
      <c r="G6901">
        <v>8022</v>
      </c>
      <c r="H6901" t="s">
        <v>12</v>
      </c>
      <c r="I6901" t="str">
        <f t="shared" si="322"/>
        <v>High Value</v>
      </c>
      <c r="J6901" t="str">
        <f t="shared" si="323"/>
        <v>Low Risk</v>
      </c>
      <c r="K6901" s="3" t="str">
        <f t="shared" si="321"/>
        <v>4+ Years</v>
      </c>
    </row>
    <row r="6902" spans="1:11" x14ac:dyDescent="0.3">
      <c r="A6902" t="s">
        <v>6919</v>
      </c>
      <c r="B6902" t="s">
        <v>9</v>
      </c>
      <c r="C6902" t="s">
        <v>30</v>
      </c>
      <c r="D6902" t="s">
        <v>20</v>
      </c>
      <c r="E6902">
        <v>20.100000000000001</v>
      </c>
      <c r="F6902">
        <v>57</v>
      </c>
      <c r="G6902">
        <v>1145.7</v>
      </c>
      <c r="H6902" t="s">
        <v>12</v>
      </c>
      <c r="I6902" t="str">
        <f t="shared" si="322"/>
        <v>Low Value</v>
      </c>
      <c r="J6902" t="str">
        <f t="shared" si="323"/>
        <v>Low Risk</v>
      </c>
      <c r="K6902" s="3" t="str">
        <f t="shared" si="321"/>
        <v>4+ Years</v>
      </c>
    </row>
    <row r="6903" spans="1:11" x14ac:dyDescent="0.3">
      <c r="A6903" t="s">
        <v>6920</v>
      </c>
      <c r="B6903" t="s">
        <v>14</v>
      </c>
      <c r="C6903" t="s">
        <v>10</v>
      </c>
      <c r="D6903" t="s">
        <v>11</v>
      </c>
      <c r="E6903">
        <v>85.5</v>
      </c>
      <c r="F6903">
        <v>9</v>
      </c>
      <c r="G6903">
        <v>769.5</v>
      </c>
      <c r="H6903" t="s">
        <v>12</v>
      </c>
      <c r="I6903" t="str">
        <f t="shared" si="322"/>
        <v>Low Value</v>
      </c>
      <c r="J6903" t="str">
        <f t="shared" si="323"/>
        <v>High Risk</v>
      </c>
      <c r="K6903" s="3" t="str">
        <f t="shared" si="321"/>
        <v>0-1 Year</v>
      </c>
    </row>
    <row r="6904" spans="1:11" x14ac:dyDescent="0.3">
      <c r="A6904" t="s">
        <v>6921</v>
      </c>
      <c r="B6904" t="s">
        <v>9</v>
      </c>
      <c r="C6904" t="s">
        <v>15</v>
      </c>
      <c r="D6904" t="s">
        <v>20</v>
      </c>
      <c r="E6904">
        <v>108.75</v>
      </c>
      <c r="F6904">
        <v>69</v>
      </c>
      <c r="G6904">
        <v>7503.75</v>
      </c>
      <c r="H6904" t="s">
        <v>12</v>
      </c>
      <c r="I6904" t="str">
        <f t="shared" si="322"/>
        <v>High Value</v>
      </c>
      <c r="J6904" t="str">
        <f t="shared" si="323"/>
        <v>Low Risk</v>
      </c>
      <c r="K6904" s="3" t="str">
        <f t="shared" si="321"/>
        <v>4+ Years</v>
      </c>
    </row>
    <row r="6905" spans="1:11" x14ac:dyDescent="0.3">
      <c r="A6905" t="s">
        <v>6922</v>
      </c>
      <c r="B6905" t="s">
        <v>14</v>
      </c>
      <c r="C6905" t="s">
        <v>10</v>
      </c>
      <c r="D6905" t="s">
        <v>11</v>
      </c>
      <c r="E6905">
        <v>103</v>
      </c>
      <c r="F6905">
        <v>43</v>
      </c>
      <c r="G6905">
        <v>4429</v>
      </c>
      <c r="H6905" t="s">
        <v>18</v>
      </c>
      <c r="I6905" t="str">
        <f t="shared" si="322"/>
        <v>Medium Value</v>
      </c>
      <c r="J6905" t="str">
        <f t="shared" si="323"/>
        <v>Low Risk</v>
      </c>
      <c r="K6905" s="3" t="str">
        <f t="shared" si="321"/>
        <v>2-4 Years</v>
      </c>
    </row>
    <row r="6906" spans="1:11" x14ac:dyDescent="0.3">
      <c r="A6906" t="s">
        <v>6923</v>
      </c>
      <c r="B6906" t="s">
        <v>9</v>
      </c>
      <c r="C6906" t="s">
        <v>30</v>
      </c>
      <c r="D6906" t="s">
        <v>11</v>
      </c>
      <c r="E6906">
        <v>97.85</v>
      </c>
      <c r="F6906">
        <v>72</v>
      </c>
      <c r="G6906">
        <v>7045.2</v>
      </c>
      <c r="H6906" t="s">
        <v>12</v>
      </c>
      <c r="I6906" t="str">
        <f t="shared" si="322"/>
        <v>High Value</v>
      </c>
      <c r="J6906" t="str">
        <f t="shared" si="323"/>
        <v>Low Risk</v>
      </c>
      <c r="K6906" s="3" t="str">
        <f t="shared" si="321"/>
        <v>4+ Years</v>
      </c>
    </row>
    <row r="6907" spans="1:11" x14ac:dyDescent="0.3">
      <c r="A6907" t="s">
        <v>6924</v>
      </c>
      <c r="B6907" t="s">
        <v>14</v>
      </c>
      <c r="C6907" t="s">
        <v>30</v>
      </c>
      <c r="D6907" t="s">
        <v>20</v>
      </c>
      <c r="E6907">
        <v>19.55</v>
      </c>
      <c r="F6907">
        <v>44</v>
      </c>
      <c r="G6907">
        <v>860.2</v>
      </c>
      <c r="H6907" t="s">
        <v>12</v>
      </c>
      <c r="I6907" t="str">
        <f t="shared" si="322"/>
        <v>Low Value</v>
      </c>
      <c r="J6907" t="str">
        <f t="shared" si="323"/>
        <v>Low Risk</v>
      </c>
      <c r="K6907" s="3" t="str">
        <f t="shared" si="321"/>
        <v>2-4 Years</v>
      </c>
    </row>
    <row r="6908" spans="1:11" x14ac:dyDescent="0.3">
      <c r="A6908" t="s">
        <v>6925</v>
      </c>
      <c r="B6908" t="s">
        <v>9</v>
      </c>
      <c r="C6908" t="s">
        <v>30</v>
      </c>
      <c r="D6908" t="s">
        <v>20</v>
      </c>
      <c r="E6908">
        <v>84.05</v>
      </c>
      <c r="F6908">
        <v>72</v>
      </c>
      <c r="G6908">
        <v>6051.5999999999904</v>
      </c>
      <c r="H6908" t="s">
        <v>12</v>
      </c>
      <c r="I6908" t="str">
        <f t="shared" si="322"/>
        <v>High Value</v>
      </c>
      <c r="J6908" t="str">
        <f t="shared" si="323"/>
        <v>Low Risk</v>
      </c>
      <c r="K6908" s="3" t="str">
        <f t="shared" si="321"/>
        <v>4+ Years</v>
      </c>
    </row>
    <row r="6909" spans="1:11" x14ac:dyDescent="0.3">
      <c r="A6909" t="s">
        <v>6926</v>
      </c>
      <c r="B6909" t="s">
        <v>9</v>
      </c>
      <c r="C6909" t="s">
        <v>15</v>
      </c>
      <c r="D6909" t="s">
        <v>11</v>
      </c>
      <c r="E6909">
        <v>103.75</v>
      </c>
      <c r="F6909">
        <v>33</v>
      </c>
      <c r="G6909">
        <v>3423.75</v>
      </c>
      <c r="H6909" t="s">
        <v>18</v>
      </c>
      <c r="I6909" t="str">
        <f t="shared" si="322"/>
        <v>Medium Value</v>
      </c>
      <c r="J6909" t="str">
        <f t="shared" si="323"/>
        <v>Low Risk</v>
      </c>
      <c r="K6909" s="3" t="str">
        <f t="shared" si="321"/>
        <v>2-4 Years</v>
      </c>
    </row>
    <row r="6910" spans="1:11" x14ac:dyDescent="0.3">
      <c r="A6910" t="s">
        <v>6927</v>
      </c>
      <c r="B6910" t="s">
        <v>14</v>
      </c>
      <c r="C6910" t="s">
        <v>10</v>
      </c>
      <c r="D6910" t="s">
        <v>24</v>
      </c>
      <c r="E6910">
        <v>89.4</v>
      </c>
      <c r="F6910">
        <v>54</v>
      </c>
      <c r="G6910">
        <v>4827.6000000000004</v>
      </c>
      <c r="H6910" t="s">
        <v>12</v>
      </c>
      <c r="I6910" t="str">
        <f t="shared" si="322"/>
        <v>Medium Value</v>
      </c>
      <c r="J6910" t="str">
        <f t="shared" si="323"/>
        <v>Low Risk</v>
      </c>
      <c r="K6910" s="3" t="str">
        <f t="shared" si="321"/>
        <v>4+ Years</v>
      </c>
    </row>
    <row r="6911" spans="1:11" x14ac:dyDescent="0.3">
      <c r="A6911" t="s">
        <v>6928</v>
      </c>
      <c r="B6911" t="s">
        <v>14</v>
      </c>
      <c r="C6911" t="s">
        <v>30</v>
      </c>
      <c r="D6911" t="s">
        <v>24</v>
      </c>
      <c r="E6911">
        <v>19.7</v>
      </c>
      <c r="F6911">
        <v>27</v>
      </c>
      <c r="G6911">
        <v>531.9</v>
      </c>
      <c r="H6911" t="s">
        <v>12</v>
      </c>
      <c r="I6911" t="str">
        <f t="shared" si="322"/>
        <v>Low Value</v>
      </c>
      <c r="J6911" t="str">
        <f t="shared" si="323"/>
        <v>Low Risk</v>
      </c>
      <c r="K6911" s="3" t="str">
        <f t="shared" si="321"/>
        <v>2-4 Years</v>
      </c>
    </row>
    <row r="6912" spans="1:11" x14ac:dyDescent="0.3">
      <c r="A6912" t="s">
        <v>6929</v>
      </c>
      <c r="B6912" t="s">
        <v>14</v>
      </c>
      <c r="C6912" t="s">
        <v>10</v>
      </c>
      <c r="D6912" t="s">
        <v>20</v>
      </c>
      <c r="E6912">
        <v>79.849999999999994</v>
      </c>
      <c r="F6912">
        <v>54</v>
      </c>
      <c r="G6912">
        <v>4311.8999999999996</v>
      </c>
      <c r="H6912" t="s">
        <v>12</v>
      </c>
      <c r="I6912" t="str">
        <f t="shared" si="322"/>
        <v>Medium Value</v>
      </c>
      <c r="J6912" t="str">
        <f t="shared" si="323"/>
        <v>Low Risk</v>
      </c>
      <c r="K6912" s="3" t="str">
        <f t="shared" si="321"/>
        <v>4+ Years</v>
      </c>
    </row>
    <row r="6913" spans="1:11" x14ac:dyDescent="0.3">
      <c r="A6913" t="s">
        <v>6930</v>
      </c>
      <c r="B6913" t="s">
        <v>14</v>
      </c>
      <c r="C6913" t="s">
        <v>10</v>
      </c>
      <c r="D6913" t="s">
        <v>24</v>
      </c>
      <c r="E6913">
        <v>74.45</v>
      </c>
      <c r="F6913">
        <v>3</v>
      </c>
      <c r="G6913">
        <v>223.35</v>
      </c>
      <c r="H6913" t="s">
        <v>12</v>
      </c>
      <c r="I6913" t="str">
        <f t="shared" si="322"/>
        <v>Low Value</v>
      </c>
      <c r="J6913" t="str">
        <f t="shared" si="323"/>
        <v>High Risk</v>
      </c>
      <c r="K6913" s="3" t="str">
        <f t="shared" si="321"/>
        <v>0-1 Year</v>
      </c>
    </row>
    <row r="6914" spans="1:11" x14ac:dyDescent="0.3">
      <c r="A6914" t="s">
        <v>6931</v>
      </c>
      <c r="B6914" t="s">
        <v>9</v>
      </c>
      <c r="C6914" t="s">
        <v>15</v>
      </c>
      <c r="D6914" t="s">
        <v>20</v>
      </c>
      <c r="E6914">
        <v>74.099999999999994</v>
      </c>
      <c r="F6914">
        <v>53</v>
      </c>
      <c r="G6914">
        <v>3927.2999999999902</v>
      </c>
      <c r="H6914" t="s">
        <v>12</v>
      </c>
      <c r="I6914" t="str">
        <f t="shared" si="322"/>
        <v>Medium Value</v>
      </c>
      <c r="J6914" t="str">
        <f t="shared" si="323"/>
        <v>Low Risk</v>
      </c>
      <c r="K6914" s="3" t="str">
        <f t="shared" si="321"/>
        <v>4+ Years</v>
      </c>
    </row>
    <row r="6915" spans="1:11" x14ac:dyDescent="0.3">
      <c r="A6915" t="s">
        <v>6932</v>
      </c>
      <c r="B6915" t="s">
        <v>14</v>
      </c>
      <c r="C6915" t="s">
        <v>10</v>
      </c>
      <c r="D6915" t="s">
        <v>11</v>
      </c>
      <c r="E6915">
        <v>69.349999999999994</v>
      </c>
      <c r="F6915">
        <v>1</v>
      </c>
      <c r="G6915">
        <v>69.349999999999994</v>
      </c>
      <c r="H6915" t="s">
        <v>18</v>
      </c>
      <c r="I6915" t="str">
        <f t="shared" si="322"/>
        <v>Low Value</v>
      </c>
      <c r="J6915" t="str">
        <f t="shared" si="323"/>
        <v>High Risk</v>
      </c>
      <c r="K6915" s="3" t="str">
        <f t="shared" ref="K6915:K6978" si="324">IF(F6915&lt;=12,"0-1 Year",
IF(F6915&lt;=24,"1-2 Years",
IF(F6915&lt;=48,"2-4 Years","4+ Years")))</f>
        <v>0-1 Year</v>
      </c>
    </row>
    <row r="6916" spans="1:11" x14ac:dyDescent="0.3">
      <c r="A6916" t="s">
        <v>6933</v>
      </c>
      <c r="B6916" t="s">
        <v>14</v>
      </c>
      <c r="C6916" t="s">
        <v>15</v>
      </c>
      <c r="D6916" t="s">
        <v>16</v>
      </c>
      <c r="E6916">
        <v>18.8</v>
      </c>
      <c r="F6916">
        <v>15</v>
      </c>
      <c r="G6916">
        <v>282</v>
      </c>
      <c r="H6916" t="s">
        <v>12</v>
      </c>
      <c r="I6916" t="str">
        <f t="shared" ref="I6916:I6979" si="325">IF(G6916&gt;5000,"High Value",
IF(G6916&gt;2000,"Medium Value","Low Value"))</f>
        <v>Low Value</v>
      </c>
      <c r="J6916" t="str">
        <f t="shared" ref="J6916:J6979" si="326">IF(F6916&lt;12,"High Risk",
IF(F6916&lt;24,"Medium Risk","Low Risk"))</f>
        <v>Medium Risk</v>
      </c>
      <c r="K6916" s="3" t="str">
        <f t="shared" si="324"/>
        <v>1-2 Years</v>
      </c>
    </row>
    <row r="6917" spans="1:11" x14ac:dyDescent="0.3">
      <c r="A6917" t="s">
        <v>6934</v>
      </c>
      <c r="B6917" t="s">
        <v>9</v>
      </c>
      <c r="C6917" t="s">
        <v>10</v>
      </c>
      <c r="D6917" t="s">
        <v>11</v>
      </c>
      <c r="E6917">
        <v>73.849999999999994</v>
      </c>
      <c r="F6917">
        <v>56</v>
      </c>
      <c r="G6917">
        <v>4135.5999999999904</v>
      </c>
      <c r="H6917" t="s">
        <v>18</v>
      </c>
      <c r="I6917" t="str">
        <f t="shared" si="325"/>
        <v>Medium Value</v>
      </c>
      <c r="J6917" t="str">
        <f t="shared" si="326"/>
        <v>Low Risk</v>
      </c>
      <c r="K6917" s="3" t="str">
        <f t="shared" si="324"/>
        <v>4+ Years</v>
      </c>
    </row>
    <row r="6918" spans="1:11" x14ac:dyDescent="0.3">
      <c r="A6918" t="s">
        <v>6935</v>
      </c>
      <c r="B6918" t="s">
        <v>14</v>
      </c>
      <c r="C6918" t="s">
        <v>10</v>
      </c>
      <c r="D6918" t="s">
        <v>24</v>
      </c>
      <c r="E6918">
        <v>64.400000000000006</v>
      </c>
      <c r="F6918">
        <v>5</v>
      </c>
      <c r="G6918">
        <v>322</v>
      </c>
      <c r="H6918" t="s">
        <v>12</v>
      </c>
      <c r="I6918" t="str">
        <f t="shared" si="325"/>
        <v>Low Value</v>
      </c>
      <c r="J6918" t="str">
        <f t="shared" si="326"/>
        <v>High Risk</v>
      </c>
      <c r="K6918" s="3" t="str">
        <f t="shared" si="324"/>
        <v>0-1 Year</v>
      </c>
    </row>
    <row r="6919" spans="1:11" x14ac:dyDescent="0.3">
      <c r="A6919" t="s">
        <v>6936</v>
      </c>
      <c r="B6919" t="s">
        <v>14</v>
      </c>
      <c r="C6919" t="s">
        <v>15</v>
      </c>
      <c r="D6919" t="s">
        <v>24</v>
      </c>
      <c r="E6919">
        <v>55.8</v>
      </c>
      <c r="F6919">
        <v>48</v>
      </c>
      <c r="G6919">
        <v>2678.3999999999901</v>
      </c>
      <c r="H6919" t="s">
        <v>12</v>
      </c>
      <c r="I6919" t="str">
        <f t="shared" si="325"/>
        <v>Medium Value</v>
      </c>
      <c r="J6919" t="str">
        <f t="shared" si="326"/>
        <v>Low Risk</v>
      </c>
      <c r="K6919" s="3" t="str">
        <f t="shared" si="324"/>
        <v>2-4 Years</v>
      </c>
    </row>
    <row r="6920" spans="1:11" x14ac:dyDescent="0.3">
      <c r="A6920" t="s">
        <v>6937</v>
      </c>
      <c r="B6920" t="s">
        <v>9</v>
      </c>
      <c r="C6920" t="s">
        <v>10</v>
      </c>
      <c r="D6920" t="s">
        <v>24</v>
      </c>
      <c r="E6920">
        <v>20.05</v>
      </c>
      <c r="F6920">
        <v>25</v>
      </c>
      <c r="G6920">
        <v>501.25</v>
      </c>
      <c r="H6920" t="s">
        <v>12</v>
      </c>
      <c r="I6920" t="str">
        <f t="shared" si="325"/>
        <v>Low Value</v>
      </c>
      <c r="J6920" t="str">
        <f t="shared" si="326"/>
        <v>Low Risk</v>
      </c>
      <c r="K6920" s="3" t="str">
        <f t="shared" si="324"/>
        <v>2-4 Years</v>
      </c>
    </row>
    <row r="6921" spans="1:11" x14ac:dyDescent="0.3">
      <c r="A6921" t="s">
        <v>6938</v>
      </c>
      <c r="B6921" t="s">
        <v>9</v>
      </c>
      <c r="C6921" t="s">
        <v>10</v>
      </c>
      <c r="D6921" t="s">
        <v>24</v>
      </c>
      <c r="E6921">
        <v>75.150000000000006</v>
      </c>
      <c r="F6921">
        <v>3</v>
      </c>
      <c r="G6921">
        <v>225.45</v>
      </c>
      <c r="H6921" t="s">
        <v>18</v>
      </c>
      <c r="I6921" t="str">
        <f t="shared" si="325"/>
        <v>Low Value</v>
      </c>
      <c r="J6921" t="str">
        <f t="shared" si="326"/>
        <v>High Risk</v>
      </c>
      <c r="K6921" s="3" t="str">
        <f t="shared" si="324"/>
        <v>0-1 Year</v>
      </c>
    </row>
    <row r="6922" spans="1:11" x14ac:dyDescent="0.3">
      <c r="A6922" t="s">
        <v>6939</v>
      </c>
      <c r="B6922" t="s">
        <v>14</v>
      </c>
      <c r="C6922" t="s">
        <v>15</v>
      </c>
      <c r="D6922" t="s">
        <v>20</v>
      </c>
      <c r="E6922">
        <v>99.15</v>
      </c>
      <c r="F6922">
        <v>58</v>
      </c>
      <c r="G6922">
        <v>5750.7</v>
      </c>
      <c r="H6922" t="s">
        <v>12</v>
      </c>
      <c r="I6922" t="str">
        <f t="shared" si="325"/>
        <v>High Value</v>
      </c>
      <c r="J6922" t="str">
        <f t="shared" si="326"/>
        <v>Low Risk</v>
      </c>
      <c r="K6922" s="3" t="str">
        <f t="shared" si="324"/>
        <v>4+ Years</v>
      </c>
    </row>
    <row r="6923" spans="1:11" x14ac:dyDescent="0.3">
      <c r="A6923" t="s">
        <v>6940</v>
      </c>
      <c r="B6923" t="s">
        <v>14</v>
      </c>
      <c r="C6923" t="s">
        <v>10</v>
      </c>
      <c r="D6923" t="s">
        <v>20</v>
      </c>
      <c r="E6923">
        <v>56.75</v>
      </c>
      <c r="F6923">
        <v>10</v>
      </c>
      <c r="G6923">
        <v>567.5</v>
      </c>
      <c r="H6923" t="s">
        <v>12</v>
      </c>
      <c r="I6923" t="str">
        <f t="shared" si="325"/>
        <v>Low Value</v>
      </c>
      <c r="J6923" t="str">
        <f t="shared" si="326"/>
        <v>High Risk</v>
      </c>
      <c r="K6923" s="3" t="str">
        <f t="shared" si="324"/>
        <v>0-1 Year</v>
      </c>
    </row>
    <row r="6924" spans="1:11" x14ac:dyDescent="0.3">
      <c r="A6924" t="s">
        <v>6941</v>
      </c>
      <c r="B6924" t="s">
        <v>14</v>
      </c>
      <c r="C6924" t="s">
        <v>10</v>
      </c>
      <c r="D6924" t="s">
        <v>11</v>
      </c>
      <c r="E6924">
        <v>69.599999999999994</v>
      </c>
      <c r="F6924">
        <v>1</v>
      </c>
      <c r="G6924">
        <v>69.599999999999994</v>
      </c>
      <c r="H6924" t="s">
        <v>18</v>
      </c>
      <c r="I6924" t="str">
        <f t="shared" si="325"/>
        <v>Low Value</v>
      </c>
      <c r="J6924" t="str">
        <f t="shared" si="326"/>
        <v>High Risk</v>
      </c>
      <c r="K6924" s="3" t="str">
        <f t="shared" si="324"/>
        <v>0-1 Year</v>
      </c>
    </row>
    <row r="6925" spans="1:11" x14ac:dyDescent="0.3">
      <c r="A6925" t="s">
        <v>6942</v>
      </c>
      <c r="B6925" t="s">
        <v>14</v>
      </c>
      <c r="C6925" t="s">
        <v>30</v>
      </c>
      <c r="D6925" t="s">
        <v>24</v>
      </c>
      <c r="E6925">
        <v>104.15</v>
      </c>
      <c r="F6925">
        <v>71</v>
      </c>
      <c r="G6925">
        <v>7394.65</v>
      </c>
      <c r="H6925" t="s">
        <v>12</v>
      </c>
      <c r="I6925" t="str">
        <f t="shared" si="325"/>
        <v>High Value</v>
      </c>
      <c r="J6925" t="str">
        <f t="shared" si="326"/>
        <v>Low Risk</v>
      </c>
      <c r="K6925" s="3" t="str">
        <f t="shared" si="324"/>
        <v>4+ Years</v>
      </c>
    </row>
    <row r="6926" spans="1:11" x14ac:dyDescent="0.3">
      <c r="A6926" t="s">
        <v>6943</v>
      </c>
      <c r="B6926" t="s">
        <v>9</v>
      </c>
      <c r="C6926" t="s">
        <v>30</v>
      </c>
      <c r="D6926" t="s">
        <v>24</v>
      </c>
      <c r="E6926">
        <v>110.8</v>
      </c>
      <c r="F6926">
        <v>65</v>
      </c>
      <c r="G6926">
        <v>7202</v>
      </c>
      <c r="H6926" t="s">
        <v>12</v>
      </c>
      <c r="I6926" t="str">
        <f t="shared" si="325"/>
        <v>High Value</v>
      </c>
      <c r="J6926" t="str">
        <f t="shared" si="326"/>
        <v>Low Risk</v>
      </c>
      <c r="K6926" s="3" t="str">
        <f t="shared" si="324"/>
        <v>4+ Years</v>
      </c>
    </row>
    <row r="6927" spans="1:11" x14ac:dyDescent="0.3">
      <c r="A6927" t="s">
        <v>6944</v>
      </c>
      <c r="B6927" t="s">
        <v>14</v>
      </c>
      <c r="C6927" t="s">
        <v>10</v>
      </c>
      <c r="D6927" t="s">
        <v>11</v>
      </c>
      <c r="E6927">
        <v>80.150000000000006</v>
      </c>
      <c r="F6927">
        <v>5</v>
      </c>
      <c r="G6927">
        <v>400.75</v>
      </c>
      <c r="H6927" t="s">
        <v>18</v>
      </c>
      <c r="I6927" t="str">
        <f t="shared" si="325"/>
        <v>Low Value</v>
      </c>
      <c r="J6927" t="str">
        <f t="shared" si="326"/>
        <v>High Risk</v>
      </c>
      <c r="K6927" s="3" t="str">
        <f t="shared" si="324"/>
        <v>0-1 Year</v>
      </c>
    </row>
    <row r="6928" spans="1:11" x14ac:dyDescent="0.3">
      <c r="A6928" t="s">
        <v>6945</v>
      </c>
      <c r="B6928" t="s">
        <v>9</v>
      </c>
      <c r="C6928" t="s">
        <v>10</v>
      </c>
      <c r="D6928" t="s">
        <v>16</v>
      </c>
      <c r="E6928">
        <v>35.75</v>
      </c>
      <c r="F6928">
        <v>28</v>
      </c>
      <c r="G6928">
        <v>1001</v>
      </c>
      <c r="H6928" t="s">
        <v>12</v>
      </c>
      <c r="I6928" t="str">
        <f t="shared" si="325"/>
        <v>Low Value</v>
      </c>
      <c r="J6928" t="str">
        <f t="shared" si="326"/>
        <v>Low Risk</v>
      </c>
      <c r="K6928" s="3" t="str">
        <f t="shared" si="324"/>
        <v>2-4 Years</v>
      </c>
    </row>
    <row r="6929" spans="1:11" x14ac:dyDescent="0.3">
      <c r="A6929" t="s">
        <v>6946</v>
      </c>
      <c r="B6929" t="s">
        <v>9</v>
      </c>
      <c r="C6929" t="s">
        <v>30</v>
      </c>
      <c r="D6929" t="s">
        <v>20</v>
      </c>
      <c r="E6929">
        <v>69.900000000000006</v>
      </c>
      <c r="F6929">
        <v>67</v>
      </c>
      <c r="G6929">
        <v>4683.3</v>
      </c>
      <c r="H6929" t="s">
        <v>12</v>
      </c>
      <c r="I6929" t="str">
        <f t="shared" si="325"/>
        <v>Medium Value</v>
      </c>
      <c r="J6929" t="str">
        <f t="shared" si="326"/>
        <v>Low Risk</v>
      </c>
      <c r="K6929" s="3" t="str">
        <f t="shared" si="324"/>
        <v>4+ Years</v>
      </c>
    </row>
    <row r="6930" spans="1:11" x14ac:dyDescent="0.3">
      <c r="A6930" t="s">
        <v>6947</v>
      </c>
      <c r="B6930" t="s">
        <v>14</v>
      </c>
      <c r="C6930" t="s">
        <v>15</v>
      </c>
      <c r="D6930" t="s">
        <v>11</v>
      </c>
      <c r="E6930">
        <v>89.2</v>
      </c>
      <c r="F6930">
        <v>35</v>
      </c>
      <c r="G6930">
        <v>3122</v>
      </c>
      <c r="H6930" t="s">
        <v>12</v>
      </c>
      <c r="I6930" t="str">
        <f t="shared" si="325"/>
        <v>Medium Value</v>
      </c>
      <c r="J6930" t="str">
        <f t="shared" si="326"/>
        <v>Low Risk</v>
      </c>
      <c r="K6930" s="3" t="str">
        <f t="shared" si="324"/>
        <v>2-4 Years</v>
      </c>
    </row>
    <row r="6931" spans="1:11" x14ac:dyDescent="0.3">
      <c r="A6931" t="s">
        <v>6948</v>
      </c>
      <c r="B6931" t="s">
        <v>9</v>
      </c>
      <c r="C6931" t="s">
        <v>30</v>
      </c>
      <c r="D6931" t="s">
        <v>24</v>
      </c>
      <c r="E6931">
        <v>55.65</v>
      </c>
      <c r="F6931">
        <v>72</v>
      </c>
      <c r="G6931">
        <v>4006.7999999999902</v>
      </c>
      <c r="H6931" t="s">
        <v>12</v>
      </c>
      <c r="I6931" t="str">
        <f t="shared" si="325"/>
        <v>Medium Value</v>
      </c>
      <c r="J6931" t="str">
        <f t="shared" si="326"/>
        <v>Low Risk</v>
      </c>
      <c r="K6931" s="3" t="str">
        <f t="shared" si="324"/>
        <v>4+ Years</v>
      </c>
    </row>
    <row r="6932" spans="1:11" x14ac:dyDescent="0.3">
      <c r="A6932" t="s">
        <v>6949</v>
      </c>
      <c r="B6932" t="s">
        <v>9</v>
      </c>
      <c r="C6932" t="s">
        <v>15</v>
      </c>
      <c r="D6932" t="s">
        <v>20</v>
      </c>
      <c r="E6932">
        <v>50.7</v>
      </c>
      <c r="F6932">
        <v>61</v>
      </c>
      <c r="G6932">
        <v>3092.7</v>
      </c>
      <c r="H6932" t="s">
        <v>12</v>
      </c>
      <c r="I6932" t="str">
        <f t="shared" si="325"/>
        <v>Medium Value</v>
      </c>
      <c r="J6932" t="str">
        <f t="shared" si="326"/>
        <v>Low Risk</v>
      </c>
      <c r="K6932" s="3" t="str">
        <f t="shared" si="324"/>
        <v>4+ Years</v>
      </c>
    </row>
    <row r="6933" spans="1:11" x14ac:dyDescent="0.3">
      <c r="A6933" t="s">
        <v>6950</v>
      </c>
      <c r="B6933" t="s">
        <v>14</v>
      </c>
      <c r="C6933" t="s">
        <v>30</v>
      </c>
      <c r="D6933" t="s">
        <v>24</v>
      </c>
      <c r="E6933">
        <v>20</v>
      </c>
      <c r="F6933">
        <v>68</v>
      </c>
      <c r="G6933">
        <v>1360</v>
      </c>
      <c r="H6933" t="s">
        <v>12</v>
      </c>
      <c r="I6933" t="str">
        <f t="shared" si="325"/>
        <v>Low Value</v>
      </c>
      <c r="J6933" t="str">
        <f t="shared" si="326"/>
        <v>Low Risk</v>
      </c>
      <c r="K6933" s="3" t="str">
        <f t="shared" si="324"/>
        <v>4+ Years</v>
      </c>
    </row>
    <row r="6934" spans="1:11" x14ac:dyDescent="0.3">
      <c r="A6934" t="s">
        <v>6951</v>
      </c>
      <c r="B6934" t="s">
        <v>9</v>
      </c>
      <c r="C6934" t="s">
        <v>10</v>
      </c>
      <c r="D6934" t="s">
        <v>20</v>
      </c>
      <c r="E6934">
        <v>30.5</v>
      </c>
      <c r="F6934">
        <v>1</v>
      </c>
      <c r="G6934">
        <v>30.5</v>
      </c>
      <c r="H6934" t="s">
        <v>18</v>
      </c>
      <c r="I6934" t="str">
        <f t="shared" si="325"/>
        <v>Low Value</v>
      </c>
      <c r="J6934" t="str">
        <f t="shared" si="326"/>
        <v>High Risk</v>
      </c>
      <c r="K6934" s="3" t="str">
        <f t="shared" si="324"/>
        <v>0-1 Year</v>
      </c>
    </row>
    <row r="6935" spans="1:11" x14ac:dyDescent="0.3">
      <c r="A6935" t="s">
        <v>6952</v>
      </c>
      <c r="B6935" t="s">
        <v>14</v>
      </c>
      <c r="C6935" t="s">
        <v>10</v>
      </c>
      <c r="D6935" t="s">
        <v>16</v>
      </c>
      <c r="E6935">
        <v>19.100000000000001</v>
      </c>
      <c r="F6935">
        <v>3</v>
      </c>
      <c r="G6935">
        <v>57.3</v>
      </c>
      <c r="H6935" t="s">
        <v>12</v>
      </c>
      <c r="I6935" t="str">
        <f t="shared" si="325"/>
        <v>Low Value</v>
      </c>
      <c r="J6935" t="str">
        <f t="shared" si="326"/>
        <v>High Risk</v>
      </c>
      <c r="K6935" s="3" t="str">
        <f t="shared" si="324"/>
        <v>0-1 Year</v>
      </c>
    </row>
    <row r="6936" spans="1:11" x14ac:dyDescent="0.3">
      <c r="A6936" t="s">
        <v>6953</v>
      </c>
      <c r="B6936" t="s">
        <v>14</v>
      </c>
      <c r="C6936" t="s">
        <v>30</v>
      </c>
      <c r="D6936" t="s">
        <v>20</v>
      </c>
      <c r="E6936">
        <v>98.3</v>
      </c>
      <c r="F6936">
        <v>70</v>
      </c>
      <c r="G6936">
        <v>6881</v>
      </c>
      <c r="H6936" t="s">
        <v>18</v>
      </c>
      <c r="I6936" t="str">
        <f t="shared" si="325"/>
        <v>High Value</v>
      </c>
      <c r="J6936" t="str">
        <f t="shared" si="326"/>
        <v>Low Risk</v>
      </c>
      <c r="K6936" s="3" t="str">
        <f t="shared" si="324"/>
        <v>4+ Years</v>
      </c>
    </row>
    <row r="6937" spans="1:11" x14ac:dyDescent="0.3">
      <c r="A6937" t="s">
        <v>6954</v>
      </c>
      <c r="B6937" t="s">
        <v>9</v>
      </c>
      <c r="C6937" t="s">
        <v>10</v>
      </c>
      <c r="D6937" t="s">
        <v>24</v>
      </c>
      <c r="E6937">
        <v>45.55</v>
      </c>
      <c r="F6937">
        <v>48</v>
      </c>
      <c r="G6937">
        <v>2186.3999999999901</v>
      </c>
      <c r="H6937" t="s">
        <v>12</v>
      </c>
      <c r="I6937" t="str">
        <f t="shared" si="325"/>
        <v>Medium Value</v>
      </c>
      <c r="J6937" t="str">
        <f t="shared" si="326"/>
        <v>Low Risk</v>
      </c>
      <c r="K6937" s="3" t="str">
        <f t="shared" si="324"/>
        <v>2-4 Years</v>
      </c>
    </row>
    <row r="6938" spans="1:11" x14ac:dyDescent="0.3">
      <c r="A6938" t="s">
        <v>6955</v>
      </c>
      <c r="B6938" t="s">
        <v>14</v>
      </c>
      <c r="C6938" t="s">
        <v>15</v>
      </c>
      <c r="D6938" t="s">
        <v>24</v>
      </c>
      <c r="E6938">
        <v>101.05</v>
      </c>
      <c r="F6938">
        <v>68</v>
      </c>
      <c r="G6938">
        <v>6871.4</v>
      </c>
      <c r="H6938" t="s">
        <v>12</v>
      </c>
      <c r="I6938" t="str">
        <f t="shared" si="325"/>
        <v>High Value</v>
      </c>
      <c r="J6938" t="str">
        <f t="shared" si="326"/>
        <v>Low Risk</v>
      </c>
      <c r="K6938" s="3" t="str">
        <f t="shared" si="324"/>
        <v>4+ Years</v>
      </c>
    </row>
    <row r="6939" spans="1:11" x14ac:dyDescent="0.3">
      <c r="A6939" t="s">
        <v>6956</v>
      </c>
      <c r="B6939" t="s">
        <v>9</v>
      </c>
      <c r="C6939" t="s">
        <v>15</v>
      </c>
      <c r="D6939" t="s">
        <v>11</v>
      </c>
      <c r="E6939">
        <v>103.7</v>
      </c>
      <c r="F6939">
        <v>47</v>
      </c>
      <c r="G6939">
        <v>4873.8999999999996</v>
      </c>
      <c r="H6939" t="s">
        <v>12</v>
      </c>
      <c r="I6939" t="str">
        <f t="shared" si="325"/>
        <v>Medium Value</v>
      </c>
      <c r="J6939" t="str">
        <f t="shared" si="326"/>
        <v>Low Risk</v>
      </c>
      <c r="K6939" s="3" t="str">
        <f t="shared" si="324"/>
        <v>2-4 Years</v>
      </c>
    </row>
    <row r="6940" spans="1:11" x14ac:dyDescent="0.3">
      <c r="A6940" t="s">
        <v>6957</v>
      </c>
      <c r="B6940" t="s">
        <v>14</v>
      </c>
      <c r="C6940" t="s">
        <v>15</v>
      </c>
      <c r="D6940" t="s">
        <v>16</v>
      </c>
      <c r="E6940">
        <v>36.25</v>
      </c>
      <c r="F6940">
        <v>32</v>
      </c>
      <c r="G6940">
        <v>1160</v>
      </c>
      <c r="H6940" t="s">
        <v>12</v>
      </c>
      <c r="I6940" t="str">
        <f t="shared" si="325"/>
        <v>Low Value</v>
      </c>
      <c r="J6940" t="str">
        <f t="shared" si="326"/>
        <v>Low Risk</v>
      </c>
      <c r="K6940" s="3" t="str">
        <f t="shared" si="324"/>
        <v>2-4 Years</v>
      </c>
    </row>
    <row r="6941" spans="1:11" x14ac:dyDescent="0.3">
      <c r="A6941" t="s">
        <v>6958</v>
      </c>
      <c r="B6941" t="s">
        <v>9</v>
      </c>
      <c r="C6941" t="s">
        <v>10</v>
      </c>
      <c r="D6941" t="s">
        <v>16</v>
      </c>
      <c r="E6941">
        <v>49.4</v>
      </c>
      <c r="F6941">
        <v>5</v>
      </c>
      <c r="G6941">
        <v>247</v>
      </c>
      <c r="H6941" t="s">
        <v>12</v>
      </c>
      <c r="I6941" t="str">
        <f t="shared" si="325"/>
        <v>Low Value</v>
      </c>
      <c r="J6941" t="str">
        <f t="shared" si="326"/>
        <v>High Risk</v>
      </c>
      <c r="K6941" s="3" t="str">
        <f t="shared" si="324"/>
        <v>0-1 Year</v>
      </c>
    </row>
    <row r="6942" spans="1:11" x14ac:dyDescent="0.3">
      <c r="A6942" t="s">
        <v>6959</v>
      </c>
      <c r="B6942" t="s">
        <v>14</v>
      </c>
      <c r="C6942" t="s">
        <v>30</v>
      </c>
      <c r="D6942" t="s">
        <v>24</v>
      </c>
      <c r="E6942">
        <v>19.899999999999999</v>
      </c>
      <c r="F6942">
        <v>49</v>
      </c>
      <c r="G6942">
        <v>975.099999999999</v>
      </c>
      <c r="H6942" t="s">
        <v>12</v>
      </c>
      <c r="I6942" t="str">
        <f t="shared" si="325"/>
        <v>Low Value</v>
      </c>
      <c r="J6942" t="str">
        <f t="shared" si="326"/>
        <v>Low Risk</v>
      </c>
      <c r="K6942" s="3" t="str">
        <f t="shared" si="324"/>
        <v>4+ Years</v>
      </c>
    </row>
    <row r="6943" spans="1:11" x14ac:dyDescent="0.3">
      <c r="A6943" t="s">
        <v>6960</v>
      </c>
      <c r="B6943" t="s">
        <v>9</v>
      </c>
      <c r="C6943" t="s">
        <v>10</v>
      </c>
      <c r="D6943" t="s">
        <v>20</v>
      </c>
      <c r="E6943">
        <v>107.4</v>
      </c>
      <c r="F6943">
        <v>48</v>
      </c>
      <c r="G6943">
        <v>5155.2</v>
      </c>
      <c r="H6943" t="s">
        <v>18</v>
      </c>
      <c r="I6943" t="str">
        <f t="shared" si="325"/>
        <v>High Value</v>
      </c>
      <c r="J6943" t="str">
        <f t="shared" si="326"/>
        <v>Low Risk</v>
      </c>
      <c r="K6943" s="3" t="str">
        <f t="shared" si="324"/>
        <v>2-4 Years</v>
      </c>
    </row>
    <row r="6944" spans="1:11" x14ac:dyDescent="0.3">
      <c r="A6944" t="s">
        <v>6961</v>
      </c>
      <c r="B6944" t="s">
        <v>9</v>
      </c>
      <c r="C6944" t="s">
        <v>10</v>
      </c>
      <c r="D6944" t="s">
        <v>11</v>
      </c>
      <c r="E6944">
        <v>82</v>
      </c>
      <c r="F6944">
        <v>13</v>
      </c>
      <c r="G6944">
        <v>1066</v>
      </c>
      <c r="H6944" t="s">
        <v>18</v>
      </c>
      <c r="I6944" t="str">
        <f t="shared" si="325"/>
        <v>Low Value</v>
      </c>
      <c r="J6944" t="str">
        <f t="shared" si="326"/>
        <v>Medium Risk</v>
      </c>
      <c r="K6944" s="3" t="str">
        <f t="shared" si="324"/>
        <v>1-2 Years</v>
      </c>
    </row>
    <row r="6945" spans="1:11" x14ac:dyDescent="0.3">
      <c r="A6945" t="s">
        <v>6962</v>
      </c>
      <c r="B6945" t="s">
        <v>14</v>
      </c>
      <c r="C6945" t="s">
        <v>10</v>
      </c>
      <c r="D6945" t="s">
        <v>16</v>
      </c>
      <c r="E6945">
        <v>19.8</v>
      </c>
      <c r="F6945">
        <v>15</v>
      </c>
      <c r="G6945">
        <v>297</v>
      </c>
      <c r="H6945" t="s">
        <v>12</v>
      </c>
      <c r="I6945" t="str">
        <f t="shared" si="325"/>
        <v>Low Value</v>
      </c>
      <c r="J6945" t="str">
        <f t="shared" si="326"/>
        <v>Medium Risk</v>
      </c>
      <c r="K6945" s="3" t="str">
        <f t="shared" si="324"/>
        <v>1-2 Years</v>
      </c>
    </row>
    <row r="6946" spans="1:11" x14ac:dyDescent="0.3">
      <c r="A6946" t="s">
        <v>6963</v>
      </c>
      <c r="B6946" t="s">
        <v>9</v>
      </c>
      <c r="C6946" t="s">
        <v>10</v>
      </c>
      <c r="D6946" t="s">
        <v>11</v>
      </c>
      <c r="E6946">
        <v>45.05</v>
      </c>
      <c r="F6946">
        <v>12</v>
      </c>
      <c r="G6946">
        <v>540.599999999999</v>
      </c>
      <c r="H6946" t="s">
        <v>12</v>
      </c>
      <c r="I6946" t="str">
        <f t="shared" si="325"/>
        <v>Low Value</v>
      </c>
      <c r="J6946" t="str">
        <f t="shared" si="326"/>
        <v>Medium Risk</v>
      </c>
      <c r="K6946" s="3" t="str">
        <f t="shared" si="324"/>
        <v>0-1 Year</v>
      </c>
    </row>
    <row r="6947" spans="1:11" x14ac:dyDescent="0.3">
      <c r="A6947" t="s">
        <v>6964</v>
      </c>
      <c r="B6947" t="s">
        <v>14</v>
      </c>
      <c r="C6947" t="s">
        <v>30</v>
      </c>
      <c r="D6947" t="s">
        <v>20</v>
      </c>
      <c r="E6947">
        <v>64.55</v>
      </c>
      <c r="F6947">
        <v>67</v>
      </c>
      <c r="G6947">
        <v>4324.8499999999904</v>
      </c>
      <c r="H6947" t="s">
        <v>12</v>
      </c>
      <c r="I6947" t="str">
        <f t="shared" si="325"/>
        <v>Medium Value</v>
      </c>
      <c r="J6947" t="str">
        <f t="shared" si="326"/>
        <v>Low Risk</v>
      </c>
      <c r="K6947" s="3" t="str">
        <f t="shared" si="324"/>
        <v>4+ Years</v>
      </c>
    </row>
    <row r="6948" spans="1:11" x14ac:dyDescent="0.3">
      <c r="A6948" t="s">
        <v>6965</v>
      </c>
      <c r="B6948" t="s">
        <v>14</v>
      </c>
      <c r="C6948" t="s">
        <v>10</v>
      </c>
      <c r="D6948" t="s">
        <v>11</v>
      </c>
      <c r="E6948">
        <v>86.25</v>
      </c>
      <c r="F6948">
        <v>9</v>
      </c>
      <c r="G6948">
        <v>776.25</v>
      </c>
      <c r="H6948" t="s">
        <v>12</v>
      </c>
      <c r="I6948" t="str">
        <f t="shared" si="325"/>
        <v>Low Value</v>
      </c>
      <c r="J6948" t="str">
        <f t="shared" si="326"/>
        <v>High Risk</v>
      </c>
      <c r="K6948" s="3" t="str">
        <f t="shared" si="324"/>
        <v>0-1 Year</v>
      </c>
    </row>
    <row r="6949" spans="1:11" x14ac:dyDescent="0.3">
      <c r="A6949" t="s">
        <v>6966</v>
      </c>
      <c r="B6949" t="s">
        <v>9</v>
      </c>
      <c r="C6949" t="s">
        <v>30</v>
      </c>
      <c r="D6949" t="s">
        <v>20</v>
      </c>
      <c r="E6949">
        <v>19.75</v>
      </c>
      <c r="F6949">
        <v>13</v>
      </c>
      <c r="G6949">
        <v>256.75</v>
      </c>
      <c r="H6949" t="s">
        <v>12</v>
      </c>
      <c r="I6949" t="str">
        <f t="shared" si="325"/>
        <v>Low Value</v>
      </c>
      <c r="J6949" t="str">
        <f t="shared" si="326"/>
        <v>Medium Risk</v>
      </c>
      <c r="K6949" s="3" t="str">
        <f t="shared" si="324"/>
        <v>1-2 Years</v>
      </c>
    </row>
    <row r="6950" spans="1:11" x14ac:dyDescent="0.3">
      <c r="A6950" t="s">
        <v>6967</v>
      </c>
      <c r="B6950" t="s">
        <v>9</v>
      </c>
      <c r="C6950" t="s">
        <v>15</v>
      </c>
      <c r="D6950" t="s">
        <v>16</v>
      </c>
      <c r="E6950">
        <v>89.1</v>
      </c>
      <c r="F6950">
        <v>38</v>
      </c>
      <c r="G6950">
        <v>3385.7999999999902</v>
      </c>
      <c r="H6950" t="s">
        <v>12</v>
      </c>
      <c r="I6950" t="str">
        <f t="shared" si="325"/>
        <v>Medium Value</v>
      </c>
      <c r="J6950" t="str">
        <f t="shared" si="326"/>
        <v>Low Risk</v>
      </c>
      <c r="K6950" s="3" t="str">
        <f t="shared" si="324"/>
        <v>2-4 Years</v>
      </c>
    </row>
    <row r="6951" spans="1:11" x14ac:dyDescent="0.3">
      <c r="A6951" t="s">
        <v>6968</v>
      </c>
      <c r="B6951" t="s">
        <v>9</v>
      </c>
      <c r="C6951" t="s">
        <v>10</v>
      </c>
      <c r="D6951" t="s">
        <v>11</v>
      </c>
      <c r="E6951">
        <v>95.55</v>
      </c>
      <c r="F6951">
        <v>42</v>
      </c>
      <c r="G6951">
        <v>4013.1</v>
      </c>
      <c r="H6951" t="s">
        <v>12</v>
      </c>
      <c r="I6951" t="str">
        <f t="shared" si="325"/>
        <v>Medium Value</v>
      </c>
      <c r="J6951" t="str">
        <f t="shared" si="326"/>
        <v>Low Risk</v>
      </c>
      <c r="K6951" s="3" t="str">
        <f t="shared" si="324"/>
        <v>2-4 Years</v>
      </c>
    </row>
    <row r="6952" spans="1:11" x14ac:dyDescent="0.3">
      <c r="A6952" t="s">
        <v>6969</v>
      </c>
      <c r="B6952" t="s">
        <v>9</v>
      </c>
      <c r="C6952" t="s">
        <v>10</v>
      </c>
      <c r="D6952" t="s">
        <v>24</v>
      </c>
      <c r="E6952">
        <v>75.400000000000006</v>
      </c>
      <c r="F6952">
        <v>24</v>
      </c>
      <c r="G6952">
        <v>1809.6</v>
      </c>
      <c r="H6952" t="s">
        <v>18</v>
      </c>
      <c r="I6952" t="str">
        <f t="shared" si="325"/>
        <v>Low Value</v>
      </c>
      <c r="J6952" t="str">
        <f t="shared" si="326"/>
        <v>Low Risk</v>
      </c>
      <c r="K6952" s="3" t="str">
        <f t="shared" si="324"/>
        <v>1-2 Years</v>
      </c>
    </row>
    <row r="6953" spans="1:11" x14ac:dyDescent="0.3">
      <c r="A6953" t="s">
        <v>6970</v>
      </c>
      <c r="B6953" t="s">
        <v>9</v>
      </c>
      <c r="C6953" t="s">
        <v>10</v>
      </c>
      <c r="D6953" t="s">
        <v>11</v>
      </c>
      <c r="E6953">
        <v>101.25</v>
      </c>
      <c r="F6953">
        <v>27</v>
      </c>
      <c r="G6953">
        <v>2733.75</v>
      </c>
      <c r="H6953" t="s">
        <v>18</v>
      </c>
      <c r="I6953" t="str">
        <f t="shared" si="325"/>
        <v>Medium Value</v>
      </c>
      <c r="J6953" t="str">
        <f t="shared" si="326"/>
        <v>Low Risk</v>
      </c>
      <c r="K6953" s="3" t="str">
        <f t="shared" si="324"/>
        <v>2-4 Years</v>
      </c>
    </row>
    <row r="6954" spans="1:11" x14ac:dyDescent="0.3">
      <c r="A6954" t="s">
        <v>6971</v>
      </c>
      <c r="B6954" t="s">
        <v>14</v>
      </c>
      <c r="C6954" t="s">
        <v>10</v>
      </c>
      <c r="D6954" t="s">
        <v>24</v>
      </c>
      <c r="E6954">
        <v>102.6</v>
      </c>
      <c r="F6954">
        <v>9</v>
      </c>
      <c r="G6954">
        <v>923.4</v>
      </c>
      <c r="H6954" t="s">
        <v>12</v>
      </c>
      <c r="I6954" t="str">
        <f t="shared" si="325"/>
        <v>Low Value</v>
      </c>
      <c r="J6954" t="str">
        <f t="shared" si="326"/>
        <v>High Risk</v>
      </c>
      <c r="K6954" s="3" t="str">
        <f t="shared" si="324"/>
        <v>0-1 Year</v>
      </c>
    </row>
    <row r="6955" spans="1:11" x14ac:dyDescent="0.3">
      <c r="A6955" t="s">
        <v>6972</v>
      </c>
      <c r="B6955" t="s">
        <v>9</v>
      </c>
      <c r="C6955" t="s">
        <v>15</v>
      </c>
      <c r="D6955" t="s">
        <v>24</v>
      </c>
      <c r="E6955">
        <v>56.3</v>
      </c>
      <c r="F6955">
        <v>49</v>
      </c>
      <c r="G6955">
        <v>2758.7</v>
      </c>
      <c r="H6955" t="s">
        <v>12</v>
      </c>
      <c r="I6955" t="str">
        <f t="shared" si="325"/>
        <v>Medium Value</v>
      </c>
      <c r="J6955" t="str">
        <f t="shared" si="326"/>
        <v>Low Risk</v>
      </c>
      <c r="K6955" s="3" t="str">
        <f t="shared" si="324"/>
        <v>4+ Years</v>
      </c>
    </row>
    <row r="6956" spans="1:11" x14ac:dyDescent="0.3">
      <c r="A6956" t="s">
        <v>6973</v>
      </c>
      <c r="B6956" t="s">
        <v>9</v>
      </c>
      <c r="C6956" t="s">
        <v>10</v>
      </c>
      <c r="D6956" t="s">
        <v>24</v>
      </c>
      <c r="E6956">
        <v>94.2</v>
      </c>
      <c r="F6956">
        <v>61</v>
      </c>
      <c r="G6956">
        <v>5746.2</v>
      </c>
      <c r="H6956" t="s">
        <v>12</v>
      </c>
      <c r="I6956" t="str">
        <f t="shared" si="325"/>
        <v>High Value</v>
      </c>
      <c r="J6956" t="str">
        <f t="shared" si="326"/>
        <v>Low Risk</v>
      </c>
      <c r="K6956" s="3" t="str">
        <f t="shared" si="324"/>
        <v>4+ Years</v>
      </c>
    </row>
    <row r="6957" spans="1:11" x14ac:dyDescent="0.3">
      <c r="A6957" t="s">
        <v>6974</v>
      </c>
      <c r="B6957" t="s">
        <v>14</v>
      </c>
      <c r="C6957" t="s">
        <v>15</v>
      </c>
      <c r="D6957" t="s">
        <v>20</v>
      </c>
      <c r="E6957">
        <v>43.05</v>
      </c>
      <c r="F6957">
        <v>50</v>
      </c>
      <c r="G6957">
        <v>2152.5</v>
      </c>
      <c r="H6957" t="s">
        <v>12</v>
      </c>
      <c r="I6957" t="str">
        <f t="shared" si="325"/>
        <v>Medium Value</v>
      </c>
      <c r="J6957" t="str">
        <f t="shared" si="326"/>
        <v>Low Risk</v>
      </c>
      <c r="K6957" s="3" t="str">
        <f t="shared" si="324"/>
        <v>4+ Years</v>
      </c>
    </row>
    <row r="6958" spans="1:11" x14ac:dyDescent="0.3">
      <c r="A6958" t="s">
        <v>6975</v>
      </c>
      <c r="B6958" t="s">
        <v>14</v>
      </c>
      <c r="C6958" t="s">
        <v>10</v>
      </c>
      <c r="D6958" t="s">
        <v>11</v>
      </c>
      <c r="E6958">
        <v>89.5</v>
      </c>
      <c r="F6958">
        <v>25</v>
      </c>
      <c r="G6958">
        <v>2237.5</v>
      </c>
      <c r="H6958" t="s">
        <v>18</v>
      </c>
      <c r="I6958" t="str">
        <f t="shared" si="325"/>
        <v>Medium Value</v>
      </c>
      <c r="J6958" t="str">
        <f t="shared" si="326"/>
        <v>Low Risk</v>
      </c>
      <c r="K6958" s="3" t="str">
        <f t="shared" si="324"/>
        <v>2-4 Years</v>
      </c>
    </row>
    <row r="6959" spans="1:11" x14ac:dyDescent="0.3">
      <c r="A6959" t="s">
        <v>6976</v>
      </c>
      <c r="B6959" t="s">
        <v>9</v>
      </c>
      <c r="C6959" t="s">
        <v>10</v>
      </c>
      <c r="D6959" t="s">
        <v>20</v>
      </c>
      <c r="E6959">
        <v>74.400000000000006</v>
      </c>
      <c r="F6959">
        <v>22</v>
      </c>
      <c r="G6959">
        <v>1636.8</v>
      </c>
      <c r="H6959" t="s">
        <v>18</v>
      </c>
      <c r="I6959" t="str">
        <f t="shared" si="325"/>
        <v>Low Value</v>
      </c>
      <c r="J6959" t="str">
        <f t="shared" si="326"/>
        <v>Medium Risk</v>
      </c>
      <c r="K6959" s="3" t="str">
        <f t="shared" si="324"/>
        <v>1-2 Years</v>
      </c>
    </row>
    <row r="6960" spans="1:11" x14ac:dyDescent="0.3">
      <c r="A6960" t="s">
        <v>6977</v>
      </c>
      <c r="B6960" t="s">
        <v>14</v>
      </c>
      <c r="C6960" t="s">
        <v>10</v>
      </c>
      <c r="D6960" t="s">
        <v>16</v>
      </c>
      <c r="E6960">
        <v>20.5</v>
      </c>
      <c r="F6960">
        <v>1</v>
      </c>
      <c r="G6960">
        <v>20.5</v>
      </c>
      <c r="H6960" t="s">
        <v>18</v>
      </c>
      <c r="I6960" t="str">
        <f t="shared" si="325"/>
        <v>Low Value</v>
      </c>
      <c r="J6960" t="str">
        <f t="shared" si="326"/>
        <v>High Risk</v>
      </c>
      <c r="K6960" s="3" t="str">
        <f t="shared" si="324"/>
        <v>0-1 Year</v>
      </c>
    </row>
    <row r="6961" spans="1:11" x14ac:dyDescent="0.3">
      <c r="A6961" t="s">
        <v>6978</v>
      </c>
      <c r="B6961" t="s">
        <v>14</v>
      </c>
      <c r="C6961" t="s">
        <v>10</v>
      </c>
      <c r="D6961" t="s">
        <v>11</v>
      </c>
      <c r="E6961">
        <v>74.349999999999994</v>
      </c>
      <c r="F6961">
        <v>4</v>
      </c>
      <c r="G6961">
        <v>297.39999999999998</v>
      </c>
      <c r="H6961" t="s">
        <v>18</v>
      </c>
      <c r="I6961" t="str">
        <f t="shared" si="325"/>
        <v>Low Value</v>
      </c>
      <c r="J6961" t="str">
        <f t="shared" si="326"/>
        <v>High Risk</v>
      </c>
      <c r="K6961" s="3" t="str">
        <f t="shared" si="324"/>
        <v>0-1 Year</v>
      </c>
    </row>
    <row r="6962" spans="1:11" x14ac:dyDescent="0.3">
      <c r="A6962" t="s">
        <v>6979</v>
      </c>
      <c r="B6962" t="s">
        <v>9</v>
      </c>
      <c r="C6962" t="s">
        <v>10</v>
      </c>
      <c r="D6962" t="s">
        <v>20</v>
      </c>
      <c r="E6962">
        <v>99.75</v>
      </c>
      <c r="F6962">
        <v>18</v>
      </c>
      <c r="G6962">
        <v>1795.5</v>
      </c>
      <c r="H6962" t="s">
        <v>18</v>
      </c>
      <c r="I6962" t="str">
        <f t="shared" si="325"/>
        <v>Low Value</v>
      </c>
      <c r="J6962" t="str">
        <f t="shared" si="326"/>
        <v>Medium Risk</v>
      </c>
      <c r="K6962" s="3" t="str">
        <f t="shared" si="324"/>
        <v>1-2 Years</v>
      </c>
    </row>
    <row r="6963" spans="1:11" x14ac:dyDescent="0.3">
      <c r="A6963" t="s">
        <v>6980</v>
      </c>
      <c r="B6963" t="s">
        <v>9</v>
      </c>
      <c r="C6963" t="s">
        <v>15</v>
      </c>
      <c r="D6963" t="s">
        <v>11</v>
      </c>
      <c r="E6963">
        <v>111.95</v>
      </c>
      <c r="F6963">
        <v>56</v>
      </c>
      <c r="G6963">
        <v>6269.2</v>
      </c>
      <c r="H6963" t="s">
        <v>18</v>
      </c>
      <c r="I6963" t="str">
        <f t="shared" si="325"/>
        <v>High Value</v>
      </c>
      <c r="J6963" t="str">
        <f t="shared" si="326"/>
        <v>Low Risk</v>
      </c>
      <c r="K6963" s="3" t="str">
        <f t="shared" si="324"/>
        <v>4+ Years</v>
      </c>
    </row>
    <row r="6964" spans="1:11" x14ac:dyDescent="0.3">
      <c r="A6964" t="s">
        <v>6981</v>
      </c>
      <c r="B6964" t="s">
        <v>9</v>
      </c>
      <c r="C6964" t="s">
        <v>15</v>
      </c>
      <c r="D6964" t="s">
        <v>11</v>
      </c>
      <c r="E6964">
        <v>94</v>
      </c>
      <c r="F6964">
        <v>53</v>
      </c>
      <c r="G6964">
        <v>4982</v>
      </c>
      <c r="H6964" t="s">
        <v>12</v>
      </c>
      <c r="I6964" t="str">
        <f t="shared" si="325"/>
        <v>Medium Value</v>
      </c>
      <c r="J6964" t="str">
        <f t="shared" si="326"/>
        <v>Low Risk</v>
      </c>
      <c r="K6964" s="3" t="str">
        <f t="shared" si="324"/>
        <v>4+ Years</v>
      </c>
    </row>
    <row r="6965" spans="1:11" x14ac:dyDescent="0.3">
      <c r="A6965" t="s">
        <v>6982</v>
      </c>
      <c r="B6965" t="s">
        <v>9</v>
      </c>
      <c r="C6965" t="s">
        <v>15</v>
      </c>
      <c r="D6965" t="s">
        <v>11</v>
      </c>
      <c r="E6965">
        <v>98.85</v>
      </c>
      <c r="F6965">
        <v>51</v>
      </c>
      <c r="G6965">
        <v>5041.3499999999904</v>
      </c>
      <c r="H6965" t="s">
        <v>12</v>
      </c>
      <c r="I6965" t="str">
        <f t="shared" si="325"/>
        <v>High Value</v>
      </c>
      <c r="J6965" t="str">
        <f t="shared" si="326"/>
        <v>Low Risk</v>
      </c>
      <c r="K6965" s="3" t="str">
        <f t="shared" si="324"/>
        <v>4+ Years</v>
      </c>
    </row>
    <row r="6966" spans="1:11" x14ac:dyDescent="0.3">
      <c r="A6966" t="s">
        <v>6983</v>
      </c>
      <c r="B6966" t="s">
        <v>9</v>
      </c>
      <c r="C6966" t="s">
        <v>30</v>
      </c>
      <c r="D6966" t="s">
        <v>11</v>
      </c>
      <c r="E6966">
        <v>64.349999999999994</v>
      </c>
      <c r="F6966">
        <v>24</v>
      </c>
      <c r="G6966">
        <v>1544.3999999999901</v>
      </c>
      <c r="H6966" t="s">
        <v>12</v>
      </c>
      <c r="I6966" t="str">
        <f t="shared" si="325"/>
        <v>Low Value</v>
      </c>
      <c r="J6966" t="str">
        <f t="shared" si="326"/>
        <v>Low Risk</v>
      </c>
      <c r="K6966" s="3" t="str">
        <f t="shared" si="324"/>
        <v>1-2 Years</v>
      </c>
    </row>
    <row r="6967" spans="1:11" x14ac:dyDescent="0.3">
      <c r="A6967" t="s">
        <v>6984</v>
      </c>
      <c r="B6967" t="s">
        <v>9</v>
      </c>
      <c r="C6967" t="s">
        <v>30</v>
      </c>
      <c r="D6967" t="s">
        <v>24</v>
      </c>
      <c r="E6967">
        <v>72</v>
      </c>
      <c r="F6967">
        <v>62</v>
      </c>
      <c r="G6967">
        <v>4464</v>
      </c>
      <c r="H6967" t="s">
        <v>12</v>
      </c>
      <c r="I6967" t="str">
        <f t="shared" si="325"/>
        <v>Medium Value</v>
      </c>
      <c r="J6967" t="str">
        <f t="shared" si="326"/>
        <v>Low Risk</v>
      </c>
      <c r="K6967" s="3" t="str">
        <f t="shared" si="324"/>
        <v>4+ Years</v>
      </c>
    </row>
    <row r="6968" spans="1:11" x14ac:dyDescent="0.3">
      <c r="A6968" t="s">
        <v>6985</v>
      </c>
      <c r="B6968" t="s">
        <v>14</v>
      </c>
      <c r="C6968" t="s">
        <v>10</v>
      </c>
      <c r="D6968" t="s">
        <v>16</v>
      </c>
      <c r="E6968">
        <v>49.7</v>
      </c>
      <c r="F6968">
        <v>24</v>
      </c>
      <c r="G6968">
        <v>1192.8</v>
      </c>
      <c r="H6968" t="s">
        <v>12</v>
      </c>
      <c r="I6968" t="str">
        <f t="shared" si="325"/>
        <v>Low Value</v>
      </c>
      <c r="J6968" t="str">
        <f t="shared" si="326"/>
        <v>Low Risk</v>
      </c>
      <c r="K6968" s="3" t="str">
        <f t="shared" si="324"/>
        <v>1-2 Years</v>
      </c>
    </row>
    <row r="6969" spans="1:11" x14ac:dyDescent="0.3">
      <c r="A6969" t="s">
        <v>6986</v>
      </c>
      <c r="B6969" t="s">
        <v>9</v>
      </c>
      <c r="C6969" t="s">
        <v>30</v>
      </c>
      <c r="D6969" t="s">
        <v>11</v>
      </c>
      <c r="E6969">
        <v>80.7</v>
      </c>
      <c r="F6969">
        <v>70</v>
      </c>
      <c r="G6969">
        <v>5649</v>
      </c>
      <c r="H6969" t="s">
        <v>12</v>
      </c>
      <c r="I6969" t="str">
        <f t="shared" si="325"/>
        <v>High Value</v>
      </c>
      <c r="J6969" t="str">
        <f t="shared" si="326"/>
        <v>Low Risk</v>
      </c>
      <c r="K6969" s="3" t="str">
        <f t="shared" si="324"/>
        <v>4+ Years</v>
      </c>
    </row>
    <row r="6970" spans="1:11" x14ac:dyDescent="0.3">
      <c r="A6970" t="s">
        <v>6987</v>
      </c>
      <c r="B6970" t="s">
        <v>14</v>
      </c>
      <c r="C6970" t="s">
        <v>10</v>
      </c>
      <c r="D6970" t="s">
        <v>16</v>
      </c>
      <c r="E6970">
        <v>24.2</v>
      </c>
      <c r="F6970">
        <v>1</v>
      </c>
      <c r="G6970">
        <v>24.2</v>
      </c>
      <c r="H6970" t="s">
        <v>12</v>
      </c>
      <c r="I6970" t="str">
        <f t="shared" si="325"/>
        <v>Low Value</v>
      </c>
      <c r="J6970" t="str">
        <f t="shared" si="326"/>
        <v>High Risk</v>
      </c>
      <c r="K6970" s="3" t="str">
        <f t="shared" si="324"/>
        <v>0-1 Year</v>
      </c>
    </row>
    <row r="6971" spans="1:11" x14ac:dyDescent="0.3">
      <c r="A6971" t="s">
        <v>6988</v>
      </c>
      <c r="B6971" t="s">
        <v>14</v>
      </c>
      <c r="C6971" t="s">
        <v>10</v>
      </c>
      <c r="D6971" t="s">
        <v>16</v>
      </c>
      <c r="E6971">
        <v>39</v>
      </c>
      <c r="F6971">
        <v>16</v>
      </c>
      <c r="G6971">
        <v>624</v>
      </c>
      <c r="H6971" t="s">
        <v>18</v>
      </c>
      <c r="I6971" t="str">
        <f t="shared" si="325"/>
        <v>Low Value</v>
      </c>
      <c r="J6971" t="str">
        <f t="shared" si="326"/>
        <v>Medium Risk</v>
      </c>
      <c r="K6971" s="3" t="str">
        <f t="shared" si="324"/>
        <v>1-2 Years</v>
      </c>
    </row>
    <row r="6972" spans="1:11" x14ac:dyDescent="0.3">
      <c r="A6972" t="s">
        <v>6989</v>
      </c>
      <c r="B6972" t="s">
        <v>9</v>
      </c>
      <c r="C6972" t="s">
        <v>10</v>
      </c>
      <c r="D6972" t="s">
        <v>11</v>
      </c>
      <c r="E6972">
        <v>65.45</v>
      </c>
      <c r="F6972">
        <v>8</v>
      </c>
      <c r="G6972">
        <v>523.6</v>
      </c>
      <c r="H6972" t="s">
        <v>12</v>
      </c>
      <c r="I6972" t="str">
        <f t="shared" si="325"/>
        <v>Low Value</v>
      </c>
      <c r="J6972" t="str">
        <f t="shared" si="326"/>
        <v>High Risk</v>
      </c>
      <c r="K6972" s="3" t="str">
        <f t="shared" si="324"/>
        <v>0-1 Year</v>
      </c>
    </row>
    <row r="6973" spans="1:11" x14ac:dyDescent="0.3">
      <c r="A6973" t="s">
        <v>6990</v>
      </c>
      <c r="B6973" t="s">
        <v>9</v>
      </c>
      <c r="C6973" t="s">
        <v>30</v>
      </c>
      <c r="D6973" t="s">
        <v>11</v>
      </c>
      <c r="E6973">
        <v>74.349999999999994</v>
      </c>
      <c r="F6973">
        <v>72</v>
      </c>
      <c r="G6973">
        <v>5353.2</v>
      </c>
      <c r="H6973" t="s">
        <v>12</v>
      </c>
      <c r="I6973" t="str">
        <f t="shared" si="325"/>
        <v>High Value</v>
      </c>
      <c r="J6973" t="str">
        <f t="shared" si="326"/>
        <v>Low Risk</v>
      </c>
      <c r="K6973" s="3" t="str">
        <f t="shared" si="324"/>
        <v>4+ Years</v>
      </c>
    </row>
    <row r="6974" spans="1:11" x14ac:dyDescent="0.3">
      <c r="A6974" t="s">
        <v>6991</v>
      </c>
      <c r="B6974" t="s">
        <v>9</v>
      </c>
      <c r="C6974" t="s">
        <v>10</v>
      </c>
      <c r="D6974" t="s">
        <v>20</v>
      </c>
      <c r="E6974">
        <v>83.2</v>
      </c>
      <c r="F6974">
        <v>23</v>
      </c>
      <c r="G6974">
        <v>1913.6</v>
      </c>
      <c r="H6974" t="s">
        <v>12</v>
      </c>
      <c r="I6974" t="str">
        <f t="shared" si="325"/>
        <v>Low Value</v>
      </c>
      <c r="J6974" t="str">
        <f t="shared" si="326"/>
        <v>Medium Risk</v>
      </c>
      <c r="K6974" s="3" t="str">
        <f t="shared" si="324"/>
        <v>1-2 Years</v>
      </c>
    </row>
    <row r="6975" spans="1:11" x14ac:dyDescent="0.3">
      <c r="A6975" t="s">
        <v>6992</v>
      </c>
      <c r="B6975" t="s">
        <v>14</v>
      </c>
      <c r="C6975" t="s">
        <v>10</v>
      </c>
      <c r="D6975" t="s">
        <v>24</v>
      </c>
      <c r="E6975">
        <v>25</v>
      </c>
      <c r="F6975">
        <v>31</v>
      </c>
      <c r="G6975">
        <v>775</v>
      </c>
      <c r="H6975" t="s">
        <v>12</v>
      </c>
      <c r="I6975" t="str">
        <f t="shared" si="325"/>
        <v>Low Value</v>
      </c>
      <c r="J6975" t="str">
        <f t="shared" si="326"/>
        <v>Low Risk</v>
      </c>
      <c r="K6975" s="3" t="str">
        <f t="shared" si="324"/>
        <v>2-4 Years</v>
      </c>
    </row>
    <row r="6976" spans="1:11" x14ac:dyDescent="0.3">
      <c r="A6976" t="s">
        <v>6993</v>
      </c>
      <c r="B6976" t="s">
        <v>14</v>
      </c>
      <c r="C6976" t="s">
        <v>15</v>
      </c>
      <c r="D6976" t="s">
        <v>11</v>
      </c>
      <c r="E6976">
        <v>40.200000000000003</v>
      </c>
      <c r="F6976">
        <v>37</v>
      </c>
      <c r="G6976">
        <v>1487.4</v>
      </c>
      <c r="H6976" t="s">
        <v>12</v>
      </c>
      <c r="I6976" t="str">
        <f t="shared" si="325"/>
        <v>Low Value</v>
      </c>
      <c r="J6976" t="str">
        <f t="shared" si="326"/>
        <v>Low Risk</v>
      </c>
      <c r="K6976" s="3" t="str">
        <f t="shared" si="324"/>
        <v>2-4 Years</v>
      </c>
    </row>
    <row r="6977" spans="1:11" x14ac:dyDescent="0.3">
      <c r="A6977" t="s">
        <v>6994</v>
      </c>
      <c r="B6977" t="s">
        <v>9</v>
      </c>
      <c r="C6977" t="s">
        <v>10</v>
      </c>
      <c r="D6977" t="s">
        <v>24</v>
      </c>
      <c r="E6977">
        <v>94.1</v>
      </c>
      <c r="F6977">
        <v>30</v>
      </c>
      <c r="G6977">
        <v>2823</v>
      </c>
      <c r="H6977" t="s">
        <v>18</v>
      </c>
      <c r="I6977" t="str">
        <f t="shared" si="325"/>
        <v>Medium Value</v>
      </c>
      <c r="J6977" t="str">
        <f t="shared" si="326"/>
        <v>Low Risk</v>
      </c>
      <c r="K6977" s="3" t="str">
        <f t="shared" si="324"/>
        <v>2-4 Years</v>
      </c>
    </row>
    <row r="6978" spans="1:11" x14ac:dyDescent="0.3">
      <c r="A6978" t="s">
        <v>6995</v>
      </c>
      <c r="B6978" t="s">
        <v>9</v>
      </c>
      <c r="C6978" t="s">
        <v>15</v>
      </c>
      <c r="D6978" t="s">
        <v>11</v>
      </c>
      <c r="E6978">
        <v>108.35</v>
      </c>
      <c r="F6978">
        <v>35</v>
      </c>
      <c r="G6978">
        <v>3792.25</v>
      </c>
      <c r="H6978" t="s">
        <v>12</v>
      </c>
      <c r="I6978" t="str">
        <f t="shared" si="325"/>
        <v>Medium Value</v>
      </c>
      <c r="J6978" t="str">
        <f t="shared" si="326"/>
        <v>Low Risk</v>
      </c>
      <c r="K6978" s="3" t="str">
        <f t="shared" si="324"/>
        <v>2-4 Years</v>
      </c>
    </row>
    <row r="6979" spans="1:11" x14ac:dyDescent="0.3">
      <c r="A6979" t="s">
        <v>6996</v>
      </c>
      <c r="B6979" t="s">
        <v>9</v>
      </c>
      <c r="C6979" t="s">
        <v>10</v>
      </c>
      <c r="D6979" t="s">
        <v>24</v>
      </c>
      <c r="E6979">
        <v>69.5</v>
      </c>
      <c r="F6979">
        <v>23</v>
      </c>
      <c r="G6979">
        <v>1598.5</v>
      </c>
      <c r="H6979" t="s">
        <v>12</v>
      </c>
      <c r="I6979" t="str">
        <f t="shared" si="325"/>
        <v>Low Value</v>
      </c>
      <c r="J6979" t="str">
        <f t="shared" si="326"/>
        <v>Medium Risk</v>
      </c>
      <c r="K6979" s="3" t="str">
        <f t="shared" ref="K6979:K7033" si="327">IF(F6979&lt;=12,"0-1 Year",
IF(F6979&lt;=24,"1-2 Years",
IF(F6979&lt;=48,"2-4 Years","4+ Years")))</f>
        <v>1-2 Years</v>
      </c>
    </row>
    <row r="6980" spans="1:11" x14ac:dyDescent="0.3">
      <c r="A6980" t="s">
        <v>6997</v>
      </c>
      <c r="B6980" t="s">
        <v>9</v>
      </c>
      <c r="C6980" t="s">
        <v>15</v>
      </c>
      <c r="D6980" t="s">
        <v>20</v>
      </c>
      <c r="E6980">
        <v>76</v>
      </c>
      <c r="F6980">
        <v>20</v>
      </c>
      <c r="G6980">
        <v>1520</v>
      </c>
      <c r="H6980" t="s">
        <v>12</v>
      </c>
      <c r="I6980" t="str">
        <f t="shared" ref="I6980:I7033" si="328">IF(G6980&gt;5000,"High Value",
IF(G6980&gt;2000,"Medium Value","Low Value"))</f>
        <v>Low Value</v>
      </c>
      <c r="J6980" t="str">
        <f t="shared" ref="J6980:J7033" si="329">IF(F6980&lt;12,"High Risk",
IF(F6980&lt;24,"Medium Risk","Low Risk"))</f>
        <v>Medium Risk</v>
      </c>
      <c r="K6980" s="3" t="str">
        <f t="shared" si="327"/>
        <v>1-2 Years</v>
      </c>
    </row>
    <row r="6981" spans="1:11" x14ac:dyDescent="0.3">
      <c r="A6981" t="s">
        <v>6998</v>
      </c>
      <c r="B6981" t="s">
        <v>14</v>
      </c>
      <c r="C6981" t="s">
        <v>10</v>
      </c>
      <c r="D6981" t="s">
        <v>11</v>
      </c>
      <c r="E6981">
        <v>93.6</v>
      </c>
      <c r="F6981">
        <v>36</v>
      </c>
      <c r="G6981">
        <v>3369.6</v>
      </c>
      <c r="H6981" t="s">
        <v>12</v>
      </c>
      <c r="I6981" t="str">
        <f t="shared" si="328"/>
        <v>Medium Value</v>
      </c>
      <c r="J6981" t="str">
        <f t="shared" si="329"/>
        <v>Low Risk</v>
      </c>
      <c r="K6981" s="3" t="str">
        <f t="shared" si="327"/>
        <v>2-4 Years</v>
      </c>
    </row>
    <row r="6982" spans="1:11" x14ac:dyDescent="0.3">
      <c r="A6982" t="s">
        <v>6999</v>
      </c>
      <c r="B6982" t="s">
        <v>9</v>
      </c>
      <c r="C6982" t="s">
        <v>10</v>
      </c>
      <c r="D6982" t="s">
        <v>20</v>
      </c>
      <c r="E6982">
        <v>95.65</v>
      </c>
      <c r="F6982">
        <v>8</v>
      </c>
      <c r="G6982">
        <v>765.2</v>
      </c>
      <c r="H6982" t="s">
        <v>18</v>
      </c>
      <c r="I6982" t="str">
        <f t="shared" si="328"/>
        <v>Low Value</v>
      </c>
      <c r="J6982" t="str">
        <f t="shared" si="329"/>
        <v>High Risk</v>
      </c>
      <c r="K6982" s="3" t="str">
        <f t="shared" si="327"/>
        <v>0-1 Year</v>
      </c>
    </row>
    <row r="6983" spans="1:11" x14ac:dyDescent="0.3">
      <c r="A6983" t="s">
        <v>7000</v>
      </c>
      <c r="B6983" t="s">
        <v>14</v>
      </c>
      <c r="C6983" t="s">
        <v>15</v>
      </c>
      <c r="D6983" t="s">
        <v>20</v>
      </c>
      <c r="E6983">
        <v>100.55</v>
      </c>
      <c r="F6983">
        <v>71</v>
      </c>
      <c r="G6983">
        <v>7139.05</v>
      </c>
      <c r="H6983" t="s">
        <v>12</v>
      </c>
      <c r="I6983" t="str">
        <f t="shared" si="328"/>
        <v>High Value</v>
      </c>
      <c r="J6983" t="str">
        <f t="shared" si="329"/>
        <v>Low Risk</v>
      </c>
      <c r="K6983" s="3" t="str">
        <f t="shared" si="327"/>
        <v>4+ Years</v>
      </c>
    </row>
    <row r="6984" spans="1:11" x14ac:dyDescent="0.3">
      <c r="A6984" t="s">
        <v>7001</v>
      </c>
      <c r="B6984" t="s">
        <v>9</v>
      </c>
      <c r="C6984" t="s">
        <v>10</v>
      </c>
      <c r="D6984" t="s">
        <v>11</v>
      </c>
      <c r="E6984">
        <v>88.05</v>
      </c>
      <c r="F6984">
        <v>50</v>
      </c>
      <c r="G6984">
        <v>4402.5</v>
      </c>
      <c r="H6984" t="s">
        <v>18</v>
      </c>
      <c r="I6984" t="str">
        <f t="shared" si="328"/>
        <v>Medium Value</v>
      </c>
      <c r="J6984" t="str">
        <f t="shared" si="329"/>
        <v>Low Risk</v>
      </c>
      <c r="K6984" s="3" t="str">
        <f t="shared" si="327"/>
        <v>4+ Years</v>
      </c>
    </row>
    <row r="6985" spans="1:11" x14ac:dyDescent="0.3">
      <c r="A6985" t="s">
        <v>7002</v>
      </c>
      <c r="B6985" t="s">
        <v>9</v>
      </c>
      <c r="C6985" t="s">
        <v>15</v>
      </c>
      <c r="D6985" t="s">
        <v>20</v>
      </c>
      <c r="E6985">
        <v>24.45</v>
      </c>
      <c r="F6985">
        <v>43</v>
      </c>
      <c r="G6985">
        <v>1051.3499999999999</v>
      </c>
      <c r="H6985" t="s">
        <v>12</v>
      </c>
      <c r="I6985" t="str">
        <f t="shared" si="328"/>
        <v>Low Value</v>
      </c>
      <c r="J6985" t="str">
        <f t="shared" si="329"/>
        <v>Low Risk</v>
      </c>
      <c r="K6985" s="3" t="str">
        <f t="shared" si="327"/>
        <v>2-4 Years</v>
      </c>
    </row>
    <row r="6986" spans="1:11" x14ac:dyDescent="0.3">
      <c r="A6986" t="s">
        <v>7003</v>
      </c>
      <c r="B6986" t="s">
        <v>14</v>
      </c>
      <c r="C6986" t="s">
        <v>30</v>
      </c>
      <c r="D6986" t="s">
        <v>16</v>
      </c>
      <c r="E6986">
        <v>89.55</v>
      </c>
      <c r="F6986">
        <v>57</v>
      </c>
      <c r="G6986">
        <v>5104.3499999999904</v>
      </c>
      <c r="H6986" t="s">
        <v>12</v>
      </c>
      <c r="I6986" t="str">
        <f t="shared" si="328"/>
        <v>High Value</v>
      </c>
      <c r="J6986" t="str">
        <f t="shared" si="329"/>
        <v>Low Risk</v>
      </c>
      <c r="K6986" s="3" t="str">
        <f t="shared" si="327"/>
        <v>4+ Years</v>
      </c>
    </row>
    <row r="6987" spans="1:11" x14ac:dyDescent="0.3">
      <c r="A6987" t="s">
        <v>7004</v>
      </c>
      <c r="B6987" t="s">
        <v>9</v>
      </c>
      <c r="C6987" t="s">
        <v>15</v>
      </c>
      <c r="D6987" t="s">
        <v>20</v>
      </c>
      <c r="E6987">
        <v>66.5</v>
      </c>
      <c r="F6987">
        <v>41</v>
      </c>
      <c r="G6987">
        <v>2726.5</v>
      </c>
      <c r="H6987" t="s">
        <v>18</v>
      </c>
      <c r="I6987" t="str">
        <f t="shared" si="328"/>
        <v>Medium Value</v>
      </c>
      <c r="J6987" t="str">
        <f t="shared" si="329"/>
        <v>Low Risk</v>
      </c>
      <c r="K6987" s="3" t="str">
        <f t="shared" si="327"/>
        <v>2-4 Years</v>
      </c>
    </row>
    <row r="6988" spans="1:11" x14ac:dyDescent="0.3">
      <c r="A6988" t="s">
        <v>7005</v>
      </c>
      <c r="B6988" t="s">
        <v>9</v>
      </c>
      <c r="C6988" t="s">
        <v>10</v>
      </c>
      <c r="D6988" t="s">
        <v>11</v>
      </c>
      <c r="E6988">
        <v>76.099999999999994</v>
      </c>
      <c r="F6988">
        <v>27</v>
      </c>
      <c r="G6988">
        <v>2054.6999999999998</v>
      </c>
      <c r="H6988" t="s">
        <v>12</v>
      </c>
      <c r="I6988" t="str">
        <f t="shared" si="328"/>
        <v>Medium Value</v>
      </c>
      <c r="J6988" t="str">
        <f t="shared" si="329"/>
        <v>Low Risk</v>
      </c>
      <c r="K6988" s="3" t="str">
        <f t="shared" si="327"/>
        <v>2-4 Years</v>
      </c>
    </row>
    <row r="6989" spans="1:11" x14ac:dyDescent="0.3">
      <c r="A6989" t="s">
        <v>7006</v>
      </c>
      <c r="B6989" t="s">
        <v>9</v>
      </c>
      <c r="C6989" t="s">
        <v>10</v>
      </c>
      <c r="D6989" t="s">
        <v>11</v>
      </c>
      <c r="E6989">
        <v>80.5</v>
      </c>
      <c r="F6989">
        <v>13</v>
      </c>
      <c r="G6989">
        <v>1046.5</v>
      </c>
      <c r="H6989" t="s">
        <v>12</v>
      </c>
      <c r="I6989" t="str">
        <f t="shared" si="328"/>
        <v>Low Value</v>
      </c>
      <c r="J6989" t="str">
        <f t="shared" si="329"/>
        <v>Medium Risk</v>
      </c>
      <c r="K6989" s="3" t="str">
        <f t="shared" si="327"/>
        <v>1-2 Years</v>
      </c>
    </row>
    <row r="6990" spans="1:11" x14ac:dyDescent="0.3">
      <c r="A6990" t="s">
        <v>7007</v>
      </c>
      <c r="B6990" t="s">
        <v>14</v>
      </c>
      <c r="C6990" t="s">
        <v>10</v>
      </c>
      <c r="D6990" t="s">
        <v>16</v>
      </c>
      <c r="E6990">
        <v>35.450000000000003</v>
      </c>
      <c r="F6990">
        <v>3</v>
      </c>
      <c r="G6990">
        <v>106.35</v>
      </c>
      <c r="H6990" t="s">
        <v>18</v>
      </c>
      <c r="I6990" t="str">
        <f t="shared" si="328"/>
        <v>Low Value</v>
      </c>
      <c r="J6990" t="str">
        <f t="shared" si="329"/>
        <v>High Risk</v>
      </c>
      <c r="K6990" s="3" t="str">
        <f t="shared" si="327"/>
        <v>0-1 Year</v>
      </c>
    </row>
    <row r="6991" spans="1:11" x14ac:dyDescent="0.3">
      <c r="A6991" t="s">
        <v>7008</v>
      </c>
      <c r="B6991" t="s">
        <v>9</v>
      </c>
      <c r="C6991" t="s">
        <v>15</v>
      </c>
      <c r="D6991" t="s">
        <v>11</v>
      </c>
      <c r="E6991">
        <v>20.55</v>
      </c>
      <c r="F6991">
        <v>67</v>
      </c>
      <c r="G6991">
        <v>1376.85</v>
      </c>
      <c r="H6991" t="s">
        <v>12</v>
      </c>
      <c r="I6991" t="str">
        <f t="shared" si="328"/>
        <v>Low Value</v>
      </c>
      <c r="J6991" t="str">
        <f t="shared" si="329"/>
        <v>Low Risk</v>
      </c>
      <c r="K6991" s="3" t="str">
        <f t="shared" si="327"/>
        <v>4+ Years</v>
      </c>
    </row>
    <row r="6992" spans="1:11" x14ac:dyDescent="0.3">
      <c r="A6992" t="s">
        <v>7009</v>
      </c>
      <c r="B6992" t="s">
        <v>14</v>
      </c>
      <c r="C6992" t="s">
        <v>10</v>
      </c>
      <c r="D6992" t="s">
        <v>16</v>
      </c>
      <c r="E6992">
        <v>49.9</v>
      </c>
      <c r="F6992">
        <v>3</v>
      </c>
      <c r="G6992">
        <v>149.69999999999999</v>
      </c>
      <c r="H6992" t="s">
        <v>18</v>
      </c>
      <c r="I6992" t="str">
        <f t="shared" si="328"/>
        <v>Low Value</v>
      </c>
      <c r="J6992" t="str">
        <f t="shared" si="329"/>
        <v>High Risk</v>
      </c>
      <c r="K6992" s="3" t="str">
        <f t="shared" si="327"/>
        <v>0-1 Year</v>
      </c>
    </row>
    <row r="6993" spans="1:11" x14ac:dyDescent="0.3">
      <c r="A6993" t="s">
        <v>7010</v>
      </c>
      <c r="B6993" t="s">
        <v>9</v>
      </c>
      <c r="C6993" t="s">
        <v>30</v>
      </c>
      <c r="D6993" t="s">
        <v>20</v>
      </c>
      <c r="E6993">
        <v>105.4</v>
      </c>
      <c r="F6993">
        <v>64</v>
      </c>
      <c r="G6993">
        <v>6745.6</v>
      </c>
      <c r="H6993" t="s">
        <v>12</v>
      </c>
      <c r="I6993" t="str">
        <f t="shared" si="328"/>
        <v>High Value</v>
      </c>
      <c r="J6993" t="str">
        <f t="shared" si="329"/>
        <v>Low Risk</v>
      </c>
      <c r="K6993" s="3" t="str">
        <f t="shared" si="327"/>
        <v>4+ Years</v>
      </c>
    </row>
    <row r="6994" spans="1:11" x14ac:dyDescent="0.3">
      <c r="A6994" t="s">
        <v>7011</v>
      </c>
      <c r="B6994" t="s">
        <v>14</v>
      </c>
      <c r="C6994" t="s">
        <v>10</v>
      </c>
      <c r="D6994" t="s">
        <v>11</v>
      </c>
      <c r="E6994">
        <v>35.75</v>
      </c>
      <c r="F6994">
        <v>26</v>
      </c>
      <c r="G6994">
        <v>929.5</v>
      </c>
      <c r="H6994" t="s">
        <v>12</v>
      </c>
      <c r="I6994" t="str">
        <f t="shared" si="328"/>
        <v>Low Value</v>
      </c>
      <c r="J6994" t="str">
        <f t="shared" si="329"/>
        <v>Low Risk</v>
      </c>
      <c r="K6994" s="3" t="str">
        <f t="shared" si="327"/>
        <v>2-4 Years</v>
      </c>
    </row>
    <row r="6995" spans="1:11" x14ac:dyDescent="0.3">
      <c r="A6995" t="s">
        <v>7012</v>
      </c>
      <c r="B6995" t="s">
        <v>14</v>
      </c>
      <c r="C6995" t="s">
        <v>10</v>
      </c>
      <c r="D6995" t="s">
        <v>24</v>
      </c>
      <c r="E6995">
        <v>95.1</v>
      </c>
      <c r="F6995">
        <v>38</v>
      </c>
      <c r="G6995">
        <v>3613.7999999999902</v>
      </c>
      <c r="H6995" t="s">
        <v>12</v>
      </c>
      <c r="I6995" t="str">
        <f t="shared" si="328"/>
        <v>Medium Value</v>
      </c>
      <c r="J6995" t="str">
        <f t="shared" si="329"/>
        <v>Low Risk</v>
      </c>
      <c r="K6995" s="3" t="str">
        <f t="shared" si="327"/>
        <v>2-4 Years</v>
      </c>
    </row>
    <row r="6996" spans="1:11" x14ac:dyDescent="0.3">
      <c r="A6996" t="s">
        <v>7013</v>
      </c>
      <c r="B6996" t="s">
        <v>14</v>
      </c>
      <c r="C6996" t="s">
        <v>15</v>
      </c>
      <c r="D6996" t="s">
        <v>24</v>
      </c>
      <c r="E6996">
        <v>19.3</v>
      </c>
      <c r="F6996">
        <v>23</v>
      </c>
      <c r="G6996">
        <v>443.9</v>
      </c>
      <c r="H6996" t="s">
        <v>12</v>
      </c>
      <c r="I6996" t="str">
        <f t="shared" si="328"/>
        <v>Low Value</v>
      </c>
      <c r="J6996" t="str">
        <f t="shared" si="329"/>
        <v>Medium Risk</v>
      </c>
      <c r="K6996" s="3" t="str">
        <f t="shared" si="327"/>
        <v>1-2 Years</v>
      </c>
    </row>
    <row r="6997" spans="1:11" x14ac:dyDescent="0.3">
      <c r="A6997" t="s">
        <v>7014</v>
      </c>
      <c r="B6997" t="s">
        <v>14</v>
      </c>
      <c r="C6997" t="s">
        <v>10</v>
      </c>
      <c r="D6997" t="s">
        <v>24</v>
      </c>
      <c r="E6997">
        <v>104.5</v>
      </c>
      <c r="F6997">
        <v>40</v>
      </c>
      <c r="G6997">
        <v>4180</v>
      </c>
      <c r="H6997" t="s">
        <v>18</v>
      </c>
      <c r="I6997" t="str">
        <f t="shared" si="328"/>
        <v>Medium Value</v>
      </c>
      <c r="J6997" t="str">
        <f t="shared" si="329"/>
        <v>Low Risk</v>
      </c>
      <c r="K6997" s="3" t="str">
        <f t="shared" si="327"/>
        <v>2-4 Years</v>
      </c>
    </row>
    <row r="6998" spans="1:11" x14ac:dyDescent="0.3">
      <c r="A6998" t="s">
        <v>7015</v>
      </c>
      <c r="B6998" t="s">
        <v>14</v>
      </c>
      <c r="C6998" t="s">
        <v>30</v>
      </c>
      <c r="D6998" t="s">
        <v>20</v>
      </c>
      <c r="E6998">
        <v>63.1</v>
      </c>
      <c r="F6998">
        <v>72</v>
      </c>
      <c r="G6998">
        <v>4543.2</v>
      </c>
      <c r="H6998" t="s">
        <v>12</v>
      </c>
      <c r="I6998" t="str">
        <f t="shared" si="328"/>
        <v>Medium Value</v>
      </c>
      <c r="J6998" t="str">
        <f t="shared" si="329"/>
        <v>Low Risk</v>
      </c>
      <c r="K6998" s="3" t="str">
        <f t="shared" si="327"/>
        <v>4+ Years</v>
      </c>
    </row>
    <row r="6999" spans="1:11" x14ac:dyDescent="0.3">
      <c r="A6999" t="s">
        <v>7016</v>
      </c>
      <c r="B6999" t="s">
        <v>9</v>
      </c>
      <c r="C6999" t="s">
        <v>10</v>
      </c>
      <c r="D6999" t="s">
        <v>24</v>
      </c>
      <c r="E6999">
        <v>75.05</v>
      </c>
      <c r="F6999">
        <v>3</v>
      </c>
      <c r="G6999">
        <v>225.14999999999901</v>
      </c>
      <c r="H6999" t="s">
        <v>18</v>
      </c>
      <c r="I6999" t="str">
        <f t="shared" si="328"/>
        <v>Low Value</v>
      </c>
      <c r="J6999" t="str">
        <f t="shared" si="329"/>
        <v>High Risk</v>
      </c>
      <c r="K6999" s="3" t="str">
        <f t="shared" si="327"/>
        <v>0-1 Year</v>
      </c>
    </row>
    <row r="7000" spans="1:11" x14ac:dyDescent="0.3">
      <c r="A7000" t="s">
        <v>7017</v>
      </c>
      <c r="B7000" t="s">
        <v>14</v>
      </c>
      <c r="C7000" t="s">
        <v>10</v>
      </c>
      <c r="D7000" t="s">
        <v>11</v>
      </c>
      <c r="E7000">
        <v>81</v>
      </c>
      <c r="F7000">
        <v>23</v>
      </c>
      <c r="G7000">
        <v>1863</v>
      </c>
      <c r="H7000" t="s">
        <v>18</v>
      </c>
      <c r="I7000" t="str">
        <f t="shared" si="328"/>
        <v>Low Value</v>
      </c>
      <c r="J7000" t="str">
        <f t="shared" si="329"/>
        <v>Medium Risk</v>
      </c>
      <c r="K7000" s="3" t="str">
        <f t="shared" si="327"/>
        <v>1-2 Years</v>
      </c>
    </row>
    <row r="7001" spans="1:11" x14ac:dyDescent="0.3">
      <c r="A7001" t="s">
        <v>7018</v>
      </c>
      <c r="B7001" t="s">
        <v>9</v>
      </c>
      <c r="C7001" t="s">
        <v>10</v>
      </c>
      <c r="D7001" t="s">
        <v>11</v>
      </c>
      <c r="E7001">
        <v>74.45</v>
      </c>
      <c r="F7001">
        <v>1</v>
      </c>
      <c r="G7001">
        <v>74.45</v>
      </c>
      <c r="H7001" t="s">
        <v>18</v>
      </c>
      <c r="I7001" t="str">
        <f t="shared" si="328"/>
        <v>Low Value</v>
      </c>
      <c r="J7001" t="str">
        <f t="shared" si="329"/>
        <v>High Risk</v>
      </c>
      <c r="K7001" s="3" t="str">
        <f t="shared" si="327"/>
        <v>0-1 Year</v>
      </c>
    </row>
    <row r="7002" spans="1:11" x14ac:dyDescent="0.3">
      <c r="A7002" t="s">
        <v>7019</v>
      </c>
      <c r="B7002" t="s">
        <v>9</v>
      </c>
      <c r="C7002" t="s">
        <v>10</v>
      </c>
      <c r="D7002" t="s">
        <v>16</v>
      </c>
      <c r="E7002">
        <v>60.4</v>
      </c>
      <c r="F7002">
        <v>4</v>
      </c>
      <c r="G7002">
        <v>241.6</v>
      </c>
      <c r="H7002" t="s">
        <v>18</v>
      </c>
      <c r="I7002" t="str">
        <f t="shared" si="328"/>
        <v>Low Value</v>
      </c>
      <c r="J7002" t="str">
        <f t="shared" si="329"/>
        <v>High Risk</v>
      </c>
      <c r="K7002" s="3" t="str">
        <f t="shared" si="327"/>
        <v>0-1 Year</v>
      </c>
    </row>
    <row r="7003" spans="1:11" x14ac:dyDescent="0.3">
      <c r="A7003" t="s">
        <v>7020</v>
      </c>
      <c r="B7003" t="s">
        <v>9</v>
      </c>
      <c r="C7003" t="s">
        <v>30</v>
      </c>
      <c r="D7003" t="s">
        <v>11</v>
      </c>
      <c r="E7003">
        <v>84.95</v>
      </c>
      <c r="F7003">
        <v>62</v>
      </c>
      <c r="G7003">
        <v>5266.9</v>
      </c>
      <c r="H7003" t="s">
        <v>12</v>
      </c>
      <c r="I7003" t="str">
        <f t="shared" si="328"/>
        <v>High Value</v>
      </c>
      <c r="J7003" t="str">
        <f t="shared" si="329"/>
        <v>Low Risk</v>
      </c>
      <c r="K7003" s="3" t="str">
        <f t="shared" si="327"/>
        <v>4+ Years</v>
      </c>
    </row>
    <row r="7004" spans="1:11" x14ac:dyDescent="0.3">
      <c r="A7004" t="s">
        <v>7021</v>
      </c>
      <c r="B7004" t="s">
        <v>9</v>
      </c>
      <c r="C7004" t="s">
        <v>10</v>
      </c>
      <c r="D7004" t="s">
        <v>20</v>
      </c>
      <c r="E7004">
        <v>93.4</v>
      </c>
      <c r="F7004">
        <v>40</v>
      </c>
      <c r="G7004">
        <v>3736</v>
      </c>
      <c r="H7004" t="s">
        <v>12</v>
      </c>
      <c r="I7004" t="str">
        <f t="shared" si="328"/>
        <v>Medium Value</v>
      </c>
      <c r="J7004" t="str">
        <f t="shared" si="329"/>
        <v>Low Risk</v>
      </c>
      <c r="K7004" s="3" t="str">
        <f t="shared" si="327"/>
        <v>2-4 Years</v>
      </c>
    </row>
    <row r="7005" spans="1:11" x14ac:dyDescent="0.3">
      <c r="A7005" t="s">
        <v>7022</v>
      </c>
      <c r="B7005" t="s">
        <v>14</v>
      </c>
      <c r="C7005" t="s">
        <v>10</v>
      </c>
      <c r="D7005" t="s">
        <v>11</v>
      </c>
      <c r="E7005">
        <v>89.2</v>
      </c>
      <c r="F7005">
        <v>41</v>
      </c>
      <c r="G7005">
        <v>3657.2</v>
      </c>
      <c r="H7005" t="s">
        <v>12</v>
      </c>
      <c r="I7005" t="str">
        <f t="shared" si="328"/>
        <v>Medium Value</v>
      </c>
      <c r="J7005" t="str">
        <f t="shared" si="329"/>
        <v>Low Risk</v>
      </c>
      <c r="K7005" s="3" t="str">
        <f t="shared" si="327"/>
        <v>2-4 Years</v>
      </c>
    </row>
    <row r="7006" spans="1:11" x14ac:dyDescent="0.3">
      <c r="A7006" t="s">
        <v>7023</v>
      </c>
      <c r="B7006" t="s">
        <v>14</v>
      </c>
      <c r="C7006" t="s">
        <v>10</v>
      </c>
      <c r="D7006" t="s">
        <v>24</v>
      </c>
      <c r="E7006">
        <v>85.2</v>
      </c>
      <c r="F7006">
        <v>34</v>
      </c>
      <c r="G7006">
        <v>2896.8</v>
      </c>
      <c r="H7006" t="s">
        <v>12</v>
      </c>
      <c r="I7006" t="str">
        <f t="shared" si="328"/>
        <v>Medium Value</v>
      </c>
      <c r="J7006" t="str">
        <f t="shared" si="329"/>
        <v>Low Risk</v>
      </c>
      <c r="K7006" s="3" t="str">
        <f t="shared" si="327"/>
        <v>2-4 Years</v>
      </c>
    </row>
    <row r="7007" spans="1:11" x14ac:dyDescent="0.3">
      <c r="A7007" t="s">
        <v>7024</v>
      </c>
      <c r="B7007" t="s">
        <v>9</v>
      </c>
      <c r="C7007" t="s">
        <v>10</v>
      </c>
      <c r="D7007" t="s">
        <v>11</v>
      </c>
      <c r="E7007">
        <v>49.95</v>
      </c>
      <c r="F7007">
        <v>1</v>
      </c>
      <c r="G7007">
        <v>49.95</v>
      </c>
      <c r="H7007" t="s">
        <v>12</v>
      </c>
      <c r="I7007" t="str">
        <f t="shared" si="328"/>
        <v>Low Value</v>
      </c>
      <c r="J7007" t="str">
        <f t="shared" si="329"/>
        <v>High Risk</v>
      </c>
      <c r="K7007" s="3" t="str">
        <f t="shared" si="327"/>
        <v>0-1 Year</v>
      </c>
    </row>
    <row r="7008" spans="1:11" x14ac:dyDescent="0.3">
      <c r="A7008" t="s">
        <v>7025</v>
      </c>
      <c r="B7008" t="s">
        <v>9</v>
      </c>
      <c r="C7008" t="s">
        <v>30</v>
      </c>
      <c r="D7008" t="s">
        <v>20</v>
      </c>
      <c r="E7008">
        <v>20.65</v>
      </c>
      <c r="F7008">
        <v>51</v>
      </c>
      <c r="G7008">
        <v>1053.1499999999901</v>
      </c>
      <c r="H7008" t="s">
        <v>12</v>
      </c>
      <c r="I7008" t="str">
        <f t="shared" si="328"/>
        <v>Low Value</v>
      </c>
      <c r="J7008" t="str">
        <f t="shared" si="329"/>
        <v>Low Risk</v>
      </c>
      <c r="K7008" s="3" t="str">
        <f t="shared" si="327"/>
        <v>4+ Years</v>
      </c>
    </row>
    <row r="7009" spans="1:11" x14ac:dyDescent="0.3">
      <c r="A7009" t="s">
        <v>7026</v>
      </c>
      <c r="B7009" t="s">
        <v>14</v>
      </c>
      <c r="C7009" t="s">
        <v>10</v>
      </c>
      <c r="D7009" t="s">
        <v>16</v>
      </c>
      <c r="E7009">
        <v>70.650000000000006</v>
      </c>
      <c r="F7009">
        <v>1</v>
      </c>
      <c r="G7009">
        <v>70.650000000000006</v>
      </c>
      <c r="H7009" t="s">
        <v>18</v>
      </c>
      <c r="I7009" t="str">
        <f t="shared" si="328"/>
        <v>Low Value</v>
      </c>
      <c r="J7009" t="str">
        <f t="shared" si="329"/>
        <v>High Risk</v>
      </c>
      <c r="K7009" s="3" t="str">
        <f t="shared" si="327"/>
        <v>0-1 Year</v>
      </c>
    </row>
    <row r="7010" spans="1:11" x14ac:dyDescent="0.3">
      <c r="A7010" t="s">
        <v>7027</v>
      </c>
      <c r="B7010" t="s">
        <v>9</v>
      </c>
      <c r="C7010" t="s">
        <v>30</v>
      </c>
      <c r="D7010" t="s">
        <v>16</v>
      </c>
      <c r="E7010">
        <v>20.149999999999999</v>
      </c>
      <c r="F7010">
        <v>39</v>
      </c>
      <c r="G7010">
        <v>785.849999999999</v>
      </c>
      <c r="H7010" t="s">
        <v>12</v>
      </c>
      <c r="I7010" t="str">
        <f t="shared" si="328"/>
        <v>Low Value</v>
      </c>
      <c r="J7010" t="str">
        <f t="shared" si="329"/>
        <v>Low Risk</v>
      </c>
      <c r="K7010" s="3" t="str">
        <f t="shared" si="327"/>
        <v>2-4 Years</v>
      </c>
    </row>
    <row r="7011" spans="1:11" x14ac:dyDescent="0.3">
      <c r="A7011" t="s">
        <v>7028</v>
      </c>
      <c r="B7011" t="s">
        <v>14</v>
      </c>
      <c r="C7011" t="s">
        <v>10</v>
      </c>
      <c r="D7011" t="s">
        <v>11</v>
      </c>
      <c r="E7011">
        <v>19.2</v>
      </c>
      <c r="F7011">
        <v>12</v>
      </c>
      <c r="G7011">
        <v>230.39999999999901</v>
      </c>
      <c r="H7011" t="s">
        <v>12</v>
      </c>
      <c r="I7011" t="str">
        <f t="shared" si="328"/>
        <v>Low Value</v>
      </c>
      <c r="J7011" t="str">
        <f t="shared" si="329"/>
        <v>Medium Risk</v>
      </c>
      <c r="K7011" s="3" t="str">
        <f t="shared" si="327"/>
        <v>0-1 Year</v>
      </c>
    </row>
    <row r="7012" spans="1:11" x14ac:dyDescent="0.3">
      <c r="A7012" t="s">
        <v>7029</v>
      </c>
      <c r="B7012" t="s">
        <v>14</v>
      </c>
      <c r="C7012" t="s">
        <v>15</v>
      </c>
      <c r="D7012" t="s">
        <v>11</v>
      </c>
      <c r="E7012">
        <v>59.8</v>
      </c>
      <c r="F7012">
        <v>12</v>
      </c>
      <c r="G7012">
        <v>717.599999999999</v>
      </c>
      <c r="H7012" t="s">
        <v>18</v>
      </c>
      <c r="I7012" t="str">
        <f t="shared" si="328"/>
        <v>Low Value</v>
      </c>
      <c r="J7012" t="str">
        <f t="shared" si="329"/>
        <v>Medium Risk</v>
      </c>
      <c r="K7012" s="3" t="str">
        <f t="shared" si="327"/>
        <v>0-1 Year</v>
      </c>
    </row>
    <row r="7013" spans="1:11" x14ac:dyDescent="0.3">
      <c r="A7013" t="s">
        <v>7030</v>
      </c>
      <c r="B7013" t="s">
        <v>14</v>
      </c>
      <c r="C7013" t="s">
        <v>15</v>
      </c>
      <c r="D7013" t="s">
        <v>11</v>
      </c>
      <c r="E7013">
        <v>104.95</v>
      </c>
      <c r="F7013">
        <v>72</v>
      </c>
      <c r="G7013">
        <v>7556.4</v>
      </c>
      <c r="H7013" t="s">
        <v>12</v>
      </c>
      <c r="I7013" t="str">
        <f t="shared" si="328"/>
        <v>High Value</v>
      </c>
      <c r="J7013" t="str">
        <f t="shared" si="329"/>
        <v>Low Risk</v>
      </c>
      <c r="K7013" s="3" t="str">
        <f t="shared" si="327"/>
        <v>4+ Years</v>
      </c>
    </row>
    <row r="7014" spans="1:11" x14ac:dyDescent="0.3">
      <c r="A7014" t="s">
        <v>7031</v>
      </c>
      <c r="B7014" t="s">
        <v>9</v>
      </c>
      <c r="C7014" t="s">
        <v>10</v>
      </c>
      <c r="D7014" t="s">
        <v>11</v>
      </c>
      <c r="E7014">
        <v>103.5</v>
      </c>
      <c r="F7014">
        <v>63</v>
      </c>
      <c r="G7014">
        <v>6520.5</v>
      </c>
      <c r="H7014" t="s">
        <v>12</v>
      </c>
      <c r="I7014" t="str">
        <f t="shared" si="328"/>
        <v>High Value</v>
      </c>
      <c r="J7014" t="str">
        <f t="shared" si="329"/>
        <v>Low Risk</v>
      </c>
      <c r="K7014" s="3" t="str">
        <f t="shared" si="327"/>
        <v>4+ Years</v>
      </c>
    </row>
    <row r="7015" spans="1:11" x14ac:dyDescent="0.3">
      <c r="A7015" t="s">
        <v>7032</v>
      </c>
      <c r="B7015" t="s">
        <v>14</v>
      </c>
      <c r="C7015" t="s">
        <v>10</v>
      </c>
      <c r="D7015" t="s">
        <v>24</v>
      </c>
      <c r="E7015">
        <v>84.8</v>
      </c>
      <c r="F7015">
        <v>44</v>
      </c>
      <c r="G7015">
        <v>3731.2</v>
      </c>
      <c r="H7015" t="s">
        <v>12</v>
      </c>
      <c r="I7015" t="str">
        <f t="shared" si="328"/>
        <v>Medium Value</v>
      </c>
      <c r="J7015" t="str">
        <f t="shared" si="329"/>
        <v>Low Risk</v>
      </c>
      <c r="K7015" s="3" t="str">
        <f t="shared" si="327"/>
        <v>2-4 Years</v>
      </c>
    </row>
    <row r="7016" spans="1:11" x14ac:dyDescent="0.3">
      <c r="A7016" t="s">
        <v>7033</v>
      </c>
      <c r="B7016" t="s">
        <v>9</v>
      </c>
      <c r="C7016" t="s">
        <v>10</v>
      </c>
      <c r="D7016" t="s">
        <v>20</v>
      </c>
      <c r="E7016">
        <v>95.05</v>
      </c>
      <c r="F7016">
        <v>18</v>
      </c>
      <c r="G7016">
        <v>1710.8999999999901</v>
      </c>
      <c r="H7016" t="s">
        <v>12</v>
      </c>
      <c r="I7016" t="str">
        <f t="shared" si="328"/>
        <v>Low Value</v>
      </c>
      <c r="J7016" t="str">
        <f t="shared" si="329"/>
        <v>Medium Risk</v>
      </c>
      <c r="K7016" s="3" t="str">
        <f t="shared" si="327"/>
        <v>1-2 Years</v>
      </c>
    </row>
    <row r="7017" spans="1:11" x14ac:dyDescent="0.3">
      <c r="A7017" t="s">
        <v>7034</v>
      </c>
      <c r="B7017" t="s">
        <v>9</v>
      </c>
      <c r="C7017" t="s">
        <v>10</v>
      </c>
      <c r="D7017" t="s">
        <v>20</v>
      </c>
      <c r="E7017">
        <v>44.2</v>
      </c>
      <c r="F7017">
        <v>9</v>
      </c>
      <c r="G7017">
        <v>397.8</v>
      </c>
      <c r="H7017" t="s">
        <v>18</v>
      </c>
      <c r="I7017" t="str">
        <f t="shared" si="328"/>
        <v>Low Value</v>
      </c>
      <c r="J7017" t="str">
        <f t="shared" si="329"/>
        <v>High Risk</v>
      </c>
      <c r="K7017" s="3" t="str">
        <f t="shared" si="327"/>
        <v>0-1 Year</v>
      </c>
    </row>
    <row r="7018" spans="1:11" x14ac:dyDescent="0.3">
      <c r="A7018" t="s">
        <v>7035</v>
      </c>
      <c r="B7018" t="s">
        <v>14</v>
      </c>
      <c r="C7018" t="s">
        <v>10</v>
      </c>
      <c r="D7018" t="s">
        <v>16</v>
      </c>
      <c r="E7018">
        <v>73.349999999999994</v>
      </c>
      <c r="F7018">
        <v>13</v>
      </c>
      <c r="G7018">
        <v>953.55</v>
      </c>
      <c r="H7018" t="s">
        <v>12</v>
      </c>
      <c r="I7018" t="str">
        <f t="shared" si="328"/>
        <v>Low Value</v>
      </c>
      <c r="J7018" t="str">
        <f t="shared" si="329"/>
        <v>Medium Risk</v>
      </c>
      <c r="K7018" s="3" t="str">
        <f t="shared" si="327"/>
        <v>1-2 Years</v>
      </c>
    </row>
    <row r="7019" spans="1:11" x14ac:dyDescent="0.3">
      <c r="A7019" t="s">
        <v>7036</v>
      </c>
      <c r="B7019" t="s">
        <v>9</v>
      </c>
      <c r="C7019" t="s">
        <v>30</v>
      </c>
      <c r="D7019" t="s">
        <v>20</v>
      </c>
      <c r="E7019">
        <v>64.099999999999994</v>
      </c>
      <c r="F7019">
        <v>68</v>
      </c>
      <c r="G7019">
        <v>4358.7999999999902</v>
      </c>
      <c r="H7019" t="s">
        <v>12</v>
      </c>
      <c r="I7019" t="str">
        <f t="shared" si="328"/>
        <v>Medium Value</v>
      </c>
      <c r="J7019" t="str">
        <f t="shared" si="329"/>
        <v>Low Risk</v>
      </c>
      <c r="K7019" s="3" t="str">
        <f t="shared" si="327"/>
        <v>4+ Years</v>
      </c>
    </row>
    <row r="7020" spans="1:11" x14ac:dyDescent="0.3">
      <c r="A7020" t="s">
        <v>7037</v>
      </c>
      <c r="B7020" t="s">
        <v>9</v>
      </c>
      <c r="C7020" t="s">
        <v>10</v>
      </c>
      <c r="D7020" t="s">
        <v>11</v>
      </c>
      <c r="E7020">
        <v>44.4</v>
      </c>
      <c r="F7020">
        <v>6</v>
      </c>
      <c r="G7020">
        <v>266.39999999999998</v>
      </c>
      <c r="H7020" t="s">
        <v>12</v>
      </c>
      <c r="I7020" t="str">
        <f t="shared" si="328"/>
        <v>Low Value</v>
      </c>
      <c r="J7020" t="str">
        <f t="shared" si="329"/>
        <v>High Risk</v>
      </c>
      <c r="K7020" s="3" t="str">
        <f t="shared" si="327"/>
        <v>0-1 Year</v>
      </c>
    </row>
    <row r="7021" spans="1:11" x14ac:dyDescent="0.3">
      <c r="A7021" t="s">
        <v>7038</v>
      </c>
      <c r="B7021" t="s">
        <v>9</v>
      </c>
      <c r="C7021" t="s">
        <v>10</v>
      </c>
      <c r="D7021" t="s">
        <v>16</v>
      </c>
      <c r="E7021">
        <v>20.05</v>
      </c>
      <c r="F7021">
        <v>2</v>
      </c>
      <c r="G7021">
        <v>40.1</v>
      </c>
      <c r="H7021" t="s">
        <v>12</v>
      </c>
      <c r="I7021" t="str">
        <f t="shared" si="328"/>
        <v>Low Value</v>
      </c>
      <c r="J7021" t="str">
        <f t="shared" si="329"/>
        <v>High Risk</v>
      </c>
      <c r="K7021" s="3" t="str">
        <f t="shared" si="327"/>
        <v>0-1 Year</v>
      </c>
    </row>
    <row r="7022" spans="1:11" x14ac:dyDescent="0.3">
      <c r="A7022" t="s">
        <v>7039</v>
      </c>
      <c r="B7022" t="s">
        <v>14</v>
      </c>
      <c r="C7022" t="s">
        <v>15</v>
      </c>
      <c r="D7022" t="s">
        <v>24</v>
      </c>
      <c r="E7022">
        <v>60</v>
      </c>
      <c r="F7022">
        <v>55</v>
      </c>
      <c r="G7022">
        <v>3300</v>
      </c>
      <c r="H7022" t="s">
        <v>12</v>
      </c>
      <c r="I7022" t="str">
        <f t="shared" si="328"/>
        <v>Medium Value</v>
      </c>
      <c r="J7022" t="str">
        <f t="shared" si="329"/>
        <v>Low Risk</v>
      </c>
      <c r="K7022" s="3" t="str">
        <f t="shared" si="327"/>
        <v>4+ Years</v>
      </c>
    </row>
    <row r="7023" spans="1:11" x14ac:dyDescent="0.3">
      <c r="A7023" t="s">
        <v>7040</v>
      </c>
      <c r="B7023" t="s">
        <v>14</v>
      </c>
      <c r="C7023" t="s">
        <v>10</v>
      </c>
      <c r="D7023" t="s">
        <v>11</v>
      </c>
      <c r="E7023">
        <v>75.75</v>
      </c>
      <c r="F7023">
        <v>1</v>
      </c>
      <c r="G7023">
        <v>75.75</v>
      </c>
      <c r="H7023" t="s">
        <v>18</v>
      </c>
      <c r="I7023" t="str">
        <f t="shared" si="328"/>
        <v>Low Value</v>
      </c>
      <c r="J7023" t="str">
        <f t="shared" si="329"/>
        <v>High Risk</v>
      </c>
      <c r="K7023" s="3" t="str">
        <f t="shared" si="327"/>
        <v>0-1 Year</v>
      </c>
    </row>
    <row r="7024" spans="1:11" x14ac:dyDescent="0.3">
      <c r="A7024" t="s">
        <v>7041</v>
      </c>
      <c r="B7024" t="s">
        <v>14</v>
      </c>
      <c r="C7024" t="s">
        <v>10</v>
      </c>
      <c r="D7024" t="s">
        <v>24</v>
      </c>
      <c r="E7024">
        <v>69.5</v>
      </c>
      <c r="F7024">
        <v>38</v>
      </c>
      <c r="G7024">
        <v>2641</v>
      </c>
      <c r="H7024" t="s">
        <v>12</v>
      </c>
      <c r="I7024" t="str">
        <f t="shared" si="328"/>
        <v>Medium Value</v>
      </c>
      <c r="J7024" t="str">
        <f t="shared" si="329"/>
        <v>Low Risk</v>
      </c>
      <c r="K7024" s="3" t="str">
        <f t="shared" si="327"/>
        <v>2-4 Years</v>
      </c>
    </row>
    <row r="7025" spans="1:11" x14ac:dyDescent="0.3">
      <c r="A7025" t="s">
        <v>7042</v>
      </c>
      <c r="B7025" t="s">
        <v>9</v>
      </c>
      <c r="C7025" t="s">
        <v>10</v>
      </c>
      <c r="D7025" t="s">
        <v>24</v>
      </c>
      <c r="E7025">
        <v>102.95</v>
      </c>
      <c r="F7025">
        <v>67</v>
      </c>
      <c r="G7025">
        <v>6897.65</v>
      </c>
      <c r="H7025" t="s">
        <v>18</v>
      </c>
      <c r="I7025" t="str">
        <f t="shared" si="328"/>
        <v>High Value</v>
      </c>
      <c r="J7025" t="str">
        <f t="shared" si="329"/>
        <v>Low Risk</v>
      </c>
      <c r="K7025" s="3" t="str">
        <f t="shared" si="327"/>
        <v>4+ Years</v>
      </c>
    </row>
    <row r="7026" spans="1:11" x14ac:dyDescent="0.3">
      <c r="A7026" t="s">
        <v>7043</v>
      </c>
      <c r="B7026" t="s">
        <v>14</v>
      </c>
      <c r="C7026" t="s">
        <v>10</v>
      </c>
      <c r="D7026" t="s">
        <v>20</v>
      </c>
      <c r="E7026">
        <v>78.7</v>
      </c>
      <c r="F7026">
        <v>19</v>
      </c>
      <c r="G7026">
        <v>1495.3</v>
      </c>
      <c r="H7026" t="s">
        <v>12</v>
      </c>
      <c r="I7026" t="str">
        <f t="shared" si="328"/>
        <v>Low Value</v>
      </c>
      <c r="J7026" t="str">
        <f t="shared" si="329"/>
        <v>Medium Risk</v>
      </c>
      <c r="K7026" s="3" t="str">
        <f t="shared" si="327"/>
        <v>1-2 Years</v>
      </c>
    </row>
    <row r="7027" spans="1:11" x14ac:dyDescent="0.3">
      <c r="A7027" t="s">
        <v>7044</v>
      </c>
      <c r="B7027" t="s">
        <v>9</v>
      </c>
      <c r="C7027" t="s">
        <v>15</v>
      </c>
      <c r="D7027" t="s">
        <v>11</v>
      </c>
      <c r="E7027">
        <v>60.65</v>
      </c>
      <c r="F7027">
        <v>12</v>
      </c>
      <c r="G7027">
        <v>727.8</v>
      </c>
      <c r="H7027" t="s">
        <v>12</v>
      </c>
      <c r="I7027" t="str">
        <f t="shared" si="328"/>
        <v>Low Value</v>
      </c>
      <c r="J7027" t="str">
        <f t="shared" si="329"/>
        <v>Medium Risk</v>
      </c>
      <c r="K7027" s="3" t="str">
        <f t="shared" si="327"/>
        <v>0-1 Year</v>
      </c>
    </row>
    <row r="7028" spans="1:11" x14ac:dyDescent="0.3">
      <c r="A7028" t="s">
        <v>7045</v>
      </c>
      <c r="B7028" t="s">
        <v>9</v>
      </c>
      <c r="C7028" t="s">
        <v>30</v>
      </c>
      <c r="D7028" t="s">
        <v>20</v>
      </c>
      <c r="E7028">
        <v>21.15</v>
      </c>
      <c r="F7028">
        <v>72</v>
      </c>
      <c r="G7028">
        <v>1522.8</v>
      </c>
      <c r="H7028" t="s">
        <v>12</v>
      </c>
      <c r="I7028" t="str">
        <f t="shared" si="328"/>
        <v>Low Value</v>
      </c>
      <c r="J7028" t="str">
        <f t="shared" si="329"/>
        <v>Low Risk</v>
      </c>
      <c r="K7028" s="3" t="str">
        <f t="shared" si="327"/>
        <v>4+ Years</v>
      </c>
    </row>
    <row r="7029" spans="1:11" x14ac:dyDescent="0.3">
      <c r="A7029" t="s">
        <v>7046</v>
      </c>
      <c r="B7029" t="s">
        <v>14</v>
      </c>
      <c r="C7029" t="s">
        <v>15</v>
      </c>
      <c r="D7029" t="s">
        <v>16</v>
      </c>
      <c r="E7029">
        <v>84.8</v>
      </c>
      <c r="F7029">
        <v>24</v>
      </c>
      <c r="G7029">
        <v>2035.19999999999</v>
      </c>
      <c r="H7029" t="s">
        <v>12</v>
      </c>
      <c r="I7029" t="str">
        <f t="shared" si="328"/>
        <v>Medium Value</v>
      </c>
      <c r="J7029" t="str">
        <f t="shared" si="329"/>
        <v>Low Risk</v>
      </c>
      <c r="K7029" s="3" t="str">
        <f t="shared" si="327"/>
        <v>1-2 Years</v>
      </c>
    </row>
    <row r="7030" spans="1:11" x14ac:dyDescent="0.3">
      <c r="A7030" t="s">
        <v>7047</v>
      </c>
      <c r="B7030" t="s">
        <v>9</v>
      </c>
      <c r="C7030" t="s">
        <v>15</v>
      </c>
      <c r="D7030" t="s">
        <v>24</v>
      </c>
      <c r="E7030">
        <v>103.2</v>
      </c>
      <c r="F7030">
        <v>72</v>
      </c>
      <c r="G7030">
        <v>7430.4</v>
      </c>
      <c r="H7030" t="s">
        <v>12</v>
      </c>
      <c r="I7030" t="str">
        <f t="shared" si="328"/>
        <v>High Value</v>
      </c>
      <c r="J7030" t="str">
        <f t="shared" si="329"/>
        <v>Low Risk</v>
      </c>
      <c r="K7030" s="3" t="str">
        <f t="shared" si="327"/>
        <v>4+ Years</v>
      </c>
    </row>
    <row r="7031" spans="1:11" x14ac:dyDescent="0.3">
      <c r="A7031" t="s">
        <v>7048</v>
      </c>
      <c r="B7031" t="s">
        <v>9</v>
      </c>
      <c r="C7031" t="s">
        <v>10</v>
      </c>
      <c r="D7031" t="s">
        <v>11</v>
      </c>
      <c r="E7031">
        <v>29.6</v>
      </c>
      <c r="F7031">
        <v>11</v>
      </c>
      <c r="G7031">
        <v>325.60000000000002</v>
      </c>
      <c r="H7031" t="s">
        <v>12</v>
      </c>
      <c r="I7031" t="str">
        <f t="shared" si="328"/>
        <v>Low Value</v>
      </c>
      <c r="J7031" t="str">
        <f t="shared" si="329"/>
        <v>High Risk</v>
      </c>
      <c r="K7031" s="3" t="str">
        <f t="shared" si="327"/>
        <v>0-1 Year</v>
      </c>
    </row>
    <row r="7032" spans="1:11" x14ac:dyDescent="0.3">
      <c r="A7032" t="s">
        <v>7049</v>
      </c>
      <c r="B7032" t="s">
        <v>14</v>
      </c>
      <c r="C7032" t="s">
        <v>10</v>
      </c>
      <c r="D7032" t="s">
        <v>16</v>
      </c>
      <c r="E7032">
        <v>74.400000000000006</v>
      </c>
      <c r="F7032">
        <v>4</v>
      </c>
      <c r="G7032">
        <v>297.60000000000002</v>
      </c>
      <c r="H7032" t="s">
        <v>18</v>
      </c>
      <c r="I7032" t="str">
        <f t="shared" si="328"/>
        <v>Low Value</v>
      </c>
      <c r="J7032" t="str">
        <f t="shared" si="329"/>
        <v>High Risk</v>
      </c>
      <c r="K7032" s="3" t="str">
        <f t="shared" si="327"/>
        <v>0-1 Year</v>
      </c>
    </row>
    <row r="7033" spans="1:11" x14ac:dyDescent="0.3">
      <c r="A7033" t="s">
        <v>7050</v>
      </c>
      <c r="B7033" t="s">
        <v>14</v>
      </c>
      <c r="C7033" t="s">
        <v>30</v>
      </c>
      <c r="D7033" t="s">
        <v>20</v>
      </c>
      <c r="E7033">
        <v>105.65</v>
      </c>
      <c r="F7033">
        <v>66</v>
      </c>
      <c r="G7033">
        <v>6972.9</v>
      </c>
      <c r="H7033" t="s">
        <v>12</v>
      </c>
      <c r="I7033" t="str">
        <f t="shared" si="328"/>
        <v>High Value</v>
      </c>
      <c r="J7033" t="str">
        <f t="shared" si="329"/>
        <v>Low Risk</v>
      </c>
      <c r="K7033" s="3" t="str">
        <f t="shared" si="327"/>
        <v>4+ Years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Churn Distribution</vt:lpstr>
      <vt:lpstr>Churn By Contract</vt:lpstr>
      <vt:lpstr>Revenue By Customer Segment</vt:lpstr>
      <vt:lpstr>Churn By Payment Method</vt:lpstr>
      <vt:lpstr>Churn By Gender</vt:lpstr>
      <vt:lpstr>Churn By Tenure Group</vt:lpstr>
      <vt:lpstr>DASHBOARD</vt:lpstr>
      <vt:lpstr>churn_analysis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2026-03-14T12:59:10Z</dcterms:created>
  <dcterms:modified xsi:type="dcterms:W3CDTF">2026-03-17T12:42:12Z</dcterms:modified>
</cp:coreProperties>
</file>